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râmetros" sheetId="2" state="visible" r:id="rId2"/>
    <sheet name="Especialidades" sheetId="3" state="visible" r:id="rId3"/>
    <sheet name="Salas" sheetId="4" state="visible" r:id="rId4"/>
    <sheet name="Equipe" sheetId="5" state="visible" r:id="rId5"/>
    <sheet name="Matriz_Habilidades" sheetId="6" state="visible" r:id="rId6"/>
    <sheet name="Mapa_Cirurgico" sheetId="7" state="visible" r:id="rId7"/>
    <sheet name="Calc_Mix" sheetId="8" state="visible" r:id="rId8"/>
    <sheet name="Calc_Afinidade" sheetId="9" state="visible" r:id="rId9"/>
    <sheet name="Escala_Duplas" sheetId="10" state="visible" r:id="rId10"/>
    <sheet name="Sugestao_Duplas" sheetId="11" state="visible" r:id="rId11"/>
    <sheet name="Painel" sheetId="12" state="visible" r:id="rId12"/>
    <sheet name="Base_Historico" sheetId="13" state="visible" r:id="rId13"/>
  </sheets>
  <definedNames>
    <definedName name="Data_Mapa">'Parâmetros'!$B$6</definedName>
    <definedName name="Peso_Instrumentador">'Parâmetros'!$B$17</definedName>
    <definedName name="Peso_Circulante">'Parâmetros'!$B$18</definedName>
    <definedName name="Afinidade_Meta">'Parâmetros'!$B$20</definedName>
    <definedName name="Afinidade_Min">'Parâmetros'!$B$21</definedName>
    <definedName name="Nivel_Critico">'Parâmetros'!$B$22</definedName>
    <definedName name="Part_Min_Critica">'Parâmetros'!$B$23</definedName>
    <definedName name="Setup_Min">'Parâmetros'!$B$26</definedName>
    <definedName name="Meta_Ocupacao">'Parâmetros'!$B$27</definedName>
    <definedName name="Ocupacao_Max">'Parâmetros'!$B$28</definedName>
    <definedName name="Turnos_Nome">'Parâmetros'!$A$32:$A$34</definedName>
    <definedName name="Turnos_Min">'Parâmetros'!$D$32:$D$34</definedName>
    <definedName name="Lista_Turnos">'Parâmetros'!$A$32:$A$34</definedName>
    <definedName name="Lista_Funcoes">'Parâmetros'!$F$5:$F$7</definedName>
    <definedName name="Lista_StatusEquipe">'Parâmetros'!$G$5:$G$8</definedName>
    <definedName name="Lista_StatusCirurgia">'Parâmetros'!$H$5:$H$8</definedName>
    <definedName name="Lista_Porte">'Parâmetros'!$I$5:$I$7</definedName>
    <definedName name="Lista_Salas">OFFSET('Salas'!$A$2,0,0,MAX(1,COUNTA('Salas'!$A$2:$A$13)),1)</definedName>
    <definedName name="Lista_Especialidades">OFFSET('Especialidades'!$B$2,0,0,MAX(1,COUNTA('Especialidades'!$B$2:$B$21)),1)</definedName>
    <definedName name="Lista_Tecnicos">OFFSET('Equipe'!$B$2,0,0,MAX(1,COUNTA('Equipe'!$B$2:$B$151)),1)</definedName>
    <definedName name="Turnos_Ini">'Parâmetros'!$B$32:$B$34</definedName>
    <definedName name="Turnos_Fim">'Parâmetros'!$C$32:$C$34</definedName>
    <definedName name="Salas_Cod">'Salas'!$A$2:$A$13</definedName>
    <definedName name="Salas_Status">'Salas'!$C$2:$C$13</definedName>
    <definedName name="Esp_Nome">'Especialidades'!$B$2:$B$21</definedName>
    <definedName name="Esp_Dur">'Especialidades'!$C$2:$C$21</definedName>
    <definedName name="Equipe_Nome">'Equipe'!$B$2:$B$151</definedName>
    <definedName name="Equipe_Funcao">'Equipe'!$C$2:$C$151</definedName>
    <definedName name="Equipe_Status">'Equipe'!$E$2:$E$151</definedName>
    <definedName name="Matriz_Nome">'Matriz_Habilidades'!$B$2:$B$151</definedName>
    <definedName name="Matriz_Niveis">'Matriz_Habilidades'!$D$2:$W$151</definedName>
    <definedName name="Matriz_Esp">'Matriz_Habilidades'!$D$1:$W$1</definedName>
    <definedName name="Mix_Esp">'Calc_Mix'!$D$1:$W$1</definedName>
    <definedName name="Mapa_Data">'Mapa_Cirurgico'!$A$2:$A$301</definedName>
    <definedName name="Mapa_Sala">'Mapa_Cirurgico'!$B$2:$B$301</definedName>
    <definedName name="Mapa_Turno">'Mapa_Cirurgico'!$C$2:$C$301</definedName>
    <definedName name="Mapa_Ini">'Mapa_Cirurgico'!$D$2:$D$301</definedName>
    <definedName name="Mapa_Fim">'Mapa_Cirurgico'!$E$2:$E$301</definedName>
    <definedName name="Mapa_Esp">'Mapa_Cirurgico'!$F$2:$F$301</definedName>
    <definedName name="Mapa_Status">'Mapa_Cirurgico'!$J$2:$J$301</definedName>
    <definedName name="Mapa_Dur">'Mapa_Cirurgico'!$K$2:$K$301</definedName>
    <definedName name="Mapa_MinOcup">'Mapa_Cirurgico'!$L$2:$L$301</definedName>
    <definedName name="Mapa_Alerta">'Mapa_Cirurgico'!$M$2:$M$301</definedName>
    <definedName name="Mapa_IniNum">'Mapa_Cirurgico'!$O$2:$O$301</definedName>
    <definedName name="Mapa_FimNum">'Mapa_Cirurgico'!$P$2:$P$301</definedName>
    <definedName name="Esc_Sala">'Escala_Duplas'!$B$2:$B$37</definedName>
    <definedName name="Esc_Turno">'Escala_Duplas'!$C$2:$C$37</definedName>
    <definedName name="Esc_NCir">'Escala_Duplas'!$D$2:$D$37</definedName>
    <definedName name="Esc_MinOcup">'Escala_Duplas'!$E$2:$E$37</definedName>
    <definedName name="Esc_MinTurno">'Escala_Duplas'!$F$2:$F$37</definedName>
    <definedName name="Esc_Circ">'Escala_Duplas'!$H$2:$H$37</definedName>
    <definedName name="Esc_Instr">'Escala_Duplas'!$J$2:$J$37</definedName>
    <definedName name="Esc_Afin">'Escala_Duplas'!$N$2:$N$37</definedName>
    <definedName name="Esc_Class">'Escala_Duplas'!$O$2:$O$37</definedName>
    <definedName name="Esc_AfinNum">'Escala_Duplas'!$V$2:$V$37</definedName>
    <definedName name="Esc_Peso">'Escala_Duplas'!$W$2:$W$37</definedName>
    <definedName name="Esc_Alertas">'Escala_Duplas'!$T$2:$T$37</definedName>
    <definedName name="Equipe_Turno">'Equipe'!$D$2:$D$151</definedName>
    <definedName name="_xlnm._FilterDatabase" localSheetId="2" hidden="1">'Especialidades'!$A$1:$E$21</definedName>
    <definedName name="_xlnm._FilterDatabase" localSheetId="3" hidden="1">'Salas'!$A$1:$E$13</definedName>
    <definedName name="_xlnm._FilterDatabase" localSheetId="4" hidden="1">'Equipe'!$A$1:$F$151</definedName>
    <definedName name="_xlnm._FilterDatabase" localSheetId="6" hidden="1">'Mapa_Cirurgico'!$A$1:$M$301</definedName>
    <definedName name="_xlnm.Print_Titles" localSheetId="6">'Mapa_Cirurgico'!$1:$1</definedName>
    <definedName name="_xlnm.Print_Area" localSheetId="6">'Mapa_Cirurgico'!$A$1:$M$69</definedName>
    <definedName name="_xlnm._FilterDatabase" localSheetId="9" hidden="1">'Escala_Duplas'!$A$1:$T$37</definedName>
    <definedName name="_xlnm.Print_Titles" localSheetId="9">'Escala_Duplas'!$1:$1</definedName>
    <definedName name="_xlnm.Print_Area" localSheetId="9">'Escala_Duplas'!$A$1:$T$37</definedName>
    <definedName name="_xlnm._FilterDatabase" localSheetId="10" hidden="1">'Sugestao_Duplas'!$A$1:$P$37</definedName>
    <definedName name="_xlnm.Print_Titles" localSheetId="10">'Sugestao_Duplas'!$1:$1</definedName>
    <definedName name="_xlnm.Print_Area" localSheetId="10">'Sugestao_Duplas'!$A$1:$P$37</definedName>
    <definedName name="_xlnm.Print_Area" localSheetId="11">'Painel'!$A$1:$R$63</definedName>
    <definedName name="_xlnm._FilterDatabase" localSheetId="12" hidden="1">'Base_Historico'!$A$1:$K$2001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HH:MM"/>
    <numFmt numFmtId="167" formatCode="0.0%"/>
    <numFmt numFmtId="168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7F7F7F"/>
      <sz val="9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color rgb="000070C0"/>
      <sz val="10"/>
    </font>
    <font>
      <name val="Calibri"/>
      <b val="1"/>
      <color rgb="00FFFFFF"/>
      <sz val="10"/>
    </font>
    <font>
      <name val="Calibri"/>
      <i val="1"/>
      <color rgb="00006100"/>
      <sz val="10"/>
    </font>
    <font>
      <name val="Calibri"/>
      <b val="1"/>
      <color rgb="001F3864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/>
    </xf>
    <xf numFmtId="1" fontId="8" fillId="5" borderId="1" applyAlignment="1" pivotButton="0" quotePrefix="0" xfId="0">
      <alignment horizontal="center" vertical="center"/>
    </xf>
    <xf numFmtId="168" fontId="8" fillId="5" borderId="1" applyAlignment="1" pivotButton="0" quotePrefix="0" xfId="0">
      <alignment horizontal="center" vertical="center"/>
    </xf>
    <xf numFmtId="167" fontId="8" fillId="5" borderId="1" applyAlignment="1" pivotButton="0" quotePrefix="0" xfId="0">
      <alignment horizontal="center" vertical="center"/>
    </xf>
    <xf numFmtId="2" fontId="8" fillId="5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ont>
        <b val="1"/>
        <color rgb="009C0006"/>
      </font>
      <fill>
        <patternFill patternType="solid">
          <fgColor rgb="00FFC7CE"/>
        </patternFill>
      </fill>
    </dxf>
    <dxf>
      <font>
        <i val="1"/>
        <color rgb="00808080"/>
      </font>
      <fill>
        <patternFill patternType="solid">
          <fgColor rgb="00F2F2F2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Ocupação por sala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'Painel'!E9</f>
            </strRef>
          </tx>
          <spPr>
            <a:ln>
              <a:prstDash val="solid"/>
            </a:ln>
          </spPr>
          <cat>
            <numRef>
              <f>'Painel'!$A$10:$A$21</f>
            </numRef>
          </cat>
          <val>
            <numRef>
              <f>'Painel'!$E$10:$E$21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de ocupação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cirúrgicas por especialidade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'Painel'!C30</f>
            </strRef>
          </tx>
          <spPr>
            <a:ln>
              <a:prstDash val="solid"/>
            </a:ln>
          </spPr>
          <cat>
            <numRef>
              <f>'Painel'!$A$31:$A$50</f>
            </numRef>
          </cat>
          <val>
            <numRef>
              <f>'Painel'!$C$31:$C$50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29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96" customWidth="1" min="3" max="3"/>
  </cols>
  <sheetData>
    <row r="1" ht="22" customHeight="1">
      <c r="A1" s="1" t="inlineStr">
        <is>
          <t>CENTRO CIRÚRGICO — MAPA CIRÚRGICO E ESCALA DE DUPLAS POR SALA</t>
        </is>
      </c>
    </row>
    <row r="2">
      <c r="A2" s="2" t="inlineStr">
        <is>
          <t>Ferramenta operacional da coordenação de enfermagem. Modelo de alocação: DUPLA FIXA POR SALA NO TURNO, classificada por AFINIDADE DE HABILIDADE.</t>
        </is>
      </c>
    </row>
    <row r="4">
      <c r="B4" s="3" t="inlineStr">
        <is>
          <t>1. COMO A PLANILHA ESTÁ ORGANIZADA</t>
        </is>
      </c>
      <c r="C4" s="4" t="n"/>
    </row>
    <row r="5" ht="27" customHeight="1">
      <c r="B5" s="5" t="inlineStr">
        <is>
          <t>ENTRADAS (o que se digita)</t>
        </is>
      </c>
      <c r="C5" s="6" t="inlineStr">
        <is>
          <t>Parâmetros · Especialidades · Salas · Equipe · Matriz_Habilidades · Mapa_Cirurgico · colunas CIRCULANTE/INSTRUMENTADOR da Escala_Duplas</t>
        </is>
      </c>
    </row>
    <row r="6" ht="27" customHeight="1">
      <c r="B6" s="5" t="inlineStr">
        <is>
          <t>PROCESSAMENTO (não digitar)</t>
        </is>
      </c>
      <c r="C6" s="6" t="inlineStr">
        <is>
          <t>Calc_Mix (minutos por especialidade em cada sala × turno) e Calc_Afinidade (afinidade dos técnicos ELEGÍVEIS — ativos, do turno e ainda não escalados — com cada sala × turno). São abas de cálculo, ficam visíveis para auditoria.</t>
        </is>
      </c>
    </row>
    <row r="7" ht="27" customHeight="1">
      <c r="B7" s="5" t="inlineStr">
        <is>
          <t>SAÍDAS</t>
        </is>
      </c>
      <c r="C7" s="6" t="inlineStr">
        <is>
          <t>Escala_Duplas (alocação validada) · Sugestao_Duplas (ranking de quem tem mais afinidade) · Painel (visão executiva) · Base_Historico (acúmulo dia a dia)</t>
        </is>
      </c>
    </row>
    <row r="8">
      <c r="B8" s="3" t="inlineStr">
        <is>
          <t>2. A REGRA DE AFINIDADE</t>
        </is>
      </c>
      <c r="C8" s="4" t="n"/>
    </row>
    <row r="9" ht="27" customHeight="1">
      <c r="B9" s="5" t="inlineStr">
        <is>
          <t>Afinidade do técnico com a sala/turno</t>
        </is>
      </c>
      <c r="C9" s="6" t="inlineStr">
        <is>
          <t>Média dos níveis de habilidade do técnico nas especialidades daquela sala, PONDERADA PELOS MINUTOS de cada especialidade no turno. Especialidade que ocupa mais tempo pesa mais.</t>
        </is>
      </c>
    </row>
    <row r="10" ht="27" customHeight="1">
      <c r="B10" s="5" t="inlineStr">
        <is>
          <t>Afinidade da dupla</t>
        </is>
      </c>
      <c r="C10" s="6" t="inlineStr">
        <is>
          <t>Peso_Circulante × afinidade do circulante + Peso_Instrumentador × afinidade do instrumentador. Os dois pesos ficam em Parâmetros (padrão 0,40 / 0,60) e podem ser alterados.</t>
        </is>
      </c>
    </row>
    <row r="11" ht="27" customHeight="1">
      <c r="B11" s="5" t="inlineStr">
        <is>
          <t>Classificação</t>
        </is>
      </c>
      <c r="C11" s="6" t="inlineStr">
        <is>
          <t>ADEQUADA quando ≥ Afinidade_Meta (2,50) · ATENÇÃO entre a meta e a mínima · CRÍTICA abaixo de Afinidade_Min (2,00). Os dois limites estão em Parâmetros.</t>
        </is>
      </c>
    </row>
    <row r="12" ht="27" customHeight="1">
      <c r="B12" s="5" t="inlineStr">
        <is>
          <t>Alerta de inaptidão</t>
        </is>
      </c>
      <c r="C12" s="6" t="inlineStr">
        <is>
          <t>Se qualquer especialidade responder por ≥ Part_Min_Critica (20%) do tempo da sala e algum membro da dupla tiver nível ≤ Nivel_Critico (1) nela, a linha é sinalizada mesmo que a média esteja boa.</t>
        </is>
      </c>
    </row>
    <row r="13">
      <c r="B13" s="3" t="inlineStr">
        <is>
          <t>3. ROTINA DO DIA</t>
        </is>
      </c>
      <c r="C13" s="4" t="n"/>
    </row>
    <row r="14" ht="16" customHeight="1">
      <c r="B14" s="5" t="inlineStr">
        <is>
          <t>Passo 1</t>
        </is>
      </c>
      <c r="C14" s="6" t="inlineStr">
        <is>
          <t>Em Parâmetros, ajuste a Data do mapa.</t>
        </is>
      </c>
    </row>
    <row r="15" ht="27" customHeight="1">
      <c r="B15" s="5" t="inlineStr">
        <is>
          <t>Passo 2</t>
        </is>
      </c>
      <c r="C15" s="6" t="inlineStr">
        <is>
          <t>Lance as cirurgias em Mapa_Cirurgico (sala, turno, horários, especialidade, status). A coluna Alerta aponta sobreposição de horário, sala bloqueada, duração inválida e horário fora da janela do turno.</t>
        </is>
      </c>
    </row>
    <row r="16" ht="40.5" customHeight="1">
      <c r="B16" s="5" t="inlineStr">
        <is>
          <t>Passo 3</t>
        </is>
      </c>
      <c r="C16" s="6" t="inlineStr">
        <is>
          <t>Em Escala_Duplas, escolha o CIRCULANTE e o INSTRUMENTADOR de cada sala/turno nas listas suspensas (células azuis). A aba Sugestao_Duplas mostra, para cada sala/turno, os técnicos AINDA LIVRES daquele turno em ordem de afinidade — a lista se atualiza a cada nome que você escala.</t>
        </is>
      </c>
    </row>
    <row r="17" ht="16" customHeight="1">
      <c r="B17" s="5" t="inlineStr">
        <is>
          <t>Passo 4</t>
        </is>
      </c>
      <c r="C17" s="6" t="inlineStr">
        <is>
          <t>Confira a coluna ALERTAS e o Painel. Resolva as linhas CRÍTICA / SEM DUPLA antes de publicar a escala.</t>
        </is>
      </c>
    </row>
    <row r="18" ht="16" customHeight="1">
      <c r="B18" s="5" t="inlineStr">
        <is>
          <t>Passo 5 (fechamento)</t>
        </is>
      </c>
      <c r="C18" s="6" t="inlineStr">
        <is>
          <t>Copie as linhas de Escala_Duplas e cole COMO VALORES em Base_Historico para manter o histórico do dia.</t>
        </is>
      </c>
    </row>
    <row r="19">
      <c r="B19" s="3" t="inlineStr">
        <is>
          <t>4. CONVENÇÕES VISUAIS</t>
        </is>
      </c>
      <c r="C19" s="4" t="n"/>
    </row>
    <row r="20" ht="16" customHeight="1">
      <c r="B20" s="5" t="inlineStr">
        <is>
          <t>Azul</t>
        </is>
      </c>
      <c r="C20" s="6" t="inlineStr">
        <is>
          <t>Célula de entrada — pode digitar.</t>
        </is>
      </c>
    </row>
    <row r="21" ht="16" customHeight="1">
      <c r="B21" s="5" t="inlineStr">
        <is>
          <t>Amarelo</t>
        </is>
      </c>
      <c r="C21" s="6" t="inlineStr">
        <is>
          <t>Premissa de negócio (Parâmetros). Alterar aqui recalcula toda a planilha.</t>
        </is>
      </c>
    </row>
    <row r="22" ht="16" customHeight="1">
      <c r="B22" s="5" t="inlineStr">
        <is>
          <t>Preto</t>
        </is>
      </c>
      <c r="C22" s="6" t="inlineStr">
        <is>
          <t>Resultado de fórmula — não digitar por cima.</t>
        </is>
      </c>
    </row>
    <row r="23" ht="16" customHeight="1">
      <c r="B23" s="5" t="inlineStr">
        <is>
          <t>Verde itálico</t>
        </is>
      </c>
      <c r="C23" s="6" t="inlineStr">
        <is>
          <t>Valor trazido de outra aba por fórmula.</t>
        </is>
      </c>
    </row>
    <row r="24" ht="16" customHeight="1">
      <c r="B24" s="5" t="inlineStr">
        <is>
          <t>Vermelho / âmbar / verde</t>
        </is>
      </c>
      <c r="C24" s="6" t="inlineStr">
        <is>
          <t>Semáforo de afinidade, ocupação e alertas.</t>
        </is>
      </c>
    </row>
    <row r="25">
      <c r="B25" s="3" t="inlineStr">
        <is>
          <t>5. COMO EXPANDIR</t>
        </is>
      </c>
      <c r="C25" s="4" t="n"/>
    </row>
    <row r="26" ht="27" customHeight="1">
      <c r="B26" s="5" t="inlineStr">
        <is>
          <t>Novo técnico</t>
        </is>
      </c>
      <c r="C26" s="6" t="inlineStr">
        <is>
          <t>Acrescente a linha em Equipe (até 150). A Matriz_Habilidades, o Calc_Afinidade e as listas suspensas acompanham automaticamente — basta preencher os níveis na Matriz.</t>
        </is>
      </c>
    </row>
    <row r="27" ht="27" customHeight="1">
      <c r="B27" s="5" t="inlineStr">
        <is>
          <t>Nova especialidade</t>
        </is>
      </c>
      <c r="C27" s="6" t="inlineStr">
        <is>
          <t>Acrescente a linha em Especialidades (até 20 posições). As colunas da Matriz_Habilidades e do Calc_Mix pegam o nome automaticamente.</t>
        </is>
      </c>
    </row>
    <row r="28" ht="27" customHeight="1">
      <c r="B28" s="5" t="inlineStr">
        <is>
          <t>Nova sala</t>
        </is>
      </c>
      <c r="C28" s="6" t="inlineStr">
        <is>
          <t>Acrescente a linha em Salas (até 12). As três linhas de turno correspondentes já existem em Calc_Mix, Escala_Duplas e Sugestao_Duplas e passam a funcionar sozinhas.</t>
        </is>
      </c>
    </row>
    <row r="29" ht="16" customHeight="1">
      <c r="B29" s="5" t="inlineStr">
        <is>
          <t>Mais cirurgias</t>
        </is>
      </c>
      <c r="C29" s="6" t="inlineStr">
        <is>
          <t>O Mapa_Cirurgico comporta 300 cirurgias por dia; todas as fórmulas já cobrem esse intervalo.</t>
        </is>
      </c>
    </row>
    <row r="30">
      <c r="B30" s="3" t="inlineStr">
        <is>
          <t>6. OBSERVAÇÕES TÉCNICAS</t>
        </is>
      </c>
      <c r="C30" s="4" t="n"/>
    </row>
    <row r="31" ht="27" customHeight="1">
      <c r="B31" s="5" t="inlineStr">
        <is>
          <t>Dados de exemplo</t>
        </is>
      </c>
      <c r="C31" s="6" t="inlineStr">
        <is>
          <t>Equipe, matriz de habilidades e mapa cirúrgico vêm preenchidos com um dia de exemplo para demonstração. Substitua pelos dados reais do serviço.</t>
        </is>
      </c>
    </row>
    <row r="32" ht="27" customHeight="1">
      <c r="B32" s="5" t="inlineStr">
        <is>
          <t>Ocupação da sala</t>
        </is>
      </c>
      <c r="C32" s="6" t="inlineStr">
        <is>
          <t>Cada cirurgia consome sua duração + o tempo de setup/limpeza definido em Parâmetros. Cirurgias Canceladas ou Suspensas não entram na ocupação nem no cálculo de afinidade.</t>
        </is>
      </c>
    </row>
    <row r="33" ht="27" customHeight="1">
      <c r="B33" s="5" t="inlineStr">
        <is>
          <t>Colunas auxiliares ocultas</t>
        </is>
      </c>
      <c r="C33" s="6" t="inlineStr">
        <is>
          <t>Mapa_Cirurgico colunas N, O e P e Escala_Duplas colunas U, V e W guardam cálculos intermediários (texto de alerta, horários numéricos e ponderação da afinidade). Não excluir.</t>
        </is>
      </c>
    </row>
    <row r="34" ht="27" customHeight="1">
      <c r="B34" s="5" t="inlineStr">
        <is>
          <t>Desempate na Sugestao_Duplas</t>
        </is>
      </c>
      <c r="C34" s="6" t="inlineStr">
        <is>
          <t>O Calc_Afinidade soma 0,000001 × número da linha para evitar empates no ranking; o efeito é invisível nas duas casas decimais exibidas.</t>
        </is>
      </c>
    </row>
    <row r="35" ht="27" customHeight="1">
      <c r="B35" s="5" t="inlineStr">
        <is>
          <t>Funções utilizadas</t>
        </is>
      </c>
      <c r="C35" s="6" t="inlineStr">
        <is>
          <t>SUMIFS, COUNTIFS, SUMPRODUCT, INDEX, MATCH, LARGE, IF e IFERROR — compatíveis com Excel e LibreOffice. Não há macros, Power Query nem matrizes dinâmicas.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22" customWidth="1" min="4" max="4"/>
    <col width="3" customWidth="1" min="5" max="5"/>
    <col width="18" customWidth="1" min="6" max="6"/>
    <col width="16" customWidth="1" min="7" max="7"/>
    <col width="16" customWidth="1" min="8" max="8"/>
    <col width="8" customWidth="1" min="9" max="9"/>
  </cols>
  <sheetData>
    <row r="1" ht="22" customHeight="1">
      <c r="A1" s="1" t="inlineStr">
        <is>
          <t>PARÂMETROS E PREMISSAS</t>
        </is>
      </c>
    </row>
    <row r="2">
      <c r="A2" s="2" t="inlineStr">
        <is>
          <t>Células amarelas são premissas de negócio: alterá-las recalcula toda a planilha. Nenhuma premissa está embutida em fórmula.</t>
        </is>
      </c>
    </row>
    <row r="3">
      <c r="A3" s="7" t="inlineStr">
        <is>
          <t>1. IDENTIFICAÇÃO</t>
        </is>
      </c>
      <c r="B3" s="8" t="n"/>
      <c r="C3" s="8" t="n"/>
      <c r="D3" s="8" t="n"/>
      <c r="F3" s="9" t="inlineStr">
        <is>
          <t>LISTAS AUXILIARES</t>
        </is>
      </c>
    </row>
    <row r="4" ht="18" customHeight="1">
      <c r="A4" s="10" t="inlineStr">
        <is>
          <t>Unidade / Hospital</t>
        </is>
      </c>
      <c r="B4" s="11" t="inlineStr">
        <is>
          <t>Hospital — preencher</t>
        </is>
      </c>
      <c r="C4" s="12" t="n"/>
      <c r="D4" s="13" t="n"/>
      <c r="F4" s="14" t="inlineStr">
        <is>
          <t>Função</t>
        </is>
      </c>
      <c r="G4" s="14" t="inlineStr">
        <is>
          <t>Status equipe</t>
        </is>
      </c>
      <c r="H4" s="14" t="inlineStr">
        <is>
          <t>Status cirurgia</t>
        </is>
      </c>
      <c r="I4" s="14" t="inlineStr">
        <is>
          <t>Porte</t>
        </is>
      </c>
    </row>
    <row r="5">
      <c r="A5" s="10" t="inlineStr">
        <is>
          <t>Setor</t>
        </is>
      </c>
      <c r="B5" s="11" t="inlineStr">
        <is>
          <t>Centro Cirúrgico</t>
        </is>
      </c>
      <c r="C5" s="12" t="n"/>
      <c r="D5" s="13" t="n"/>
      <c r="F5" s="15" t="inlineStr">
        <is>
          <t>Circulante</t>
        </is>
      </c>
      <c r="G5" s="15" t="inlineStr">
        <is>
          <t>Ativo</t>
        </is>
      </c>
      <c r="H5" s="15" t="inlineStr">
        <is>
          <t>Agendada</t>
        </is>
      </c>
      <c r="I5" s="15" t="inlineStr">
        <is>
          <t>P</t>
        </is>
      </c>
    </row>
    <row r="6">
      <c r="A6" s="10" t="inlineStr">
        <is>
          <t>Data do mapa</t>
        </is>
      </c>
      <c r="B6" s="16" t="n">
        <v>46254</v>
      </c>
      <c r="F6" s="15" t="inlineStr">
        <is>
          <t>Instrumentador</t>
        </is>
      </c>
      <c r="G6" s="15" t="inlineStr">
        <is>
          <t>Férias</t>
        </is>
      </c>
      <c r="H6" s="15" t="inlineStr">
        <is>
          <t>Realizada</t>
        </is>
      </c>
      <c r="I6" s="15" t="inlineStr">
        <is>
          <t>M</t>
        </is>
      </c>
    </row>
    <row r="7">
      <c r="A7" s="10" t="inlineStr">
        <is>
          <t>Coordenação responsável</t>
        </is>
      </c>
      <c r="B7" s="11" t="inlineStr">
        <is>
          <t>Coordenação de Enfermagem</t>
        </is>
      </c>
      <c r="C7" s="12" t="n"/>
      <c r="D7" s="13" t="n"/>
      <c r="F7" s="15" t="inlineStr">
        <is>
          <t>Ambos</t>
        </is>
      </c>
      <c r="G7" s="15" t="inlineStr">
        <is>
          <t>Afastado</t>
        </is>
      </c>
      <c r="H7" s="15" t="inlineStr">
        <is>
          <t>Cancelada</t>
        </is>
      </c>
      <c r="I7" s="15" t="inlineStr">
        <is>
          <t>G</t>
        </is>
      </c>
    </row>
    <row r="8">
      <c r="G8" s="15" t="inlineStr">
        <is>
          <t>Folga</t>
        </is>
      </c>
      <c r="H8" s="15" t="inlineStr">
        <is>
          <t>Suspensa</t>
        </is>
      </c>
    </row>
    <row r="9">
      <c r="A9" s="7" t="inlineStr">
        <is>
          <t>2. ESCALA DE HABILIDADE (usada na Matriz_Habilidades)</t>
        </is>
      </c>
      <c r="B9" s="8" t="n"/>
      <c r="C9" s="8" t="n"/>
      <c r="D9" s="8" t="n"/>
    </row>
    <row r="10" ht="18" customHeight="1">
      <c r="A10" s="14" t="inlineStr">
        <is>
          <t>Nível</t>
        </is>
      </c>
      <c r="B10" s="14" t="inlineStr">
        <is>
          <t>Descrição</t>
        </is>
      </c>
      <c r="C10" s="14" t="inlineStr">
        <is>
          <t>Pontos</t>
        </is>
      </c>
      <c r="D10" s="14" t="inlineStr">
        <is>
          <t>Critério operacional</t>
        </is>
      </c>
    </row>
    <row r="11">
      <c r="A11" s="15" t="n">
        <v>0</v>
      </c>
      <c r="B11" s="17" t="inlineStr">
        <is>
          <t>Não apto</t>
        </is>
      </c>
      <c r="C11" s="15" t="n">
        <v>0</v>
      </c>
      <c r="D11" s="17" t="inlineStr">
        <is>
          <t>Não pode assumir a especialidade</t>
        </is>
      </c>
    </row>
    <row r="12">
      <c r="A12" s="15" t="n">
        <v>1</v>
      </c>
      <c r="B12" s="17" t="inlineStr">
        <is>
          <t>Em treinamento</t>
        </is>
      </c>
      <c r="C12" s="15" t="n">
        <v>1</v>
      </c>
      <c r="D12" s="17" t="inlineStr">
        <is>
          <t>Só atua acompanhado de técnico apto</t>
        </is>
      </c>
    </row>
    <row r="13">
      <c r="A13" s="15" t="n">
        <v>2</v>
      </c>
      <c r="B13" s="17" t="inlineStr">
        <is>
          <t>Apto</t>
        </is>
      </c>
      <c r="C13" s="15" t="n">
        <v>2</v>
      </c>
      <c r="D13" s="17" t="inlineStr">
        <is>
          <t>Atua com autonomia na especialidade</t>
        </is>
      </c>
    </row>
    <row r="14">
      <c r="A14" s="15" t="n">
        <v>3</v>
      </c>
      <c r="B14" s="17" t="inlineStr">
        <is>
          <t>Referência</t>
        </is>
      </c>
      <c r="C14" s="15" t="n">
        <v>3</v>
      </c>
      <c r="D14" s="17" t="inlineStr">
        <is>
          <t>Atua em alta complexidade e treina a equipe</t>
        </is>
      </c>
    </row>
    <row r="16">
      <c r="A16" s="7" t="inlineStr">
        <is>
          <t>3. PARÂMETROS DE AFINIDADE DA DUPLA</t>
        </is>
      </c>
      <c r="B16" s="8" t="n"/>
      <c r="C16" s="8" t="n"/>
      <c r="D16" s="8" t="n"/>
    </row>
    <row r="17">
      <c r="A17" s="10" t="inlineStr">
        <is>
          <t>Peso do INSTRUMENTADOR na afinidade da dupla</t>
        </is>
      </c>
      <c r="B17" s="18" t="n">
        <v>0.6</v>
      </c>
      <c r="D17" s="2" t="inlineStr">
        <is>
          <t>Peso_Instrumentador</t>
        </is>
      </c>
    </row>
    <row r="18">
      <c r="A18" s="10" t="inlineStr">
        <is>
          <t>Peso do CIRCULANTE na afinidade da dupla</t>
        </is>
      </c>
      <c r="B18" s="18" t="n">
        <v>0.4</v>
      </c>
      <c r="D18" s="2" t="inlineStr">
        <is>
          <t>Peso_Circulante</t>
        </is>
      </c>
    </row>
    <row r="19">
      <c r="A19" s="10" t="inlineStr">
        <is>
          <t>Soma dos pesos (precisa ser 1,00)</t>
        </is>
      </c>
      <c r="B19" s="19">
        <f>B17+B18</f>
        <v/>
      </c>
    </row>
    <row r="20">
      <c r="A20" s="10" t="inlineStr">
        <is>
          <t>Afinidade META — dupla ADEQUADA quando ≥</t>
        </is>
      </c>
      <c r="B20" s="18" t="n">
        <v>2.5</v>
      </c>
      <c r="D20" s="2" t="inlineStr">
        <is>
          <t>Afinidade_Meta</t>
        </is>
      </c>
    </row>
    <row r="21">
      <c r="A21" s="10" t="inlineStr">
        <is>
          <t>Afinidade MÍNIMA aceitável — abaixo disto é CRÍTICA</t>
        </is>
      </c>
      <c r="B21" s="18" t="n">
        <v>2</v>
      </c>
      <c r="D21" s="2" t="inlineStr">
        <is>
          <t>Afinidade_Min</t>
        </is>
      </c>
    </row>
    <row r="22">
      <c r="A22" s="10" t="inlineStr">
        <is>
          <t>Nível considerado INAPTO (≤)</t>
        </is>
      </c>
      <c r="B22" s="20" t="n">
        <v>1</v>
      </c>
      <c r="D22" s="2" t="inlineStr">
        <is>
          <t>Nivel_Critico</t>
        </is>
      </c>
    </row>
    <row r="23">
      <c r="A23" s="10" t="inlineStr">
        <is>
          <t>Participação mínima da especialidade para alerta crítico</t>
        </is>
      </c>
      <c r="B23" s="21" t="n">
        <v>0.2</v>
      </c>
      <c r="D23" s="2" t="inlineStr">
        <is>
          <t>Part_Min_Critica</t>
        </is>
      </c>
    </row>
    <row r="25">
      <c r="A25" s="7" t="inlineStr">
        <is>
          <t>4. PARÂMETROS OPERACIONAIS</t>
        </is>
      </c>
      <c r="B25" s="8" t="n"/>
      <c r="C25" s="8" t="n"/>
      <c r="D25" s="8" t="n"/>
    </row>
    <row r="26">
      <c r="A26" s="10" t="inlineStr">
        <is>
          <t>Tempo de setup / limpeza por cirurgia (min)</t>
        </is>
      </c>
      <c r="B26" s="20" t="n">
        <v>30</v>
      </c>
      <c r="D26" s="2" t="inlineStr">
        <is>
          <t>Setup_Min</t>
        </is>
      </c>
    </row>
    <row r="27">
      <c r="A27" s="10" t="inlineStr">
        <is>
          <t>Meta de ocupação de sala</t>
        </is>
      </c>
      <c r="B27" s="21" t="n">
        <v>0.85</v>
      </c>
      <c r="D27" s="2" t="inlineStr">
        <is>
          <t>Meta_Ocupacao</t>
        </is>
      </c>
    </row>
    <row r="28">
      <c r="A28" s="10" t="inlineStr">
        <is>
          <t>Ocupação máxima admitida</t>
        </is>
      </c>
      <c r="B28" s="21" t="n">
        <v>1</v>
      </c>
      <c r="D28" s="2" t="inlineStr">
        <is>
          <t>Ocupacao_Max</t>
        </is>
      </c>
    </row>
    <row r="30">
      <c r="A30" s="7" t="inlineStr">
        <is>
          <t>5. TURNOS</t>
        </is>
      </c>
      <c r="B30" s="8" t="n"/>
      <c r="C30" s="8" t="n"/>
      <c r="D30" s="8" t="n"/>
    </row>
    <row r="31" ht="18" customHeight="1">
      <c r="A31" s="14" t="inlineStr">
        <is>
          <t>Turno</t>
        </is>
      </c>
      <c r="B31" s="14" t="inlineStr">
        <is>
          <t>Início</t>
        </is>
      </c>
      <c r="C31" s="14" t="inlineStr">
        <is>
          <t>Fim</t>
        </is>
      </c>
      <c r="D31" s="14" t="inlineStr">
        <is>
          <t>Minutos disponíveis</t>
        </is>
      </c>
    </row>
    <row r="32">
      <c r="A32" s="15" t="inlineStr">
        <is>
          <t>Manhã</t>
        </is>
      </c>
      <c r="B32" s="22" t="n">
        <v>0.2916666666666667</v>
      </c>
      <c r="C32" s="22" t="n">
        <v>0.5416666666666666</v>
      </c>
      <c r="D32" s="23">
        <f>MOD(C32-B32,1)*1440</f>
        <v/>
      </c>
    </row>
    <row r="33">
      <c r="A33" s="15" t="inlineStr">
        <is>
          <t>Tarde</t>
        </is>
      </c>
      <c r="B33" s="22" t="n">
        <v>0.5416666666666666</v>
      </c>
      <c r="C33" s="22" t="n">
        <v>0.7916666666666666</v>
      </c>
      <c r="D33" s="23">
        <f>MOD(C33-B33,1)*1440</f>
        <v/>
      </c>
    </row>
    <row r="34">
      <c r="A34" s="15" t="inlineStr">
        <is>
          <t>Noite</t>
        </is>
      </c>
      <c r="B34" s="22" t="n">
        <v>0.7916666666666666</v>
      </c>
      <c r="C34" s="22" t="n">
        <v>0.2916666666666667</v>
      </c>
      <c r="D34" s="23">
        <f>MOD(C34-B34,1)*1440</f>
        <v/>
      </c>
    </row>
  </sheetData>
  <mergeCells count="3">
    <mergeCell ref="B7:D7"/>
    <mergeCell ref="B5:D5"/>
    <mergeCell ref="B4:D4"/>
  </mergeCells>
  <conditionalFormatting sqref="B19">
    <cfRule type="expression" priority="1" dxfId="0">
      <formula>ROUND($B$19,6)&lt;&gt;1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0" customWidth="1" min="3" max="3"/>
    <col width="10" customWidth="1" min="4" max="4"/>
    <col width="40" customWidth="1" min="5" max="5"/>
  </cols>
  <sheetData>
    <row r="1" ht="30" customHeight="1">
      <c r="A1" s="14" t="inlineStr">
        <is>
          <t>Código</t>
        </is>
      </c>
      <c r="B1" s="14" t="inlineStr">
        <is>
          <t>Especialidade</t>
        </is>
      </c>
      <c r="C1" s="14" t="inlineStr">
        <is>
          <t>Duração média (min)</t>
        </is>
      </c>
      <c r="D1" s="14" t="inlineStr">
        <is>
          <t>Ativa</t>
        </is>
      </c>
      <c r="E1" s="14" t="inlineStr">
        <is>
          <t>Observação</t>
        </is>
      </c>
    </row>
    <row r="2">
      <c r="A2" s="24" t="inlineStr">
        <is>
          <t>ORT</t>
        </is>
      </c>
      <c r="B2" s="25" t="inlineStr">
        <is>
          <t>Ortopedia</t>
        </is>
      </c>
      <c r="C2" s="24" t="n">
        <v>120</v>
      </c>
      <c r="D2" s="24" t="inlineStr">
        <is>
          <t>Sim</t>
        </is>
      </c>
      <c r="E2" s="25" t="n"/>
    </row>
    <row r="3">
      <c r="A3" s="24" t="inlineStr">
        <is>
          <t>CGE</t>
        </is>
      </c>
      <c r="B3" s="25" t="inlineStr">
        <is>
          <t>Cirurgia Geral</t>
        </is>
      </c>
      <c r="C3" s="24" t="n">
        <v>90</v>
      </c>
      <c r="D3" s="24" t="inlineStr">
        <is>
          <t>Sim</t>
        </is>
      </c>
      <c r="E3" s="25" t="n"/>
    </row>
    <row r="4">
      <c r="A4" s="24" t="inlineStr">
        <is>
          <t>NEU</t>
        </is>
      </c>
      <c r="B4" s="25" t="inlineStr">
        <is>
          <t>Neurocirurgia</t>
        </is>
      </c>
      <c r="C4" s="24" t="n">
        <v>240</v>
      </c>
      <c r="D4" s="24" t="inlineStr">
        <is>
          <t>Sim</t>
        </is>
      </c>
      <c r="E4" s="25" t="n"/>
    </row>
    <row r="5">
      <c r="A5" s="24" t="inlineStr">
        <is>
          <t>CCV</t>
        </is>
      </c>
      <c r="B5" s="25" t="inlineStr">
        <is>
          <t>Cirurgia Cardiovascular</t>
        </is>
      </c>
      <c r="C5" s="24" t="n">
        <v>300</v>
      </c>
      <c r="D5" s="24" t="inlineStr">
        <is>
          <t>Sim</t>
        </is>
      </c>
      <c r="E5" s="25" t="n"/>
    </row>
    <row r="6">
      <c r="A6" s="24" t="inlineStr">
        <is>
          <t>URO</t>
        </is>
      </c>
      <c r="B6" s="25" t="inlineStr">
        <is>
          <t>Urologia</t>
        </is>
      </c>
      <c r="C6" s="24" t="n">
        <v>90</v>
      </c>
      <c r="D6" s="24" t="inlineStr">
        <is>
          <t>Sim</t>
        </is>
      </c>
      <c r="E6" s="25" t="n"/>
    </row>
    <row r="7">
      <c r="A7" s="24" t="inlineStr">
        <is>
          <t>GIN</t>
        </is>
      </c>
      <c r="B7" s="25" t="inlineStr">
        <is>
          <t>Ginecologia</t>
        </is>
      </c>
      <c r="C7" s="24" t="n">
        <v>90</v>
      </c>
      <c r="D7" s="24" t="inlineStr">
        <is>
          <t>Sim</t>
        </is>
      </c>
      <c r="E7" s="25" t="n"/>
    </row>
    <row r="8">
      <c r="A8" s="24" t="inlineStr">
        <is>
          <t>OBS</t>
        </is>
      </c>
      <c r="B8" s="25" t="inlineStr">
        <is>
          <t>Obstetrícia</t>
        </is>
      </c>
      <c r="C8" s="24" t="n">
        <v>60</v>
      </c>
      <c r="D8" s="24" t="inlineStr">
        <is>
          <t>Sim</t>
        </is>
      </c>
      <c r="E8" s="25" t="n"/>
    </row>
    <row r="9">
      <c r="A9" s="24" t="inlineStr">
        <is>
          <t>OFT</t>
        </is>
      </c>
      <c r="B9" s="25" t="inlineStr">
        <is>
          <t>Oftalmologia</t>
        </is>
      </c>
      <c r="C9" s="24" t="n">
        <v>45</v>
      </c>
      <c r="D9" s="24" t="inlineStr">
        <is>
          <t>Sim</t>
        </is>
      </c>
      <c r="E9" s="25" t="n"/>
    </row>
    <row r="10">
      <c r="A10" s="24" t="inlineStr">
        <is>
          <t>OTO</t>
        </is>
      </c>
      <c r="B10" s="25" t="inlineStr">
        <is>
          <t>Otorrinolaringologia</t>
        </is>
      </c>
      <c r="C10" s="24" t="n">
        <v>75</v>
      </c>
      <c r="D10" s="24" t="inlineStr">
        <is>
          <t>Sim</t>
        </is>
      </c>
      <c r="E10" s="25" t="n"/>
    </row>
    <row r="11">
      <c r="A11" s="24" t="inlineStr">
        <is>
          <t>PLA</t>
        </is>
      </c>
      <c r="B11" s="25" t="inlineStr">
        <is>
          <t>Cirurgia Plástica</t>
        </is>
      </c>
      <c r="C11" s="24" t="n">
        <v>120</v>
      </c>
      <c r="D11" s="24" t="inlineStr">
        <is>
          <t>Sim</t>
        </is>
      </c>
      <c r="E11" s="25" t="n"/>
    </row>
    <row r="12">
      <c r="A12" s="24" t="inlineStr">
        <is>
          <t>VAS</t>
        </is>
      </c>
      <c r="B12" s="25" t="inlineStr">
        <is>
          <t>Cirurgia Vascular</t>
        </is>
      </c>
      <c r="C12" s="24" t="n">
        <v>150</v>
      </c>
      <c r="D12" s="24" t="inlineStr">
        <is>
          <t>Sim</t>
        </is>
      </c>
      <c r="E12" s="25" t="n"/>
    </row>
    <row r="13">
      <c r="A13" s="24" t="inlineStr">
        <is>
          <t>BAR</t>
        </is>
      </c>
      <c r="B13" s="25" t="inlineStr">
        <is>
          <t>Cirurgia Bariátrica</t>
        </is>
      </c>
      <c r="C13" s="24" t="n">
        <v>150</v>
      </c>
      <c r="D13" s="24" t="inlineStr">
        <is>
          <t>Sim</t>
        </is>
      </c>
      <c r="E13" s="25" t="n"/>
    </row>
    <row r="14">
      <c r="A14" s="24" t="inlineStr">
        <is>
          <t>PED</t>
        </is>
      </c>
      <c r="B14" s="25" t="inlineStr">
        <is>
          <t>Cirurgia Pediátrica</t>
        </is>
      </c>
      <c r="C14" s="24" t="n">
        <v>90</v>
      </c>
      <c r="D14" s="24" t="inlineStr">
        <is>
          <t>Sim</t>
        </is>
      </c>
      <c r="E14" s="25" t="n"/>
    </row>
    <row r="15">
      <c r="A15" s="24" t="inlineStr">
        <is>
          <t>BMF</t>
        </is>
      </c>
      <c r="B15" s="25" t="inlineStr">
        <is>
          <t>Buco-Maxilo-Facial</t>
        </is>
      </c>
      <c r="C15" s="24" t="n">
        <v>120</v>
      </c>
      <c r="D15" s="24" t="inlineStr">
        <is>
          <t>Sim</t>
        </is>
      </c>
      <c r="E15" s="25" t="n"/>
    </row>
    <row r="16">
      <c r="A16" s="24" t="n"/>
      <c r="B16" s="25" t="n"/>
      <c r="C16" s="24" t="n"/>
      <c r="D16" s="24" t="n"/>
      <c r="E16" s="25" t="n"/>
    </row>
    <row r="17">
      <c r="A17" s="24" t="n"/>
      <c r="B17" s="25" t="n"/>
      <c r="C17" s="24" t="n"/>
      <c r="D17" s="24" t="n"/>
      <c r="E17" s="25" t="n"/>
    </row>
    <row r="18">
      <c r="A18" s="24" t="n"/>
      <c r="B18" s="25" t="n"/>
      <c r="C18" s="24" t="n"/>
      <c r="D18" s="24" t="n"/>
      <c r="E18" s="25" t="n"/>
    </row>
    <row r="19">
      <c r="A19" s="24" t="n"/>
      <c r="B19" s="25" t="n"/>
      <c r="C19" s="24" t="n"/>
      <c r="D19" s="24" t="n"/>
      <c r="E19" s="25" t="n"/>
    </row>
    <row r="20">
      <c r="A20" s="24" t="n"/>
      <c r="B20" s="25" t="n"/>
      <c r="C20" s="24" t="n"/>
      <c r="D20" s="24" t="n"/>
      <c r="E20" s="25" t="n"/>
    </row>
    <row r="21">
      <c r="A21" s="24" t="n"/>
      <c r="B21" s="25" t="n"/>
      <c r="C21" s="24" t="n"/>
      <c r="D21" s="24" t="n"/>
      <c r="E21" s="25" t="n"/>
    </row>
  </sheetData>
  <autoFilter ref="A1:E21"/>
  <dataValidations count="1">
    <dataValidation sqref="D2:D21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42" customWidth="1" min="4" max="4"/>
    <col width="30" customWidth="1" min="5" max="5"/>
  </cols>
  <sheetData>
    <row r="1" ht="30" customHeight="1">
      <c r="A1" s="14" t="inlineStr">
        <is>
          <t>Sala</t>
        </is>
      </c>
      <c r="B1" s="14" t="inlineStr">
        <is>
          <t>Descrição</t>
        </is>
      </c>
      <c r="C1" s="14" t="inlineStr">
        <is>
          <t>Status</t>
        </is>
      </c>
      <c r="D1" s="14" t="inlineStr">
        <is>
          <t>Especialidades do perfil</t>
        </is>
      </c>
      <c r="E1" s="14" t="inlineStr">
        <is>
          <t>Observação</t>
        </is>
      </c>
    </row>
    <row r="2">
      <c r="A2" s="24" t="inlineStr">
        <is>
          <t>SO-01</t>
        </is>
      </c>
      <c r="B2" s="25" t="inlineStr">
        <is>
          <t>Sala 1 — Ortopedia</t>
        </is>
      </c>
      <c r="C2" s="24" t="inlineStr">
        <is>
          <t>Ativa</t>
        </is>
      </c>
      <c r="D2" s="25" t="inlineStr">
        <is>
          <t>Ortopedia</t>
        </is>
      </c>
      <c r="E2" s="25" t="n"/>
    </row>
    <row r="3">
      <c r="A3" s="24" t="inlineStr">
        <is>
          <t>SO-02</t>
        </is>
      </c>
      <c r="B3" s="25" t="inlineStr">
        <is>
          <t>Sala 2 — Geral/Bariátrica</t>
        </is>
      </c>
      <c r="C3" s="24" t="inlineStr">
        <is>
          <t>Ativa</t>
        </is>
      </c>
      <c r="D3" s="25" t="inlineStr">
        <is>
          <t>Cirurgia Geral, Cirurgia Bariátrica</t>
        </is>
      </c>
      <c r="E3" s="25" t="n"/>
    </row>
    <row r="4">
      <c r="A4" s="24" t="inlineStr">
        <is>
          <t>SO-03</t>
        </is>
      </c>
      <c r="B4" s="25" t="inlineStr">
        <is>
          <t>Sala 3 — Neurocirurgia</t>
        </is>
      </c>
      <c r="C4" s="24" t="inlineStr">
        <is>
          <t>Ativa</t>
        </is>
      </c>
      <c r="D4" s="25" t="inlineStr">
        <is>
          <t>Neurocirurgia</t>
        </is>
      </c>
      <c r="E4" s="25" t="n"/>
    </row>
    <row r="5">
      <c r="A5" s="24" t="inlineStr">
        <is>
          <t>SO-04</t>
        </is>
      </c>
      <c r="B5" s="25" t="inlineStr">
        <is>
          <t>Sala 4 — Cardiovascular</t>
        </is>
      </c>
      <c r="C5" s="24" t="inlineStr">
        <is>
          <t>Ativa</t>
        </is>
      </c>
      <c r="D5" s="25" t="inlineStr">
        <is>
          <t>Cirurgia Cardiovascular, Cirurgia Vascular</t>
        </is>
      </c>
      <c r="E5" s="25" t="n"/>
    </row>
    <row r="6">
      <c r="A6" s="24" t="inlineStr">
        <is>
          <t>SO-05</t>
        </is>
      </c>
      <c r="B6" s="25" t="inlineStr">
        <is>
          <t>Sala 5 — Uro/Gineco</t>
        </is>
      </c>
      <c r="C6" s="24" t="inlineStr">
        <is>
          <t>Ativa</t>
        </is>
      </c>
      <c r="D6" s="25" t="inlineStr">
        <is>
          <t>Urologia, Ginecologia</t>
        </is>
      </c>
      <c r="E6" s="25" t="n"/>
    </row>
    <row r="7">
      <c r="A7" s="24" t="inlineStr">
        <is>
          <t>SO-06</t>
        </is>
      </c>
      <c r="B7" s="25" t="inlineStr">
        <is>
          <t>Sala 6 — Oftalmo/Otorrino</t>
        </is>
      </c>
      <c r="C7" s="24" t="inlineStr">
        <is>
          <t>Ativa</t>
        </is>
      </c>
      <c r="D7" s="25" t="inlineStr">
        <is>
          <t>Oftalmologia, Otorrinolaringologia</t>
        </is>
      </c>
      <c r="E7" s="25" t="n"/>
    </row>
    <row r="8">
      <c r="A8" s="24" t="inlineStr">
        <is>
          <t>SO-07</t>
        </is>
      </c>
      <c r="B8" s="25" t="inlineStr">
        <is>
          <t>Sala 7 — Plástica/BMF</t>
        </is>
      </c>
      <c r="C8" s="24" t="inlineStr">
        <is>
          <t>Ativa</t>
        </is>
      </c>
      <c r="D8" s="25" t="inlineStr">
        <is>
          <t>Cirurgia Plástica, Buco-Maxilo-Facial</t>
        </is>
      </c>
      <c r="E8" s="25" t="n"/>
    </row>
    <row r="9">
      <c r="A9" s="24" t="inlineStr">
        <is>
          <t>SO-08</t>
        </is>
      </c>
      <c r="B9" s="25" t="inlineStr">
        <is>
          <t>Sala 8 — Pediátrica/Obst.</t>
        </is>
      </c>
      <c r="C9" s="24" t="inlineStr">
        <is>
          <t>Ativa</t>
        </is>
      </c>
      <c r="D9" s="25" t="inlineStr">
        <is>
          <t>Cirurgia Pediátrica, Obstetrícia</t>
        </is>
      </c>
      <c r="E9" s="25" t="n"/>
    </row>
    <row r="10">
      <c r="A10" s="24" t="n"/>
      <c r="B10" s="25" t="n"/>
      <c r="C10" s="24" t="n"/>
      <c r="D10" s="25" t="n"/>
      <c r="E10" s="25" t="n"/>
    </row>
    <row r="11">
      <c r="A11" s="24" t="n"/>
      <c r="B11" s="25" t="n"/>
      <c r="C11" s="24" t="n"/>
      <c r="D11" s="25" t="n"/>
      <c r="E11" s="25" t="n"/>
    </row>
    <row r="12">
      <c r="A12" s="24" t="n"/>
      <c r="B12" s="25" t="n"/>
      <c r="C12" s="24" t="n"/>
      <c r="D12" s="25" t="n"/>
      <c r="E12" s="25" t="n"/>
    </row>
    <row r="13">
      <c r="A13" s="24" t="n"/>
      <c r="B13" s="25" t="n"/>
      <c r="C13" s="24" t="n"/>
      <c r="D13" s="25" t="n"/>
      <c r="E13" s="25" t="n"/>
    </row>
  </sheetData>
  <autoFilter ref="A1:E13"/>
  <dataValidations count="1">
    <dataValidation sqref="C2:C13" showDropDown="0" showInputMessage="0" showErrorMessage="1" allowBlank="1" type="list">
      <formula1>"Ativa,Bloqueada,Manutenção"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8" customWidth="1" min="4" max="4"/>
    <col width="12" customWidth="1" min="5" max="5"/>
    <col width="30" customWidth="1" min="6" max="6"/>
  </cols>
  <sheetData>
    <row r="1" ht="30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Função</t>
        </is>
      </c>
      <c r="D1" s="14" t="inlineStr">
        <is>
          <t>Turno preferencial</t>
        </is>
      </c>
      <c r="E1" s="14" t="inlineStr">
        <is>
          <t>Status</t>
        </is>
      </c>
      <c r="F1" s="14" t="inlineStr">
        <is>
          <t>Observação</t>
        </is>
      </c>
    </row>
    <row r="2">
      <c r="A2" s="24" t="inlineStr">
        <is>
          <t>TEC-001</t>
        </is>
      </c>
      <c r="B2" s="25" t="inlineStr">
        <is>
          <t>Ana Paula Ribeiro</t>
        </is>
      </c>
      <c r="C2" s="24" t="inlineStr">
        <is>
          <t>Circulante</t>
        </is>
      </c>
      <c r="D2" s="24" t="inlineStr">
        <is>
          <t>Manhã</t>
        </is>
      </c>
      <c r="E2" s="24" t="inlineStr">
        <is>
          <t>Ativo</t>
        </is>
      </c>
      <c r="F2" s="25" t="n"/>
    </row>
    <row r="3">
      <c r="A3" s="24" t="inlineStr">
        <is>
          <t>TEC-002</t>
        </is>
      </c>
      <c r="B3" s="25" t="inlineStr">
        <is>
          <t>Bruno Tavares</t>
        </is>
      </c>
      <c r="C3" s="24" t="inlineStr">
        <is>
          <t>Instrumentador</t>
        </is>
      </c>
      <c r="D3" s="24" t="inlineStr">
        <is>
          <t>Manhã</t>
        </is>
      </c>
      <c r="E3" s="24" t="inlineStr">
        <is>
          <t>Ativo</t>
        </is>
      </c>
      <c r="F3" s="25" t="n"/>
    </row>
    <row r="4">
      <c r="A4" s="24" t="inlineStr">
        <is>
          <t>TEC-003</t>
        </is>
      </c>
      <c r="B4" s="25" t="inlineStr">
        <is>
          <t>Carla Menezes</t>
        </is>
      </c>
      <c r="C4" s="24" t="inlineStr">
        <is>
          <t>Circulante</t>
        </is>
      </c>
      <c r="D4" s="24" t="inlineStr">
        <is>
          <t>Tarde</t>
        </is>
      </c>
      <c r="E4" s="24" t="inlineStr">
        <is>
          <t>Ativo</t>
        </is>
      </c>
      <c r="F4" s="25" t="n"/>
    </row>
    <row r="5">
      <c r="A5" s="24" t="inlineStr">
        <is>
          <t>TEC-004</t>
        </is>
      </c>
      <c r="B5" s="25" t="inlineStr">
        <is>
          <t>Daniel Prado</t>
        </is>
      </c>
      <c r="C5" s="24" t="inlineStr">
        <is>
          <t>Instrumentador</t>
        </is>
      </c>
      <c r="D5" s="24" t="inlineStr">
        <is>
          <t>Tarde</t>
        </is>
      </c>
      <c r="E5" s="24" t="inlineStr">
        <is>
          <t>Ativo</t>
        </is>
      </c>
      <c r="F5" s="25" t="n"/>
    </row>
    <row r="6">
      <c r="A6" s="24" t="inlineStr">
        <is>
          <t>TEC-005</t>
        </is>
      </c>
      <c r="B6" s="25" t="inlineStr">
        <is>
          <t>Elisa Fontes</t>
        </is>
      </c>
      <c r="C6" s="24" t="inlineStr">
        <is>
          <t>Circulante</t>
        </is>
      </c>
      <c r="D6" s="24" t="inlineStr">
        <is>
          <t>Noite</t>
        </is>
      </c>
      <c r="E6" s="24" t="inlineStr">
        <is>
          <t>Ativo</t>
        </is>
      </c>
      <c r="F6" s="25" t="n"/>
    </row>
    <row r="7">
      <c r="A7" s="24" t="inlineStr">
        <is>
          <t>TEC-006</t>
        </is>
      </c>
      <c r="B7" s="25" t="inlineStr">
        <is>
          <t>Fábio Cardoso</t>
        </is>
      </c>
      <c r="C7" s="24" t="inlineStr">
        <is>
          <t>Instrumentador</t>
        </is>
      </c>
      <c r="D7" s="24" t="inlineStr">
        <is>
          <t>Noite</t>
        </is>
      </c>
      <c r="E7" s="24" t="inlineStr">
        <is>
          <t>Ativo</t>
        </is>
      </c>
      <c r="F7" s="25" t="n"/>
    </row>
    <row r="8">
      <c r="A8" s="24" t="inlineStr">
        <is>
          <t>TEC-007</t>
        </is>
      </c>
      <c r="B8" s="25" t="inlineStr">
        <is>
          <t>Gabriela Nunes</t>
        </is>
      </c>
      <c r="C8" s="24" t="inlineStr">
        <is>
          <t>Circulante</t>
        </is>
      </c>
      <c r="D8" s="24" t="inlineStr">
        <is>
          <t>Manhã</t>
        </is>
      </c>
      <c r="E8" s="24" t="inlineStr">
        <is>
          <t>Ativo</t>
        </is>
      </c>
      <c r="F8" s="25" t="n"/>
    </row>
    <row r="9">
      <c r="A9" s="24" t="inlineStr">
        <is>
          <t>TEC-008</t>
        </is>
      </c>
      <c r="B9" s="25" t="inlineStr">
        <is>
          <t>Henrique Sales</t>
        </is>
      </c>
      <c r="C9" s="24" t="inlineStr">
        <is>
          <t>Instrumentador</t>
        </is>
      </c>
      <c r="D9" s="24" t="inlineStr">
        <is>
          <t>Manhã</t>
        </is>
      </c>
      <c r="E9" s="24" t="inlineStr">
        <is>
          <t>Ativo</t>
        </is>
      </c>
      <c r="F9" s="25" t="n"/>
    </row>
    <row r="10">
      <c r="A10" s="24" t="inlineStr">
        <is>
          <t>TEC-009</t>
        </is>
      </c>
      <c r="B10" s="25" t="inlineStr">
        <is>
          <t>Isabel Moraes</t>
        </is>
      </c>
      <c r="C10" s="24" t="inlineStr">
        <is>
          <t>Circulante</t>
        </is>
      </c>
      <c r="D10" s="24" t="inlineStr">
        <is>
          <t>Tarde</t>
        </is>
      </c>
      <c r="E10" s="24" t="inlineStr">
        <is>
          <t>Ativo</t>
        </is>
      </c>
      <c r="F10" s="25" t="n"/>
    </row>
    <row r="11">
      <c r="A11" s="24" t="inlineStr">
        <is>
          <t>TEC-010</t>
        </is>
      </c>
      <c r="B11" s="25" t="inlineStr">
        <is>
          <t>João Vitor Lima</t>
        </is>
      </c>
      <c r="C11" s="24" t="inlineStr">
        <is>
          <t>Instrumentador</t>
        </is>
      </c>
      <c r="D11" s="24" t="inlineStr">
        <is>
          <t>Tarde</t>
        </is>
      </c>
      <c r="E11" s="24" t="inlineStr">
        <is>
          <t>Ativo</t>
        </is>
      </c>
      <c r="F11" s="25" t="n"/>
    </row>
    <row r="12">
      <c r="A12" s="24" t="inlineStr">
        <is>
          <t>TEC-011</t>
        </is>
      </c>
      <c r="B12" s="25" t="inlineStr">
        <is>
          <t>Karina Duarte</t>
        </is>
      </c>
      <c r="C12" s="24" t="inlineStr">
        <is>
          <t>Circulante</t>
        </is>
      </c>
      <c r="D12" s="24" t="inlineStr">
        <is>
          <t>Noite</t>
        </is>
      </c>
      <c r="E12" s="24" t="inlineStr">
        <is>
          <t>Ativo</t>
        </is>
      </c>
      <c r="F12" s="25" t="n"/>
    </row>
    <row r="13">
      <c r="A13" s="24" t="inlineStr">
        <is>
          <t>TEC-012</t>
        </is>
      </c>
      <c r="B13" s="25" t="inlineStr">
        <is>
          <t>Leandro Peixoto</t>
        </is>
      </c>
      <c r="C13" s="24" t="inlineStr">
        <is>
          <t>Instrumentador</t>
        </is>
      </c>
      <c r="D13" s="24" t="inlineStr">
        <is>
          <t>Noite</t>
        </is>
      </c>
      <c r="E13" s="24" t="inlineStr">
        <is>
          <t>Ativo</t>
        </is>
      </c>
      <c r="F13" s="25" t="n"/>
    </row>
    <row r="14">
      <c r="A14" s="24" t="inlineStr">
        <is>
          <t>TEC-013</t>
        </is>
      </c>
      <c r="B14" s="25" t="inlineStr">
        <is>
          <t>Marina Castro</t>
        </is>
      </c>
      <c r="C14" s="24" t="inlineStr">
        <is>
          <t>Circulante</t>
        </is>
      </c>
      <c r="D14" s="24" t="inlineStr">
        <is>
          <t>Manhã</t>
        </is>
      </c>
      <c r="E14" s="24" t="inlineStr">
        <is>
          <t>Ativo</t>
        </is>
      </c>
      <c r="F14" s="25" t="n"/>
    </row>
    <row r="15">
      <c r="A15" s="24" t="inlineStr">
        <is>
          <t>TEC-014</t>
        </is>
      </c>
      <c r="B15" s="25" t="inlineStr">
        <is>
          <t>Nelson Vieira</t>
        </is>
      </c>
      <c r="C15" s="24" t="inlineStr">
        <is>
          <t>Instrumentador</t>
        </is>
      </c>
      <c r="D15" s="24" t="inlineStr">
        <is>
          <t>Manhã</t>
        </is>
      </c>
      <c r="E15" s="24" t="inlineStr">
        <is>
          <t>Ativo</t>
        </is>
      </c>
      <c r="F15" s="25" t="n"/>
    </row>
    <row r="16">
      <c r="A16" s="24" t="inlineStr">
        <is>
          <t>TEC-015</t>
        </is>
      </c>
      <c r="B16" s="25" t="inlineStr">
        <is>
          <t>Olívia Ramos</t>
        </is>
      </c>
      <c r="C16" s="24" t="inlineStr">
        <is>
          <t>Circulante</t>
        </is>
      </c>
      <c r="D16" s="24" t="inlineStr">
        <is>
          <t>Tarde</t>
        </is>
      </c>
      <c r="E16" s="24" t="inlineStr">
        <is>
          <t>Ativo</t>
        </is>
      </c>
      <c r="F16" s="25" t="n"/>
    </row>
    <row r="17">
      <c r="A17" s="24" t="inlineStr">
        <is>
          <t>TEC-016</t>
        </is>
      </c>
      <c r="B17" s="25" t="inlineStr">
        <is>
          <t>Paulo Sérgio Alves</t>
        </is>
      </c>
      <c r="C17" s="24" t="inlineStr">
        <is>
          <t>Instrumentador</t>
        </is>
      </c>
      <c r="D17" s="24" t="inlineStr">
        <is>
          <t>Tarde</t>
        </is>
      </c>
      <c r="E17" s="24" t="inlineStr">
        <is>
          <t>Ativo</t>
        </is>
      </c>
      <c r="F17" s="25" t="n"/>
    </row>
    <row r="18">
      <c r="A18" s="24" t="inlineStr">
        <is>
          <t>TEC-017</t>
        </is>
      </c>
      <c r="B18" s="25" t="inlineStr">
        <is>
          <t>Quezia Martins</t>
        </is>
      </c>
      <c r="C18" s="24" t="inlineStr">
        <is>
          <t>Circulante</t>
        </is>
      </c>
      <c r="D18" s="24" t="inlineStr">
        <is>
          <t>Noite</t>
        </is>
      </c>
      <c r="E18" s="24" t="inlineStr">
        <is>
          <t>Ativo</t>
        </is>
      </c>
      <c r="F18" s="25" t="n"/>
    </row>
    <row r="19">
      <c r="A19" s="24" t="inlineStr">
        <is>
          <t>TEC-018</t>
        </is>
      </c>
      <c r="B19" s="25" t="inlineStr">
        <is>
          <t>Rafael Bittencourt</t>
        </is>
      </c>
      <c r="C19" s="24" t="inlineStr">
        <is>
          <t>Instrumentador</t>
        </is>
      </c>
      <c r="D19" s="24" t="inlineStr">
        <is>
          <t>Noite</t>
        </is>
      </c>
      <c r="E19" s="24" t="inlineStr">
        <is>
          <t>Ativo</t>
        </is>
      </c>
      <c r="F19" s="25" t="n"/>
    </row>
    <row r="20">
      <c r="A20" s="24" t="inlineStr">
        <is>
          <t>TEC-019</t>
        </is>
      </c>
      <c r="B20" s="25" t="inlineStr">
        <is>
          <t>Simone Aguiar</t>
        </is>
      </c>
      <c r="C20" s="24" t="inlineStr">
        <is>
          <t>Circulante</t>
        </is>
      </c>
      <c r="D20" s="24" t="inlineStr">
        <is>
          <t>Manhã</t>
        </is>
      </c>
      <c r="E20" s="24" t="inlineStr">
        <is>
          <t>Ativo</t>
        </is>
      </c>
      <c r="F20" s="25" t="n"/>
    </row>
    <row r="21">
      <c r="A21" s="24" t="inlineStr">
        <is>
          <t>TEC-020</t>
        </is>
      </c>
      <c r="B21" s="25" t="inlineStr">
        <is>
          <t>Tiago Fernandes</t>
        </is>
      </c>
      <c r="C21" s="24" t="inlineStr">
        <is>
          <t>Instrumentador</t>
        </is>
      </c>
      <c r="D21" s="24" t="inlineStr">
        <is>
          <t>Manhã</t>
        </is>
      </c>
      <c r="E21" s="24" t="inlineStr">
        <is>
          <t>Ativo</t>
        </is>
      </c>
      <c r="F21" s="25" t="n"/>
    </row>
    <row r="22">
      <c r="A22" s="24" t="inlineStr">
        <is>
          <t>TEC-021</t>
        </is>
      </c>
      <c r="B22" s="25" t="inlineStr">
        <is>
          <t>Úrsula Campos</t>
        </is>
      </c>
      <c r="C22" s="24" t="inlineStr">
        <is>
          <t>Circulante</t>
        </is>
      </c>
      <c r="D22" s="24" t="inlineStr">
        <is>
          <t>Tarde</t>
        </is>
      </c>
      <c r="E22" s="24" t="inlineStr">
        <is>
          <t>Ativo</t>
        </is>
      </c>
      <c r="F22" s="25" t="n"/>
    </row>
    <row r="23">
      <c r="A23" s="24" t="inlineStr">
        <is>
          <t>TEC-022</t>
        </is>
      </c>
      <c r="B23" s="25" t="inlineStr">
        <is>
          <t>Vinícius Barros</t>
        </is>
      </c>
      <c r="C23" s="24" t="inlineStr">
        <is>
          <t>Instrumentador</t>
        </is>
      </c>
      <c r="D23" s="24" t="inlineStr">
        <is>
          <t>Tarde</t>
        </is>
      </c>
      <c r="E23" s="24" t="inlineStr">
        <is>
          <t>Ativo</t>
        </is>
      </c>
      <c r="F23" s="25" t="n"/>
    </row>
    <row r="24">
      <c r="A24" s="24" t="inlineStr">
        <is>
          <t>TEC-023</t>
        </is>
      </c>
      <c r="B24" s="25" t="inlineStr">
        <is>
          <t>Wanda Siqueira</t>
        </is>
      </c>
      <c r="C24" s="24" t="inlineStr">
        <is>
          <t>Circulante</t>
        </is>
      </c>
      <c r="D24" s="24" t="inlineStr">
        <is>
          <t>Noite</t>
        </is>
      </c>
      <c r="E24" s="24" t="inlineStr">
        <is>
          <t>Ativo</t>
        </is>
      </c>
      <c r="F24" s="25" t="n"/>
    </row>
    <row r="25">
      <c r="A25" s="24" t="inlineStr">
        <is>
          <t>TEC-024</t>
        </is>
      </c>
      <c r="B25" s="25" t="inlineStr">
        <is>
          <t>Xavier Rocha</t>
        </is>
      </c>
      <c r="C25" s="24" t="inlineStr">
        <is>
          <t>Instrumentador</t>
        </is>
      </c>
      <c r="D25" s="24" t="inlineStr">
        <is>
          <t>Noite</t>
        </is>
      </c>
      <c r="E25" s="24" t="inlineStr">
        <is>
          <t>Ativo</t>
        </is>
      </c>
      <c r="F25" s="25" t="n"/>
    </row>
    <row r="26">
      <c r="A26" s="24" t="inlineStr">
        <is>
          <t>TEC-025</t>
        </is>
      </c>
      <c r="B26" s="25" t="inlineStr">
        <is>
          <t>Yara Monteiro</t>
        </is>
      </c>
      <c r="C26" s="24" t="inlineStr">
        <is>
          <t>Circulante</t>
        </is>
      </c>
      <c r="D26" s="24" t="inlineStr">
        <is>
          <t>Manhã</t>
        </is>
      </c>
      <c r="E26" s="24" t="inlineStr">
        <is>
          <t>Ativo</t>
        </is>
      </c>
      <c r="F26" s="25" t="n"/>
    </row>
    <row r="27">
      <c r="A27" s="24" t="inlineStr">
        <is>
          <t>TEC-026</t>
        </is>
      </c>
      <c r="B27" s="25" t="inlineStr">
        <is>
          <t>Zélia Braga</t>
        </is>
      </c>
      <c r="C27" s="24" t="inlineStr">
        <is>
          <t>Instrumentador</t>
        </is>
      </c>
      <c r="D27" s="24" t="inlineStr">
        <is>
          <t>Manhã</t>
        </is>
      </c>
      <c r="E27" s="24" t="inlineStr">
        <is>
          <t>Ativo</t>
        </is>
      </c>
      <c r="F27" s="25" t="n"/>
    </row>
    <row r="28">
      <c r="A28" s="24" t="inlineStr">
        <is>
          <t>TEC-027</t>
        </is>
      </c>
      <c r="B28" s="25" t="inlineStr">
        <is>
          <t>André Coutinho</t>
        </is>
      </c>
      <c r="C28" s="24" t="inlineStr">
        <is>
          <t>Circulante</t>
        </is>
      </c>
      <c r="D28" s="24" t="inlineStr">
        <is>
          <t>Tarde</t>
        </is>
      </c>
      <c r="E28" s="24" t="inlineStr">
        <is>
          <t>Ativo</t>
        </is>
      </c>
      <c r="F28" s="25" t="n"/>
    </row>
    <row r="29">
      <c r="A29" s="24" t="inlineStr">
        <is>
          <t>TEC-028</t>
        </is>
      </c>
      <c r="B29" s="25" t="inlineStr">
        <is>
          <t>Beatriz Salles</t>
        </is>
      </c>
      <c r="C29" s="24" t="inlineStr">
        <is>
          <t>Instrumentador</t>
        </is>
      </c>
      <c r="D29" s="24" t="inlineStr">
        <is>
          <t>Tarde</t>
        </is>
      </c>
      <c r="E29" s="24" t="inlineStr">
        <is>
          <t>Ativo</t>
        </is>
      </c>
      <c r="F29" s="25" t="n"/>
    </row>
    <row r="30">
      <c r="A30" s="24" t="inlineStr">
        <is>
          <t>TEC-029</t>
        </is>
      </c>
      <c r="B30" s="25" t="inlineStr">
        <is>
          <t>Caio Meireles</t>
        </is>
      </c>
      <c r="C30" s="24" t="inlineStr">
        <is>
          <t>Circulante</t>
        </is>
      </c>
      <c r="D30" s="24" t="inlineStr">
        <is>
          <t>Noite</t>
        </is>
      </c>
      <c r="E30" s="24" t="inlineStr">
        <is>
          <t>Ativo</t>
        </is>
      </c>
      <c r="F30" s="25" t="n"/>
    </row>
    <row r="31">
      <c r="A31" s="24" t="inlineStr">
        <is>
          <t>TEC-030</t>
        </is>
      </c>
      <c r="B31" s="25" t="inlineStr">
        <is>
          <t>Débora Antunes</t>
        </is>
      </c>
      <c r="C31" s="24" t="inlineStr">
        <is>
          <t>Instrumentador</t>
        </is>
      </c>
      <c r="D31" s="24" t="inlineStr">
        <is>
          <t>Noite</t>
        </is>
      </c>
      <c r="E31" s="24" t="inlineStr">
        <is>
          <t>Ativo</t>
        </is>
      </c>
      <c r="F31" s="25" t="n"/>
    </row>
    <row r="32">
      <c r="A32" s="24" t="inlineStr">
        <is>
          <t>TEC-031</t>
        </is>
      </c>
      <c r="B32" s="25" t="inlineStr">
        <is>
          <t>Eduardo Pimentel</t>
        </is>
      </c>
      <c r="C32" s="24" t="inlineStr">
        <is>
          <t>Circulante</t>
        </is>
      </c>
      <c r="D32" s="24" t="inlineStr">
        <is>
          <t>Manhã</t>
        </is>
      </c>
      <c r="E32" s="24" t="inlineStr">
        <is>
          <t>Ativo</t>
        </is>
      </c>
      <c r="F32" s="25" t="n"/>
    </row>
    <row r="33">
      <c r="A33" s="24" t="inlineStr">
        <is>
          <t>TEC-032</t>
        </is>
      </c>
      <c r="B33" s="25" t="inlineStr">
        <is>
          <t>Fernanda Lacerda</t>
        </is>
      </c>
      <c r="C33" s="24" t="inlineStr">
        <is>
          <t>Instrumentador</t>
        </is>
      </c>
      <c r="D33" s="24" t="inlineStr">
        <is>
          <t>Manhã</t>
        </is>
      </c>
      <c r="E33" s="24" t="inlineStr">
        <is>
          <t>Ativo</t>
        </is>
      </c>
      <c r="F33" s="25" t="n"/>
    </row>
    <row r="34">
      <c r="A34" s="24" t="inlineStr">
        <is>
          <t>TEC-033</t>
        </is>
      </c>
      <c r="B34" s="25" t="inlineStr">
        <is>
          <t>Gustavo Rangel</t>
        </is>
      </c>
      <c r="C34" s="24" t="inlineStr">
        <is>
          <t>Circulante</t>
        </is>
      </c>
      <c r="D34" s="24" t="inlineStr">
        <is>
          <t>Tarde</t>
        </is>
      </c>
      <c r="E34" s="24" t="inlineStr">
        <is>
          <t>Ativo</t>
        </is>
      </c>
      <c r="F34" s="25" t="n"/>
    </row>
    <row r="35">
      <c r="A35" s="24" t="inlineStr">
        <is>
          <t>TEC-034</t>
        </is>
      </c>
      <c r="B35" s="25" t="inlineStr">
        <is>
          <t>Helena Prado</t>
        </is>
      </c>
      <c r="C35" s="24" t="inlineStr">
        <is>
          <t>Instrumentador</t>
        </is>
      </c>
      <c r="D35" s="24" t="inlineStr">
        <is>
          <t>Tarde</t>
        </is>
      </c>
      <c r="E35" s="24" t="inlineStr">
        <is>
          <t>Ativo</t>
        </is>
      </c>
      <c r="F35" s="25" t="n"/>
    </row>
    <row r="36">
      <c r="A36" s="24" t="inlineStr">
        <is>
          <t>TEC-035</t>
        </is>
      </c>
      <c r="B36" s="25" t="inlineStr">
        <is>
          <t>Igor Bastos</t>
        </is>
      </c>
      <c r="C36" s="24" t="inlineStr">
        <is>
          <t>Circulante</t>
        </is>
      </c>
      <c r="D36" s="24" t="inlineStr">
        <is>
          <t>Noite</t>
        </is>
      </c>
      <c r="E36" s="24" t="inlineStr">
        <is>
          <t>Ativo</t>
        </is>
      </c>
      <c r="F36" s="25" t="n"/>
    </row>
    <row r="37">
      <c r="A37" s="24" t="inlineStr">
        <is>
          <t>TEC-036</t>
        </is>
      </c>
      <c r="B37" s="25" t="inlineStr">
        <is>
          <t>Juliana Cordeiro</t>
        </is>
      </c>
      <c r="C37" s="24" t="inlineStr">
        <is>
          <t>Instrumentador</t>
        </is>
      </c>
      <c r="D37" s="24" t="inlineStr">
        <is>
          <t>Noite</t>
        </is>
      </c>
      <c r="E37" s="24" t="inlineStr">
        <is>
          <t>Ativo</t>
        </is>
      </c>
      <c r="F37" s="25" t="n"/>
    </row>
    <row r="38">
      <c r="A38" s="24" t="inlineStr">
        <is>
          <t>TEC-037</t>
        </is>
      </c>
      <c r="B38" s="25" t="inlineStr">
        <is>
          <t>Kléber Amorim</t>
        </is>
      </c>
      <c r="C38" s="24" t="inlineStr">
        <is>
          <t>Circulante</t>
        </is>
      </c>
      <c r="D38" s="24" t="inlineStr">
        <is>
          <t>Manhã</t>
        </is>
      </c>
      <c r="E38" s="24" t="inlineStr">
        <is>
          <t>Ativo</t>
        </is>
      </c>
      <c r="F38" s="25" t="n"/>
    </row>
    <row r="39">
      <c r="A39" s="24" t="inlineStr">
        <is>
          <t>TEC-038</t>
        </is>
      </c>
      <c r="B39" s="25" t="inlineStr">
        <is>
          <t>Larissa Bezerra</t>
        </is>
      </c>
      <c r="C39" s="24" t="inlineStr">
        <is>
          <t>Instrumentador</t>
        </is>
      </c>
      <c r="D39" s="24" t="inlineStr">
        <is>
          <t>Manhã</t>
        </is>
      </c>
      <c r="E39" s="24" t="inlineStr">
        <is>
          <t>Ativo</t>
        </is>
      </c>
      <c r="F39" s="25" t="n"/>
    </row>
    <row r="40">
      <c r="A40" s="24" t="inlineStr">
        <is>
          <t>TEC-039</t>
        </is>
      </c>
      <c r="B40" s="25" t="inlineStr">
        <is>
          <t>Marcelo Quintana</t>
        </is>
      </c>
      <c r="C40" s="24" t="inlineStr">
        <is>
          <t>Circulante</t>
        </is>
      </c>
      <c r="D40" s="24" t="inlineStr">
        <is>
          <t>Tarde</t>
        </is>
      </c>
      <c r="E40" s="24" t="inlineStr">
        <is>
          <t>Ativo</t>
        </is>
      </c>
      <c r="F40" s="25" t="n"/>
    </row>
    <row r="41">
      <c r="A41" s="24" t="inlineStr">
        <is>
          <t>TEC-040</t>
        </is>
      </c>
      <c r="B41" s="25" t="inlineStr">
        <is>
          <t>Natália Ferraz</t>
        </is>
      </c>
      <c r="C41" s="24" t="inlineStr">
        <is>
          <t>Instrumentador</t>
        </is>
      </c>
      <c r="D41" s="24" t="inlineStr">
        <is>
          <t>Tarde</t>
        </is>
      </c>
      <c r="E41" s="24" t="inlineStr">
        <is>
          <t>Ativo</t>
        </is>
      </c>
      <c r="F41" s="25" t="n"/>
    </row>
    <row r="42">
      <c r="A42" s="24" t="inlineStr">
        <is>
          <t>TEC-041</t>
        </is>
      </c>
      <c r="B42" s="25" t="inlineStr">
        <is>
          <t>Otávio Camargo</t>
        </is>
      </c>
      <c r="C42" s="24" t="inlineStr">
        <is>
          <t>Circulante</t>
        </is>
      </c>
      <c r="D42" s="24" t="inlineStr">
        <is>
          <t>Noite</t>
        </is>
      </c>
      <c r="E42" s="24" t="inlineStr">
        <is>
          <t>Ativo</t>
        </is>
      </c>
      <c r="F42" s="25" t="n"/>
    </row>
    <row r="43">
      <c r="A43" s="24" t="inlineStr">
        <is>
          <t>TEC-042</t>
        </is>
      </c>
      <c r="B43" s="25" t="inlineStr">
        <is>
          <t>Priscila Vasques</t>
        </is>
      </c>
      <c r="C43" s="24" t="inlineStr">
        <is>
          <t>Instrumentador</t>
        </is>
      </c>
      <c r="D43" s="24" t="inlineStr">
        <is>
          <t>Noite</t>
        </is>
      </c>
      <c r="E43" s="24" t="inlineStr">
        <is>
          <t>Ativo</t>
        </is>
      </c>
      <c r="F43" s="25" t="n"/>
    </row>
    <row r="44">
      <c r="A44" s="24" t="inlineStr">
        <is>
          <t>TEC-043</t>
        </is>
      </c>
      <c r="B44" s="25" t="inlineStr">
        <is>
          <t>Ricardo Andrade</t>
        </is>
      </c>
      <c r="C44" s="24" t="inlineStr">
        <is>
          <t>Circulante</t>
        </is>
      </c>
      <c r="D44" s="24" t="inlineStr">
        <is>
          <t>Manhã</t>
        </is>
      </c>
      <c r="E44" s="24" t="inlineStr">
        <is>
          <t>Ativo</t>
        </is>
      </c>
      <c r="F44" s="25" t="n"/>
    </row>
    <row r="45">
      <c r="A45" s="24" t="inlineStr">
        <is>
          <t>TEC-044</t>
        </is>
      </c>
      <c r="B45" s="25" t="inlineStr">
        <is>
          <t>Sabrina Toledo</t>
        </is>
      </c>
      <c r="C45" s="24" t="inlineStr">
        <is>
          <t>Instrumentador</t>
        </is>
      </c>
      <c r="D45" s="24" t="inlineStr">
        <is>
          <t>Manhã</t>
        </is>
      </c>
      <c r="E45" s="24" t="inlineStr">
        <is>
          <t>Ativo</t>
        </is>
      </c>
      <c r="F45" s="25" t="n"/>
    </row>
    <row r="46">
      <c r="A46" s="24" t="inlineStr">
        <is>
          <t>TEC-045</t>
        </is>
      </c>
      <c r="B46" s="25" t="inlineStr">
        <is>
          <t>Thales Guimarães</t>
        </is>
      </c>
      <c r="C46" s="24" t="inlineStr">
        <is>
          <t>Circulante</t>
        </is>
      </c>
      <c r="D46" s="24" t="inlineStr">
        <is>
          <t>Tarde</t>
        </is>
      </c>
      <c r="E46" s="24" t="inlineStr">
        <is>
          <t>Ativo</t>
        </is>
      </c>
      <c r="F46" s="25" t="n"/>
    </row>
    <row r="47">
      <c r="A47" s="24" t="inlineStr">
        <is>
          <t>TEC-046</t>
        </is>
      </c>
      <c r="B47" s="25" t="inlineStr">
        <is>
          <t>Vanessa Portela</t>
        </is>
      </c>
      <c r="C47" s="24" t="inlineStr">
        <is>
          <t>Instrumentador</t>
        </is>
      </c>
      <c r="D47" s="24" t="inlineStr">
        <is>
          <t>Tarde</t>
        </is>
      </c>
      <c r="E47" s="24" t="inlineStr">
        <is>
          <t>Ativo</t>
        </is>
      </c>
      <c r="F47" s="25" t="n"/>
    </row>
    <row r="48">
      <c r="A48" s="24" t="inlineStr">
        <is>
          <t>TEC-047</t>
        </is>
      </c>
      <c r="B48" s="25" t="inlineStr">
        <is>
          <t>William Sampaio</t>
        </is>
      </c>
      <c r="C48" s="24" t="inlineStr">
        <is>
          <t>Circulante</t>
        </is>
      </c>
      <c r="D48" s="24" t="inlineStr">
        <is>
          <t>Noite</t>
        </is>
      </c>
      <c r="E48" s="24" t="inlineStr">
        <is>
          <t>Ativo</t>
        </is>
      </c>
      <c r="F48" s="25" t="n"/>
    </row>
    <row r="49">
      <c r="A49" s="24" t="inlineStr">
        <is>
          <t>TEC-048</t>
        </is>
      </c>
      <c r="B49" s="25" t="inlineStr">
        <is>
          <t>Yasmin Correia</t>
        </is>
      </c>
      <c r="C49" s="24" t="inlineStr">
        <is>
          <t>Instrumentador</t>
        </is>
      </c>
      <c r="D49" s="24" t="inlineStr">
        <is>
          <t>Noite</t>
        </is>
      </c>
      <c r="E49" s="24" t="inlineStr">
        <is>
          <t>Ativo</t>
        </is>
      </c>
      <c r="F49" s="25" t="n"/>
    </row>
    <row r="50">
      <c r="A50" s="24" t="inlineStr">
        <is>
          <t>TEC-049</t>
        </is>
      </c>
      <c r="B50" s="25" t="inlineStr">
        <is>
          <t>Adriano Mesquita</t>
        </is>
      </c>
      <c r="C50" s="24" t="inlineStr">
        <is>
          <t>Ambos</t>
        </is>
      </c>
      <c r="D50" s="24" t="inlineStr">
        <is>
          <t>Manhã</t>
        </is>
      </c>
      <c r="E50" s="24" t="inlineStr">
        <is>
          <t>Ativo</t>
        </is>
      </c>
      <c r="F50" s="25" t="n"/>
    </row>
    <row r="51">
      <c r="A51" s="24" t="inlineStr">
        <is>
          <t>TEC-050</t>
        </is>
      </c>
      <c r="B51" s="25" t="inlineStr">
        <is>
          <t>Bianca Rezende</t>
        </is>
      </c>
      <c r="C51" s="24" t="inlineStr">
        <is>
          <t>Ambos</t>
        </is>
      </c>
      <c r="D51" s="24" t="inlineStr">
        <is>
          <t>Tarde</t>
        </is>
      </c>
      <c r="E51" s="24" t="inlineStr">
        <is>
          <t>Ativo</t>
        </is>
      </c>
      <c r="F51" s="25" t="n"/>
    </row>
    <row r="52">
      <c r="A52" s="24" t="inlineStr">
        <is>
          <t>TEC-051</t>
        </is>
      </c>
      <c r="B52" s="25" t="inlineStr">
        <is>
          <t>Cristiano Padilha</t>
        </is>
      </c>
      <c r="C52" s="24" t="inlineStr">
        <is>
          <t>Ambos</t>
        </is>
      </c>
      <c r="D52" s="24" t="inlineStr">
        <is>
          <t>Noite</t>
        </is>
      </c>
      <c r="E52" s="24" t="inlineStr">
        <is>
          <t>Ativo</t>
        </is>
      </c>
      <c r="F52" s="25" t="n"/>
    </row>
    <row r="53">
      <c r="A53" s="24" t="inlineStr">
        <is>
          <t>TEC-052</t>
        </is>
      </c>
      <c r="B53" s="25" t="inlineStr">
        <is>
          <t>Danilo Freitas</t>
        </is>
      </c>
      <c r="C53" s="24" t="inlineStr">
        <is>
          <t>Ambos</t>
        </is>
      </c>
      <c r="D53" s="24" t="inlineStr">
        <is>
          <t>Manhã</t>
        </is>
      </c>
      <c r="E53" s="24" t="inlineStr">
        <is>
          <t>Ativo</t>
        </is>
      </c>
      <c r="F53" s="25" t="n"/>
    </row>
    <row r="54">
      <c r="A54" s="24" t="inlineStr">
        <is>
          <t>TEC-053</t>
        </is>
      </c>
      <c r="B54" s="25" t="inlineStr">
        <is>
          <t>Eliane Bandeira</t>
        </is>
      </c>
      <c r="C54" s="24" t="inlineStr">
        <is>
          <t>Ambos</t>
        </is>
      </c>
      <c r="D54" s="24" t="inlineStr">
        <is>
          <t>Tarde</t>
        </is>
      </c>
      <c r="E54" s="24" t="inlineStr">
        <is>
          <t>Ativo</t>
        </is>
      </c>
      <c r="F54" s="25" t="n"/>
    </row>
    <row r="55">
      <c r="A55" s="24" t="inlineStr">
        <is>
          <t>TEC-054</t>
        </is>
      </c>
      <c r="B55" s="25" t="inlineStr">
        <is>
          <t>Felipe Norões</t>
        </is>
      </c>
      <c r="C55" s="24" t="inlineStr">
        <is>
          <t>Ambos</t>
        </is>
      </c>
      <c r="D55" s="24" t="inlineStr">
        <is>
          <t>Noite</t>
        </is>
      </c>
      <c r="E55" s="24" t="inlineStr">
        <is>
          <t>Ativo</t>
        </is>
      </c>
      <c r="F55" s="25" t="n"/>
    </row>
    <row r="56">
      <c r="A56" s="24" t="inlineStr">
        <is>
          <t>TEC-055</t>
        </is>
      </c>
      <c r="B56" s="25" t="inlineStr">
        <is>
          <t>Giovana Ferrari</t>
        </is>
      </c>
      <c r="C56" s="24" t="inlineStr">
        <is>
          <t>Ambos</t>
        </is>
      </c>
      <c r="D56" s="24" t="inlineStr">
        <is>
          <t>Manhã</t>
        </is>
      </c>
      <c r="E56" s="24" t="inlineStr">
        <is>
          <t>Ativo</t>
        </is>
      </c>
      <c r="F56" s="25" t="n"/>
    </row>
    <row r="57">
      <c r="A57" s="24" t="inlineStr">
        <is>
          <t>TEC-056</t>
        </is>
      </c>
      <c r="B57" s="25" t="inlineStr">
        <is>
          <t>Hugo Meneghetti</t>
        </is>
      </c>
      <c r="C57" s="24" t="inlineStr">
        <is>
          <t>Ambos</t>
        </is>
      </c>
      <c r="D57" s="24" t="inlineStr">
        <is>
          <t>Tarde</t>
        </is>
      </c>
      <c r="E57" s="24" t="inlineStr">
        <is>
          <t>Ativo</t>
        </is>
      </c>
      <c r="F57" s="25" t="n"/>
    </row>
    <row r="58">
      <c r="A58" s="24" t="inlineStr">
        <is>
          <t>TEC-057</t>
        </is>
      </c>
      <c r="B58" s="25" t="inlineStr">
        <is>
          <t>Ivone Salgado</t>
        </is>
      </c>
      <c r="C58" s="24" t="inlineStr">
        <is>
          <t>Ambos</t>
        </is>
      </c>
      <c r="D58" s="24" t="inlineStr">
        <is>
          <t>Noite</t>
        </is>
      </c>
      <c r="E58" s="24" t="inlineStr">
        <is>
          <t>Ativo</t>
        </is>
      </c>
      <c r="F58" s="25" t="n"/>
    </row>
    <row r="59">
      <c r="A59" s="24" t="inlineStr">
        <is>
          <t>TEC-058</t>
        </is>
      </c>
      <c r="B59" s="25" t="inlineStr">
        <is>
          <t>Jaqueline Bonfim</t>
        </is>
      </c>
      <c r="C59" s="24" t="inlineStr">
        <is>
          <t>Ambos</t>
        </is>
      </c>
      <c r="D59" s="24" t="inlineStr">
        <is>
          <t>Manhã</t>
        </is>
      </c>
      <c r="E59" s="24" t="inlineStr">
        <is>
          <t>Férias</t>
        </is>
      </c>
      <c r="F59" s="25" t="n"/>
    </row>
    <row r="60">
      <c r="A60" s="24" t="inlineStr">
        <is>
          <t>TEC-059</t>
        </is>
      </c>
      <c r="B60" s="25" t="inlineStr">
        <is>
          <t>Kelly Andrade</t>
        </is>
      </c>
      <c r="C60" s="24" t="inlineStr">
        <is>
          <t>Ambos</t>
        </is>
      </c>
      <c r="D60" s="24" t="inlineStr">
        <is>
          <t>Tarde</t>
        </is>
      </c>
      <c r="E60" s="24" t="inlineStr">
        <is>
          <t>Férias</t>
        </is>
      </c>
      <c r="F60" s="25" t="n"/>
    </row>
    <row r="61">
      <c r="A61" s="24" t="inlineStr">
        <is>
          <t>TEC-060</t>
        </is>
      </c>
      <c r="B61" s="25" t="inlineStr">
        <is>
          <t>Lucas Vilarinho</t>
        </is>
      </c>
      <c r="C61" s="24" t="inlineStr">
        <is>
          <t>Ambos</t>
        </is>
      </c>
      <c r="D61" s="24" t="inlineStr">
        <is>
          <t>Noite</t>
        </is>
      </c>
      <c r="E61" s="24" t="inlineStr">
        <is>
          <t>Afastado</t>
        </is>
      </c>
      <c r="F61" s="25" t="n"/>
    </row>
    <row r="62">
      <c r="A62" s="24" t="n"/>
      <c r="B62" s="25" t="n"/>
      <c r="C62" s="24" t="n"/>
      <c r="D62" s="24" t="n"/>
      <c r="E62" s="24" t="n"/>
      <c r="F62" s="25" t="n"/>
    </row>
    <row r="63">
      <c r="A63" s="24" t="n"/>
      <c r="B63" s="25" t="n"/>
      <c r="C63" s="24" t="n"/>
      <c r="D63" s="24" t="n"/>
      <c r="E63" s="24" t="n"/>
      <c r="F63" s="25" t="n"/>
    </row>
    <row r="64">
      <c r="A64" s="24" t="n"/>
      <c r="B64" s="25" t="n"/>
      <c r="C64" s="24" t="n"/>
      <c r="D64" s="24" t="n"/>
      <c r="E64" s="24" t="n"/>
      <c r="F64" s="25" t="n"/>
    </row>
    <row r="65">
      <c r="A65" s="24" t="n"/>
      <c r="B65" s="25" t="n"/>
      <c r="C65" s="24" t="n"/>
      <c r="D65" s="24" t="n"/>
      <c r="E65" s="24" t="n"/>
      <c r="F65" s="25" t="n"/>
    </row>
    <row r="66">
      <c r="A66" s="24" t="n"/>
      <c r="B66" s="25" t="n"/>
      <c r="C66" s="24" t="n"/>
      <c r="D66" s="24" t="n"/>
      <c r="E66" s="24" t="n"/>
      <c r="F66" s="25" t="n"/>
    </row>
    <row r="67">
      <c r="A67" s="24" t="n"/>
      <c r="B67" s="25" t="n"/>
      <c r="C67" s="24" t="n"/>
      <c r="D67" s="24" t="n"/>
      <c r="E67" s="24" t="n"/>
      <c r="F67" s="25" t="n"/>
    </row>
    <row r="68">
      <c r="A68" s="24" t="n"/>
      <c r="B68" s="25" t="n"/>
      <c r="C68" s="24" t="n"/>
      <c r="D68" s="24" t="n"/>
      <c r="E68" s="24" t="n"/>
      <c r="F68" s="25" t="n"/>
    </row>
    <row r="69">
      <c r="A69" s="24" t="n"/>
      <c r="B69" s="25" t="n"/>
      <c r="C69" s="24" t="n"/>
      <c r="D69" s="24" t="n"/>
      <c r="E69" s="24" t="n"/>
      <c r="F69" s="25" t="n"/>
    </row>
    <row r="70">
      <c r="A70" s="24" t="n"/>
      <c r="B70" s="25" t="n"/>
      <c r="C70" s="24" t="n"/>
      <c r="D70" s="24" t="n"/>
      <c r="E70" s="24" t="n"/>
      <c r="F70" s="25" t="n"/>
    </row>
    <row r="71">
      <c r="A71" s="24" t="n"/>
      <c r="B71" s="25" t="n"/>
      <c r="C71" s="24" t="n"/>
      <c r="D71" s="24" t="n"/>
      <c r="E71" s="24" t="n"/>
      <c r="F71" s="25" t="n"/>
    </row>
    <row r="72">
      <c r="A72" s="24" t="n"/>
      <c r="B72" s="25" t="n"/>
      <c r="C72" s="24" t="n"/>
      <c r="D72" s="24" t="n"/>
      <c r="E72" s="24" t="n"/>
      <c r="F72" s="25" t="n"/>
    </row>
    <row r="73">
      <c r="A73" s="24" t="n"/>
      <c r="B73" s="25" t="n"/>
      <c r="C73" s="24" t="n"/>
      <c r="D73" s="24" t="n"/>
      <c r="E73" s="24" t="n"/>
      <c r="F73" s="25" t="n"/>
    </row>
    <row r="74">
      <c r="A74" s="24" t="n"/>
      <c r="B74" s="25" t="n"/>
      <c r="C74" s="24" t="n"/>
      <c r="D74" s="24" t="n"/>
      <c r="E74" s="24" t="n"/>
      <c r="F74" s="25" t="n"/>
    </row>
    <row r="75">
      <c r="A75" s="24" t="n"/>
      <c r="B75" s="25" t="n"/>
      <c r="C75" s="24" t="n"/>
      <c r="D75" s="24" t="n"/>
      <c r="E75" s="24" t="n"/>
      <c r="F75" s="25" t="n"/>
    </row>
    <row r="76">
      <c r="A76" s="24" t="n"/>
      <c r="B76" s="25" t="n"/>
      <c r="C76" s="24" t="n"/>
      <c r="D76" s="24" t="n"/>
      <c r="E76" s="24" t="n"/>
      <c r="F76" s="25" t="n"/>
    </row>
    <row r="77">
      <c r="A77" s="24" t="n"/>
      <c r="B77" s="25" t="n"/>
      <c r="C77" s="24" t="n"/>
      <c r="D77" s="24" t="n"/>
      <c r="E77" s="24" t="n"/>
      <c r="F77" s="25" t="n"/>
    </row>
    <row r="78">
      <c r="A78" s="24" t="n"/>
      <c r="B78" s="25" t="n"/>
      <c r="C78" s="24" t="n"/>
      <c r="D78" s="24" t="n"/>
      <c r="E78" s="24" t="n"/>
      <c r="F78" s="25" t="n"/>
    </row>
    <row r="79">
      <c r="A79" s="24" t="n"/>
      <c r="B79" s="25" t="n"/>
      <c r="C79" s="24" t="n"/>
      <c r="D79" s="24" t="n"/>
      <c r="E79" s="24" t="n"/>
      <c r="F79" s="25" t="n"/>
    </row>
    <row r="80">
      <c r="A80" s="24" t="n"/>
      <c r="B80" s="25" t="n"/>
      <c r="C80" s="24" t="n"/>
      <c r="D80" s="24" t="n"/>
      <c r="E80" s="24" t="n"/>
      <c r="F80" s="25" t="n"/>
    </row>
    <row r="81">
      <c r="A81" s="24" t="n"/>
      <c r="B81" s="25" t="n"/>
      <c r="C81" s="24" t="n"/>
      <c r="D81" s="24" t="n"/>
      <c r="E81" s="24" t="n"/>
      <c r="F81" s="25" t="n"/>
    </row>
    <row r="82">
      <c r="A82" s="24" t="n"/>
      <c r="B82" s="25" t="n"/>
      <c r="C82" s="24" t="n"/>
      <c r="D82" s="24" t="n"/>
      <c r="E82" s="24" t="n"/>
      <c r="F82" s="25" t="n"/>
    </row>
    <row r="83">
      <c r="A83" s="24" t="n"/>
      <c r="B83" s="25" t="n"/>
      <c r="C83" s="24" t="n"/>
      <c r="D83" s="24" t="n"/>
      <c r="E83" s="24" t="n"/>
      <c r="F83" s="25" t="n"/>
    </row>
    <row r="84">
      <c r="A84" s="24" t="n"/>
      <c r="B84" s="25" t="n"/>
      <c r="C84" s="24" t="n"/>
      <c r="D84" s="24" t="n"/>
      <c r="E84" s="24" t="n"/>
      <c r="F84" s="25" t="n"/>
    </row>
    <row r="85">
      <c r="A85" s="24" t="n"/>
      <c r="B85" s="25" t="n"/>
      <c r="C85" s="24" t="n"/>
      <c r="D85" s="24" t="n"/>
      <c r="E85" s="24" t="n"/>
      <c r="F85" s="25" t="n"/>
    </row>
    <row r="86">
      <c r="A86" s="24" t="n"/>
      <c r="B86" s="25" t="n"/>
      <c r="C86" s="24" t="n"/>
      <c r="D86" s="24" t="n"/>
      <c r="E86" s="24" t="n"/>
      <c r="F86" s="25" t="n"/>
    </row>
    <row r="87">
      <c r="A87" s="24" t="n"/>
      <c r="B87" s="25" t="n"/>
      <c r="C87" s="24" t="n"/>
      <c r="D87" s="24" t="n"/>
      <c r="E87" s="24" t="n"/>
      <c r="F87" s="25" t="n"/>
    </row>
    <row r="88">
      <c r="A88" s="24" t="n"/>
      <c r="B88" s="25" t="n"/>
      <c r="C88" s="24" t="n"/>
      <c r="D88" s="24" t="n"/>
      <c r="E88" s="24" t="n"/>
      <c r="F88" s="25" t="n"/>
    </row>
    <row r="89">
      <c r="A89" s="24" t="n"/>
      <c r="B89" s="25" t="n"/>
      <c r="C89" s="24" t="n"/>
      <c r="D89" s="24" t="n"/>
      <c r="E89" s="24" t="n"/>
      <c r="F89" s="25" t="n"/>
    </row>
    <row r="90">
      <c r="A90" s="24" t="n"/>
      <c r="B90" s="25" t="n"/>
      <c r="C90" s="24" t="n"/>
      <c r="D90" s="24" t="n"/>
      <c r="E90" s="24" t="n"/>
      <c r="F90" s="25" t="n"/>
    </row>
    <row r="91">
      <c r="A91" s="24" t="n"/>
      <c r="B91" s="25" t="n"/>
      <c r="C91" s="24" t="n"/>
      <c r="D91" s="24" t="n"/>
      <c r="E91" s="24" t="n"/>
      <c r="F91" s="25" t="n"/>
    </row>
    <row r="92">
      <c r="A92" s="24" t="n"/>
      <c r="B92" s="25" t="n"/>
      <c r="C92" s="24" t="n"/>
      <c r="D92" s="24" t="n"/>
      <c r="E92" s="24" t="n"/>
      <c r="F92" s="25" t="n"/>
    </row>
    <row r="93">
      <c r="A93" s="24" t="n"/>
      <c r="B93" s="25" t="n"/>
      <c r="C93" s="24" t="n"/>
      <c r="D93" s="24" t="n"/>
      <c r="E93" s="24" t="n"/>
      <c r="F93" s="25" t="n"/>
    </row>
    <row r="94">
      <c r="A94" s="24" t="n"/>
      <c r="B94" s="25" t="n"/>
      <c r="C94" s="24" t="n"/>
      <c r="D94" s="24" t="n"/>
      <c r="E94" s="24" t="n"/>
      <c r="F94" s="25" t="n"/>
    </row>
    <row r="95">
      <c r="A95" s="24" t="n"/>
      <c r="B95" s="25" t="n"/>
      <c r="C95" s="24" t="n"/>
      <c r="D95" s="24" t="n"/>
      <c r="E95" s="24" t="n"/>
      <c r="F95" s="25" t="n"/>
    </row>
    <row r="96">
      <c r="A96" s="24" t="n"/>
      <c r="B96" s="25" t="n"/>
      <c r="C96" s="24" t="n"/>
      <c r="D96" s="24" t="n"/>
      <c r="E96" s="24" t="n"/>
      <c r="F96" s="25" t="n"/>
    </row>
    <row r="97">
      <c r="A97" s="24" t="n"/>
      <c r="B97" s="25" t="n"/>
      <c r="C97" s="24" t="n"/>
      <c r="D97" s="24" t="n"/>
      <c r="E97" s="24" t="n"/>
      <c r="F97" s="25" t="n"/>
    </row>
    <row r="98">
      <c r="A98" s="24" t="n"/>
      <c r="B98" s="25" t="n"/>
      <c r="C98" s="24" t="n"/>
      <c r="D98" s="24" t="n"/>
      <c r="E98" s="24" t="n"/>
      <c r="F98" s="25" t="n"/>
    </row>
    <row r="99">
      <c r="A99" s="24" t="n"/>
      <c r="B99" s="25" t="n"/>
      <c r="C99" s="24" t="n"/>
      <c r="D99" s="24" t="n"/>
      <c r="E99" s="24" t="n"/>
      <c r="F99" s="25" t="n"/>
    </row>
    <row r="100">
      <c r="A100" s="24" t="n"/>
      <c r="B100" s="25" t="n"/>
      <c r="C100" s="24" t="n"/>
      <c r="D100" s="24" t="n"/>
      <c r="E100" s="24" t="n"/>
      <c r="F100" s="25" t="n"/>
    </row>
    <row r="101">
      <c r="A101" s="24" t="n"/>
      <c r="B101" s="25" t="n"/>
      <c r="C101" s="24" t="n"/>
      <c r="D101" s="24" t="n"/>
      <c r="E101" s="24" t="n"/>
      <c r="F101" s="25" t="n"/>
    </row>
    <row r="102">
      <c r="A102" s="24" t="n"/>
      <c r="B102" s="25" t="n"/>
      <c r="C102" s="24" t="n"/>
      <c r="D102" s="24" t="n"/>
      <c r="E102" s="24" t="n"/>
      <c r="F102" s="25" t="n"/>
    </row>
    <row r="103">
      <c r="A103" s="24" t="n"/>
      <c r="B103" s="25" t="n"/>
      <c r="C103" s="24" t="n"/>
      <c r="D103" s="24" t="n"/>
      <c r="E103" s="24" t="n"/>
      <c r="F103" s="25" t="n"/>
    </row>
    <row r="104">
      <c r="A104" s="24" t="n"/>
      <c r="B104" s="25" t="n"/>
      <c r="C104" s="24" t="n"/>
      <c r="D104" s="24" t="n"/>
      <c r="E104" s="24" t="n"/>
      <c r="F104" s="25" t="n"/>
    </row>
    <row r="105">
      <c r="A105" s="24" t="n"/>
      <c r="B105" s="25" t="n"/>
      <c r="C105" s="24" t="n"/>
      <c r="D105" s="24" t="n"/>
      <c r="E105" s="24" t="n"/>
      <c r="F105" s="25" t="n"/>
    </row>
    <row r="106">
      <c r="A106" s="24" t="n"/>
      <c r="B106" s="25" t="n"/>
      <c r="C106" s="24" t="n"/>
      <c r="D106" s="24" t="n"/>
      <c r="E106" s="24" t="n"/>
      <c r="F106" s="25" t="n"/>
    </row>
    <row r="107">
      <c r="A107" s="24" t="n"/>
      <c r="B107" s="25" t="n"/>
      <c r="C107" s="24" t="n"/>
      <c r="D107" s="24" t="n"/>
      <c r="E107" s="24" t="n"/>
      <c r="F107" s="25" t="n"/>
    </row>
    <row r="108">
      <c r="A108" s="24" t="n"/>
      <c r="B108" s="25" t="n"/>
      <c r="C108" s="24" t="n"/>
      <c r="D108" s="24" t="n"/>
      <c r="E108" s="24" t="n"/>
      <c r="F108" s="25" t="n"/>
    </row>
    <row r="109">
      <c r="A109" s="24" t="n"/>
      <c r="B109" s="25" t="n"/>
      <c r="C109" s="24" t="n"/>
      <c r="D109" s="24" t="n"/>
      <c r="E109" s="24" t="n"/>
      <c r="F109" s="25" t="n"/>
    </row>
    <row r="110">
      <c r="A110" s="24" t="n"/>
      <c r="B110" s="25" t="n"/>
      <c r="C110" s="24" t="n"/>
      <c r="D110" s="24" t="n"/>
      <c r="E110" s="24" t="n"/>
      <c r="F110" s="25" t="n"/>
    </row>
    <row r="111">
      <c r="A111" s="24" t="n"/>
      <c r="B111" s="25" t="n"/>
      <c r="C111" s="24" t="n"/>
      <c r="D111" s="24" t="n"/>
      <c r="E111" s="24" t="n"/>
      <c r="F111" s="25" t="n"/>
    </row>
    <row r="112">
      <c r="A112" s="24" t="n"/>
      <c r="B112" s="25" t="n"/>
      <c r="C112" s="24" t="n"/>
      <c r="D112" s="24" t="n"/>
      <c r="E112" s="24" t="n"/>
      <c r="F112" s="25" t="n"/>
    </row>
    <row r="113">
      <c r="A113" s="24" t="n"/>
      <c r="B113" s="25" t="n"/>
      <c r="C113" s="24" t="n"/>
      <c r="D113" s="24" t="n"/>
      <c r="E113" s="24" t="n"/>
      <c r="F113" s="25" t="n"/>
    </row>
    <row r="114">
      <c r="A114" s="24" t="n"/>
      <c r="B114" s="25" t="n"/>
      <c r="C114" s="24" t="n"/>
      <c r="D114" s="24" t="n"/>
      <c r="E114" s="24" t="n"/>
      <c r="F114" s="25" t="n"/>
    </row>
    <row r="115">
      <c r="A115" s="24" t="n"/>
      <c r="B115" s="25" t="n"/>
      <c r="C115" s="24" t="n"/>
      <c r="D115" s="24" t="n"/>
      <c r="E115" s="24" t="n"/>
      <c r="F115" s="25" t="n"/>
    </row>
    <row r="116">
      <c r="A116" s="24" t="n"/>
      <c r="B116" s="25" t="n"/>
      <c r="C116" s="24" t="n"/>
      <c r="D116" s="24" t="n"/>
      <c r="E116" s="24" t="n"/>
      <c r="F116" s="25" t="n"/>
    </row>
    <row r="117">
      <c r="A117" s="24" t="n"/>
      <c r="B117" s="25" t="n"/>
      <c r="C117" s="24" t="n"/>
      <c r="D117" s="24" t="n"/>
      <c r="E117" s="24" t="n"/>
      <c r="F117" s="25" t="n"/>
    </row>
    <row r="118">
      <c r="A118" s="24" t="n"/>
      <c r="B118" s="25" t="n"/>
      <c r="C118" s="24" t="n"/>
      <c r="D118" s="24" t="n"/>
      <c r="E118" s="24" t="n"/>
      <c r="F118" s="25" t="n"/>
    </row>
    <row r="119">
      <c r="A119" s="24" t="n"/>
      <c r="B119" s="25" t="n"/>
      <c r="C119" s="24" t="n"/>
      <c r="D119" s="24" t="n"/>
      <c r="E119" s="24" t="n"/>
      <c r="F119" s="25" t="n"/>
    </row>
    <row r="120">
      <c r="A120" s="24" t="n"/>
      <c r="B120" s="25" t="n"/>
      <c r="C120" s="24" t="n"/>
      <c r="D120" s="24" t="n"/>
      <c r="E120" s="24" t="n"/>
      <c r="F120" s="25" t="n"/>
    </row>
    <row r="121">
      <c r="A121" s="24" t="n"/>
      <c r="B121" s="25" t="n"/>
      <c r="C121" s="24" t="n"/>
      <c r="D121" s="24" t="n"/>
      <c r="E121" s="24" t="n"/>
      <c r="F121" s="25" t="n"/>
    </row>
    <row r="122">
      <c r="A122" s="24" t="n"/>
      <c r="B122" s="25" t="n"/>
      <c r="C122" s="24" t="n"/>
      <c r="D122" s="24" t="n"/>
      <c r="E122" s="24" t="n"/>
      <c r="F122" s="25" t="n"/>
    </row>
    <row r="123">
      <c r="A123" s="24" t="n"/>
      <c r="B123" s="25" t="n"/>
      <c r="C123" s="24" t="n"/>
      <c r="D123" s="24" t="n"/>
      <c r="E123" s="24" t="n"/>
      <c r="F123" s="25" t="n"/>
    </row>
    <row r="124">
      <c r="A124" s="24" t="n"/>
      <c r="B124" s="25" t="n"/>
      <c r="C124" s="24" t="n"/>
      <c r="D124" s="24" t="n"/>
      <c r="E124" s="24" t="n"/>
      <c r="F124" s="25" t="n"/>
    </row>
    <row r="125">
      <c r="A125" s="24" t="n"/>
      <c r="B125" s="25" t="n"/>
      <c r="C125" s="24" t="n"/>
      <c r="D125" s="24" t="n"/>
      <c r="E125" s="24" t="n"/>
      <c r="F125" s="25" t="n"/>
    </row>
    <row r="126">
      <c r="A126" s="24" t="n"/>
      <c r="B126" s="25" t="n"/>
      <c r="C126" s="24" t="n"/>
      <c r="D126" s="24" t="n"/>
      <c r="E126" s="24" t="n"/>
      <c r="F126" s="25" t="n"/>
    </row>
    <row r="127">
      <c r="A127" s="24" t="n"/>
      <c r="B127" s="25" t="n"/>
      <c r="C127" s="24" t="n"/>
      <c r="D127" s="24" t="n"/>
      <c r="E127" s="24" t="n"/>
      <c r="F127" s="25" t="n"/>
    </row>
    <row r="128">
      <c r="A128" s="24" t="n"/>
      <c r="B128" s="25" t="n"/>
      <c r="C128" s="24" t="n"/>
      <c r="D128" s="24" t="n"/>
      <c r="E128" s="24" t="n"/>
      <c r="F128" s="25" t="n"/>
    </row>
    <row r="129">
      <c r="A129" s="24" t="n"/>
      <c r="B129" s="25" t="n"/>
      <c r="C129" s="24" t="n"/>
      <c r="D129" s="24" t="n"/>
      <c r="E129" s="24" t="n"/>
      <c r="F129" s="25" t="n"/>
    </row>
    <row r="130">
      <c r="A130" s="24" t="n"/>
      <c r="B130" s="25" t="n"/>
      <c r="C130" s="24" t="n"/>
      <c r="D130" s="24" t="n"/>
      <c r="E130" s="24" t="n"/>
      <c r="F130" s="25" t="n"/>
    </row>
    <row r="131">
      <c r="A131" s="24" t="n"/>
      <c r="B131" s="25" t="n"/>
      <c r="C131" s="24" t="n"/>
      <c r="D131" s="24" t="n"/>
      <c r="E131" s="24" t="n"/>
      <c r="F131" s="25" t="n"/>
    </row>
    <row r="132">
      <c r="A132" s="24" t="n"/>
      <c r="B132" s="25" t="n"/>
      <c r="C132" s="24" t="n"/>
      <c r="D132" s="24" t="n"/>
      <c r="E132" s="24" t="n"/>
      <c r="F132" s="25" t="n"/>
    </row>
    <row r="133">
      <c r="A133" s="24" t="n"/>
      <c r="B133" s="25" t="n"/>
      <c r="C133" s="24" t="n"/>
      <c r="D133" s="24" t="n"/>
      <c r="E133" s="24" t="n"/>
      <c r="F133" s="25" t="n"/>
    </row>
    <row r="134">
      <c r="A134" s="24" t="n"/>
      <c r="B134" s="25" t="n"/>
      <c r="C134" s="24" t="n"/>
      <c r="D134" s="24" t="n"/>
      <c r="E134" s="24" t="n"/>
      <c r="F134" s="25" t="n"/>
    </row>
    <row r="135">
      <c r="A135" s="24" t="n"/>
      <c r="B135" s="25" t="n"/>
      <c r="C135" s="24" t="n"/>
      <c r="D135" s="24" t="n"/>
      <c r="E135" s="24" t="n"/>
      <c r="F135" s="25" t="n"/>
    </row>
    <row r="136">
      <c r="A136" s="24" t="n"/>
      <c r="B136" s="25" t="n"/>
      <c r="C136" s="24" t="n"/>
      <c r="D136" s="24" t="n"/>
      <c r="E136" s="24" t="n"/>
      <c r="F136" s="25" t="n"/>
    </row>
    <row r="137">
      <c r="A137" s="24" t="n"/>
      <c r="B137" s="25" t="n"/>
      <c r="C137" s="24" t="n"/>
      <c r="D137" s="24" t="n"/>
      <c r="E137" s="24" t="n"/>
      <c r="F137" s="25" t="n"/>
    </row>
    <row r="138">
      <c r="A138" s="24" t="n"/>
      <c r="B138" s="25" t="n"/>
      <c r="C138" s="24" t="n"/>
      <c r="D138" s="24" t="n"/>
      <c r="E138" s="24" t="n"/>
      <c r="F138" s="25" t="n"/>
    </row>
    <row r="139">
      <c r="A139" s="24" t="n"/>
      <c r="B139" s="25" t="n"/>
      <c r="C139" s="24" t="n"/>
      <c r="D139" s="24" t="n"/>
      <c r="E139" s="24" t="n"/>
      <c r="F139" s="25" t="n"/>
    </row>
    <row r="140">
      <c r="A140" s="24" t="n"/>
      <c r="B140" s="25" t="n"/>
      <c r="C140" s="24" t="n"/>
      <c r="D140" s="24" t="n"/>
      <c r="E140" s="24" t="n"/>
      <c r="F140" s="25" t="n"/>
    </row>
    <row r="141">
      <c r="A141" s="24" t="n"/>
      <c r="B141" s="25" t="n"/>
      <c r="C141" s="24" t="n"/>
      <c r="D141" s="24" t="n"/>
      <c r="E141" s="24" t="n"/>
      <c r="F141" s="25" t="n"/>
    </row>
    <row r="142">
      <c r="A142" s="24" t="n"/>
      <c r="B142" s="25" t="n"/>
      <c r="C142" s="24" t="n"/>
      <c r="D142" s="24" t="n"/>
      <c r="E142" s="24" t="n"/>
      <c r="F142" s="25" t="n"/>
    </row>
    <row r="143">
      <c r="A143" s="24" t="n"/>
      <c r="B143" s="25" t="n"/>
      <c r="C143" s="24" t="n"/>
      <c r="D143" s="24" t="n"/>
      <c r="E143" s="24" t="n"/>
      <c r="F143" s="25" t="n"/>
    </row>
    <row r="144">
      <c r="A144" s="24" t="n"/>
      <c r="B144" s="25" t="n"/>
      <c r="C144" s="24" t="n"/>
      <c r="D144" s="24" t="n"/>
      <c r="E144" s="24" t="n"/>
      <c r="F144" s="25" t="n"/>
    </row>
    <row r="145">
      <c r="A145" s="24" t="n"/>
      <c r="B145" s="25" t="n"/>
      <c r="C145" s="24" t="n"/>
      <c r="D145" s="24" t="n"/>
      <c r="E145" s="24" t="n"/>
      <c r="F145" s="25" t="n"/>
    </row>
    <row r="146">
      <c r="A146" s="24" t="n"/>
      <c r="B146" s="25" t="n"/>
      <c r="C146" s="24" t="n"/>
      <c r="D146" s="24" t="n"/>
      <c r="E146" s="24" t="n"/>
      <c r="F146" s="25" t="n"/>
    </row>
    <row r="147">
      <c r="A147" s="24" t="n"/>
      <c r="B147" s="25" t="n"/>
      <c r="C147" s="24" t="n"/>
      <c r="D147" s="24" t="n"/>
      <c r="E147" s="24" t="n"/>
      <c r="F147" s="25" t="n"/>
    </row>
    <row r="148">
      <c r="A148" s="24" t="n"/>
      <c r="B148" s="25" t="n"/>
      <c r="C148" s="24" t="n"/>
      <c r="D148" s="24" t="n"/>
      <c r="E148" s="24" t="n"/>
      <c r="F148" s="25" t="n"/>
    </row>
    <row r="149">
      <c r="A149" s="24" t="n"/>
      <c r="B149" s="25" t="n"/>
      <c r="C149" s="24" t="n"/>
      <c r="D149" s="24" t="n"/>
      <c r="E149" s="24" t="n"/>
      <c r="F149" s="25" t="n"/>
    </row>
    <row r="150">
      <c r="A150" s="24" t="n"/>
      <c r="B150" s="25" t="n"/>
      <c r="C150" s="24" t="n"/>
      <c r="D150" s="24" t="n"/>
      <c r="E150" s="24" t="n"/>
      <c r="F150" s="25" t="n"/>
    </row>
    <row r="151">
      <c r="A151" s="24" t="n"/>
      <c r="B151" s="25" t="n"/>
      <c r="C151" s="24" t="n"/>
      <c r="D151" s="24" t="n"/>
      <c r="E151" s="24" t="n"/>
      <c r="F151" s="25" t="n"/>
    </row>
  </sheetData>
  <autoFilter ref="A1:F151"/>
  <dataValidations count="3">
    <dataValidation sqref="C2:C151" showDropDown="0" showInputMessage="0" showErrorMessage="1" allowBlank="1" type="list">
      <formula1>=Lista_Funcoes</formula1>
    </dataValidation>
    <dataValidation sqref="D2:D151" showDropDown="0" showInputMessage="0" showErrorMessage="1" allowBlank="1" type="list">
      <formula1>=Lista_Turnos</formula1>
    </dataValidation>
    <dataValidation sqref="E2:E151" showDropDown="0" showInputMessage="0" showErrorMessage="1" allowBlank="1" type="list">
      <formula1>=Lista_StatusEquipe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5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12" customWidth="1" min="24" max="24"/>
    <col width="14" customWidth="1" min="25" max="25"/>
  </cols>
  <sheetData>
    <row r="1" ht="146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Função</t>
        </is>
      </c>
      <c r="D1" s="26">
        <f>IF('Especialidades'!$B$2="","",'Especialidades'!$B$2)</f>
        <v/>
      </c>
      <c r="E1" s="26">
        <f>IF('Especialidades'!$B$3="","",'Especialidades'!$B$3)</f>
        <v/>
      </c>
      <c r="F1" s="26">
        <f>IF('Especialidades'!$B$4="","",'Especialidades'!$B$4)</f>
        <v/>
      </c>
      <c r="G1" s="26">
        <f>IF('Especialidades'!$B$5="","",'Especialidades'!$B$5)</f>
        <v/>
      </c>
      <c r="H1" s="26">
        <f>IF('Especialidades'!$B$6="","",'Especialidades'!$B$6)</f>
        <v/>
      </c>
      <c r="I1" s="26">
        <f>IF('Especialidades'!$B$7="","",'Especialidades'!$B$7)</f>
        <v/>
      </c>
      <c r="J1" s="26">
        <f>IF('Especialidades'!$B$8="","",'Especialidades'!$B$8)</f>
        <v/>
      </c>
      <c r="K1" s="26">
        <f>IF('Especialidades'!$B$9="","",'Especialidades'!$B$9)</f>
        <v/>
      </c>
      <c r="L1" s="26">
        <f>IF('Especialidades'!$B$10="","",'Especialidades'!$B$10)</f>
        <v/>
      </c>
      <c r="M1" s="26">
        <f>IF('Especialidades'!$B$11="","",'Especialidades'!$B$11)</f>
        <v/>
      </c>
      <c r="N1" s="26">
        <f>IF('Especialidades'!$B$12="","",'Especialidades'!$B$12)</f>
        <v/>
      </c>
      <c r="O1" s="26">
        <f>IF('Especialidades'!$B$13="","",'Especialidades'!$B$13)</f>
        <v/>
      </c>
      <c r="P1" s="26">
        <f>IF('Especialidades'!$B$14="","",'Especialidades'!$B$14)</f>
        <v/>
      </c>
      <c r="Q1" s="26">
        <f>IF('Especialidades'!$B$15="","",'Especialidades'!$B$15)</f>
        <v/>
      </c>
      <c r="R1" s="26">
        <f>IF('Especialidades'!$B$16="","",'Especialidades'!$B$16)</f>
        <v/>
      </c>
      <c r="S1" s="26">
        <f>IF('Especialidades'!$B$17="","",'Especialidades'!$B$17)</f>
        <v/>
      </c>
      <c r="T1" s="26">
        <f>IF('Especialidades'!$B$18="","",'Especialidades'!$B$18)</f>
        <v/>
      </c>
      <c r="U1" s="26">
        <f>IF('Especialidades'!$B$19="","",'Especialidades'!$B$19)</f>
        <v/>
      </c>
      <c r="V1" s="26">
        <f>IF('Especialidades'!$B$20="","",'Especialidades'!$B$20)</f>
        <v/>
      </c>
      <c r="W1" s="26">
        <f>IF('Especialidades'!$B$21="","",'Especialidades'!$B$21)</f>
        <v/>
      </c>
      <c r="X1" s="14" t="inlineStr">
        <is>
          <t>Nível médio (geral)</t>
        </is>
      </c>
      <c r="Y1" s="14" t="inlineStr">
        <is>
          <t>Nº especialidades aptas (≥2)</t>
        </is>
      </c>
    </row>
    <row r="2">
      <c r="A2" s="27">
        <f>IF('Equipe'!A2="","",'Equipe'!A2)</f>
        <v/>
      </c>
      <c r="B2" s="28">
        <f>IF('Equipe'!B2="","",'Equipe'!B2)</f>
        <v/>
      </c>
      <c r="C2" s="27">
        <f>IF('Equipe'!C2="","",'Equipe'!C2)</f>
        <v/>
      </c>
      <c r="D2" s="29" t="n">
        <v>3</v>
      </c>
      <c r="E2" s="29" t="n">
        <v>2</v>
      </c>
      <c r="F2" s="29" t="n">
        <v>0</v>
      </c>
      <c r="G2" s="29" t="n">
        <v>0</v>
      </c>
      <c r="H2" s="29" t="n">
        <v>0</v>
      </c>
      <c r="I2" s="29" t="n">
        <v>1</v>
      </c>
      <c r="J2" s="29" t="n">
        <v>2</v>
      </c>
      <c r="K2" s="29" t="n">
        <v>1</v>
      </c>
      <c r="L2" s="29" t="n">
        <v>0</v>
      </c>
      <c r="M2" s="29" t="n">
        <v>0</v>
      </c>
      <c r="N2" s="29" t="n">
        <v>1</v>
      </c>
      <c r="O2" s="29" t="n">
        <v>2</v>
      </c>
      <c r="P2" s="29" t="n">
        <v>1</v>
      </c>
      <c r="Q2" s="29" t="n">
        <v>0</v>
      </c>
      <c r="R2" s="29" t="n"/>
      <c r="S2" s="29" t="n"/>
      <c r="T2" s="29" t="n"/>
      <c r="U2" s="29" t="n"/>
      <c r="V2" s="29" t="n"/>
      <c r="W2" s="29" t="n"/>
      <c r="X2" s="19">
        <f>IF($B2="","",IFERROR(SUMPRODUCT((Matriz_Esp&lt;&gt;"")*D2:W2)/SUMPRODUCT(--(Matriz_Esp&lt;&gt;"")),""))</f>
        <v/>
      </c>
      <c r="Y2" s="23">
        <f>IF($B2="","",SUMPRODUCT((Matriz_Esp&lt;&gt;"")*(D2:W2&gt;=2)))</f>
        <v/>
      </c>
    </row>
    <row r="3">
      <c r="A3" s="27">
        <f>IF('Equipe'!A3="","",'Equipe'!A3)</f>
        <v/>
      </c>
      <c r="B3" s="28">
        <f>IF('Equipe'!B3="","",'Equipe'!B3)</f>
        <v/>
      </c>
      <c r="C3" s="27">
        <f>IF('Equipe'!C3="","",'Equipe'!C3)</f>
        <v/>
      </c>
      <c r="D3" s="29" t="n">
        <v>3</v>
      </c>
      <c r="E3" s="29" t="n">
        <v>2</v>
      </c>
      <c r="F3" s="29" t="n">
        <v>0</v>
      </c>
      <c r="G3" s="29" t="n">
        <v>1</v>
      </c>
      <c r="H3" s="29" t="n">
        <v>1</v>
      </c>
      <c r="I3" s="29" t="n">
        <v>0</v>
      </c>
      <c r="J3" s="29" t="n">
        <v>2</v>
      </c>
      <c r="K3" s="29" t="n">
        <v>0</v>
      </c>
      <c r="L3" s="29" t="n">
        <v>0</v>
      </c>
      <c r="M3" s="29" t="n">
        <v>1</v>
      </c>
      <c r="N3" s="29" t="n">
        <v>0</v>
      </c>
      <c r="O3" s="29" t="n">
        <v>1</v>
      </c>
      <c r="P3" s="29" t="n">
        <v>1</v>
      </c>
      <c r="Q3" s="29" t="n">
        <v>0</v>
      </c>
      <c r="R3" s="29" t="n"/>
      <c r="S3" s="29" t="n"/>
      <c r="T3" s="29" t="n"/>
      <c r="U3" s="29" t="n"/>
      <c r="V3" s="29" t="n"/>
      <c r="W3" s="29" t="n"/>
      <c r="X3" s="19">
        <f>IF($B3="","",IFERROR(SUMPRODUCT((Matriz_Esp&lt;&gt;"")*D3:W3)/SUMPRODUCT(--(Matriz_Esp&lt;&gt;"")),""))</f>
        <v/>
      </c>
      <c r="Y3" s="23">
        <f>IF($B3="","",SUMPRODUCT((Matriz_Esp&lt;&gt;"")*(D3:W3&gt;=2)))</f>
        <v/>
      </c>
    </row>
    <row r="4">
      <c r="A4" s="27">
        <f>IF('Equipe'!A4="","",'Equipe'!A4)</f>
        <v/>
      </c>
      <c r="B4" s="28">
        <f>IF('Equipe'!B4="","",'Equipe'!B4)</f>
        <v/>
      </c>
      <c r="C4" s="27">
        <f>IF('Equipe'!C4="","",'Equipe'!C4)</f>
        <v/>
      </c>
      <c r="D4" s="29" t="n">
        <v>3</v>
      </c>
      <c r="E4" s="29" t="n">
        <v>2</v>
      </c>
      <c r="F4" s="29" t="n">
        <v>0</v>
      </c>
      <c r="G4" s="29" t="n">
        <v>0</v>
      </c>
      <c r="H4" s="29" t="n">
        <v>0</v>
      </c>
      <c r="I4" s="29" t="n">
        <v>0</v>
      </c>
      <c r="J4" s="29" t="n">
        <v>2</v>
      </c>
      <c r="K4" s="29" t="n">
        <v>0</v>
      </c>
      <c r="L4" s="29" t="n">
        <v>1</v>
      </c>
      <c r="M4" s="29" t="n">
        <v>1</v>
      </c>
      <c r="N4" s="29" t="n">
        <v>1</v>
      </c>
      <c r="O4" s="29" t="n">
        <v>2</v>
      </c>
      <c r="P4" s="29" t="n">
        <v>1</v>
      </c>
      <c r="Q4" s="29" t="n">
        <v>0</v>
      </c>
      <c r="R4" s="29" t="n"/>
      <c r="S4" s="29" t="n"/>
      <c r="T4" s="29" t="n"/>
      <c r="U4" s="29" t="n"/>
      <c r="V4" s="29" t="n"/>
      <c r="W4" s="29" t="n"/>
      <c r="X4" s="19">
        <f>IF($B4="","",IFERROR(SUMPRODUCT((Matriz_Esp&lt;&gt;"")*D4:W4)/SUMPRODUCT(--(Matriz_Esp&lt;&gt;"")),""))</f>
        <v/>
      </c>
      <c r="Y4" s="23">
        <f>IF($B4="","",SUMPRODUCT((Matriz_Esp&lt;&gt;"")*(D4:W4&gt;=2)))</f>
        <v/>
      </c>
    </row>
    <row r="5">
      <c r="A5" s="27">
        <f>IF('Equipe'!A5="","",'Equipe'!A5)</f>
        <v/>
      </c>
      <c r="B5" s="28">
        <f>IF('Equipe'!B5="","",'Equipe'!B5)</f>
        <v/>
      </c>
      <c r="C5" s="27">
        <f>IF('Equipe'!C5="","",'Equipe'!C5)</f>
        <v/>
      </c>
      <c r="D5" s="29" t="n">
        <v>3</v>
      </c>
      <c r="E5" s="29" t="n">
        <v>1</v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1</v>
      </c>
      <c r="K5" s="29" t="n">
        <v>0</v>
      </c>
      <c r="L5" s="29" t="n">
        <v>1</v>
      </c>
      <c r="M5" s="29" t="n">
        <v>0</v>
      </c>
      <c r="N5" s="29" t="n">
        <v>0</v>
      </c>
      <c r="O5" s="29" t="n">
        <v>1</v>
      </c>
      <c r="P5" s="29" t="n">
        <v>1</v>
      </c>
      <c r="Q5" s="29" t="n">
        <v>0</v>
      </c>
      <c r="R5" s="29" t="n"/>
      <c r="S5" s="29" t="n"/>
      <c r="T5" s="29" t="n"/>
      <c r="U5" s="29" t="n"/>
      <c r="V5" s="29" t="n"/>
      <c r="W5" s="29" t="n"/>
      <c r="X5" s="19">
        <f>IF($B5="","",IFERROR(SUMPRODUCT((Matriz_Esp&lt;&gt;"")*D5:W5)/SUMPRODUCT(--(Matriz_Esp&lt;&gt;"")),""))</f>
        <v/>
      </c>
      <c r="Y5" s="23">
        <f>IF($B5="","",SUMPRODUCT((Matriz_Esp&lt;&gt;"")*(D5:W5&gt;=2)))</f>
        <v/>
      </c>
    </row>
    <row r="6">
      <c r="A6" s="27">
        <f>IF('Equipe'!A6="","",'Equipe'!A6)</f>
        <v/>
      </c>
      <c r="B6" s="28">
        <f>IF('Equipe'!B6="","",'Equipe'!B6)</f>
        <v/>
      </c>
      <c r="C6" s="27">
        <f>IF('Equipe'!C6="","",'Equipe'!C6)</f>
        <v/>
      </c>
      <c r="D6" s="29" t="n">
        <v>3</v>
      </c>
      <c r="E6" s="29" t="n">
        <v>2</v>
      </c>
      <c r="F6" s="29" t="n">
        <v>1</v>
      </c>
      <c r="G6" s="29" t="n">
        <v>0</v>
      </c>
      <c r="H6" s="29" t="n">
        <v>1</v>
      </c>
      <c r="I6" s="29" t="n">
        <v>1</v>
      </c>
      <c r="J6" s="29" t="n">
        <v>2</v>
      </c>
      <c r="K6" s="29" t="n">
        <v>0</v>
      </c>
      <c r="L6" s="29" t="n">
        <v>0</v>
      </c>
      <c r="M6" s="29" t="n">
        <v>1</v>
      </c>
      <c r="N6" s="29" t="n">
        <v>1</v>
      </c>
      <c r="O6" s="29" t="n">
        <v>1</v>
      </c>
      <c r="P6" s="29" t="n">
        <v>2</v>
      </c>
      <c r="Q6" s="29" t="n">
        <v>1</v>
      </c>
      <c r="R6" s="29" t="n"/>
      <c r="S6" s="29" t="n"/>
      <c r="T6" s="29" t="n"/>
      <c r="U6" s="29" t="n"/>
      <c r="V6" s="29" t="n"/>
      <c r="W6" s="29" t="n"/>
      <c r="X6" s="19">
        <f>IF($B6="","",IFERROR(SUMPRODUCT((Matriz_Esp&lt;&gt;"")*D6:W6)/SUMPRODUCT(--(Matriz_Esp&lt;&gt;"")),""))</f>
        <v/>
      </c>
      <c r="Y6" s="23">
        <f>IF($B6="","",SUMPRODUCT((Matriz_Esp&lt;&gt;"")*(D6:W6&gt;=2)))</f>
        <v/>
      </c>
    </row>
    <row r="7">
      <c r="A7" s="27">
        <f>IF('Equipe'!A7="","",'Equipe'!A7)</f>
        <v/>
      </c>
      <c r="B7" s="28">
        <f>IF('Equipe'!B7="","",'Equipe'!B7)</f>
        <v/>
      </c>
      <c r="C7" s="27">
        <f>IF('Equipe'!C7="","",'Equipe'!C7)</f>
        <v/>
      </c>
      <c r="D7" s="29" t="n">
        <v>3</v>
      </c>
      <c r="E7" s="29" t="n">
        <v>1</v>
      </c>
      <c r="F7" s="29" t="n">
        <v>1</v>
      </c>
      <c r="G7" s="29" t="n">
        <v>0</v>
      </c>
      <c r="H7" s="29" t="n">
        <v>0</v>
      </c>
      <c r="I7" s="29" t="n">
        <v>0</v>
      </c>
      <c r="J7" s="29" t="n">
        <v>2</v>
      </c>
      <c r="K7" s="29" t="n">
        <v>1</v>
      </c>
      <c r="L7" s="29" t="n">
        <v>1</v>
      </c>
      <c r="M7" s="29" t="n">
        <v>1</v>
      </c>
      <c r="N7" s="29" t="n">
        <v>1</v>
      </c>
      <c r="O7" s="29" t="n">
        <v>2</v>
      </c>
      <c r="P7" s="29" t="n">
        <v>2</v>
      </c>
      <c r="Q7" s="29" t="n">
        <v>1</v>
      </c>
      <c r="R7" s="29" t="n"/>
      <c r="S7" s="29" t="n"/>
      <c r="T7" s="29" t="n"/>
      <c r="U7" s="29" t="n"/>
      <c r="V7" s="29" t="n"/>
      <c r="W7" s="29" t="n"/>
      <c r="X7" s="19">
        <f>IF($B7="","",IFERROR(SUMPRODUCT((Matriz_Esp&lt;&gt;"")*D7:W7)/SUMPRODUCT(--(Matriz_Esp&lt;&gt;"")),""))</f>
        <v/>
      </c>
      <c r="Y7" s="23">
        <f>IF($B7="","",SUMPRODUCT((Matriz_Esp&lt;&gt;"")*(D7:W7&gt;=2)))</f>
        <v/>
      </c>
    </row>
    <row r="8">
      <c r="A8" s="27">
        <f>IF('Equipe'!A8="","",'Equipe'!A8)</f>
        <v/>
      </c>
      <c r="B8" s="28">
        <f>IF('Equipe'!B8="","",'Equipe'!B8)</f>
        <v/>
      </c>
      <c r="C8" s="27">
        <f>IF('Equipe'!C8="","",'Equipe'!C8)</f>
        <v/>
      </c>
      <c r="D8" s="29" t="n">
        <v>2</v>
      </c>
      <c r="E8" s="29" t="n">
        <v>3</v>
      </c>
      <c r="F8" s="29" t="n">
        <v>1</v>
      </c>
      <c r="G8" s="29" t="n">
        <v>0</v>
      </c>
      <c r="H8" s="29" t="n">
        <v>0</v>
      </c>
      <c r="I8" s="29" t="n">
        <v>0</v>
      </c>
      <c r="J8" s="29" t="n">
        <v>0</v>
      </c>
      <c r="K8" s="29" t="n">
        <v>0</v>
      </c>
      <c r="L8" s="29" t="n">
        <v>0</v>
      </c>
      <c r="M8" s="29" t="n">
        <v>1</v>
      </c>
      <c r="N8" s="29" t="n">
        <v>0</v>
      </c>
      <c r="O8" s="29" t="n">
        <v>3</v>
      </c>
      <c r="P8" s="29" t="n">
        <v>0</v>
      </c>
      <c r="Q8" s="29" t="n">
        <v>0</v>
      </c>
      <c r="R8" s="29" t="n"/>
      <c r="S8" s="29" t="n"/>
      <c r="T8" s="29" t="n"/>
      <c r="U8" s="29" t="n"/>
      <c r="V8" s="29" t="n"/>
      <c r="W8" s="29" t="n"/>
      <c r="X8" s="19">
        <f>IF($B8="","",IFERROR(SUMPRODUCT((Matriz_Esp&lt;&gt;"")*D8:W8)/SUMPRODUCT(--(Matriz_Esp&lt;&gt;"")),""))</f>
        <v/>
      </c>
      <c r="Y8" s="23">
        <f>IF($B8="","",SUMPRODUCT((Matriz_Esp&lt;&gt;"")*(D8:W8&gt;=2)))</f>
        <v/>
      </c>
    </row>
    <row r="9">
      <c r="A9" s="27">
        <f>IF('Equipe'!A9="","",'Equipe'!A9)</f>
        <v/>
      </c>
      <c r="B9" s="28">
        <f>IF('Equipe'!B9="","",'Equipe'!B9)</f>
        <v/>
      </c>
      <c r="C9" s="27">
        <f>IF('Equipe'!C9="","",'Equipe'!C9)</f>
        <v/>
      </c>
      <c r="D9" s="29" t="n">
        <v>2</v>
      </c>
      <c r="E9" s="29" t="n">
        <v>3</v>
      </c>
      <c r="F9" s="29" t="n">
        <v>2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3</v>
      </c>
      <c r="P9" s="29" t="n">
        <v>0</v>
      </c>
      <c r="Q9" s="29" t="n">
        <v>1</v>
      </c>
      <c r="R9" s="29" t="n"/>
      <c r="S9" s="29" t="n"/>
      <c r="T9" s="29" t="n"/>
      <c r="U9" s="29" t="n"/>
      <c r="V9" s="29" t="n"/>
      <c r="W9" s="29" t="n"/>
      <c r="X9" s="19">
        <f>IF($B9="","",IFERROR(SUMPRODUCT((Matriz_Esp&lt;&gt;"")*D9:W9)/SUMPRODUCT(--(Matriz_Esp&lt;&gt;"")),""))</f>
        <v/>
      </c>
      <c r="Y9" s="23">
        <f>IF($B9="","",SUMPRODUCT((Matriz_Esp&lt;&gt;"")*(D9:W9&gt;=2)))</f>
        <v/>
      </c>
    </row>
    <row r="10">
      <c r="A10" s="27">
        <f>IF('Equipe'!A10="","",'Equipe'!A10)</f>
        <v/>
      </c>
      <c r="B10" s="28">
        <f>IF('Equipe'!B10="","",'Equipe'!B10)</f>
        <v/>
      </c>
      <c r="C10" s="27">
        <f>IF('Equipe'!C10="","",'Equipe'!C10)</f>
        <v/>
      </c>
      <c r="D10" s="29" t="n">
        <v>2</v>
      </c>
      <c r="E10" s="29" t="n">
        <v>3</v>
      </c>
      <c r="F10" s="29" t="n">
        <v>1</v>
      </c>
      <c r="G10" s="29" t="n">
        <v>0</v>
      </c>
      <c r="H10" s="29" t="n">
        <v>0</v>
      </c>
      <c r="I10" s="29" t="n">
        <v>0</v>
      </c>
      <c r="J10" s="29" t="n">
        <v>1</v>
      </c>
      <c r="K10" s="29" t="n">
        <v>1</v>
      </c>
      <c r="L10" s="29" t="n">
        <v>1</v>
      </c>
      <c r="M10" s="29" t="n">
        <v>0</v>
      </c>
      <c r="N10" s="29" t="n">
        <v>0</v>
      </c>
      <c r="O10" s="29" t="n">
        <v>3</v>
      </c>
      <c r="P10" s="29" t="n">
        <v>0</v>
      </c>
      <c r="Q10" s="29" t="n">
        <v>1</v>
      </c>
      <c r="R10" s="29" t="n"/>
      <c r="S10" s="29" t="n"/>
      <c r="T10" s="29" t="n"/>
      <c r="U10" s="29" t="n"/>
      <c r="V10" s="29" t="n"/>
      <c r="W10" s="29" t="n"/>
      <c r="X10" s="19">
        <f>IF($B10="","",IFERROR(SUMPRODUCT((Matriz_Esp&lt;&gt;"")*D10:W10)/SUMPRODUCT(--(Matriz_Esp&lt;&gt;"")),""))</f>
        <v/>
      </c>
      <c r="Y10" s="23">
        <f>IF($B10="","",SUMPRODUCT((Matriz_Esp&lt;&gt;"")*(D10:W10&gt;=2)))</f>
        <v/>
      </c>
    </row>
    <row r="11">
      <c r="A11" s="27">
        <f>IF('Equipe'!A11="","",'Equipe'!A11)</f>
        <v/>
      </c>
      <c r="B11" s="28">
        <f>IF('Equipe'!B11="","",'Equipe'!B11)</f>
        <v/>
      </c>
      <c r="C11" s="27">
        <f>IF('Equipe'!C11="","",'Equipe'!C11)</f>
        <v/>
      </c>
      <c r="D11" s="29" t="n">
        <v>2</v>
      </c>
      <c r="E11" s="29" t="n">
        <v>3</v>
      </c>
      <c r="F11" s="29" t="n">
        <v>2</v>
      </c>
      <c r="G11" s="29" t="n">
        <v>1</v>
      </c>
      <c r="H11" s="29" t="n">
        <v>1</v>
      </c>
      <c r="I11" s="29" t="n">
        <v>0</v>
      </c>
      <c r="J11" s="29" t="n">
        <v>0</v>
      </c>
      <c r="K11" s="29" t="n">
        <v>1</v>
      </c>
      <c r="L11" s="29" t="n">
        <v>0</v>
      </c>
      <c r="M11" s="29" t="n">
        <v>0</v>
      </c>
      <c r="N11" s="29" t="n">
        <v>1</v>
      </c>
      <c r="O11" s="29" t="n">
        <v>3</v>
      </c>
      <c r="P11" s="29" t="n">
        <v>0</v>
      </c>
      <c r="Q11" s="29" t="n">
        <v>0</v>
      </c>
      <c r="R11" s="29" t="n"/>
      <c r="S11" s="29" t="n"/>
      <c r="T11" s="29" t="n"/>
      <c r="U11" s="29" t="n"/>
      <c r="V11" s="29" t="n"/>
      <c r="W11" s="29" t="n"/>
      <c r="X11" s="19">
        <f>IF($B11="","",IFERROR(SUMPRODUCT((Matriz_Esp&lt;&gt;"")*D11:W11)/SUMPRODUCT(--(Matriz_Esp&lt;&gt;"")),""))</f>
        <v/>
      </c>
      <c r="Y11" s="23">
        <f>IF($B11="","",SUMPRODUCT((Matriz_Esp&lt;&gt;"")*(D11:W11&gt;=2)))</f>
        <v/>
      </c>
    </row>
    <row r="12">
      <c r="A12" s="27">
        <f>IF('Equipe'!A12="","",'Equipe'!A12)</f>
        <v/>
      </c>
      <c r="B12" s="28">
        <f>IF('Equipe'!B12="","",'Equipe'!B12)</f>
        <v/>
      </c>
      <c r="C12" s="27">
        <f>IF('Equipe'!C12="","",'Equipe'!C12)</f>
        <v/>
      </c>
      <c r="D12" s="29" t="n">
        <v>2</v>
      </c>
      <c r="E12" s="29" t="n">
        <v>3</v>
      </c>
      <c r="F12" s="29" t="n">
        <v>2</v>
      </c>
      <c r="G12" s="29" t="n">
        <v>0</v>
      </c>
      <c r="H12" s="29" t="n">
        <v>1</v>
      </c>
      <c r="I12" s="29" t="n">
        <v>1</v>
      </c>
      <c r="J12" s="29" t="n">
        <v>1</v>
      </c>
      <c r="K12" s="29" t="n">
        <v>0</v>
      </c>
      <c r="L12" s="29" t="n">
        <v>0</v>
      </c>
      <c r="M12" s="29" t="n">
        <v>1</v>
      </c>
      <c r="N12" s="29" t="n">
        <v>0</v>
      </c>
      <c r="O12" s="29" t="n">
        <v>3</v>
      </c>
      <c r="P12" s="29" t="n">
        <v>0</v>
      </c>
      <c r="Q12" s="29" t="n">
        <v>1</v>
      </c>
      <c r="R12" s="29" t="n"/>
      <c r="S12" s="29" t="n"/>
      <c r="T12" s="29" t="n"/>
      <c r="U12" s="29" t="n"/>
      <c r="V12" s="29" t="n"/>
      <c r="W12" s="29" t="n"/>
      <c r="X12" s="19">
        <f>IF($B12="","",IFERROR(SUMPRODUCT((Matriz_Esp&lt;&gt;"")*D12:W12)/SUMPRODUCT(--(Matriz_Esp&lt;&gt;"")),""))</f>
        <v/>
      </c>
      <c r="Y12" s="23">
        <f>IF($B12="","",SUMPRODUCT((Matriz_Esp&lt;&gt;"")*(D12:W12&gt;=2)))</f>
        <v/>
      </c>
    </row>
    <row r="13">
      <c r="A13" s="27">
        <f>IF('Equipe'!A13="","",'Equipe'!A13)</f>
        <v/>
      </c>
      <c r="B13" s="28">
        <f>IF('Equipe'!B13="","",'Equipe'!B13)</f>
        <v/>
      </c>
      <c r="C13" s="27">
        <f>IF('Equipe'!C13="","",'Equipe'!C13)</f>
        <v/>
      </c>
      <c r="D13" s="29" t="n">
        <v>1</v>
      </c>
      <c r="E13" s="29" t="n">
        <v>3</v>
      </c>
      <c r="F13" s="29" t="n">
        <v>1</v>
      </c>
      <c r="G13" s="29" t="n">
        <v>1</v>
      </c>
      <c r="H13" s="29" t="n">
        <v>0</v>
      </c>
      <c r="I13" s="29" t="n">
        <v>0</v>
      </c>
      <c r="J13" s="29" t="n">
        <v>0</v>
      </c>
      <c r="K13" s="29" t="n">
        <v>0</v>
      </c>
      <c r="L13" s="29" t="n">
        <v>1</v>
      </c>
      <c r="M13" s="29" t="n">
        <v>0</v>
      </c>
      <c r="N13" s="29" t="n">
        <v>1</v>
      </c>
      <c r="O13" s="29" t="n">
        <v>3</v>
      </c>
      <c r="P13" s="29" t="n">
        <v>0</v>
      </c>
      <c r="Q13" s="29" t="n">
        <v>0</v>
      </c>
      <c r="R13" s="29" t="n"/>
      <c r="S13" s="29" t="n"/>
      <c r="T13" s="29" t="n"/>
      <c r="U13" s="29" t="n"/>
      <c r="V13" s="29" t="n"/>
      <c r="W13" s="29" t="n"/>
      <c r="X13" s="19">
        <f>IF($B13="","",IFERROR(SUMPRODUCT((Matriz_Esp&lt;&gt;"")*D13:W13)/SUMPRODUCT(--(Matriz_Esp&lt;&gt;"")),""))</f>
        <v/>
      </c>
      <c r="Y13" s="23">
        <f>IF($B13="","",SUMPRODUCT((Matriz_Esp&lt;&gt;"")*(D13:W13&gt;=2)))</f>
        <v/>
      </c>
    </row>
    <row r="14">
      <c r="A14" s="27">
        <f>IF('Equipe'!A14="","",'Equipe'!A14)</f>
        <v/>
      </c>
      <c r="B14" s="28">
        <f>IF('Equipe'!B14="","",'Equipe'!B14)</f>
        <v/>
      </c>
      <c r="C14" s="27">
        <f>IF('Equipe'!C14="","",'Equipe'!C14)</f>
        <v/>
      </c>
      <c r="D14" s="29" t="n">
        <v>0</v>
      </c>
      <c r="E14" s="29" t="n">
        <v>2</v>
      </c>
      <c r="F14" s="29" t="n">
        <v>3</v>
      </c>
      <c r="G14" s="29" t="n">
        <v>2</v>
      </c>
      <c r="H14" s="29" t="n">
        <v>0</v>
      </c>
      <c r="I14" s="29" t="n">
        <v>0</v>
      </c>
      <c r="J14" s="29" t="n">
        <v>0</v>
      </c>
      <c r="K14" s="29" t="n">
        <v>1</v>
      </c>
      <c r="L14" s="29" t="n">
        <v>0</v>
      </c>
      <c r="M14" s="29" t="n">
        <v>0</v>
      </c>
      <c r="N14" s="29" t="n">
        <v>2</v>
      </c>
      <c r="O14" s="29" t="n">
        <v>1</v>
      </c>
      <c r="P14" s="29" t="n">
        <v>1</v>
      </c>
      <c r="Q14" s="29" t="n">
        <v>0</v>
      </c>
      <c r="R14" s="29" t="n"/>
      <c r="S14" s="29" t="n"/>
      <c r="T14" s="29" t="n"/>
      <c r="U14" s="29" t="n"/>
      <c r="V14" s="29" t="n"/>
      <c r="W14" s="29" t="n"/>
      <c r="X14" s="19">
        <f>IF($B14="","",IFERROR(SUMPRODUCT((Matriz_Esp&lt;&gt;"")*D14:W14)/SUMPRODUCT(--(Matriz_Esp&lt;&gt;"")),""))</f>
        <v/>
      </c>
      <c r="Y14" s="23">
        <f>IF($B14="","",SUMPRODUCT((Matriz_Esp&lt;&gt;"")*(D14:W14&gt;=2)))</f>
        <v/>
      </c>
    </row>
    <row r="15">
      <c r="A15" s="27">
        <f>IF('Equipe'!A15="","",'Equipe'!A15)</f>
        <v/>
      </c>
      <c r="B15" s="28">
        <f>IF('Equipe'!B15="","",'Equipe'!B15)</f>
        <v/>
      </c>
      <c r="C15" s="27">
        <f>IF('Equipe'!C15="","",'Equipe'!C15)</f>
        <v/>
      </c>
      <c r="D15" s="29" t="n">
        <v>0</v>
      </c>
      <c r="E15" s="29" t="n">
        <v>1</v>
      </c>
      <c r="F15" s="29" t="n">
        <v>3</v>
      </c>
      <c r="G15" s="29" t="n">
        <v>2</v>
      </c>
      <c r="H15" s="29" t="n">
        <v>0</v>
      </c>
      <c r="I15" s="29" t="n">
        <v>0</v>
      </c>
      <c r="J15" s="29" t="n">
        <v>1</v>
      </c>
      <c r="K15" s="29" t="n">
        <v>0</v>
      </c>
      <c r="L15" s="29" t="n">
        <v>0</v>
      </c>
      <c r="M15" s="29" t="n">
        <v>0</v>
      </c>
      <c r="N15" s="29" t="n">
        <v>1</v>
      </c>
      <c r="O15" s="29" t="n">
        <v>1</v>
      </c>
      <c r="P15" s="29" t="n">
        <v>1</v>
      </c>
      <c r="Q15" s="29" t="n">
        <v>0</v>
      </c>
      <c r="R15" s="29" t="n"/>
      <c r="S15" s="29" t="n"/>
      <c r="T15" s="29" t="n"/>
      <c r="U15" s="29" t="n"/>
      <c r="V15" s="29" t="n"/>
      <c r="W15" s="29" t="n"/>
      <c r="X15" s="19">
        <f>IF($B15="","",IFERROR(SUMPRODUCT((Matriz_Esp&lt;&gt;"")*D15:W15)/SUMPRODUCT(--(Matriz_Esp&lt;&gt;"")),""))</f>
        <v/>
      </c>
      <c r="Y15" s="23">
        <f>IF($B15="","",SUMPRODUCT((Matriz_Esp&lt;&gt;"")*(D15:W15&gt;=2)))</f>
        <v/>
      </c>
    </row>
    <row r="16">
      <c r="A16" s="27">
        <f>IF('Equipe'!A16="","",'Equipe'!A16)</f>
        <v/>
      </c>
      <c r="B16" s="28">
        <f>IF('Equipe'!B16="","",'Equipe'!B16)</f>
        <v/>
      </c>
      <c r="C16" s="27">
        <f>IF('Equipe'!C16="","",'Equipe'!C16)</f>
        <v/>
      </c>
      <c r="D16" s="29" t="n">
        <v>0</v>
      </c>
      <c r="E16" s="29" t="n">
        <v>2</v>
      </c>
      <c r="F16" s="29" t="n">
        <v>3</v>
      </c>
      <c r="G16" s="29" t="n">
        <v>2</v>
      </c>
      <c r="H16" s="29" t="n">
        <v>1</v>
      </c>
      <c r="I16" s="29" t="n">
        <v>0</v>
      </c>
      <c r="J16" s="29" t="n">
        <v>0</v>
      </c>
      <c r="K16" s="29" t="n">
        <v>1</v>
      </c>
      <c r="L16" s="29" t="n">
        <v>0</v>
      </c>
      <c r="M16" s="29" t="n">
        <v>0</v>
      </c>
      <c r="N16" s="29" t="n">
        <v>2</v>
      </c>
      <c r="O16" s="29" t="n">
        <v>2</v>
      </c>
      <c r="P16" s="29" t="n">
        <v>0</v>
      </c>
      <c r="Q16" s="29" t="n">
        <v>0</v>
      </c>
      <c r="R16" s="29" t="n"/>
      <c r="S16" s="29" t="n"/>
      <c r="T16" s="29" t="n"/>
      <c r="U16" s="29" t="n"/>
      <c r="V16" s="29" t="n"/>
      <c r="W16" s="29" t="n"/>
      <c r="X16" s="19">
        <f>IF($B16="","",IFERROR(SUMPRODUCT((Matriz_Esp&lt;&gt;"")*D16:W16)/SUMPRODUCT(--(Matriz_Esp&lt;&gt;"")),""))</f>
        <v/>
      </c>
      <c r="Y16" s="23">
        <f>IF($B16="","",SUMPRODUCT((Matriz_Esp&lt;&gt;"")*(D16:W16&gt;=2)))</f>
        <v/>
      </c>
    </row>
    <row r="17">
      <c r="A17" s="27">
        <f>IF('Equipe'!A17="","",'Equipe'!A17)</f>
        <v/>
      </c>
      <c r="B17" s="28">
        <f>IF('Equipe'!B17="","",'Equipe'!B17)</f>
        <v/>
      </c>
      <c r="C17" s="27">
        <f>IF('Equipe'!C17="","",'Equipe'!C17)</f>
        <v/>
      </c>
      <c r="D17" s="29" t="n">
        <v>0</v>
      </c>
      <c r="E17" s="29" t="n">
        <v>2</v>
      </c>
      <c r="F17" s="29" t="n">
        <v>3</v>
      </c>
      <c r="G17" s="29" t="n">
        <v>2</v>
      </c>
      <c r="H17" s="29" t="n">
        <v>1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1</v>
      </c>
      <c r="N17" s="29" t="n">
        <v>2</v>
      </c>
      <c r="O17" s="29" t="n">
        <v>2</v>
      </c>
      <c r="P17" s="29" t="n">
        <v>0</v>
      </c>
      <c r="Q17" s="29" t="n">
        <v>1</v>
      </c>
      <c r="R17" s="29" t="n"/>
      <c r="S17" s="29" t="n"/>
      <c r="T17" s="29" t="n"/>
      <c r="U17" s="29" t="n"/>
      <c r="V17" s="29" t="n"/>
      <c r="W17" s="29" t="n"/>
      <c r="X17" s="19">
        <f>IF($B17="","",IFERROR(SUMPRODUCT((Matriz_Esp&lt;&gt;"")*D17:W17)/SUMPRODUCT(--(Matriz_Esp&lt;&gt;"")),""))</f>
        <v/>
      </c>
      <c r="Y17" s="23">
        <f>IF($B17="","",SUMPRODUCT((Matriz_Esp&lt;&gt;"")*(D17:W17&gt;=2)))</f>
        <v/>
      </c>
    </row>
    <row r="18">
      <c r="A18" s="27">
        <f>IF('Equipe'!A18="","",'Equipe'!A18)</f>
        <v/>
      </c>
      <c r="B18" s="28">
        <f>IF('Equipe'!B18="","",'Equipe'!B18)</f>
        <v/>
      </c>
      <c r="C18" s="27">
        <f>IF('Equipe'!C18="","",'Equipe'!C18)</f>
        <v/>
      </c>
      <c r="D18" s="29" t="n">
        <v>0</v>
      </c>
      <c r="E18" s="29" t="n">
        <v>1</v>
      </c>
      <c r="F18" s="29" t="n">
        <v>3</v>
      </c>
      <c r="G18" s="29" t="n">
        <v>2</v>
      </c>
      <c r="H18" s="29" t="n">
        <v>1</v>
      </c>
      <c r="I18" s="29" t="n">
        <v>0</v>
      </c>
      <c r="J18" s="29" t="n">
        <v>0</v>
      </c>
      <c r="K18" s="29" t="n">
        <v>1</v>
      </c>
      <c r="L18" s="29" t="n">
        <v>1</v>
      </c>
      <c r="M18" s="29" t="n">
        <v>1</v>
      </c>
      <c r="N18" s="29" t="n">
        <v>1</v>
      </c>
      <c r="O18" s="29" t="n">
        <v>2</v>
      </c>
      <c r="P18" s="29" t="n">
        <v>0</v>
      </c>
      <c r="Q18" s="29" t="n">
        <v>1</v>
      </c>
      <c r="R18" s="29" t="n"/>
      <c r="S18" s="29" t="n"/>
      <c r="T18" s="29" t="n"/>
      <c r="U18" s="29" t="n"/>
      <c r="V18" s="29" t="n"/>
      <c r="W18" s="29" t="n"/>
      <c r="X18" s="19">
        <f>IF($B18="","",IFERROR(SUMPRODUCT((Matriz_Esp&lt;&gt;"")*D18:W18)/SUMPRODUCT(--(Matriz_Esp&lt;&gt;"")),""))</f>
        <v/>
      </c>
      <c r="Y18" s="23">
        <f>IF($B18="","",SUMPRODUCT((Matriz_Esp&lt;&gt;"")*(D18:W18&gt;=2)))</f>
        <v/>
      </c>
    </row>
    <row r="19">
      <c r="A19" s="27">
        <f>IF('Equipe'!A19="","",'Equipe'!A19)</f>
        <v/>
      </c>
      <c r="B19" s="28">
        <f>IF('Equipe'!B19="","",'Equipe'!B19)</f>
        <v/>
      </c>
      <c r="C19" s="27">
        <f>IF('Equipe'!C19="","",'Equipe'!C19)</f>
        <v/>
      </c>
      <c r="D19" s="29" t="n">
        <v>0</v>
      </c>
      <c r="E19" s="29" t="n">
        <v>2</v>
      </c>
      <c r="F19" s="29" t="n">
        <v>3</v>
      </c>
      <c r="G19" s="29" t="n">
        <v>1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1</v>
      </c>
      <c r="M19" s="29" t="n">
        <v>1</v>
      </c>
      <c r="N19" s="29" t="n">
        <v>2</v>
      </c>
      <c r="O19" s="29" t="n">
        <v>1</v>
      </c>
      <c r="P19" s="29" t="n">
        <v>0</v>
      </c>
      <c r="Q19" s="29" t="n">
        <v>0</v>
      </c>
      <c r="R19" s="29" t="n"/>
      <c r="S19" s="29" t="n"/>
      <c r="T19" s="29" t="n"/>
      <c r="U19" s="29" t="n"/>
      <c r="V19" s="29" t="n"/>
      <c r="W19" s="29" t="n"/>
      <c r="X19" s="19">
        <f>IF($B19="","",IFERROR(SUMPRODUCT((Matriz_Esp&lt;&gt;"")*D19:W19)/SUMPRODUCT(--(Matriz_Esp&lt;&gt;"")),""))</f>
        <v/>
      </c>
      <c r="Y19" s="23">
        <f>IF($B19="","",SUMPRODUCT((Matriz_Esp&lt;&gt;"")*(D19:W19&gt;=2)))</f>
        <v/>
      </c>
    </row>
    <row r="20">
      <c r="A20" s="27">
        <f>IF('Equipe'!A20="","",'Equipe'!A20)</f>
        <v/>
      </c>
      <c r="B20" s="28">
        <f>IF('Equipe'!B20="","",'Equipe'!B20)</f>
        <v/>
      </c>
      <c r="C20" s="27">
        <f>IF('Equipe'!C20="","",'Equipe'!C20)</f>
        <v/>
      </c>
      <c r="D20" s="29" t="n">
        <v>1</v>
      </c>
      <c r="E20" s="29" t="n">
        <v>0</v>
      </c>
      <c r="F20" s="29" t="n">
        <v>2</v>
      </c>
      <c r="G20" s="29" t="n">
        <v>3</v>
      </c>
      <c r="H20" s="29" t="n">
        <v>2</v>
      </c>
      <c r="I20" s="29" t="n">
        <v>2</v>
      </c>
      <c r="J20" s="29" t="n">
        <v>1</v>
      </c>
      <c r="K20" s="29" t="n">
        <v>0</v>
      </c>
      <c r="L20" s="29" t="n">
        <v>1</v>
      </c>
      <c r="M20" s="29" t="n">
        <v>0</v>
      </c>
      <c r="N20" s="29" t="n">
        <v>3</v>
      </c>
      <c r="O20" s="29" t="n">
        <v>0</v>
      </c>
      <c r="P20" s="29" t="n">
        <v>0</v>
      </c>
      <c r="Q20" s="29" t="n">
        <v>0</v>
      </c>
      <c r="R20" s="29" t="n"/>
      <c r="S20" s="29" t="n"/>
      <c r="T20" s="29" t="n"/>
      <c r="U20" s="29" t="n"/>
      <c r="V20" s="29" t="n"/>
      <c r="W20" s="29" t="n"/>
      <c r="X20" s="19">
        <f>IF($B20="","",IFERROR(SUMPRODUCT((Matriz_Esp&lt;&gt;"")*D20:W20)/SUMPRODUCT(--(Matriz_Esp&lt;&gt;"")),""))</f>
        <v/>
      </c>
      <c r="Y20" s="23">
        <f>IF($B20="","",SUMPRODUCT((Matriz_Esp&lt;&gt;"")*(D20:W20&gt;=2)))</f>
        <v/>
      </c>
    </row>
    <row r="21">
      <c r="A21" s="27">
        <f>IF('Equipe'!A21="","",'Equipe'!A21)</f>
        <v/>
      </c>
      <c r="B21" s="28">
        <f>IF('Equipe'!B21="","",'Equipe'!B21)</f>
        <v/>
      </c>
      <c r="C21" s="27">
        <f>IF('Equipe'!C21="","",'Equipe'!C21)</f>
        <v/>
      </c>
      <c r="D21" s="29" t="n">
        <v>0</v>
      </c>
      <c r="E21" s="29" t="n">
        <v>0</v>
      </c>
      <c r="F21" s="29" t="n">
        <v>2</v>
      </c>
      <c r="G21" s="29" t="n">
        <v>3</v>
      </c>
      <c r="H21" s="29" t="n">
        <v>1</v>
      </c>
      <c r="I21" s="29" t="n">
        <v>2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3</v>
      </c>
      <c r="O21" s="29" t="n">
        <v>0</v>
      </c>
      <c r="P21" s="29" t="n">
        <v>0</v>
      </c>
      <c r="Q21" s="29" t="n">
        <v>0</v>
      </c>
      <c r="R21" s="29" t="n"/>
      <c r="S21" s="29" t="n"/>
      <c r="T21" s="29" t="n"/>
      <c r="U21" s="29" t="n"/>
      <c r="V21" s="29" t="n"/>
      <c r="W21" s="29" t="n"/>
      <c r="X21" s="19">
        <f>IF($B21="","",IFERROR(SUMPRODUCT((Matriz_Esp&lt;&gt;"")*D21:W21)/SUMPRODUCT(--(Matriz_Esp&lt;&gt;"")),""))</f>
        <v/>
      </c>
      <c r="Y21" s="23">
        <f>IF($B21="","",SUMPRODUCT((Matriz_Esp&lt;&gt;"")*(D21:W21&gt;=2)))</f>
        <v/>
      </c>
    </row>
    <row r="22">
      <c r="A22" s="27">
        <f>IF('Equipe'!A22="","",'Equipe'!A22)</f>
        <v/>
      </c>
      <c r="B22" s="28">
        <f>IF('Equipe'!B22="","",'Equipe'!B22)</f>
        <v/>
      </c>
      <c r="C22" s="27">
        <f>IF('Equipe'!C22="","",'Equipe'!C22)</f>
        <v/>
      </c>
      <c r="D22" s="29" t="n">
        <v>0</v>
      </c>
      <c r="E22" s="29" t="n">
        <v>0</v>
      </c>
      <c r="F22" s="29" t="n">
        <v>1</v>
      </c>
      <c r="G22" s="29" t="n">
        <v>3</v>
      </c>
      <c r="H22" s="29" t="n">
        <v>1</v>
      </c>
      <c r="I22" s="29" t="n">
        <v>1</v>
      </c>
      <c r="J22" s="29" t="n">
        <v>0</v>
      </c>
      <c r="K22" s="29" t="n">
        <v>0</v>
      </c>
      <c r="L22" s="29" t="n">
        <v>1</v>
      </c>
      <c r="M22" s="29" t="n">
        <v>1</v>
      </c>
      <c r="N22" s="29" t="n">
        <v>3</v>
      </c>
      <c r="O22" s="29" t="n">
        <v>1</v>
      </c>
      <c r="P22" s="29" t="n">
        <v>0</v>
      </c>
      <c r="Q22" s="29" t="n">
        <v>1</v>
      </c>
      <c r="R22" s="29" t="n"/>
      <c r="S22" s="29" t="n"/>
      <c r="T22" s="29" t="n"/>
      <c r="U22" s="29" t="n"/>
      <c r="V22" s="29" t="n"/>
      <c r="W22" s="29" t="n"/>
      <c r="X22" s="19">
        <f>IF($B22="","",IFERROR(SUMPRODUCT((Matriz_Esp&lt;&gt;"")*D22:W22)/SUMPRODUCT(--(Matriz_Esp&lt;&gt;"")),""))</f>
        <v/>
      </c>
      <c r="Y22" s="23">
        <f>IF($B22="","",SUMPRODUCT((Matriz_Esp&lt;&gt;"")*(D22:W22&gt;=2)))</f>
        <v/>
      </c>
    </row>
    <row r="23">
      <c r="A23" s="27">
        <f>IF('Equipe'!A23="","",'Equipe'!A23)</f>
        <v/>
      </c>
      <c r="B23" s="28">
        <f>IF('Equipe'!B23="","",'Equipe'!B23)</f>
        <v/>
      </c>
      <c r="C23" s="27">
        <f>IF('Equipe'!C23="","",'Equipe'!C23)</f>
        <v/>
      </c>
      <c r="D23" s="29" t="n">
        <v>1</v>
      </c>
      <c r="E23" s="29" t="n">
        <v>0</v>
      </c>
      <c r="F23" s="29" t="n">
        <v>1</v>
      </c>
      <c r="G23" s="29" t="n">
        <v>3</v>
      </c>
      <c r="H23" s="29" t="n">
        <v>2</v>
      </c>
      <c r="I23" s="29" t="n">
        <v>1</v>
      </c>
      <c r="J23" s="29" t="n">
        <v>0</v>
      </c>
      <c r="K23" s="29" t="n">
        <v>1</v>
      </c>
      <c r="L23" s="29" t="n">
        <v>0</v>
      </c>
      <c r="M23" s="29" t="n">
        <v>0</v>
      </c>
      <c r="N23" s="29" t="n">
        <v>3</v>
      </c>
      <c r="O23" s="29" t="n">
        <v>0</v>
      </c>
      <c r="P23" s="29" t="n">
        <v>0</v>
      </c>
      <c r="Q23" s="29" t="n">
        <v>0</v>
      </c>
      <c r="R23" s="29" t="n"/>
      <c r="S23" s="29" t="n"/>
      <c r="T23" s="29" t="n"/>
      <c r="U23" s="29" t="n"/>
      <c r="V23" s="29" t="n"/>
      <c r="W23" s="29" t="n"/>
      <c r="X23" s="19">
        <f>IF($B23="","",IFERROR(SUMPRODUCT((Matriz_Esp&lt;&gt;"")*D23:W23)/SUMPRODUCT(--(Matriz_Esp&lt;&gt;"")),""))</f>
        <v/>
      </c>
      <c r="Y23" s="23">
        <f>IF($B23="","",SUMPRODUCT((Matriz_Esp&lt;&gt;"")*(D23:W23&gt;=2)))</f>
        <v/>
      </c>
    </row>
    <row r="24">
      <c r="A24" s="27">
        <f>IF('Equipe'!A24="","",'Equipe'!A24)</f>
        <v/>
      </c>
      <c r="B24" s="28">
        <f>IF('Equipe'!B24="","",'Equipe'!B24)</f>
        <v/>
      </c>
      <c r="C24" s="27">
        <f>IF('Equipe'!C24="","",'Equipe'!C24)</f>
        <v/>
      </c>
      <c r="D24" s="29" t="n">
        <v>0</v>
      </c>
      <c r="E24" s="29" t="n">
        <v>0</v>
      </c>
      <c r="F24" s="29" t="n">
        <v>1</v>
      </c>
      <c r="G24" s="29" t="n">
        <v>3</v>
      </c>
      <c r="H24" s="29" t="n">
        <v>2</v>
      </c>
      <c r="I24" s="29" t="n">
        <v>2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3</v>
      </c>
      <c r="O24" s="29" t="n">
        <v>1</v>
      </c>
      <c r="P24" s="29" t="n">
        <v>0</v>
      </c>
      <c r="Q24" s="29" t="n">
        <v>0</v>
      </c>
      <c r="R24" s="29" t="n"/>
      <c r="S24" s="29" t="n"/>
      <c r="T24" s="29" t="n"/>
      <c r="U24" s="29" t="n"/>
      <c r="V24" s="29" t="n"/>
      <c r="W24" s="29" t="n"/>
      <c r="X24" s="19">
        <f>IF($B24="","",IFERROR(SUMPRODUCT((Matriz_Esp&lt;&gt;"")*D24:W24)/SUMPRODUCT(--(Matriz_Esp&lt;&gt;"")),""))</f>
        <v/>
      </c>
      <c r="Y24" s="23">
        <f>IF($B24="","",SUMPRODUCT((Matriz_Esp&lt;&gt;"")*(D24:W24&gt;=2)))</f>
        <v/>
      </c>
    </row>
    <row r="25">
      <c r="A25" s="27">
        <f>IF('Equipe'!A25="","",'Equipe'!A25)</f>
        <v/>
      </c>
      <c r="B25" s="28">
        <f>IF('Equipe'!B25="","",'Equipe'!B25)</f>
        <v/>
      </c>
      <c r="C25" s="27">
        <f>IF('Equipe'!C25="","",'Equipe'!C25)</f>
        <v/>
      </c>
      <c r="D25" s="29" t="n">
        <v>1</v>
      </c>
      <c r="E25" s="29" t="n">
        <v>0</v>
      </c>
      <c r="F25" s="29" t="n">
        <v>1</v>
      </c>
      <c r="G25" s="29" t="n">
        <v>3</v>
      </c>
      <c r="H25" s="29" t="n">
        <v>2</v>
      </c>
      <c r="I25" s="29" t="n">
        <v>2</v>
      </c>
      <c r="J25" s="29" t="n">
        <v>0</v>
      </c>
      <c r="K25" s="29" t="n">
        <v>0</v>
      </c>
      <c r="L25" s="29" t="n">
        <v>1</v>
      </c>
      <c r="M25" s="29" t="n">
        <v>0</v>
      </c>
      <c r="N25" s="29" t="n">
        <v>3</v>
      </c>
      <c r="O25" s="29" t="n">
        <v>0</v>
      </c>
      <c r="P25" s="29" t="n">
        <v>0</v>
      </c>
      <c r="Q25" s="29" t="n">
        <v>0</v>
      </c>
      <c r="R25" s="29" t="n"/>
      <c r="S25" s="29" t="n"/>
      <c r="T25" s="29" t="n"/>
      <c r="U25" s="29" t="n"/>
      <c r="V25" s="29" t="n"/>
      <c r="W25" s="29" t="n"/>
      <c r="X25" s="19">
        <f>IF($B25="","",IFERROR(SUMPRODUCT((Matriz_Esp&lt;&gt;"")*D25:W25)/SUMPRODUCT(--(Matriz_Esp&lt;&gt;"")),""))</f>
        <v/>
      </c>
      <c r="Y25" s="23">
        <f>IF($B25="","",SUMPRODUCT((Matriz_Esp&lt;&gt;"")*(D25:W25&gt;=2)))</f>
        <v/>
      </c>
    </row>
    <row r="26">
      <c r="A26" s="27">
        <f>IF('Equipe'!A26="","",'Equipe'!A26)</f>
        <v/>
      </c>
      <c r="B26" s="28">
        <f>IF('Equipe'!B26="","",'Equipe'!B26)</f>
        <v/>
      </c>
      <c r="C26" s="27">
        <f>IF('Equipe'!C26="","",'Equipe'!C26)</f>
        <v/>
      </c>
      <c r="D26" s="29" t="n">
        <v>0</v>
      </c>
      <c r="E26" s="29" t="n">
        <v>0</v>
      </c>
      <c r="F26" s="29" t="n">
        <v>1</v>
      </c>
      <c r="G26" s="29" t="n">
        <v>1</v>
      </c>
      <c r="H26" s="29" t="n">
        <v>3</v>
      </c>
      <c r="I26" s="29" t="n">
        <v>3</v>
      </c>
      <c r="J26" s="29" t="n">
        <v>0</v>
      </c>
      <c r="K26" s="29" t="n">
        <v>1</v>
      </c>
      <c r="L26" s="29" t="n">
        <v>2</v>
      </c>
      <c r="M26" s="29" t="n">
        <v>0</v>
      </c>
      <c r="N26" s="29" t="n">
        <v>2</v>
      </c>
      <c r="O26" s="29" t="n">
        <v>0</v>
      </c>
      <c r="P26" s="29" t="n">
        <v>0</v>
      </c>
      <c r="Q26" s="29" t="n">
        <v>0</v>
      </c>
      <c r="R26" s="29" t="n"/>
      <c r="S26" s="29" t="n"/>
      <c r="T26" s="29" t="n"/>
      <c r="U26" s="29" t="n"/>
      <c r="V26" s="29" t="n"/>
      <c r="W26" s="29" t="n"/>
      <c r="X26" s="19">
        <f>IF($B26="","",IFERROR(SUMPRODUCT((Matriz_Esp&lt;&gt;"")*D26:W26)/SUMPRODUCT(--(Matriz_Esp&lt;&gt;"")),""))</f>
        <v/>
      </c>
      <c r="Y26" s="23">
        <f>IF($B26="","",SUMPRODUCT((Matriz_Esp&lt;&gt;"")*(D26:W26&gt;=2)))</f>
        <v/>
      </c>
    </row>
    <row r="27">
      <c r="A27" s="27">
        <f>IF('Equipe'!A27="","",'Equipe'!A27)</f>
        <v/>
      </c>
      <c r="B27" s="28">
        <f>IF('Equipe'!B27="","",'Equipe'!B27)</f>
        <v/>
      </c>
      <c r="C27" s="27">
        <f>IF('Equipe'!C27="","",'Equipe'!C27)</f>
        <v/>
      </c>
      <c r="D27" s="29" t="n">
        <v>1</v>
      </c>
      <c r="E27" s="29" t="n">
        <v>1</v>
      </c>
      <c r="F27" s="29" t="n">
        <v>0</v>
      </c>
      <c r="G27" s="29" t="n">
        <v>2</v>
      </c>
      <c r="H27" s="29" t="n">
        <v>3</v>
      </c>
      <c r="I27" s="29" t="n">
        <v>3</v>
      </c>
      <c r="J27" s="29" t="n">
        <v>0</v>
      </c>
      <c r="K27" s="29" t="n">
        <v>2</v>
      </c>
      <c r="L27" s="29" t="n">
        <v>2</v>
      </c>
      <c r="M27" s="29" t="n">
        <v>1</v>
      </c>
      <c r="N27" s="29" t="n">
        <v>2</v>
      </c>
      <c r="O27" s="29" t="n">
        <v>0</v>
      </c>
      <c r="P27" s="29" t="n">
        <v>0</v>
      </c>
      <c r="Q27" s="29" t="n">
        <v>0</v>
      </c>
      <c r="R27" s="29" t="n"/>
      <c r="S27" s="29" t="n"/>
      <c r="T27" s="29" t="n"/>
      <c r="U27" s="29" t="n"/>
      <c r="V27" s="29" t="n"/>
      <c r="W27" s="29" t="n"/>
      <c r="X27" s="19">
        <f>IF($B27="","",IFERROR(SUMPRODUCT((Matriz_Esp&lt;&gt;"")*D27:W27)/SUMPRODUCT(--(Matriz_Esp&lt;&gt;"")),""))</f>
        <v/>
      </c>
      <c r="Y27" s="23">
        <f>IF($B27="","",SUMPRODUCT((Matriz_Esp&lt;&gt;"")*(D27:W27&gt;=2)))</f>
        <v/>
      </c>
    </row>
    <row r="28">
      <c r="A28" s="27">
        <f>IF('Equipe'!A28="","",'Equipe'!A28)</f>
        <v/>
      </c>
      <c r="B28" s="28">
        <f>IF('Equipe'!B28="","",'Equipe'!B28)</f>
        <v/>
      </c>
      <c r="C28" s="27">
        <f>IF('Equipe'!C28="","",'Equipe'!C28)</f>
        <v/>
      </c>
      <c r="D28" s="29" t="n">
        <v>1</v>
      </c>
      <c r="E28" s="29" t="n">
        <v>0</v>
      </c>
      <c r="F28" s="29" t="n">
        <v>0</v>
      </c>
      <c r="G28" s="29" t="n">
        <v>1</v>
      </c>
      <c r="H28" s="29" t="n">
        <v>3</v>
      </c>
      <c r="I28" s="29" t="n">
        <v>3</v>
      </c>
      <c r="J28" s="29" t="n">
        <v>0</v>
      </c>
      <c r="K28" s="29" t="n">
        <v>1</v>
      </c>
      <c r="L28" s="29" t="n">
        <v>1</v>
      </c>
      <c r="M28" s="29" t="n">
        <v>0</v>
      </c>
      <c r="N28" s="29" t="n">
        <v>2</v>
      </c>
      <c r="O28" s="29" t="n">
        <v>0</v>
      </c>
      <c r="P28" s="29" t="n">
        <v>0</v>
      </c>
      <c r="Q28" s="29" t="n">
        <v>0</v>
      </c>
      <c r="R28" s="29" t="n"/>
      <c r="S28" s="29" t="n"/>
      <c r="T28" s="29" t="n"/>
      <c r="U28" s="29" t="n"/>
      <c r="V28" s="29" t="n"/>
      <c r="W28" s="29" t="n"/>
      <c r="X28" s="19">
        <f>IF($B28="","",IFERROR(SUMPRODUCT((Matriz_Esp&lt;&gt;"")*D28:W28)/SUMPRODUCT(--(Matriz_Esp&lt;&gt;"")),""))</f>
        <v/>
      </c>
      <c r="Y28" s="23">
        <f>IF($B28="","",SUMPRODUCT((Matriz_Esp&lt;&gt;"")*(D28:W28&gt;=2)))</f>
        <v/>
      </c>
    </row>
    <row r="29">
      <c r="A29" s="27">
        <f>IF('Equipe'!A29="","",'Equipe'!A29)</f>
        <v/>
      </c>
      <c r="B29" s="28">
        <f>IF('Equipe'!B29="","",'Equipe'!B29)</f>
        <v/>
      </c>
      <c r="C29" s="27">
        <f>IF('Equipe'!C29="","",'Equipe'!C29)</f>
        <v/>
      </c>
      <c r="D29" s="29" t="n">
        <v>0</v>
      </c>
      <c r="E29" s="29" t="n">
        <v>0</v>
      </c>
      <c r="F29" s="29" t="n">
        <v>0</v>
      </c>
      <c r="G29" s="29" t="n">
        <v>1</v>
      </c>
      <c r="H29" s="29" t="n">
        <v>3</v>
      </c>
      <c r="I29" s="29" t="n">
        <v>3</v>
      </c>
      <c r="J29" s="29" t="n">
        <v>0</v>
      </c>
      <c r="K29" s="29" t="n">
        <v>2</v>
      </c>
      <c r="L29" s="29" t="n">
        <v>1</v>
      </c>
      <c r="M29" s="29" t="n">
        <v>0</v>
      </c>
      <c r="N29" s="29" t="n">
        <v>1</v>
      </c>
      <c r="O29" s="29" t="n">
        <v>0</v>
      </c>
      <c r="P29" s="29" t="n">
        <v>0</v>
      </c>
      <c r="Q29" s="29" t="n">
        <v>0</v>
      </c>
      <c r="R29" s="29" t="n"/>
      <c r="S29" s="29" t="n"/>
      <c r="T29" s="29" t="n"/>
      <c r="U29" s="29" t="n"/>
      <c r="V29" s="29" t="n"/>
      <c r="W29" s="29" t="n"/>
      <c r="X29" s="19">
        <f>IF($B29="","",IFERROR(SUMPRODUCT((Matriz_Esp&lt;&gt;"")*D29:W29)/SUMPRODUCT(--(Matriz_Esp&lt;&gt;"")),""))</f>
        <v/>
      </c>
      <c r="Y29" s="23">
        <f>IF($B29="","",SUMPRODUCT((Matriz_Esp&lt;&gt;"")*(D29:W29&gt;=2)))</f>
        <v/>
      </c>
    </row>
    <row r="30">
      <c r="A30" s="27">
        <f>IF('Equipe'!A30="","",'Equipe'!A30)</f>
        <v/>
      </c>
      <c r="B30" s="28">
        <f>IF('Equipe'!B30="","",'Equipe'!B30)</f>
        <v/>
      </c>
      <c r="C30" s="27">
        <f>IF('Equipe'!C30="","",'Equipe'!C30)</f>
        <v/>
      </c>
      <c r="D30" s="29" t="n">
        <v>1</v>
      </c>
      <c r="E30" s="29" t="n">
        <v>0</v>
      </c>
      <c r="F30" s="29" t="n">
        <v>1</v>
      </c>
      <c r="G30" s="29" t="n">
        <v>2</v>
      </c>
      <c r="H30" s="29" t="n">
        <v>3</v>
      </c>
      <c r="I30" s="29" t="n">
        <v>3</v>
      </c>
      <c r="J30" s="29" t="n">
        <v>0</v>
      </c>
      <c r="K30" s="29" t="n">
        <v>2</v>
      </c>
      <c r="L30" s="29" t="n">
        <v>2</v>
      </c>
      <c r="M30" s="29" t="n">
        <v>1</v>
      </c>
      <c r="N30" s="29" t="n">
        <v>2</v>
      </c>
      <c r="O30" s="29" t="n">
        <v>0</v>
      </c>
      <c r="P30" s="29" t="n">
        <v>0</v>
      </c>
      <c r="Q30" s="29" t="n">
        <v>1</v>
      </c>
      <c r="R30" s="29" t="n"/>
      <c r="S30" s="29" t="n"/>
      <c r="T30" s="29" t="n"/>
      <c r="U30" s="29" t="n"/>
      <c r="V30" s="29" t="n"/>
      <c r="W30" s="29" t="n"/>
      <c r="X30" s="19">
        <f>IF($B30="","",IFERROR(SUMPRODUCT((Matriz_Esp&lt;&gt;"")*D30:W30)/SUMPRODUCT(--(Matriz_Esp&lt;&gt;"")),""))</f>
        <v/>
      </c>
      <c r="Y30" s="23">
        <f>IF($B30="","",SUMPRODUCT((Matriz_Esp&lt;&gt;"")*(D30:W30&gt;=2)))</f>
        <v/>
      </c>
    </row>
    <row r="31">
      <c r="A31" s="27">
        <f>IF('Equipe'!A31="","",'Equipe'!A31)</f>
        <v/>
      </c>
      <c r="B31" s="28">
        <f>IF('Equipe'!B31="","",'Equipe'!B31)</f>
        <v/>
      </c>
      <c r="C31" s="27">
        <f>IF('Equipe'!C31="","",'Equipe'!C31)</f>
        <v/>
      </c>
      <c r="D31" s="29" t="n">
        <v>0</v>
      </c>
      <c r="E31" s="29" t="n">
        <v>0</v>
      </c>
      <c r="F31" s="29" t="n">
        <v>0</v>
      </c>
      <c r="G31" s="29" t="n">
        <v>2</v>
      </c>
      <c r="H31" s="29" t="n">
        <v>3</v>
      </c>
      <c r="I31" s="29" t="n">
        <v>3</v>
      </c>
      <c r="J31" s="29" t="n">
        <v>0</v>
      </c>
      <c r="K31" s="29" t="n">
        <v>1</v>
      </c>
      <c r="L31" s="29" t="n">
        <v>1</v>
      </c>
      <c r="M31" s="29" t="n">
        <v>0</v>
      </c>
      <c r="N31" s="29" t="n">
        <v>1</v>
      </c>
      <c r="O31" s="29" t="n">
        <v>1</v>
      </c>
      <c r="P31" s="29" t="n">
        <v>0</v>
      </c>
      <c r="Q31" s="29" t="n">
        <v>0</v>
      </c>
      <c r="R31" s="29" t="n"/>
      <c r="S31" s="29" t="n"/>
      <c r="T31" s="29" t="n"/>
      <c r="U31" s="29" t="n"/>
      <c r="V31" s="29" t="n"/>
      <c r="W31" s="29" t="n"/>
      <c r="X31" s="19">
        <f>IF($B31="","",IFERROR(SUMPRODUCT((Matriz_Esp&lt;&gt;"")*D31:W31)/SUMPRODUCT(--(Matriz_Esp&lt;&gt;"")),""))</f>
        <v/>
      </c>
      <c r="Y31" s="23">
        <f>IF($B31="","",SUMPRODUCT((Matriz_Esp&lt;&gt;"")*(D31:W31&gt;=2)))</f>
        <v/>
      </c>
    </row>
    <row r="32">
      <c r="A32" s="27">
        <f>IF('Equipe'!A32="","",'Equipe'!A32)</f>
        <v/>
      </c>
      <c r="B32" s="28">
        <f>IF('Equipe'!B32="","",'Equipe'!B32)</f>
        <v/>
      </c>
      <c r="C32" s="27">
        <f>IF('Equipe'!C32="","",'Equipe'!C32)</f>
        <v/>
      </c>
      <c r="D32" s="29" t="n">
        <v>0</v>
      </c>
      <c r="E32" s="29" t="n">
        <v>0</v>
      </c>
      <c r="F32" s="29" t="n">
        <v>0</v>
      </c>
      <c r="G32" s="29" t="n">
        <v>0</v>
      </c>
      <c r="H32" s="29" t="n">
        <v>1</v>
      </c>
      <c r="I32" s="29" t="n">
        <v>2</v>
      </c>
      <c r="J32" s="29" t="n">
        <v>0</v>
      </c>
      <c r="K32" s="29" t="n">
        <v>3</v>
      </c>
      <c r="L32" s="29" t="n">
        <v>3</v>
      </c>
      <c r="M32" s="29" t="n">
        <v>2</v>
      </c>
      <c r="N32" s="29" t="n">
        <v>0</v>
      </c>
      <c r="O32" s="29" t="n">
        <v>0</v>
      </c>
      <c r="P32" s="29" t="n">
        <v>0</v>
      </c>
      <c r="Q32" s="29" t="n">
        <v>1</v>
      </c>
      <c r="R32" s="29" t="n"/>
      <c r="S32" s="29" t="n"/>
      <c r="T32" s="29" t="n"/>
      <c r="U32" s="29" t="n"/>
      <c r="V32" s="29" t="n"/>
      <c r="W32" s="29" t="n"/>
      <c r="X32" s="19">
        <f>IF($B32="","",IFERROR(SUMPRODUCT((Matriz_Esp&lt;&gt;"")*D32:W32)/SUMPRODUCT(--(Matriz_Esp&lt;&gt;"")),""))</f>
        <v/>
      </c>
      <c r="Y32" s="23">
        <f>IF($B32="","",SUMPRODUCT((Matriz_Esp&lt;&gt;"")*(D32:W32&gt;=2)))</f>
        <v/>
      </c>
    </row>
    <row r="33">
      <c r="A33" s="27">
        <f>IF('Equipe'!A33="","",'Equipe'!A33)</f>
        <v/>
      </c>
      <c r="B33" s="28">
        <f>IF('Equipe'!B33="","",'Equipe'!B33)</f>
        <v/>
      </c>
      <c r="C33" s="27">
        <f>IF('Equipe'!C33="","",'Equipe'!C33)</f>
        <v/>
      </c>
      <c r="D33" s="29" t="n">
        <v>0</v>
      </c>
      <c r="E33" s="29" t="n">
        <v>1</v>
      </c>
      <c r="F33" s="29" t="n">
        <v>1</v>
      </c>
      <c r="G33" s="29" t="n">
        <v>0</v>
      </c>
      <c r="H33" s="29" t="n">
        <v>2</v>
      </c>
      <c r="I33" s="29" t="n">
        <v>1</v>
      </c>
      <c r="J33" s="29" t="n">
        <v>0</v>
      </c>
      <c r="K33" s="29" t="n">
        <v>3</v>
      </c>
      <c r="L33" s="29" t="n">
        <v>3</v>
      </c>
      <c r="M33" s="29" t="n">
        <v>2</v>
      </c>
      <c r="N33" s="29" t="n">
        <v>0</v>
      </c>
      <c r="O33" s="29" t="n">
        <v>0</v>
      </c>
      <c r="P33" s="29" t="n">
        <v>0</v>
      </c>
      <c r="Q33" s="29" t="n">
        <v>2</v>
      </c>
      <c r="R33" s="29" t="n"/>
      <c r="S33" s="29" t="n"/>
      <c r="T33" s="29" t="n"/>
      <c r="U33" s="29" t="n"/>
      <c r="V33" s="29" t="n"/>
      <c r="W33" s="29" t="n"/>
      <c r="X33" s="19">
        <f>IF($B33="","",IFERROR(SUMPRODUCT((Matriz_Esp&lt;&gt;"")*D33:W33)/SUMPRODUCT(--(Matriz_Esp&lt;&gt;"")),""))</f>
        <v/>
      </c>
      <c r="Y33" s="23">
        <f>IF($B33="","",SUMPRODUCT((Matriz_Esp&lt;&gt;"")*(D33:W33&gt;=2)))</f>
        <v/>
      </c>
    </row>
    <row r="34">
      <c r="A34" s="27">
        <f>IF('Equipe'!A34="","",'Equipe'!A34)</f>
        <v/>
      </c>
      <c r="B34" s="28">
        <f>IF('Equipe'!B34="","",'Equipe'!B34)</f>
        <v/>
      </c>
      <c r="C34" s="27">
        <f>IF('Equipe'!C34="","",'Equipe'!C34)</f>
        <v/>
      </c>
      <c r="D34" s="29" t="n">
        <v>0</v>
      </c>
      <c r="E34" s="29" t="n">
        <v>1</v>
      </c>
      <c r="F34" s="29" t="n">
        <v>1</v>
      </c>
      <c r="G34" s="29" t="n">
        <v>0</v>
      </c>
      <c r="H34" s="29" t="n">
        <v>2</v>
      </c>
      <c r="I34" s="29" t="n">
        <v>1</v>
      </c>
      <c r="J34" s="29" t="n">
        <v>1</v>
      </c>
      <c r="K34" s="29" t="n">
        <v>3</v>
      </c>
      <c r="L34" s="29" t="n">
        <v>3</v>
      </c>
      <c r="M34" s="29" t="n">
        <v>1</v>
      </c>
      <c r="N34" s="29" t="n">
        <v>1</v>
      </c>
      <c r="O34" s="29" t="n">
        <v>1</v>
      </c>
      <c r="P34" s="29" t="n">
        <v>0</v>
      </c>
      <c r="Q34" s="29" t="n">
        <v>2</v>
      </c>
      <c r="R34" s="29" t="n"/>
      <c r="S34" s="29" t="n"/>
      <c r="T34" s="29" t="n"/>
      <c r="U34" s="29" t="n"/>
      <c r="V34" s="29" t="n"/>
      <c r="W34" s="29" t="n"/>
      <c r="X34" s="19">
        <f>IF($B34="","",IFERROR(SUMPRODUCT((Matriz_Esp&lt;&gt;"")*D34:W34)/SUMPRODUCT(--(Matriz_Esp&lt;&gt;"")),""))</f>
        <v/>
      </c>
      <c r="Y34" s="23">
        <f>IF($B34="","",SUMPRODUCT((Matriz_Esp&lt;&gt;"")*(D34:W34&gt;=2)))</f>
        <v/>
      </c>
    </row>
    <row r="35">
      <c r="A35" s="27">
        <f>IF('Equipe'!A35="","",'Equipe'!A35)</f>
        <v/>
      </c>
      <c r="B35" s="28">
        <f>IF('Equipe'!B35="","",'Equipe'!B35)</f>
        <v/>
      </c>
      <c r="C35" s="27">
        <f>IF('Equipe'!C35="","",'Equipe'!C35)</f>
        <v/>
      </c>
      <c r="D35" s="29" t="n">
        <v>1</v>
      </c>
      <c r="E35" s="29" t="n">
        <v>1</v>
      </c>
      <c r="F35" s="29" t="n">
        <v>0</v>
      </c>
      <c r="G35" s="29" t="n">
        <v>0</v>
      </c>
      <c r="H35" s="29" t="n">
        <v>1</v>
      </c>
      <c r="I35" s="29" t="n">
        <v>2</v>
      </c>
      <c r="J35" s="29" t="n">
        <v>0</v>
      </c>
      <c r="K35" s="29" t="n">
        <v>3</v>
      </c>
      <c r="L35" s="29" t="n">
        <v>3</v>
      </c>
      <c r="M35" s="29" t="n">
        <v>2</v>
      </c>
      <c r="N35" s="29" t="n">
        <v>0</v>
      </c>
      <c r="O35" s="29" t="n">
        <v>1</v>
      </c>
      <c r="P35" s="29" t="n">
        <v>0</v>
      </c>
      <c r="Q35" s="29" t="n">
        <v>1</v>
      </c>
      <c r="R35" s="29" t="n"/>
      <c r="S35" s="29" t="n"/>
      <c r="T35" s="29" t="n"/>
      <c r="U35" s="29" t="n"/>
      <c r="V35" s="29" t="n"/>
      <c r="W35" s="29" t="n"/>
      <c r="X35" s="19">
        <f>IF($B35="","",IFERROR(SUMPRODUCT((Matriz_Esp&lt;&gt;"")*D35:W35)/SUMPRODUCT(--(Matriz_Esp&lt;&gt;"")),""))</f>
        <v/>
      </c>
      <c r="Y35" s="23">
        <f>IF($B35="","",SUMPRODUCT((Matriz_Esp&lt;&gt;"")*(D35:W35&gt;=2)))</f>
        <v/>
      </c>
    </row>
    <row r="36">
      <c r="A36" s="27">
        <f>IF('Equipe'!A36="","",'Equipe'!A36)</f>
        <v/>
      </c>
      <c r="B36" s="28">
        <f>IF('Equipe'!B36="","",'Equipe'!B36)</f>
        <v/>
      </c>
      <c r="C36" s="27">
        <f>IF('Equipe'!C36="","",'Equipe'!C36)</f>
        <v/>
      </c>
      <c r="D36" s="29" t="n">
        <v>1</v>
      </c>
      <c r="E36" s="29" t="n">
        <v>1</v>
      </c>
      <c r="F36" s="29" t="n">
        <v>0</v>
      </c>
      <c r="G36" s="29" t="n">
        <v>0</v>
      </c>
      <c r="H36" s="29" t="n">
        <v>1</v>
      </c>
      <c r="I36" s="29" t="n">
        <v>2</v>
      </c>
      <c r="J36" s="29" t="n">
        <v>1</v>
      </c>
      <c r="K36" s="29" t="n">
        <v>3</v>
      </c>
      <c r="L36" s="29" t="n">
        <v>3</v>
      </c>
      <c r="M36" s="29" t="n">
        <v>2</v>
      </c>
      <c r="N36" s="29" t="n">
        <v>0</v>
      </c>
      <c r="O36" s="29" t="n">
        <v>0</v>
      </c>
      <c r="P36" s="29" t="n">
        <v>1</v>
      </c>
      <c r="Q36" s="29" t="n">
        <v>1</v>
      </c>
      <c r="R36" s="29" t="n"/>
      <c r="S36" s="29" t="n"/>
      <c r="T36" s="29" t="n"/>
      <c r="U36" s="29" t="n"/>
      <c r="V36" s="29" t="n"/>
      <c r="W36" s="29" t="n"/>
      <c r="X36" s="19">
        <f>IF($B36="","",IFERROR(SUMPRODUCT((Matriz_Esp&lt;&gt;"")*D36:W36)/SUMPRODUCT(--(Matriz_Esp&lt;&gt;"")),""))</f>
        <v/>
      </c>
      <c r="Y36" s="23">
        <f>IF($B36="","",SUMPRODUCT((Matriz_Esp&lt;&gt;"")*(D36:W36&gt;=2)))</f>
        <v/>
      </c>
    </row>
    <row r="37">
      <c r="A37" s="27">
        <f>IF('Equipe'!A37="","",'Equipe'!A37)</f>
        <v/>
      </c>
      <c r="B37" s="28">
        <f>IF('Equipe'!B37="","",'Equipe'!B37)</f>
        <v/>
      </c>
      <c r="C37" s="27">
        <f>IF('Equipe'!C37="","",'Equipe'!C37)</f>
        <v/>
      </c>
      <c r="D37" s="29" t="n">
        <v>0</v>
      </c>
      <c r="E37" s="29" t="n">
        <v>1</v>
      </c>
      <c r="F37" s="29" t="n">
        <v>1</v>
      </c>
      <c r="G37" s="29" t="n">
        <v>0</v>
      </c>
      <c r="H37" s="29" t="n">
        <v>1</v>
      </c>
      <c r="I37" s="29" t="n">
        <v>2</v>
      </c>
      <c r="J37" s="29" t="n">
        <v>0</v>
      </c>
      <c r="K37" s="29" t="n">
        <v>3</v>
      </c>
      <c r="L37" s="29" t="n">
        <v>3</v>
      </c>
      <c r="M37" s="29" t="n">
        <v>2</v>
      </c>
      <c r="N37" s="29" t="n">
        <v>0</v>
      </c>
      <c r="O37" s="29" t="n">
        <v>0</v>
      </c>
      <c r="P37" s="29" t="n">
        <v>1</v>
      </c>
      <c r="Q37" s="29" t="n">
        <v>2</v>
      </c>
      <c r="R37" s="29" t="n"/>
      <c r="S37" s="29" t="n"/>
      <c r="T37" s="29" t="n"/>
      <c r="U37" s="29" t="n"/>
      <c r="V37" s="29" t="n"/>
      <c r="W37" s="29" t="n"/>
      <c r="X37" s="19">
        <f>IF($B37="","",IFERROR(SUMPRODUCT((Matriz_Esp&lt;&gt;"")*D37:W37)/SUMPRODUCT(--(Matriz_Esp&lt;&gt;"")),""))</f>
        <v/>
      </c>
      <c r="Y37" s="23">
        <f>IF($B37="","",SUMPRODUCT((Matriz_Esp&lt;&gt;"")*(D37:W37&gt;=2)))</f>
        <v/>
      </c>
    </row>
    <row r="38">
      <c r="A38" s="27">
        <f>IF('Equipe'!A38="","",'Equipe'!A38)</f>
        <v/>
      </c>
      <c r="B38" s="28">
        <f>IF('Equipe'!B38="","",'Equipe'!B38)</f>
        <v/>
      </c>
      <c r="C38" s="27">
        <f>IF('Equipe'!C38="","",'Equipe'!C38)</f>
        <v/>
      </c>
      <c r="D38" s="29" t="n">
        <v>1</v>
      </c>
      <c r="E38" s="29" t="n">
        <v>0</v>
      </c>
      <c r="F38" s="29" t="n">
        <v>0</v>
      </c>
      <c r="G38" s="29" t="n">
        <v>1</v>
      </c>
      <c r="H38" s="29" t="n">
        <v>0</v>
      </c>
      <c r="I38" s="29" t="n">
        <v>0</v>
      </c>
      <c r="J38" s="29" t="n">
        <v>1</v>
      </c>
      <c r="K38" s="29" t="n">
        <v>1</v>
      </c>
      <c r="L38" s="29" t="n">
        <v>2</v>
      </c>
      <c r="M38" s="29" t="n">
        <v>3</v>
      </c>
      <c r="N38" s="29" t="n">
        <v>1</v>
      </c>
      <c r="O38" s="29" t="n">
        <v>0</v>
      </c>
      <c r="P38" s="29" t="n">
        <v>1</v>
      </c>
      <c r="Q38" s="29" t="n">
        <v>3</v>
      </c>
      <c r="R38" s="29" t="n"/>
      <c r="S38" s="29" t="n"/>
      <c r="T38" s="29" t="n"/>
      <c r="U38" s="29" t="n"/>
      <c r="V38" s="29" t="n"/>
      <c r="W38" s="29" t="n"/>
      <c r="X38" s="19">
        <f>IF($B38="","",IFERROR(SUMPRODUCT((Matriz_Esp&lt;&gt;"")*D38:W38)/SUMPRODUCT(--(Matriz_Esp&lt;&gt;"")),""))</f>
        <v/>
      </c>
      <c r="Y38" s="23">
        <f>IF($B38="","",SUMPRODUCT((Matriz_Esp&lt;&gt;"")*(D38:W38&gt;=2)))</f>
        <v/>
      </c>
    </row>
    <row r="39">
      <c r="A39" s="27">
        <f>IF('Equipe'!A39="","",'Equipe'!A39)</f>
        <v/>
      </c>
      <c r="B39" s="28">
        <f>IF('Equipe'!B39="","",'Equipe'!B39)</f>
        <v/>
      </c>
      <c r="C39" s="27">
        <f>IF('Equipe'!C39="","",'Equipe'!C39)</f>
        <v/>
      </c>
      <c r="D39" s="29" t="n">
        <v>0</v>
      </c>
      <c r="E39" s="29" t="n">
        <v>0</v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1</v>
      </c>
      <c r="K39" s="29" t="n">
        <v>1</v>
      </c>
      <c r="L39" s="29" t="n">
        <v>1</v>
      </c>
      <c r="M39" s="29" t="n">
        <v>3</v>
      </c>
      <c r="N39" s="29" t="n">
        <v>0</v>
      </c>
      <c r="O39" s="29" t="n">
        <v>0</v>
      </c>
      <c r="P39" s="29" t="n">
        <v>2</v>
      </c>
      <c r="Q39" s="29" t="n">
        <v>3</v>
      </c>
      <c r="R39" s="29" t="n"/>
      <c r="S39" s="29" t="n"/>
      <c r="T39" s="29" t="n"/>
      <c r="U39" s="29" t="n"/>
      <c r="V39" s="29" t="n"/>
      <c r="W39" s="29" t="n"/>
      <c r="X39" s="19">
        <f>IF($B39="","",IFERROR(SUMPRODUCT((Matriz_Esp&lt;&gt;"")*D39:W39)/SUMPRODUCT(--(Matriz_Esp&lt;&gt;"")),""))</f>
        <v/>
      </c>
      <c r="Y39" s="23">
        <f>IF($B39="","",SUMPRODUCT((Matriz_Esp&lt;&gt;"")*(D39:W39&gt;=2)))</f>
        <v/>
      </c>
    </row>
    <row r="40">
      <c r="A40" s="27">
        <f>IF('Equipe'!A40="","",'Equipe'!A40)</f>
        <v/>
      </c>
      <c r="B40" s="28">
        <f>IF('Equipe'!B40="","",'Equipe'!B40)</f>
        <v/>
      </c>
      <c r="C40" s="27">
        <f>IF('Equipe'!C40="","",'Equipe'!C40)</f>
        <v/>
      </c>
      <c r="D40" s="29" t="n">
        <v>0</v>
      </c>
      <c r="E40" s="29" t="n">
        <v>0</v>
      </c>
      <c r="F40" s="29" t="n">
        <v>0</v>
      </c>
      <c r="G40" s="29" t="n">
        <v>1</v>
      </c>
      <c r="H40" s="29" t="n">
        <v>0</v>
      </c>
      <c r="I40" s="29" t="n">
        <v>1</v>
      </c>
      <c r="J40" s="29" t="n">
        <v>2</v>
      </c>
      <c r="K40" s="29" t="n">
        <v>2</v>
      </c>
      <c r="L40" s="29" t="n">
        <v>2</v>
      </c>
      <c r="M40" s="29" t="n">
        <v>3</v>
      </c>
      <c r="N40" s="29" t="n">
        <v>0</v>
      </c>
      <c r="O40" s="29" t="n">
        <v>1</v>
      </c>
      <c r="P40" s="29" t="n">
        <v>1</v>
      </c>
      <c r="Q40" s="29" t="n">
        <v>3</v>
      </c>
      <c r="R40" s="29" t="n"/>
      <c r="S40" s="29" t="n"/>
      <c r="T40" s="29" t="n"/>
      <c r="U40" s="29" t="n"/>
      <c r="V40" s="29" t="n"/>
      <c r="W40" s="29" t="n"/>
      <c r="X40" s="19">
        <f>IF($B40="","",IFERROR(SUMPRODUCT((Matriz_Esp&lt;&gt;"")*D40:W40)/SUMPRODUCT(--(Matriz_Esp&lt;&gt;"")),""))</f>
        <v/>
      </c>
      <c r="Y40" s="23">
        <f>IF($B40="","",SUMPRODUCT((Matriz_Esp&lt;&gt;"")*(D40:W40&gt;=2)))</f>
        <v/>
      </c>
    </row>
    <row r="41">
      <c r="A41" s="27">
        <f>IF('Equipe'!A41="","",'Equipe'!A41)</f>
        <v/>
      </c>
      <c r="B41" s="28">
        <f>IF('Equipe'!B41="","",'Equipe'!B41)</f>
        <v/>
      </c>
      <c r="C41" s="27">
        <f>IF('Equipe'!C41="","",'Equipe'!C41)</f>
        <v/>
      </c>
      <c r="D41" s="29" t="n">
        <v>1</v>
      </c>
      <c r="E41" s="29" t="n">
        <v>1</v>
      </c>
      <c r="F41" s="29" t="n">
        <v>0</v>
      </c>
      <c r="G41" s="29" t="n">
        <v>0</v>
      </c>
      <c r="H41" s="29" t="n">
        <v>0</v>
      </c>
      <c r="I41" s="29" t="n">
        <v>0</v>
      </c>
      <c r="J41" s="29" t="n">
        <v>2</v>
      </c>
      <c r="K41" s="29" t="n">
        <v>1</v>
      </c>
      <c r="L41" s="29" t="n">
        <v>2</v>
      </c>
      <c r="M41" s="29" t="n">
        <v>3</v>
      </c>
      <c r="N41" s="29" t="n">
        <v>1</v>
      </c>
      <c r="O41" s="29" t="n">
        <v>1</v>
      </c>
      <c r="P41" s="29" t="n">
        <v>2</v>
      </c>
      <c r="Q41" s="29" t="n">
        <v>3</v>
      </c>
      <c r="R41" s="29" t="n"/>
      <c r="S41" s="29" t="n"/>
      <c r="T41" s="29" t="n"/>
      <c r="U41" s="29" t="n"/>
      <c r="V41" s="29" t="n"/>
      <c r="W41" s="29" t="n"/>
      <c r="X41" s="19">
        <f>IF($B41="","",IFERROR(SUMPRODUCT((Matriz_Esp&lt;&gt;"")*D41:W41)/SUMPRODUCT(--(Matriz_Esp&lt;&gt;"")),""))</f>
        <v/>
      </c>
      <c r="Y41" s="23">
        <f>IF($B41="","",SUMPRODUCT((Matriz_Esp&lt;&gt;"")*(D41:W41&gt;=2)))</f>
        <v/>
      </c>
    </row>
    <row r="42">
      <c r="A42" s="27">
        <f>IF('Equipe'!A42="","",'Equipe'!A42)</f>
        <v/>
      </c>
      <c r="B42" s="28">
        <f>IF('Equipe'!B42="","",'Equipe'!B42)</f>
        <v/>
      </c>
      <c r="C42" s="27">
        <f>IF('Equipe'!C42="","",'Equipe'!C42)</f>
        <v/>
      </c>
      <c r="D42" s="29" t="n">
        <v>0</v>
      </c>
      <c r="E42" s="29" t="n">
        <v>1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2</v>
      </c>
      <c r="K42" s="29" t="n">
        <v>1</v>
      </c>
      <c r="L42" s="29" t="n">
        <v>2</v>
      </c>
      <c r="M42" s="29" t="n">
        <v>3</v>
      </c>
      <c r="N42" s="29" t="n">
        <v>0</v>
      </c>
      <c r="O42" s="29" t="n">
        <v>1</v>
      </c>
      <c r="P42" s="29" t="n">
        <v>1</v>
      </c>
      <c r="Q42" s="29" t="n">
        <v>3</v>
      </c>
      <c r="R42" s="29" t="n"/>
      <c r="S42" s="29" t="n"/>
      <c r="T42" s="29" t="n"/>
      <c r="U42" s="29" t="n"/>
      <c r="V42" s="29" t="n"/>
      <c r="W42" s="29" t="n"/>
      <c r="X42" s="19">
        <f>IF($B42="","",IFERROR(SUMPRODUCT((Matriz_Esp&lt;&gt;"")*D42:W42)/SUMPRODUCT(--(Matriz_Esp&lt;&gt;"")),""))</f>
        <v/>
      </c>
      <c r="Y42" s="23">
        <f>IF($B42="","",SUMPRODUCT((Matriz_Esp&lt;&gt;"")*(D42:W42&gt;=2)))</f>
        <v/>
      </c>
    </row>
    <row r="43">
      <c r="A43" s="27">
        <f>IF('Equipe'!A43="","",'Equipe'!A43)</f>
        <v/>
      </c>
      <c r="B43" s="28">
        <f>IF('Equipe'!B43="","",'Equipe'!B43)</f>
        <v/>
      </c>
      <c r="C43" s="27">
        <f>IF('Equipe'!C43="","",'Equipe'!C43)</f>
        <v/>
      </c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1</v>
      </c>
      <c r="I43" s="29" t="n">
        <v>0</v>
      </c>
      <c r="J43" s="29" t="n">
        <v>2</v>
      </c>
      <c r="K43" s="29" t="n">
        <v>1</v>
      </c>
      <c r="L43" s="29" t="n">
        <v>2</v>
      </c>
      <c r="M43" s="29" t="n">
        <v>3</v>
      </c>
      <c r="N43" s="29" t="n">
        <v>0</v>
      </c>
      <c r="O43" s="29" t="n">
        <v>1</v>
      </c>
      <c r="P43" s="29" t="n">
        <v>1</v>
      </c>
      <c r="Q43" s="29" t="n">
        <v>3</v>
      </c>
      <c r="R43" s="29" t="n"/>
      <c r="S43" s="29" t="n"/>
      <c r="T43" s="29" t="n"/>
      <c r="U43" s="29" t="n"/>
      <c r="V43" s="29" t="n"/>
      <c r="W43" s="29" t="n"/>
      <c r="X43" s="19">
        <f>IF($B43="","",IFERROR(SUMPRODUCT((Matriz_Esp&lt;&gt;"")*D43:W43)/SUMPRODUCT(--(Matriz_Esp&lt;&gt;"")),""))</f>
        <v/>
      </c>
      <c r="Y43" s="23">
        <f>IF($B43="","",SUMPRODUCT((Matriz_Esp&lt;&gt;"")*(D43:W43&gt;=2)))</f>
        <v/>
      </c>
    </row>
    <row r="44">
      <c r="A44" s="27">
        <f>IF('Equipe'!A44="","",'Equipe'!A44)</f>
        <v/>
      </c>
      <c r="B44" s="28">
        <f>IF('Equipe'!B44="","",'Equipe'!B44)</f>
        <v/>
      </c>
      <c r="C44" s="27">
        <f>IF('Equipe'!C44="","",'Equipe'!C44)</f>
        <v/>
      </c>
      <c r="D44" s="29" t="n">
        <v>2</v>
      </c>
      <c r="E44" s="29" t="n">
        <v>0</v>
      </c>
      <c r="F44" s="29" t="n">
        <v>0</v>
      </c>
      <c r="G44" s="29" t="n">
        <v>0</v>
      </c>
      <c r="H44" s="29" t="n">
        <v>1</v>
      </c>
      <c r="I44" s="29" t="n">
        <v>0</v>
      </c>
      <c r="J44" s="29" t="n">
        <v>3</v>
      </c>
      <c r="K44" s="29" t="n">
        <v>1</v>
      </c>
      <c r="L44" s="29" t="n">
        <v>0</v>
      </c>
      <c r="M44" s="29" t="n">
        <v>2</v>
      </c>
      <c r="N44" s="29" t="n">
        <v>1</v>
      </c>
      <c r="O44" s="29" t="n">
        <v>0</v>
      </c>
      <c r="P44" s="29" t="n">
        <v>3</v>
      </c>
      <c r="Q44" s="29" t="n">
        <v>1</v>
      </c>
      <c r="R44" s="29" t="n"/>
      <c r="S44" s="29" t="n"/>
      <c r="T44" s="29" t="n"/>
      <c r="U44" s="29" t="n"/>
      <c r="V44" s="29" t="n"/>
      <c r="W44" s="29" t="n"/>
      <c r="X44" s="19">
        <f>IF($B44="","",IFERROR(SUMPRODUCT((Matriz_Esp&lt;&gt;"")*D44:W44)/SUMPRODUCT(--(Matriz_Esp&lt;&gt;"")),""))</f>
        <v/>
      </c>
      <c r="Y44" s="23">
        <f>IF($B44="","",SUMPRODUCT((Matriz_Esp&lt;&gt;"")*(D44:W44&gt;=2)))</f>
        <v/>
      </c>
    </row>
    <row r="45">
      <c r="A45" s="27">
        <f>IF('Equipe'!A45="","",'Equipe'!A45)</f>
        <v/>
      </c>
      <c r="B45" s="28">
        <f>IF('Equipe'!B45="","",'Equipe'!B45)</f>
        <v/>
      </c>
      <c r="C45" s="27">
        <f>IF('Equipe'!C45="","",'Equipe'!C45)</f>
        <v/>
      </c>
      <c r="D45" s="29" t="n">
        <v>1</v>
      </c>
      <c r="E45" s="29" t="n">
        <v>0</v>
      </c>
      <c r="F45" s="29" t="n">
        <v>1</v>
      </c>
      <c r="G45" s="29" t="n">
        <v>1</v>
      </c>
      <c r="H45" s="29" t="n">
        <v>0</v>
      </c>
      <c r="I45" s="29" t="n">
        <v>0</v>
      </c>
      <c r="J45" s="29" t="n">
        <v>3</v>
      </c>
      <c r="K45" s="29" t="n">
        <v>0</v>
      </c>
      <c r="L45" s="29" t="n">
        <v>0</v>
      </c>
      <c r="M45" s="29" t="n">
        <v>2</v>
      </c>
      <c r="N45" s="29" t="n">
        <v>0</v>
      </c>
      <c r="O45" s="29" t="n">
        <v>0</v>
      </c>
      <c r="P45" s="29" t="n">
        <v>3</v>
      </c>
      <c r="Q45" s="29" t="n">
        <v>2</v>
      </c>
      <c r="R45" s="29" t="n"/>
      <c r="S45" s="29" t="n"/>
      <c r="T45" s="29" t="n"/>
      <c r="U45" s="29" t="n"/>
      <c r="V45" s="29" t="n"/>
      <c r="W45" s="29" t="n"/>
      <c r="X45" s="19">
        <f>IF($B45="","",IFERROR(SUMPRODUCT((Matriz_Esp&lt;&gt;"")*D45:W45)/SUMPRODUCT(--(Matriz_Esp&lt;&gt;"")),""))</f>
        <v/>
      </c>
      <c r="Y45" s="23">
        <f>IF($B45="","",SUMPRODUCT((Matriz_Esp&lt;&gt;"")*(D45:W45&gt;=2)))</f>
        <v/>
      </c>
    </row>
    <row r="46">
      <c r="A46" s="27">
        <f>IF('Equipe'!A46="","",'Equipe'!A46)</f>
        <v/>
      </c>
      <c r="B46" s="28">
        <f>IF('Equipe'!B46="","",'Equipe'!B46)</f>
        <v/>
      </c>
      <c r="C46" s="27">
        <f>IF('Equipe'!C46="","",'Equipe'!C46)</f>
        <v/>
      </c>
      <c r="D46" s="29" t="n">
        <v>1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3</v>
      </c>
      <c r="K46" s="29" t="n">
        <v>0</v>
      </c>
      <c r="L46" s="29" t="n">
        <v>0</v>
      </c>
      <c r="M46" s="29" t="n">
        <v>2</v>
      </c>
      <c r="N46" s="29" t="n">
        <v>0</v>
      </c>
      <c r="O46" s="29" t="n">
        <v>0</v>
      </c>
      <c r="P46" s="29" t="n">
        <v>3</v>
      </c>
      <c r="Q46" s="29" t="n">
        <v>2</v>
      </c>
      <c r="R46" s="29" t="n"/>
      <c r="S46" s="29" t="n"/>
      <c r="T46" s="29" t="n"/>
      <c r="U46" s="29" t="n"/>
      <c r="V46" s="29" t="n"/>
      <c r="W46" s="29" t="n"/>
      <c r="X46" s="19">
        <f>IF($B46="","",IFERROR(SUMPRODUCT((Matriz_Esp&lt;&gt;"")*D46:W46)/SUMPRODUCT(--(Matriz_Esp&lt;&gt;"")),""))</f>
        <v/>
      </c>
      <c r="Y46" s="23">
        <f>IF($B46="","",SUMPRODUCT((Matriz_Esp&lt;&gt;"")*(D46:W46&gt;=2)))</f>
        <v/>
      </c>
    </row>
    <row r="47">
      <c r="A47" s="27">
        <f>IF('Equipe'!A47="","",'Equipe'!A47)</f>
        <v/>
      </c>
      <c r="B47" s="28">
        <f>IF('Equipe'!B47="","",'Equipe'!B47)</f>
        <v/>
      </c>
      <c r="C47" s="27">
        <f>IF('Equipe'!C47="","",'Equipe'!C47)</f>
        <v/>
      </c>
      <c r="D47" s="29" t="n">
        <v>1</v>
      </c>
      <c r="E47" s="29" t="n">
        <v>1</v>
      </c>
      <c r="F47" s="29" t="n">
        <v>1</v>
      </c>
      <c r="G47" s="29" t="n">
        <v>0</v>
      </c>
      <c r="H47" s="29" t="n">
        <v>1</v>
      </c>
      <c r="I47" s="29" t="n">
        <v>0</v>
      </c>
      <c r="J47" s="29" t="n">
        <v>3</v>
      </c>
      <c r="K47" s="29" t="n">
        <v>0</v>
      </c>
      <c r="L47" s="29" t="n">
        <v>0</v>
      </c>
      <c r="M47" s="29" t="n">
        <v>2</v>
      </c>
      <c r="N47" s="29" t="n">
        <v>0</v>
      </c>
      <c r="O47" s="29" t="n">
        <v>0</v>
      </c>
      <c r="P47" s="29" t="n">
        <v>3</v>
      </c>
      <c r="Q47" s="29" t="n">
        <v>2</v>
      </c>
      <c r="R47" s="29" t="n"/>
      <c r="S47" s="29" t="n"/>
      <c r="T47" s="29" t="n"/>
      <c r="U47" s="29" t="n"/>
      <c r="V47" s="29" t="n"/>
      <c r="W47" s="29" t="n"/>
      <c r="X47" s="19">
        <f>IF($B47="","",IFERROR(SUMPRODUCT((Matriz_Esp&lt;&gt;"")*D47:W47)/SUMPRODUCT(--(Matriz_Esp&lt;&gt;"")),""))</f>
        <v/>
      </c>
      <c r="Y47" s="23">
        <f>IF($B47="","",SUMPRODUCT((Matriz_Esp&lt;&gt;"")*(D47:W47&gt;=2)))</f>
        <v/>
      </c>
    </row>
    <row r="48">
      <c r="A48" s="27">
        <f>IF('Equipe'!A48="","",'Equipe'!A48)</f>
        <v/>
      </c>
      <c r="B48" s="28">
        <f>IF('Equipe'!B48="","",'Equipe'!B48)</f>
        <v/>
      </c>
      <c r="C48" s="27">
        <f>IF('Equipe'!C48="","",'Equipe'!C48)</f>
        <v/>
      </c>
      <c r="D48" s="29" t="n">
        <v>2</v>
      </c>
      <c r="E48" s="29" t="n">
        <v>1</v>
      </c>
      <c r="F48" s="29" t="n">
        <v>1</v>
      </c>
      <c r="G48" s="29" t="n">
        <v>0</v>
      </c>
      <c r="H48" s="29" t="n">
        <v>0</v>
      </c>
      <c r="I48" s="29" t="n">
        <v>0</v>
      </c>
      <c r="J48" s="29" t="n">
        <v>3</v>
      </c>
      <c r="K48" s="29" t="n">
        <v>0</v>
      </c>
      <c r="L48" s="29" t="n">
        <v>0</v>
      </c>
      <c r="M48" s="29" t="n">
        <v>2</v>
      </c>
      <c r="N48" s="29" t="n">
        <v>1</v>
      </c>
      <c r="O48" s="29" t="n">
        <v>0</v>
      </c>
      <c r="P48" s="29" t="n">
        <v>3</v>
      </c>
      <c r="Q48" s="29" t="n">
        <v>1</v>
      </c>
      <c r="R48" s="29" t="n"/>
      <c r="S48" s="29" t="n"/>
      <c r="T48" s="29" t="n"/>
      <c r="U48" s="29" t="n"/>
      <c r="V48" s="29" t="n"/>
      <c r="W48" s="29" t="n"/>
      <c r="X48" s="19">
        <f>IF($B48="","",IFERROR(SUMPRODUCT((Matriz_Esp&lt;&gt;"")*D48:W48)/SUMPRODUCT(--(Matriz_Esp&lt;&gt;"")),""))</f>
        <v/>
      </c>
      <c r="Y48" s="23">
        <f>IF($B48="","",SUMPRODUCT((Matriz_Esp&lt;&gt;"")*(D48:W48&gt;=2)))</f>
        <v/>
      </c>
    </row>
    <row r="49">
      <c r="A49" s="27">
        <f>IF('Equipe'!A49="","",'Equipe'!A49)</f>
        <v/>
      </c>
      <c r="B49" s="28">
        <f>IF('Equipe'!B49="","",'Equipe'!B49)</f>
        <v/>
      </c>
      <c r="C49" s="27">
        <f>IF('Equipe'!C49="","",'Equipe'!C49)</f>
        <v/>
      </c>
      <c r="D49" s="29" t="n">
        <v>1</v>
      </c>
      <c r="E49" s="29" t="n">
        <v>0</v>
      </c>
      <c r="F49" s="29" t="n">
        <v>0</v>
      </c>
      <c r="G49" s="29" t="n">
        <v>0</v>
      </c>
      <c r="H49" s="29" t="n">
        <v>1</v>
      </c>
      <c r="I49" s="29" t="n">
        <v>0</v>
      </c>
      <c r="J49" s="29" t="n">
        <v>3</v>
      </c>
      <c r="K49" s="29" t="n">
        <v>0</v>
      </c>
      <c r="L49" s="29" t="n">
        <v>1</v>
      </c>
      <c r="M49" s="29" t="n">
        <v>2</v>
      </c>
      <c r="N49" s="29" t="n">
        <v>1</v>
      </c>
      <c r="O49" s="29" t="n">
        <v>0</v>
      </c>
      <c r="P49" s="29" t="n">
        <v>3</v>
      </c>
      <c r="Q49" s="29" t="n">
        <v>2</v>
      </c>
      <c r="R49" s="29" t="n"/>
      <c r="S49" s="29" t="n"/>
      <c r="T49" s="29" t="n"/>
      <c r="U49" s="29" t="n"/>
      <c r="V49" s="29" t="n"/>
      <c r="W49" s="29" t="n"/>
      <c r="X49" s="19">
        <f>IF($B49="","",IFERROR(SUMPRODUCT((Matriz_Esp&lt;&gt;"")*D49:W49)/SUMPRODUCT(--(Matriz_Esp&lt;&gt;"")),""))</f>
        <v/>
      </c>
      <c r="Y49" s="23">
        <f>IF($B49="","",SUMPRODUCT((Matriz_Esp&lt;&gt;"")*(D49:W49&gt;=2)))</f>
        <v/>
      </c>
    </row>
    <row r="50">
      <c r="A50" s="27">
        <f>IF('Equipe'!A50="","",'Equipe'!A50)</f>
        <v/>
      </c>
      <c r="B50" s="28">
        <f>IF('Equipe'!B50="","",'Equipe'!B50)</f>
        <v/>
      </c>
      <c r="C50" s="27">
        <f>IF('Equipe'!C50="","",'Equipe'!C50)</f>
        <v/>
      </c>
      <c r="D50" s="29" t="n">
        <v>1</v>
      </c>
      <c r="E50" s="29" t="n">
        <v>2</v>
      </c>
      <c r="F50" s="29" t="n">
        <v>1</v>
      </c>
      <c r="G50" s="29" t="n">
        <v>2</v>
      </c>
      <c r="H50" s="29" t="n">
        <v>1</v>
      </c>
      <c r="I50" s="29" t="n">
        <v>2</v>
      </c>
      <c r="J50" s="29" t="n">
        <v>1</v>
      </c>
      <c r="K50" s="29" t="n">
        <v>2</v>
      </c>
      <c r="L50" s="29" t="n">
        <v>1</v>
      </c>
      <c r="M50" s="29" t="n">
        <v>2</v>
      </c>
      <c r="N50" s="29" t="n">
        <v>1</v>
      </c>
      <c r="O50" s="29" t="n">
        <v>1</v>
      </c>
      <c r="P50" s="29" t="n">
        <v>1</v>
      </c>
      <c r="Q50" s="29" t="n">
        <v>1</v>
      </c>
      <c r="R50" s="29" t="n"/>
      <c r="S50" s="29" t="n"/>
      <c r="T50" s="29" t="n"/>
      <c r="U50" s="29" t="n"/>
      <c r="V50" s="29" t="n"/>
      <c r="W50" s="29" t="n"/>
      <c r="X50" s="19">
        <f>IF($B50="","",IFERROR(SUMPRODUCT((Matriz_Esp&lt;&gt;"")*D50:W50)/SUMPRODUCT(--(Matriz_Esp&lt;&gt;"")),""))</f>
        <v/>
      </c>
      <c r="Y50" s="23">
        <f>IF($B50="","",SUMPRODUCT((Matriz_Esp&lt;&gt;"")*(D50:W50&gt;=2)))</f>
        <v/>
      </c>
    </row>
    <row r="51">
      <c r="A51" s="27">
        <f>IF('Equipe'!A51="","",'Equipe'!A51)</f>
        <v/>
      </c>
      <c r="B51" s="28">
        <f>IF('Equipe'!B51="","",'Equipe'!B51)</f>
        <v/>
      </c>
      <c r="C51" s="27">
        <f>IF('Equipe'!C51="","",'Equipe'!C51)</f>
        <v/>
      </c>
      <c r="D51" s="29" t="n">
        <v>1</v>
      </c>
      <c r="E51" s="29" t="n">
        <v>2</v>
      </c>
      <c r="F51" s="29" t="n">
        <v>1</v>
      </c>
      <c r="G51" s="29" t="n">
        <v>1</v>
      </c>
      <c r="H51" s="29" t="n">
        <v>2</v>
      </c>
      <c r="I51" s="29" t="n">
        <v>2</v>
      </c>
      <c r="J51" s="29" t="n">
        <v>1</v>
      </c>
      <c r="K51" s="29" t="n">
        <v>1</v>
      </c>
      <c r="L51" s="29" t="n">
        <v>1</v>
      </c>
      <c r="M51" s="29" t="n">
        <v>1</v>
      </c>
      <c r="N51" s="29" t="n">
        <v>2</v>
      </c>
      <c r="O51" s="29" t="n">
        <v>1</v>
      </c>
      <c r="P51" s="29" t="n">
        <v>2</v>
      </c>
      <c r="Q51" s="29" t="n">
        <v>1</v>
      </c>
      <c r="R51" s="29" t="n"/>
      <c r="S51" s="29" t="n"/>
      <c r="T51" s="29" t="n"/>
      <c r="U51" s="29" t="n"/>
      <c r="V51" s="29" t="n"/>
      <c r="W51" s="29" t="n"/>
      <c r="X51" s="19">
        <f>IF($B51="","",IFERROR(SUMPRODUCT((Matriz_Esp&lt;&gt;"")*D51:W51)/SUMPRODUCT(--(Matriz_Esp&lt;&gt;"")),""))</f>
        <v/>
      </c>
      <c r="Y51" s="23">
        <f>IF($B51="","",SUMPRODUCT((Matriz_Esp&lt;&gt;"")*(D51:W51&gt;=2)))</f>
        <v/>
      </c>
    </row>
    <row r="52">
      <c r="A52" s="27">
        <f>IF('Equipe'!A52="","",'Equipe'!A52)</f>
        <v/>
      </c>
      <c r="B52" s="28">
        <f>IF('Equipe'!B52="","",'Equipe'!B52)</f>
        <v/>
      </c>
      <c r="C52" s="27">
        <f>IF('Equipe'!C52="","",'Equipe'!C52)</f>
        <v/>
      </c>
      <c r="D52" s="29" t="n">
        <v>1</v>
      </c>
      <c r="E52" s="29" t="n">
        <v>1</v>
      </c>
      <c r="F52" s="29" t="n">
        <v>1</v>
      </c>
      <c r="G52" s="29" t="n">
        <v>2</v>
      </c>
      <c r="H52" s="29" t="n">
        <v>2</v>
      </c>
      <c r="I52" s="29" t="n">
        <v>1</v>
      </c>
      <c r="J52" s="29" t="n">
        <v>2</v>
      </c>
      <c r="K52" s="29" t="n">
        <v>2</v>
      </c>
      <c r="L52" s="29" t="n">
        <v>1</v>
      </c>
      <c r="M52" s="29" t="n">
        <v>1</v>
      </c>
      <c r="N52" s="29" t="n">
        <v>1</v>
      </c>
      <c r="O52" s="29" t="n">
        <v>2</v>
      </c>
      <c r="P52" s="29" t="n">
        <v>1</v>
      </c>
      <c r="Q52" s="29" t="n">
        <v>1</v>
      </c>
      <c r="R52" s="29" t="n"/>
      <c r="S52" s="29" t="n"/>
      <c r="T52" s="29" t="n"/>
      <c r="U52" s="29" t="n"/>
      <c r="V52" s="29" t="n"/>
      <c r="W52" s="29" t="n"/>
      <c r="X52" s="19">
        <f>IF($B52="","",IFERROR(SUMPRODUCT((Matriz_Esp&lt;&gt;"")*D52:W52)/SUMPRODUCT(--(Matriz_Esp&lt;&gt;"")),""))</f>
        <v/>
      </c>
      <c r="Y52" s="23">
        <f>IF($B52="","",SUMPRODUCT((Matriz_Esp&lt;&gt;"")*(D52:W52&gt;=2)))</f>
        <v/>
      </c>
    </row>
    <row r="53">
      <c r="A53" s="27">
        <f>IF('Equipe'!A53="","",'Equipe'!A53)</f>
        <v/>
      </c>
      <c r="B53" s="28">
        <f>IF('Equipe'!B53="","",'Equipe'!B53)</f>
        <v/>
      </c>
      <c r="C53" s="27">
        <f>IF('Equipe'!C53="","",'Equipe'!C53)</f>
        <v/>
      </c>
      <c r="D53" s="29" t="n">
        <v>1</v>
      </c>
      <c r="E53" s="29" t="n">
        <v>1</v>
      </c>
      <c r="F53" s="29" t="n">
        <v>1</v>
      </c>
      <c r="G53" s="29" t="n">
        <v>2</v>
      </c>
      <c r="H53" s="29" t="n">
        <v>2</v>
      </c>
      <c r="I53" s="29" t="n">
        <v>1</v>
      </c>
      <c r="J53" s="29" t="n">
        <v>2</v>
      </c>
      <c r="K53" s="29" t="n">
        <v>1</v>
      </c>
      <c r="L53" s="29" t="n">
        <v>2</v>
      </c>
      <c r="M53" s="29" t="n">
        <v>1</v>
      </c>
      <c r="N53" s="29" t="n">
        <v>1</v>
      </c>
      <c r="O53" s="29" t="n">
        <v>1</v>
      </c>
      <c r="P53" s="29" t="n">
        <v>2</v>
      </c>
      <c r="Q53" s="29" t="n">
        <v>1</v>
      </c>
      <c r="R53" s="29" t="n"/>
      <c r="S53" s="29" t="n"/>
      <c r="T53" s="29" t="n"/>
      <c r="U53" s="29" t="n"/>
      <c r="V53" s="29" t="n"/>
      <c r="W53" s="29" t="n"/>
      <c r="X53" s="19">
        <f>IF($B53="","",IFERROR(SUMPRODUCT((Matriz_Esp&lt;&gt;"")*D53:W53)/SUMPRODUCT(--(Matriz_Esp&lt;&gt;"")),""))</f>
        <v/>
      </c>
      <c r="Y53" s="23">
        <f>IF($B53="","",SUMPRODUCT((Matriz_Esp&lt;&gt;"")*(D53:W53&gt;=2)))</f>
        <v/>
      </c>
    </row>
    <row r="54">
      <c r="A54" s="27">
        <f>IF('Equipe'!A54="","",'Equipe'!A54)</f>
        <v/>
      </c>
      <c r="B54" s="28">
        <f>IF('Equipe'!B54="","",'Equipe'!B54)</f>
        <v/>
      </c>
      <c r="C54" s="27">
        <f>IF('Equipe'!C54="","",'Equipe'!C54)</f>
        <v/>
      </c>
      <c r="D54" s="29" t="n">
        <v>2</v>
      </c>
      <c r="E54" s="29" t="n">
        <v>1</v>
      </c>
      <c r="F54" s="29" t="n">
        <v>2</v>
      </c>
      <c r="G54" s="29" t="n">
        <v>1</v>
      </c>
      <c r="H54" s="29" t="n">
        <v>1</v>
      </c>
      <c r="I54" s="29" t="n">
        <v>1</v>
      </c>
      <c r="J54" s="29" t="n">
        <v>1</v>
      </c>
      <c r="K54" s="29" t="n">
        <v>1</v>
      </c>
      <c r="L54" s="29" t="n">
        <v>1</v>
      </c>
      <c r="M54" s="29" t="n">
        <v>2</v>
      </c>
      <c r="N54" s="29" t="n">
        <v>1</v>
      </c>
      <c r="O54" s="29" t="n">
        <v>2</v>
      </c>
      <c r="P54" s="29" t="n">
        <v>1</v>
      </c>
      <c r="Q54" s="29" t="n">
        <v>2</v>
      </c>
      <c r="R54" s="29" t="n"/>
      <c r="S54" s="29" t="n"/>
      <c r="T54" s="29" t="n"/>
      <c r="U54" s="29" t="n"/>
      <c r="V54" s="29" t="n"/>
      <c r="W54" s="29" t="n"/>
      <c r="X54" s="19">
        <f>IF($B54="","",IFERROR(SUMPRODUCT((Matriz_Esp&lt;&gt;"")*D54:W54)/SUMPRODUCT(--(Matriz_Esp&lt;&gt;"")),""))</f>
        <v/>
      </c>
      <c r="Y54" s="23">
        <f>IF($B54="","",SUMPRODUCT((Matriz_Esp&lt;&gt;"")*(D54:W54&gt;=2)))</f>
        <v/>
      </c>
    </row>
    <row r="55">
      <c r="A55" s="27">
        <f>IF('Equipe'!A55="","",'Equipe'!A55)</f>
        <v/>
      </c>
      <c r="B55" s="28">
        <f>IF('Equipe'!B55="","",'Equipe'!B55)</f>
        <v/>
      </c>
      <c r="C55" s="27">
        <f>IF('Equipe'!C55="","",'Equipe'!C55)</f>
        <v/>
      </c>
      <c r="D55" s="29" t="n">
        <v>1</v>
      </c>
      <c r="E55" s="29" t="n">
        <v>1</v>
      </c>
      <c r="F55" s="29" t="n">
        <v>1</v>
      </c>
      <c r="G55" s="29" t="n">
        <v>1</v>
      </c>
      <c r="H55" s="29" t="n">
        <v>2</v>
      </c>
      <c r="I55" s="29" t="n">
        <v>2</v>
      </c>
      <c r="J55" s="29" t="n">
        <v>2</v>
      </c>
      <c r="K55" s="29" t="n">
        <v>1</v>
      </c>
      <c r="L55" s="29" t="n">
        <v>2</v>
      </c>
      <c r="M55" s="29" t="n">
        <v>1</v>
      </c>
      <c r="N55" s="29" t="n">
        <v>1</v>
      </c>
      <c r="O55" s="29" t="n">
        <v>1</v>
      </c>
      <c r="P55" s="29" t="n">
        <v>2</v>
      </c>
      <c r="Q55" s="29" t="n">
        <v>1</v>
      </c>
      <c r="R55" s="29" t="n"/>
      <c r="S55" s="29" t="n"/>
      <c r="T55" s="29" t="n"/>
      <c r="U55" s="29" t="n"/>
      <c r="V55" s="29" t="n"/>
      <c r="W55" s="29" t="n"/>
      <c r="X55" s="19">
        <f>IF($B55="","",IFERROR(SUMPRODUCT((Matriz_Esp&lt;&gt;"")*D55:W55)/SUMPRODUCT(--(Matriz_Esp&lt;&gt;"")),""))</f>
        <v/>
      </c>
      <c r="Y55" s="23">
        <f>IF($B55="","",SUMPRODUCT((Matriz_Esp&lt;&gt;"")*(D55:W55&gt;=2)))</f>
        <v/>
      </c>
    </row>
    <row r="56">
      <c r="A56" s="27">
        <f>IF('Equipe'!A56="","",'Equipe'!A56)</f>
        <v/>
      </c>
      <c r="B56" s="28">
        <f>IF('Equipe'!B56="","",'Equipe'!B56)</f>
        <v/>
      </c>
      <c r="C56" s="27">
        <f>IF('Equipe'!C56="","",'Equipe'!C56)</f>
        <v/>
      </c>
      <c r="D56" s="29" t="n">
        <v>2</v>
      </c>
      <c r="E56" s="29" t="n">
        <v>1</v>
      </c>
      <c r="F56" s="29" t="n">
        <v>1</v>
      </c>
      <c r="G56" s="29" t="n">
        <v>2</v>
      </c>
      <c r="H56" s="29" t="n">
        <v>2</v>
      </c>
      <c r="I56" s="29" t="n">
        <v>1</v>
      </c>
      <c r="J56" s="29" t="n">
        <v>1</v>
      </c>
      <c r="K56" s="29" t="n">
        <v>1</v>
      </c>
      <c r="L56" s="29" t="n">
        <v>2</v>
      </c>
      <c r="M56" s="29" t="n">
        <v>1</v>
      </c>
      <c r="N56" s="29" t="n">
        <v>1</v>
      </c>
      <c r="O56" s="29" t="n">
        <v>1</v>
      </c>
      <c r="P56" s="29" t="n">
        <v>2</v>
      </c>
      <c r="Q56" s="29" t="n">
        <v>1</v>
      </c>
      <c r="R56" s="29" t="n"/>
      <c r="S56" s="29" t="n"/>
      <c r="T56" s="29" t="n"/>
      <c r="U56" s="29" t="n"/>
      <c r="V56" s="29" t="n"/>
      <c r="W56" s="29" t="n"/>
      <c r="X56" s="19">
        <f>IF($B56="","",IFERROR(SUMPRODUCT((Matriz_Esp&lt;&gt;"")*D56:W56)/SUMPRODUCT(--(Matriz_Esp&lt;&gt;"")),""))</f>
        <v/>
      </c>
      <c r="Y56" s="23">
        <f>IF($B56="","",SUMPRODUCT((Matriz_Esp&lt;&gt;"")*(D56:W56&gt;=2)))</f>
        <v/>
      </c>
    </row>
    <row r="57">
      <c r="A57" s="27">
        <f>IF('Equipe'!A57="","",'Equipe'!A57)</f>
        <v/>
      </c>
      <c r="B57" s="28">
        <f>IF('Equipe'!B57="","",'Equipe'!B57)</f>
        <v/>
      </c>
      <c r="C57" s="27">
        <f>IF('Equipe'!C57="","",'Equipe'!C57)</f>
        <v/>
      </c>
      <c r="D57" s="29" t="n">
        <v>1</v>
      </c>
      <c r="E57" s="29" t="n">
        <v>2</v>
      </c>
      <c r="F57" s="29" t="n">
        <v>1</v>
      </c>
      <c r="G57" s="29" t="n">
        <v>2</v>
      </c>
      <c r="H57" s="29" t="n">
        <v>1</v>
      </c>
      <c r="I57" s="29" t="n">
        <v>1</v>
      </c>
      <c r="J57" s="29" t="n">
        <v>2</v>
      </c>
      <c r="K57" s="29" t="n">
        <v>1</v>
      </c>
      <c r="L57" s="29" t="n">
        <v>2</v>
      </c>
      <c r="M57" s="29" t="n">
        <v>2</v>
      </c>
      <c r="N57" s="29" t="n">
        <v>1</v>
      </c>
      <c r="O57" s="29" t="n">
        <v>1</v>
      </c>
      <c r="P57" s="29" t="n">
        <v>1</v>
      </c>
      <c r="Q57" s="29" t="n">
        <v>1</v>
      </c>
      <c r="R57" s="29" t="n"/>
      <c r="S57" s="29" t="n"/>
      <c r="T57" s="29" t="n"/>
      <c r="U57" s="29" t="n"/>
      <c r="V57" s="29" t="n"/>
      <c r="W57" s="29" t="n"/>
      <c r="X57" s="19">
        <f>IF($B57="","",IFERROR(SUMPRODUCT((Matriz_Esp&lt;&gt;"")*D57:W57)/SUMPRODUCT(--(Matriz_Esp&lt;&gt;"")),""))</f>
        <v/>
      </c>
      <c r="Y57" s="23">
        <f>IF($B57="","",SUMPRODUCT((Matriz_Esp&lt;&gt;"")*(D57:W57&gt;=2)))</f>
        <v/>
      </c>
    </row>
    <row r="58">
      <c r="A58" s="27">
        <f>IF('Equipe'!A58="","",'Equipe'!A58)</f>
        <v/>
      </c>
      <c r="B58" s="28">
        <f>IF('Equipe'!B58="","",'Equipe'!B58)</f>
        <v/>
      </c>
      <c r="C58" s="27">
        <f>IF('Equipe'!C58="","",'Equipe'!C58)</f>
        <v/>
      </c>
      <c r="D58" s="29" t="n">
        <v>2</v>
      </c>
      <c r="E58" s="29" t="n">
        <v>1</v>
      </c>
      <c r="F58" s="29" t="n">
        <v>1</v>
      </c>
      <c r="G58" s="29" t="n">
        <v>1</v>
      </c>
      <c r="H58" s="29" t="n">
        <v>1</v>
      </c>
      <c r="I58" s="29" t="n">
        <v>2</v>
      </c>
      <c r="J58" s="29" t="n">
        <v>2</v>
      </c>
      <c r="K58" s="29" t="n">
        <v>2</v>
      </c>
      <c r="L58" s="29" t="n">
        <v>1</v>
      </c>
      <c r="M58" s="29" t="n">
        <v>1</v>
      </c>
      <c r="N58" s="29" t="n">
        <v>1</v>
      </c>
      <c r="O58" s="29" t="n">
        <v>2</v>
      </c>
      <c r="P58" s="29" t="n">
        <v>1</v>
      </c>
      <c r="Q58" s="29" t="n">
        <v>1</v>
      </c>
      <c r="R58" s="29" t="n"/>
      <c r="S58" s="29" t="n"/>
      <c r="T58" s="29" t="n"/>
      <c r="U58" s="29" t="n"/>
      <c r="V58" s="29" t="n"/>
      <c r="W58" s="29" t="n"/>
      <c r="X58" s="19">
        <f>IF($B58="","",IFERROR(SUMPRODUCT((Matriz_Esp&lt;&gt;"")*D58:W58)/SUMPRODUCT(--(Matriz_Esp&lt;&gt;"")),""))</f>
        <v/>
      </c>
      <c r="Y58" s="23">
        <f>IF($B58="","",SUMPRODUCT((Matriz_Esp&lt;&gt;"")*(D58:W58&gt;=2)))</f>
        <v/>
      </c>
    </row>
    <row r="59">
      <c r="A59" s="27">
        <f>IF('Equipe'!A59="","",'Equipe'!A59)</f>
        <v/>
      </c>
      <c r="B59" s="28">
        <f>IF('Equipe'!B59="","",'Equipe'!B59)</f>
        <v/>
      </c>
      <c r="C59" s="27">
        <f>IF('Equipe'!C59="","",'Equipe'!C59)</f>
        <v/>
      </c>
      <c r="D59" s="29" t="n">
        <v>2</v>
      </c>
      <c r="E59" s="29" t="n">
        <v>1</v>
      </c>
      <c r="F59" s="29" t="n">
        <v>2</v>
      </c>
      <c r="G59" s="29" t="n">
        <v>1</v>
      </c>
      <c r="H59" s="29" t="n">
        <v>1</v>
      </c>
      <c r="I59" s="29" t="n">
        <v>2</v>
      </c>
      <c r="J59" s="29" t="n">
        <v>2</v>
      </c>
      <c r="K59" s="29" t="n">
        <v>1</v>
      </c>
      <c r="L59" s="29" t="n">
        <v>1</v>
      </c>
      <c r="M59" s="29" t="n">
        <v>1</v>
      </c>
      <c r="N59" s="29" t="n">
        <v>1</v>
      </c>
      <c r="O59" s="29" t="n">
        <v>2</v>
      </c>
      <c r="P59" s="29" t="n">
        <v>1</v>
      </c>
      <c r="Q59" s="29" t="n">
        <v>1</v>
      </c>
      <c r="R59" s="29" t="n"/>
      <c r="S59" s="29" t="n"/>
      <c r="T59" s="29" t="n"/>
      <c r="U59" s="29" t="n"/>
      <c r="V59" s="29" t="n"/>
      <c r="W59" s="29" t="n"/>
      <c r="X59" s="19">
        <f>IF($B59="","",IFERROR(SUMPRODUCT((Matriz_Esp&lt;&gt;"")*D59:W59)/SUMPRODUCT(--(Matriz_Esp&lt;&gt;"")),""))</f>
        <v/>
      </c>
      <c r="Y59" s="23">
        <f>IF($B59="","",SUMPRODUCT((Matriz_Esp&lt;&gt;"")*(D59:W59&gt;=2)))</f>
        <v/>
      </c>
    </row>
    <row r="60">
      <c r="A60" s="27">
        <f>IF('Equipe'!A60="","",'Equipe'!A60)</f>
        <v/>
      </c>
      <c r="B60" s="28">
        <f>IF('Equipe'!B60="","",'Equipe'!B60)</f>
        <v/>
      </c>
      <c r="C60" s="27">
        <f>IF('Equipe'!C60="","",'Equipe'!C60)</f>
        <v/>
      </c>
      <c r="D60" s="29" t="n">
        <v>1</v>
      </c>
      <c r="E60" s="29" t="n">
        <v>2</v>
      </c>
      <c r="F60" s="29" t="n">
        <v>1</v>
      </c>
      <c r="G60" s="29" t="n">
        <v>1</v>
      </c>
      <c r="H60" s="29" t="n">
        <v>2</v>
      </c>
      <c r="I60" s="29" t="n">
        <v>1</v>
      </c>
      <c r="J60" s="29" t="n">
        <v>1</v>
      </c>
      <c r="K60" s="29" t="n">
        <v>1</v>
      </c>
      <c r="L60" s="29" t="n">
        <v>1</v>
      </c>
      <c r="M60" s="29" t="n">
        <v>2</v>
      </c>
      <c r="N60" s="29" t="n">
        <v>2</v>
      </c>
      <c r="O60" s="29" t="n">
        <v>2</v>
      </c>
      <c r="P60" s="29" t="n">
        <v>1</v>
      </c>
      <c r="Q60" s="29" t="n">
        <v>1</v>
      </c>
      <c r="R60" s="29" t="n"/>
      <c r="S60" s="29" t="n"/>
      <c r="T60" s="29" t="n"/>
      <c r="U60" s="29" t="n"/>
      <c r="V60" s="29" t="n"/>
      <c r="W60" s="29" t="n"/>
      <c r="X60" s="19">
        <f>IF($B60="","",IFERROR(SUMPRODUCT((Matriz_Esp&lt;&gt;"")*D60:W60)/SUMPRODUCT(--(Matriz_Esp&lt;&gt;"")),""))</f>
        <v/>
      </c>
      <c r="Y60" s="23">
        <f>IF($B60="","",SUMPRODUCT((Matriz_Esp&lt;&gt;"")*(D60:W60&gt;=2)))</f>
        <v/>
      </c>
    </row>
    <row r="61">
      <c r="A61" s="27">
        <f>IF('Equipe'!A61="","",'Equipe'!A61)</f>
        <v/>
      </c>
      <c r="B61" s="28">
        <f>IF('Equipe'!B61="","",'Equipe'!B61)</f>
        <v/>
      </c>
      <c r="C61" s="27">
        <f>IF('Equipe'!C61="","",'Equipe'!C61)</f>
        <v/>
      </c>
      <c r="D61" s="29" t="n">
        <v>1</v>
      </c>
      <c r="E61" s="29" t="n">
        <v>1</v>
      </c>
      <c r="F61" s="29" t="n">
        <v>2</v>
      </c>
      <c r="G61" s="29" t="n">
        <v>2</v>
      </c>
      <c r="H61" s="29" t="n">
        <v>1</v>
      </c>
      <c r="I61" s="29" t="n">
        <v>1</v>
      </c>
      <c r="J61" s="29" t="n">
        <v>2</v>
      </c>
      <c r="K61" s="29" t="n">
        <v>1</v>
      </c>
      <c r="L61" s="29" t="n">
        <v>1</v>
      </c>
      <c r="M61" s="29" t="n">
        <v>1</v>
      </c>
      <c r="N61" s="29" t="n">
        <v>1</v>
      </c>
      <c r="O61" s="29" t="n">
        <v>2</v>
      </c>
      <c r="P61" s="29" t="n">
        <v>1</v>
      </c>
      <c r="Q61" s="29" t="n">
        <v>2</v>
      </c>
      <c r="R61" s="29" t="n"/>
      <c r="S61" s="29" t="n"/>
      <c r="T61" s="29" t="n"/>
      <c r="U61" s="29" t="n"/>
      <c r="V61" s="29" t="n"/>
      <c r="W61" s="29" t="n"/>
      <c r="X61" s="19">
        <f>IF($B61="","",IFERROR(SUMPRODUCT((Matriz_Esp&lt;&gt;"")*D61:W61)/SUMPRODUCT(--(Matriz_Esp&lt;&gt;"")),""))</f>
        <v/>
      </c>
      <c r="Y61" s="23">
        <f>IF($B61="","",SUMPRODUCT((Matriz_Esp&lt;&gt;"")*(D61:W61&gt;=2)))</f>
        <v/>
      </c>
    </row>
    <row r="62">
      <c r="A62" s="27">
        <f>IF('Equipe'!A62="","",'Equipe'!A62)</f>
        <v/>
      </c>
      <c r="B62" s="28">
        <f>IF('Equipe'!B62="","",'Equipe'!B62)</f>
        <v/>
      </c>
      <c r="C62" s="27">
        <f>IF('Equipe'!C62="","",'Equipe'!C62)</f>
        <v/>
      </c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19">
        <f>IF($B62="","",IFERROR(SUMPRODUCT((Matriz_Esp&lt;&gt;"")*D62:W62)/SUMPRODUCT(--(Matriz_Esp&lt;&gt;"")),""))</f>
        <v/>
      </c>
      <c r="Y62" s="23">
        <f>IF($B62="","",SUMPRODUCT((Matriz_Esp&lt;&gt;"")*(D62:W62&gt;=2)))</f>
        <v/>
      </c>
    </row>
    <row r="63">
      <c r="A63" s="27">
        <f>IF('Equipe'!A63="","",'Equipe'!A63)</f>
        <v/>
      </c>
      <c r="B63" s="28">
        <f>IF('Equipe'!B63="","",'Equipe'!B63)</f>
        <v/>
      </c>
      <c r="C63" s="27">
        <f>IF('Equipe'!C63="","",'Equipe'!C63)</f>
        <v/>
      </c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19">
        <f>IF($B63="","",IFERROR(SUMPRODUCT((Matriz_Esp&lt;&gt;"")*D63:W63)/SUMPRODUCT(--(Matriz_Esp&lt;&gt;"")),""))</f>
        <v/>
      </c>
      <c r="Y63" s="23">
        <f>IF($B63="","",SUMPRODUCT((Matriz_Esp&lt;&gt;"")*(D63:W63&gt;=2)))</f>
        <v/>
      </c>
    </row>
    <row r="64">
      <c r="A64" s="27">
        <f>IF('Equipe'!A64="","",'Equipe'!A64)</f>
        <v/>
      </c>
      <c r="B64" s="28">
        <f>IF('Equipe'!B64="","",'Equipe'!B64)</f>
        <v/>
      </c>
      <c r="C64" s="27">
        <f>IF('Equipe'!C64="","",'Equipe'!C64)</f>
        <v/>
      </c>
      <c r="D64" s="29" t="n"/>
      <c r="E64" s="29" t="n"/>
      <c r="F64" s="29" t="n"/>
      <c r="G64" s="29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19">
        <f>IF($B64="","",IFERROR(SUMPRODUCT((Matriz_Esp&lt;&gt;"")*D64:W64)/SUMPRODUCT(--(Matriz_Esp&lt;&gt;"")),""))</f>
        <v/>
      </c>
      <c r="Y64" s="23">
        <f>IF($B64="","",SUMPRODUCT((Matriz_Esp&lt;&gt;"")*(D64:W64&gt;=2)))</f>
        <v/>
      </c>
    </row>
    <row r="65">
      <c r="A65" s="27">
        <f>IF('Equipe'!A65="","",'Equipe'!A65)</f>
        <v/>
      </c>
      <c r="B65" s="28">
        <f>IF('Equipe'!B65="","",'Equipe'!B65)</f>
        <v/>
      </c>
      <c r="C65" s="27">
        <f>IF('Equipe'!C65="","",'Equipe'!C65)</f>
        <v/>
      </c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19">
        <f>IF($B65="","",IFERROR(SUMPRODUCT((Matriz_Esp&lt;&gt;"")*D65:W65)/SUMPRODUCT(--(Matriz_Esp&lt;&gt;"")),""))</f>
        <v/>
      </c>
      <c r="Y65" s="23">
        <f>IF($B65="","",SUMPRODUCT((Matriz_Esp&lt;&gt;"")*(D65:W65&gt;=2)))</f>
        <v/>
      </c>
    </row>
    <row r="66">
      <c r="A66" s="27">
        <f>IF('Equipe'!A66="","",'Equipe'!A66)</f>
        <v/>
      </c>
      <c r="B66" s="28">
        <f>IF('Equipe'!B66="","",'Equipe'!B66)</f>
        <v/>
      </c>
      <c r="C66" s="27">
        <f>IF('Equipe'!C66="","",'Equipe'!C66)</f>
        <v/>
      </c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19">
        <f>IF($B66="","",IFERROR(SUMPRODUCT((Matriz_Esp&lt;&gt;"")*D66:W66)/SUMPRODUCT(--(Matriz_Esp&lt;&gt;"")),""))</f>
        <v/>
      </c>
      <c r="Y66" s="23">
        <f>IF($B66="","",SUMPRODUCT((Matriz_Esp&lt;&gt;"")*(D66:W66&gt;=2)))</f>
        <v/>
      </c>
    </row>
    <row r="67">
      <c r="A67" s="27">
        <f>IF('Equipe'!A67="","",'Equipe'!A67)</f>
        <v/>
      </c>
      <c r="B67" s="28">
        <f>IF('Equipe'!B67="","",'Equipe'!B67)</f>
        <v/>
      </c>
      <c r="C67" s="27">
        <f>IF('Equipe'!C67="","",'Equipe'!C67)</f>
        <v/>
      </c>
      <c r="D67" s="29" t="n"/>
      <c r="E67" s="29" t="n"/>
      <c r="F67" s="29" t="n"/>
      <c r="G67" s="29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29" t="n"/>
      <c r="R67" s="29" t="n"/>
      <c r="S67" s="29" t="n"/>
      <c r="T67" s="29" t="n"/>
      <c r="U67" s="29" t="n"/>
      <c r="V67" s="29" t="n"/>
      <c r="W67" s="29" t="n"/>
      <c r="X67" s="19">
        <f>IF($B67="","",IFERROR(SUMPRODUCT((Matriz_Esp&lt;&gt;"")*D67:W67)/SUMPRODUCT(--(Matriz_Esp&lt;&gt;"")),""))</f>
        <v/>
      </c>
      <c r="Y67" s="23">
        <f>IF($B67="","",SUMPRODUCT((Matriz_Esp&lt;&gt;"")*(D67:W67&gt;=2)))</f>
        <v/>
      </c>
    </row>
    <row r="68">
      <c r="A68" s="27">
        <f>IF('Equipe'!A68="","",'Equipe'!A68)</f>
        <v/>
      </c>
      <c r="B68" s="28">
        <f>IF('Equipe'!B68="","",'Equipe'!B68)</f>
        <v/>
      </c>
      <c r="C68" s="27">
        <f>IF('Equipe'!C68="","",'Equipe'!C68)</f>
        <v/>
      </c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19">
        <f>IF($B68="","",IFERROR(SUMPRODUCT((Matriz_Esp&lt;&gt;"")*D68:W68)/SUMPRODUCT(--(Matriz_Esp&lt;&gt;"")),""))</f>
        <v/>
      </c>
      <c r="Y68" s="23">
        <f>IF($B68="","",SUMPRODUCT((Matriz_Esp&lt;&gt;"")*(D68:W68&gt;=2)))</f>
        <v/>
      </c>
    </row>
    <row r="69">
      <c r="A69" s="27">
        <f>IF('Equipe'!A69="","",'Equipe'!A69)</f>
        <v/>
      </c>
      <c r="B69" s="28">
        <f>IF('Equipe'!B69="","",'Equipe'!B69)</f>
        <v/>
      </c>
      <c r="C69" s="27">
        <f>IF('Equipe'!C69="","",'Equipe'!C69)</f>
        <v/>
      </c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19">
        <f>IF($B69="","",IFERROR(SUMPRODUCT((Matriz_Esp&lt;&gt;"")*D69:W69)/SUMPRODUCT(--(Matriz_Esp&lt;&gt;"")),""))</f>
        <v/>
      </c>
      <c r="Y69" s="23">
        <f>IF($B69="","",SUMPRODUCT((Matriz_Esp&lt;&gt;"")*(D69:W69&gt;=2)))</f>
        <v/>
      </c>
    </row>
    <row r="70">
      <c r="A70" s="27">
        <f>IF('Equipe'!A70="","",'Equipe'!A70)</f>
        <v/>
      </c>
      <c r="B70" s="28">
        <f>IF('Equipe'!B70="","",'Equipe'!B70)</f>
        <v/>
      </c>
      <c r="C70" s="27">
        <f>IF('Equipe'!C70="","",'Equipe'!C70)</f>
        <v/>
      </c>
      <c r="D70" s="29" t="n"/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19">
        <f>IF($B70="","",IFERROR(SUMPRODUCT((Matriz_Esp&lt;&gt;"")*D70:W70)/SUMPRODUCT(--(Matriz_Esp&lt;&gt;"")),""))</f>
        <v/>
      </c>
      <c r="Y70" s="23">
        <f>IF($B70="","",SUMPRODUCT((Matriz_Esp&lt;&gt;"")*(D70:W70&gt;=2)))</f>
        <v/>
      </c>
    </row>
    <row r="71">
      <c r="A71" s="27">
        <f>IF('Equipe'!A71="","",'Equipe'!A71)</f>
        <v/>
      </c>
      <c r="B71" s="28">
        <f>IF('Equipe'!B71="","",'Equipe'!B71)</f>
        <v/>
      </c>
      <c r="C71" s="27">
        <f>IF('Equipe'!C71="","",'Equipe'!C71)</f>
        <v/>
      </c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19">
        <f>IF($B71="","",IFERROR(SUMPRODUCT((Matriz_Esp&lt;&gt;"")*D71:W71)/SUMPRODUCT(--(Matriz_Esp&lt;&gt;"")),""))</f>
        <v/>
      </c>
      <c r="Y71" s="23">
        <f>IF($B71="","",SUMPRODUCT((Matriz_Esp&lt;&gt;"")*(D71:W71&gt;=2)))</f>
        <v/>
      </c>
    </row>
    <row r="72">
      <c r="A72" s="27">
        <f>IF('Equipe'!A72="","",'Equipe'!A72)</f>
        <v/>
      </c>
      <c r="B72" s="28">
        <f>IF('Equipe'!B72="","",'Equipe'!B72)</f>
        <v/>
      </c>
      <c r="C72" s="27">
        <f>IF('Equipe'!C72="","",'Equipe'!C72)</f>
        <v/>
      </c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19">
        <f>IF($B72="","",IFERROR(SUMPRODUCT((Matriz_Esp&lt;&gt;"")*D72:W72)/SUMPRODUCT(--(Matriz_Esp&lt;&gt;"")),""))</f>
        <v/>
      </c>
      <c r="Y72" s="23">
        <f>IF($B72="","",SUMPRODUCT((Matriz_Esp&lt;&gt;"")*(D72:W72&gt;=2)))</f>
        <v/>
      </c>
    </row>
    <row r="73">
      <c r="A73" s="27">
        <f>IF('Equipe'!A73="","",'Equipe'!A73)</f>
        <v/>
      </c>
      <c r="B73" s="28">
        <f>IF('Equipe'!B73="","",'Equipe'!B73)</f>
        <v/>
      </c>
      <c r="C73" s="27">
        <f>IF('Equipe'!C73="","",'Equipe'!C73)</f>
        <v/>
      </c>
      <c r="D73" s="29" t="n"/>
      <c r="E73" s="29" t="n"/>
      <c r="F73" s="29" t="n"/>
      <c r="G73" s="29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29" t="n"/>
      <c r="R73" s="29" t="n"/>
      <c r="S73" s="29" t="n"/>
      <c r="T73" s="29" t="n"/>
      <c r="U73" s="29" t="n"/>
      <c r="V73" s="29" t="n"/>
      <c r="W73" s="29" t="n"/>
      <c r="X73" s="19">
        <f>IF($B73="","",IFERROR(SUMPRODUCT((Matriz_Esp&lt;&gt;"")*D73:W73)/SUMPRODUCT(--(Matriz_Esp&lt;&gt;"")),""))</f>
        <v/>
      </c>
      <c r="Y73" s="23">
        <f>IF($B73="","",SUMPRODUCT((Matriz_Esp&lt;&gt;"")*(D73:W73&gt;=2)))</f>
        <v/>
      </c>
    </row>
    <row r="74">
      <c r="A74" s="27">
        <f>IF('Equipe'!A74="","",'Equipe'!A74)</f>
        <v/>
      </c>
      <c r="B74" s="28">
        <f>IF('Equipe'!B74="","",'Equipe'!B74)</f>
        <v/>
      </c>
      <c r="C74" s="27">
        <f>IF('Equipe'!C74="","",'Equipe'!C74)</f>
        <v/>
      </c>
      <c r="D74" s="29" t="n"/>
      <c r="E74" s="29" t="n"/>
      <c r="F74" s="29" t="n"/>
      <c r="G74" s="29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29" t="n"/>
      <c r="R74" s="29" t="n"/>
      <c r="S74" s="29" t="n"/>
      <c r="T74" s="29" t="n"/>
      <c r="U74" s="29" t="n"/>
      <c r="V74" s="29" t="n"/>
      <c r="W74" s="29" t="n"/>
      <c r="X74" s="19">
        <f>IF($B74="","",IFERROR(SUMPRODUCT((Matriz_Esp&lt;&gt;"")*D74:W74)/SUMPRODUCT(--(Matriz_Esp&lt;&gt;"")),""))</f>
        <v/>
      </c>
      <c r="Y74" s="23">
        <f>IF($B74="","",SUMPRODUCT((Matriz_Esp&lt;&gt;"")*(D74:W74&gt;=2)))</f>
        <v/>
      </c>
    </row>
    <row r="75">
      <c r="A75" s="27">
        <f>IF('Equipe'!A75="","",'Equipe'!A75)</f>
        <v/>
      </c>
      <c r="B75" s="28">
        <f>IF('Equipe'!B75="","",'Equipe'!B75)</f>
        <v/>
      </c>
      <c r="C75" s="27">
        <f>IF('Equipe'!C75="","",'Equipe'!C75)</f>
        <v/>
      </c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29" t="n"/>
      <c r="R75" s="29" t="n"/>
      <c r="S75" s="29" t="n"/>
      <c r="T75" s="29" t="n"/>
      <c r="U75" s="29" t="n"/>
      <c r="V75" s="29" t="n"/>
      <c r="W75" s="29" t="n"/>
      <c r="X75" s="19">
        <f>IF($B75="","",IFERROR(SUMPRODUCT((Matriz_Esp&lt;&gt;"")*D75:W75)/SUMPRODUCT(--(Matriz_Esp&lt;&gt;"")),""))</f>
        <v/>
      </c>
      <c r="Y75" s="23">
        <f>IF($B75="","",SUMPRODUCT((Matriz_Esp&lt;&gt;"")*(D75:W75&gt;=2)))</f>
        <v/>
      </c>
    </row>
    <row r="76">
      <c r="A76" s="27">
        <f>IF('Equipe'!A76="","",'Equipe'!A76)</f>
        <v/>
      </c>
      <c r="B76" s="28">
        <f>IF('Equipe'!B76="","",'Equipe'!B76)</f>
        <v/>
      </c>
      <c r="C76" s="27">
        <f>IF('Equipe'!C76="","",'Equipe'!C76)</f>
        <v/>
      </c>
      <c r="D76" s="29" t="n"/>
      <c r="E76" s="29" t="n"/>
      <c r="F76" s="29" t="n"/>
      <c r="G76" s="29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29" t="n"/>
      <c r="R76" s="29" t="n"/>
      <c r="S76" s="29" t="n"/>
      <c r="T76" s="29" t="n"/>
      <c r="U76" s="29" t="n"/>
      <c r="V76" s="29" t="n"/>
      <c r="W76" s="29" t="n"/>
      <c r="X76" s="19">
        <f>IF($B76="","",IFERROR(SUMPRODUCT((Matriz_Esp&lt;&gt;"")*D76:W76)/SUMPRODUCT(--(Matriz_Esp&lt;&gt;"")),""))</f>
        <v/>
      </c>
      <c r="Y76" s="23">
        <f>IF($B76="","",SUMPRODUCT((Matriz_Esp&lt;&gt;"")*(D76:W76&gt;=2)))</f>
        <v/>
      </c>
    </row>
    <row r="77">
      <c r="A77" s="27">
        <f>IF('Equipe'!A77="","",'Equipe'!A77)</f>
        <v/>
      </c>
      <c r="B77" s="28">
        <f>IF('Equipe'!B77="","",'Equipe'!B77)</f>
        <v/>
      </c>
      <c r="C77" s="27">
        <f>IF('Equipe'!C77="","",'Equipe'!C77)</f>
        <v/>
      </c>
      <c r="D77" s="29" t="n"/>
      <c r="E77" s="29" t="n"/>
      <c r="F77" s="29" t="n"/>
      <c r="G77" s="29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19">
        <f>IF($B77="","",IFERROR(SUMPRODUCT((Matriz_Esp&lt;&gt;"")*D77:W77)/SUMPRODUCT(--(Matriz_Esp&lt;&gt;"")),""))</f>
        <v/>
      </c>
      <c r="Y77" s="23">
        <f>IF($B77="","",SUMPRODUCT((Matriz_Esp&lt;&gt;"")*(D77:W77&gt;=2)))</f>
        <v/>
      </c>
    </row>
    <row r="78">
      <c r="A78" s="27">
        <f>IF('Equipe'!A78="","",'Equipe'!A78)</f>
        <v/>
      </c>
      <c r="B78" s="28">
        <f>IF('Equipe'!B78="","",'Equipe'!B78)</f>
        <v/>
      </c>
      <c r="C78" s="27">
        <f>IF('Equipe'!C78="","",'Equipe'!C78)</f>
        <v/>
      </c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29" t="n"/>
      <c r="R78" s="29" t="n"/>
      <c r="S78" s="29" t="n"/>
      <c r="T78" s="29" t="n"/>
      <c r="U78" s="29" t="n"/>
      <c r="V78" s="29" t="n"/>
      <c r="W78" s="29" t="n"/>
      <c r="X78" s="19">
        <f>IF($B78="","",IFERROR(SUMPRODUCT((Matriz_Esp&lt;&gt;"")*D78:W78)/SUMPRODUCT(--(Matriz_Esp&lt;&gt;"")),""))</f>
        <v/>
      </c>
      <c r="Y78" s="23">
        <f>IF($B78="","",SUMPRODUCT((Matriz_Esp&lt;&gt;"")*(D78:W78&gt;=2)))</f>
        <v/>
      </c>
    </row>
    <row r="79">
      <c r="A79" s="27">
        <f>IF('Equipe'!A79="","",'Equipe'!A79)</f>
        <v/>
      </c>
      <c r="B79" s="28">
        <f>IF('Equipe'!B79="","",'Equipe'!B79)</f>
        <v/>
      </c>
      <c r="C79" s="27">
        <f>IF('Equipe'!C79="","",'Equipe'!C79)</f>
        <v/>
      </c>
      <c r="D79" s="29" t="n"/>
      <c r="E79" s="29" t="n"/>
      <c r="F79" s="29" t="n"/>
      <c r="G79" s="29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29" t="n"/>
      <c r="R79" s="29" t="n"/>
      <c r="S79" s="29" t="n"/>
      <c r="T79" s="29" t="n"/>
      <c r="U79" s="29" t="n"/>
      <c r="V79" s="29" t="n"/>
      <c r="W79" s="29" t="n"/>
      <c r="X79" s="19">
        <f>IF($B79="","",IFERROR(SUMPRODUCT((Matriz_Esp&lt;&gt;"")*D79:W79)/SUMPRODUCT(--(Matriz_Esp&lt;&gt;"")),""))</f>
        <v/>
      </c>
      <c r="Y79" s="23">
        <f>IF($B79="","",SUMPRODUCT((Matriz_Esp&lt;&gt;"")*(D79:W79&gt;=2)))</f>
        <v/>
      </c>
    </row>
    <row r="80">
      <c r="A80" s="27">
        <f>IF('Equipe'!A80="","",'Equipe'!A80)</f>
        <v/>
      </c>
      <c r="B80" s="28">
        <f>IF('Equipe'!B80="","",'Equipe'!B80)</f>
        <v/>
      </c>
      <c r="C80" s="27">
        <f>IF('Equipe'!C80="","",'Equipe'!C80)</f>
        <v/>
      </c>
      <c r="D80" s="29" t="n"/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  <c r="R80" s="29" t="n"/>
      <c r="S80" s="29" t="n"/>
      <c r="T80" s="29" t="n"/>
      <c r="U80" s="29" t="n"/>
      <c r="V80" s="29" t="n"/>
      <c r="W80" s="29" t="n"/>
      <c r="X80" s="19">
        <f>IF($B80="","",IFERROR(SUMPRODUCT((Matriz_Esp&lt;&gt;"")*D80:W80)/SUMPRODUCT(--(Matriz_Esp&lt;&gt;"")),""))</f>
        <v/>
      </c>
      <c r="Y80" s="23">
        <f>IF($B80="","",SUMPRODUCT((Matriz_Esp&lt;&gt;"")*(D80:W80&gt;=2)))</f>
        <v/>
      </c>
    </row>
    <row r="81">
      <c r="A81" s="27">
        <f>IF('Equipe'!A81="","",'Equipe'!A81)</f>
        <v/>
      </c>
      <c r="B81" s="28">
        <f>IF('Equipe'!B81="","",'Equipe'!B81)</f>
        <v/>
      </c>
      <c r="C81" s="27">
        <f>IF('Equipe'!C81="","",'Equipe'!C81)</f>
        <v/>
      </c>
      <c r="D81" s="29" t="n"/>
      <c r="E81" s="29" t="n"/>
      <c r="F81" s="29" t="n"/>
      <c r="G81" s="29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29" t="n"/>
      <c r="R81" s="29" t="n"/>
      <c r="S81" s="29" t="n"/>
      <c r="T81" s="29" t="n"/>
      <c r="U81" s="29" t="n"/>
      <c r="V81" s="29" t="n"/>
      <c r="W81" s="29" t="n"/>
      <c r="X81" s="19">
        <f>IF($B81="","",IFERROR(SUMPRODUCT((Matriz_Esp&lt;&gt;"")*D81:W81)/SUMPRODUCT(--(Matriz_Esp&lt;&gt;"")),""))</f>
        <v/>
      </c>
      <c r="Y81" s="23">
        <f>IF($B81="","",SUMPRODUCT((Matriz_Esp&lt;&gt;"")*(D81:W81&gt;=2)))</f>
        <v/>
      </c>
    </row>
    <row r="82">
      <c r="A82" s="27">
        <f>IF('Equipe'!A82="","",'Equipe'!A82)</f>
        <v/>
      </c>
      <c r="B82" s="28">
        <f>IF('Equipe'!B82="","",'Equipe'!B82)</f>
        <v/>
      </c>
      <c r="C82" s="27">
        <f>IF('Equipe'!C82="","",'Equipe'!C82)</f>
        <v/>
      </c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29" t="n"/>
      <c r="R82" s="29" t="n"/>
      <c r="S82" s="29" t="n"/>
      <c r="T82" s="29" t="n"/>
      <c r="U82" s="29" t="n"/>
      <c r="V82" s="29" t="n"/>
      <c r="W82" s="29" t="n"/>
      <c r="X82" s="19">
        <f>IF($B82="","",IFERROR(SUMPRODUCT((Matriz_Esp&lt;&gt;"")*D82:W82)/SUMPRODUCT(--(Matriz_Esp&lt;&gt;"")),""))</f>
        <v/>
      </c>
      <c r="Y82" s="23">
        <f>IF($B82="","",SUMPRODUCT((Matriz_Esp&lt;&gt;"")*(D82:W82&gt;=2)))</f>
        <v/>
      </c>
    </row>
    <row r="83">
      <c r="A83" s="27">
        <f>IF('Equipe'!A83="","",'Equipe'!A83)</f>
        <v/>
      </c>
      <c r="B83" s="28">
        <f>IF('Equipe'!B83="","",'Equipe'!B83)</f>
        <v/>
      </c>
      <c r="C83" s="27">
        <f>IF('Equipe'!C83="","",'Equipe'!C83)</f>
        <v/>
      </c>
      <c r="D83" s="29" t="n"/>
      <c r="E83" s="29" t="n"/>
      <c r="F83" s="29" t="n"/>
      <c r="G83" s="29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29" t="n"/>
      <c r="R83" s="29" t="n"/>
      <c r="S83" s="29" t="n"/>
      <c r="T83" s="29" t="n"/>
      <c r="U83" s="29" t="n"/>
      <c r="V83" s="29" t="n"/>
      <c r="W83" s="29" t="n"/>
      <c r="X83" s="19">
        <f>IF($B83="","",IFERROR(SUMPRODUCT((Matriz_Esp&lt;&gt;"")*D83:W83)/SUMPRODUCT(--(Matriz_Esp&lt;&gt;"")),""))</f>
        <v/>
      </c>
      <c r="Y83" s="23">
        <f>IF($B83="","",SUMPRODUCT((Matriz_Esp&lt;&gt;"")*(D83:W83&gt;=2)))</f>
        <v/>
      </c>
    </row>
    <row r="84">
      <c r="A84" s="27">
        <f>IF('Equipe'!A84="","",'Equipe'!A84)</f>
        <v/>
      </c>
      <c r="B84" s="28">
        <f>IF('Equipe'!B84="","",'Equipe'!B84)</f>
        <v/>
      </c>
      <c r="C84" s="27">
        <f>IF('Equipe'!C84="","",'Equipe'!C84)</f>
        <v/>
      </c>
      <c r="D84" s="29" t="n"/>
      <c r="E84" s="29" t="n"/>
      <c r="F84" s="29" t="n"/>
      <c r="G84" s="29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29" t="n"/>
      <c r="R84" s="29" t="n"/>
      <c r="S84" s="29" t="n"/>
      <c r="T84" s="29" t="n"/>
      <c r="U84" s="29" t="n"/>
      <c r="V84" s="29" t="n"/>
      <c r="W84" s="29" t="n"/>
      <c r="X84" s="19">
        <f>IF($B84="","",IFERROR(SUMPRODUCT((Matriz_Esp&lt;&gt;"")*D84:W84)/SUMPRODUCT(--(Matriz_Esp&lt;&gt;"")),""))</f>
        <v/>
      </c>
      <c r="Y84" s="23">
        <f>IF($B84="","",SUMPRODUCT((Matriz_Esp&lt;&gt;"")*(D84:W84&gt;=2)))</f>
        <v/>
      </c>
    </row>
    <row r="85">
      <c r="A85" s="27">
        <f>IF('Equipe'!A85="","",'Equipe'!A85)</f>
        <v/>
      </c>
      <c r="B85" s="28">
        <f>IF('Equipe'!B85="","",'Equipe'!B85)</f>
        <v/>
      </c>
      <c r="C85" s="27">
        <f>IF('Equipe'!C85="","",'Equipe'!C85)</f>
        <v/>
      </c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19">
        <f>IF($B85="","",IFERROR(SUMPRODUCT((Matriz_Esp&lt;&gt;"")*D85:W85)/SUMPRODUCT(--(Matriz_Esp&lt;&gt;"")),""))</f>
        <v/>
      </c>
      <c r="Y85" s="23">
        <f>IF($B85="","",SUMPRODUCT((Matriz_Esp&lt;&gt;"")*(D85:W85&gt;=2)))</f>
        <v/>
      </c>
    </row>
    <row r="86">
      <c r="A86" s="27">
        <f>IF('Equipe'!A86="","",'Equipe'!A86)</f>
        <v/>
      </c>
      <c r="B86" s="28">
        <f>IF('Equipe'!B86="","",'Equipe'!B86)</f>
        <v/>
      </c>
      <c r="C86" s="27">
        <f>IF('Equipe'!C86="","",'Equipe'!C86)</f>
        <v/>
      </c>
      <c r="D86" s="29" t="n"/>
      <c r="E86" s="29" t="n"/>
      <c r="F86" s="29" t="n"/>
      <c r="G86" s="29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29" t="n"/>
      <c r="R86" s="29" t="n"/>
      <c r="S86" s="29" t="n"/>
      <c r="T86" s="29" t="n"/>
      <c r="U86" s="29" t="n"/>
      <c r="V86" s="29" t="n"/>
      <c r="W86" s="29" t="n"/>
      <c r="X86" s="19">
        <f>IF($B86="","",IFERROR(SUMPRODUCT((Matriz_Esp&lt;&gt;"")*D86:W86)/SUMPRODUCT(--(Matriz_Esp&lt;&gt;"")),""))</f>
        <v/>
      </c>
      <c r="Y86" s="23">
        <f>IF($B86="","",SUMPRODUCT((Matriz_Esp&lt;&gt;"")*(D86:W86&gt;=2)))</f>
        <v/>
      </c>
    </row>
    <row r="87">
      <c r="A87" s="27">
        <f>IF('Equipe'!A87="","",'Equipe'!A87)</f>
        <v/>
      </c>
      <c r="B87" s="28">
        <f>IF('Equipe'!B87="","",'Equipe'!B87)</f>
        <v/>
      </c>
      <c r="C87" s="27">
        <f>IF('Equipe'!C87="","",'Equipe'!C87)</f>
        <v/>
      </c>
      <c r="D87" s="29" t="n"/>
      <c r="E87" s="29" t="n"/>
      <c r="F87" s="29" t="n"/>
      <c r="G87" s="29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19">
        <f>IF($B87="","",IFERROR(SUMPRODUCT((Matriz_Esp&lt;&gt;"")*D87:W87)/SUMPRODUCT(--(Matriz_Esp&lt;&gt;"")),""))</f>
        <v/>
      </c>
      <c r="Y87" s="23">
        <f>IF($B87="","",SUMPRODUCT((Matriz_Esp&lt;&gt;"")*(D87:W87&gt;=2)))</f>
        <v/>
      </c>
    </row>
    <row r="88">
      <c r="A88" s="27">
        <f>IF('Equipe'!A88="","",'Equipe'!A88)</f>
        <v/>
      </c>
      <c r="B88" s="28">
        <f>IF('Equipe'!B88="","",'Equipe'!B88)</f>
        <v/>
      </c>
      <c r="C88" s="27">
        <f>IF('Equipe'!C88="","",'Equipe'!C88)</f>
        <v/>
      </c>
      <c r="D88" s="29" t="n"/>
      <c r="E88" s="29" t="n"/>
      <c r="F88" s="29" t="n"/>
      <c r="G88" s="29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29" t="n"/>
      <c r="R88" s="29" t="n"/>
      <c r="S88" s="29" t="n"/>
      <c r="T88" s="29" t="n"/>
      <c r="U88" s="29" t="n"/>
      <c r="V88" s="29" t="n"/>
      <c r="W88" s="29" t="n"/>
      <c r="X88" s="19">
        <f>IF($B88="","",IFERROR(SUMPRODUCT((Matriz_Esp&lt;&gt;"")*D88:W88)/SUMPRODUCT(--(Matriz_Esp&lt;&gt;"")),""))</f>
        <v/>
      </c>
      <c r="Y88" s="23">
        <f>IF($B88="","",SUMPRODUCT((Matriz_Esp&lt;&gt;"")*(D88:W88&gt;=2)))</f>
        <v/>
      </c>
    </row>
    <row r="89">
      <c r="A89" s="27">
        <f>IF('Equipe'!A89="","",'Equipe'!A89)</f>
        <v/>
      </c>
      <c r="B89" s="28">
        <f>IF('Equipe'!B89="","",'Equipe'!B89)</f>
        <v/>
      </c>
      <c r="C89" s="27">
        <f>IF('Equipe'!C89="","",'Equipe'!C89)</f>
        <v/>
      </c>
      <c r="D89" s="29" t="n"/>
      <c r="E89" s="29" t="n"/>
      <c r="F89" s="29" t="n"/>
      <c r="G89" s="29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29" t="n"/>
      <c r="R89" s="29" t="n"/>
      <c r="S89" s="29" t="n"/>
      <c r="T89" s="29" t="n"/>
      <c r="U89" s="29" t="n"/>
      <c r="V89" s="29" t="n"/>
      <c r="W89" s="29" t="n"/>
      <c r="X89" s="19">
        <f>IF($B89="","",IFERROR(SUMPRODUCT((Matriz_Esp&lt;&gt;"")*D89:W89)/SUMPRODUCT(--(Matriz_Esp&lt;&gt;"")),""))</f>
        <v/>
      </c>
      <c r="Y89" s="23">
        <f>IF($B89="","",SUMPRODUCT((Matriz_Esp&lt;&gt;"")*(D89:W89&gt;=2)))</f>
        <v/>
      </c>
    </row>
    <row r="90">
      <c r="A90" s="27">
        <f>IF('Equipe'!A90="","",'Equipe'!A90)</f>
        <v/>
      </c>
      <c r="B90" s="28">
        <f>IF('Equipe'!B90="","",'Equipe'!B90)</f>
        <v/>
      </c>
      <c r="C90" s="27">
        <f>IF('Equipe'!C90="","",'Equipe'!C90)</f>
        <v/>
      </c>
      <c r="D90" s="29" t="n"/>
      <c r="E90" s="29" t="n"/>
      <c r="F90" s="29" t="n"/>
      <c r="G90" s="29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29" t="n"/>
      <c r="R90" s="29" t="n"/>
      <c r="S90" s="29" t="n"/>
      <c r="T90" s="29" t="n"/>
      <c r="U90" s="29" t="n"/>
      <c r="V90" s="29" t="n"/>
      <c r="W90" s="29" t="n"/>
      <c r="X90" s="19">
        <f>IF($B90="","",IFERROR(SUMPRODUCT((Matriz_Esp&lt;&gt;"")*D90:W90)/SUMPRODUCT(--(Matriz_Esp&lt;&gt;"")),""))</f>
        <v/>
      </c>
      <c r="Y90" s="23">
        <f>IF($B90="","",SUMPRODUCT((Matriz_Esp&lt;&gt;"")*(D90:W90&gt;=2)))</f>
        <v/>
      </c>
    </row>
    <row r="91">
      <c r="A91" s="27">
        <f>IF('Equipe'!A91="","",'Equipe'!A91)</f>
        <v/>
      </c>
      <c r="B91" s="28">
        <f>IF('Equipe'!B91="","",'Equipe'!B91)</f>
        <v/>
      </c>
      <c r="C91" s="27">
        <f>IF('Equipe'!C91="","",'Equipe'!C91)</f>
        <v/>
      </c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29" t="n"/>
      <c r="R91" s="29" t="n"/>
      <c r="S91" s="29" t="n"/>
      <c r="T91" s="29" t="n"/>
      <c r="U91" s="29" t="n"/>
      <c r="V91" s="29" t="n"/>
      <c r="W91" s="29" t="n"/>
      <c r="X91" s="19">
        <f>IF($B91="","",IFERROR(SUMPRODUCT((Matriz_Esp&lt;&gt;"")*D91:W91)/SUMPRODUCT(--(Matriz_Esp&lt;&gt;"")),""))</f>
        <v/>
      </c>
      <c r="Y91" s="23">
        <f>IF($B91="","",SUMPRODUCT((Matriz_Esp&lt;&gt;"")*(D91:W91&gt;=2)))</f>
        <v/>
      </c>
    </row>
    <row r="92">
      <c r="A92" s="27">
        <f>IF('Equipe'!A92="","",'Equipe'!A92)</f>
        <v/>
      </c>
      <c r="B92" s="28">
        <f>IF('Equipe'!B92="","",'Equipe'!B92)</f>
        <v/>
      </c>
      <c r="C92" s="27">
        <f>IF('Equipe'!C92="","",'Equipe'!C92)</f>
        <v/>
      </c>
      <c r="D92" s="29" t="n"/>
      <c r="E92" s="29" t="n"/>
      <c r="F92" s="29" t="n"/>
      <c r="G92" s="29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29" t="n"/>
      <c r="R92" s="29" t="n"/>
      <c r="S92" s="29" t="n"/>
      <c r="T92" s="29" t="n"/>
      <c r="U92" s="29" t="n"/>
      <c r="V92" s="29" t="n"/>
      <c r="W92" s="29" t="n"/>
      <c r="X92" s="19">
        <f>IF($B92="","",IFERROR(SUMPRODUCT((Matriz_Esp&lt;&gt;"")*D92:W92)/SUMPRODUCT(--(Matriz_Esp&lt;&gt;"")),""))</f>
        <v/>
      </c>
      <c r="Y92" s="23">
        <f>IF($B92="","",SUMPRODUCT((Matriz_Esp&lt;&gt;"")*(D92:W92&gt;=2)))</f>
        <v/>
      </c>
    </row>
    <row r="93">
      <c r="A93" s="27">
        <f>IF('Equipe'!A93="","",'Equipe'!A93)</f>
        <v/>
      </c>
      <c r="B93" s="28">
        <f>IF('Equipe'!B93="","",'Equipe'!B93)</f>
        <v/>
      </c>
      <c r="C93" s="27">
        <f>IF('Equipe'!C93="","",'Equipe'!C93)</f>
        <v/>
      </c>
      <c r="D93" s="29" t="n"/>
      <c r="E93" s="29" t="n"/>
      <c r="F93" s="29" t="n"/>
      <c r="G93" s="29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29" t="n"/>
      <c r="R93" s="29" t="n"/>
      <c r="S93" s="29" t="n"/>
      <c r="T93" s="29" t="n"/>
      <c r="U93" s="29" t="n"/>
      <c r="V93" s="29" t="n"/>
      <c r="W93" s="29" t="n"/>
      <c r="X93" s="19">
        <f>IF($B93="","",IFERROR(SUMPRODUCT((Matriz_Esp&lt;&gt;"")*D93:W93)/SUMPRODUCT(--(Matriz_Esp&lt;&gt;"")),""))</f>
        <v/>
      </c>
      <c r="Y93" s="23">
        <f>IF($B93="","",SUMPRODUCT((Matriz_Esp&lt;&gt;"")*(D93:W93&gt;=2)))</f>
        <v/>
      </c>
    </row>
    <row r="94">
      <c r="A94" s="27">
        <f>IF('Equipe'!A94="","",'Equipe'!A94)</f>
        <v/>
      </c>
      <c r="B94" s="28">
        <f>IF('Equipe'!B94="","",'Equipe'!B94)</f>
        <v/>
      </c>
      <c r="C94" s="27">
        <f>IF('Equipe'!C94="","",'Equipe'!C94)</f>
        <v/>
      </c>
      <c r="D94" s="29" t="n"/>
      <c r="E94" s="29" t="n"/>
      <c r="F94" s="29" t="n"/>
      <c r="G94" s="29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29" t="n"/>
      <c r="R94" s="29" t="n"/>
      <c r="S94" s="29" t="n"/>
      <c r="T94" s="29" t="n"/>
      <c r="U94" s="29" t="n"/>
      <c r="V94" s="29" t="n"/>
      <c r="W94" s="29" t="n"/>
      <c r="X94" s="19">
        <f>IF($B94="","",IFERROR(SUMPRODUCT((Matriz_Esp&lt;&gt;"")*D94:W94)/SUMPRODUCT(--(Matriz_Esp&lt;&gt;"")),""))</f>
        <v/>
      </c>
      <c r="Y94" s="23">
        <f>IF($B94="","",SUMPRODUCT((Matriz_Esp&lt;&gt;"")*(D94:W94&gt;=2)))</f>
        <v/>
      </c>
    </row>
    <row r="95">
      <c r="A95" s="27">
        <f>IF('Equipe'!A95="","",'Equipe'!A95)</f>
        <v/>
      </c>
      <c r="B95" s="28">
        <f>IF('Equipe'!B95="","",'Equipe'!B95)</f>
        <v/>
      </c>
      <c r="C95" s="27">
        <f>IF('Equipe'!C95="","",'Equipe'!C95)</f>
        <v/>
      </c>
      <c r="D95" s="29" t="n"/>
      <c r="E95" s="29" t="n"/>
      <c r="F95" s="29" t="n"/>
      <c r="G95" s="29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29" t="n"/>
      <c r="R95" s="29" t="n"/>
      <c r="S95" s="29" t="n"/>
      <c r="T95" s="29" t="n"/>
      <c r="U95" s="29" t="n"/>
      <c r="V95" s="29" t="n"/>
      <c r="W95" s="29" t="n"/>
      <c r="X95" s="19">
        <f>IF($B95="","",IFERROR(SUMPRODUCT((Matriz_Esp&lt;&gt;"")*D95:W95)/SUMPRODUCT(--(Matriz_Esp&lt;&gt;"")),""))</f>
        <v/>
      </c>
      <c r="Y95" s="23">
        <f>IF($B95="","",SUMPRODUCT((Matriz_Esp&lt;&gt;"")*(D95:W95&gt;=2)))</f>
        <v/>
      </c>
    </row>
    <row r="96">
      <c r="A96" s="27">
        <f>IF('Equipe'!A96="","",'Equipe'!A96)</f>
        <v/>
      </c>
      <c r="B96" s="28">
        <f>IF('Equipe'!B96="","",'Equipe'!B96)</f>
        <v/>
      </c>
      <c r="C96" s="27">
        <f>IF('Equipe'!C96="","",'Equipe'!C96)</f>
        <v/>
      </c>
      <c r="D96" s="29" t="n"/>
      <c r="E96" s="29" t="n"/>
      <c r="F96" s="29" t="n"/>
      <c r="G96" s="29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29" t="n"/>
      <c r="R96" s="29" t="n"/>
      <c r="S96" s="29" t="n"/>
      <c r="T96" s="29" t="n"/>
      <c r="U96" s="29" t="n"/>
      <c r="V96" s="29" t="n"/>
      <c r="W96" s="29" t="n"/>
      <c r="X96" s="19">
        <f>IF($B96="","",IFERROR(SUMPRODUCT((Matriz_Esp&lt;&gt;"")*D96:W96)/SUMPRODUCT(--(Matriz_Esp&lt;&gt;"")),""))</f>
        <v/>
      </c>
      <c r="Y96" s="23">
        <f>IF($B96="","",SUMPRODUCT((Matriz_Esp&lt;&gt;"")*(D96:W96&gt;=2)))</f>
        <v/>
      </c>
    </row>
    <row r="97">
      <c r="A97" s="27">
        <f>IF('Equipe'!A97="","",'Equipe'!A97)</f>
        <v/>
      </c>
      <c r="B97" s="28">
        <f>IF('Equipe'!B97="","",'Equipe'!B97)</f>
        <v/>
      </c>
      <c r="C97" s="27">
        <f>IF('Equipe'!C97="","",'Equipe'!C97)</f>
        <v/>
      </c>
      <c r="D97" s="29" t="n"/>
      <c r="E97" s="29" t="n"/>
      <c r="F97" s="29" t="n"/>
      <c r="G97" s="29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29" t="n"/>
      <c r="R97" s="29" t="n"/>
      <c r="S97" s="29" t="n"/>
      <c r="T97" s="29" t="n"/>
      <c r="U97" s="29" t="n"/>
      <c r="V97" s="29" t="n"/>
      <c r="W97" s="29" t="n"/>
      <c r="X97" s="19">
        <f>IF($B97="","",IFERROR(SUMPRODUCT((Matriz_Esp&lt;&gt;"")*D97:W97)/SUMPRODUCT(--(Matriz_Esp&lt;&gt;"")),""))</f>
        <v/>
      </c>
      <c r="Y97" s="23">
        <f>IF($B97="","",SUMPRODUCT((Matriz_Esp&lt;&gt;"")*(D97:W97&gt;=2)))</f>
        <v/>
      </c>
    </row>
    <row r="98">
      <c r="A98" s="27">
        <f>IF('Equipe'!A98="","",'Equipe'!A98)</f>
        <v/>
      </c>
      <c r="B98" s="28">
        <f>IF('Equipe'!B98="","",'Equipe'!B98)</f>
        <v/>
      </c>
      <c r="C98" s="27">
        <f>IF('Equipe'!C98="","",'Equipe'!C98)</f>
        <v/>
      </c>
      <c r="D98" s="29" t="n"/>
      <c r="E98" s="29" t="n"/>
      <c r="F98" s="29" t="n"/>
      <c r="G98" s="29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29" t="n"/>
      <c r="R98" s="29" t="n"/>
      <c r="S98" s="29" t="n"/>
      <c r="T98" s="29" t="n"/>
      <c r="U98" s="29" t="n"/>
      <c r="V98" s="29" t="n"/>
      <c r="W98" s="29" t="n"/>
      <c r="X98" s="19">
        <f>IF($B98="","",IFERROR(SUMPRODUCT((Matriz_Esp&lt;&gt;"")*D98:W98)/SUMPRODUCT(--(Matriz_Esp&lt;&gt;"")),""))</f>
        <v/>
      </c>
      <c r="Y98" s="23">
        <f>IF($B98="","",SUMPRODUCT((Matriz_Esp&lt;&gt;"")*(D98:W98&gt;=2)))</f>
        <v/>
      </c>
    </row>
    <row r="99">
      <c r="A99" s="27">
        <f>IF('Equipe'!A99="","",'Equipe'!A99)</f>
        <v/>
      </c>
      <c r="B99" s="28">
        <f>IF('Equipe'!B99="","",'Equipe'!B99)</f>
        <v/>
      </c>
      <c r="C99" s="27">
        <f>IF('Equipe'!C99="","",'Equipe'!C99)</f>
        <v/>
      </c>
      <c r="D99" s="29" t="n"/>
      <c r="E99" s="29" t="n"/>
      <c r="F99" s="29" t="n"/>
      <c r="G99" s="29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29" t="n"/>
      <c r="R99" s="29" t="n"/>
      <c r="S99" s="29" t="n"/>
      <c r="T99" s="29" t="n"/>
      <c r="U99" s="29" t="n"/>
      <c r="V99" s="29" t="n"/>
      <c r="W99" s="29" t="n"/>
      <c r="X99" s="19">
        <f>IF($B99="","",IFERROR(SUMPRODUCT((Matriz_Esp&lt;&gt;"")*D99:W99)/SUMPRODUCT(--(Matriz_Esp&lt;&gt;"")),""))</f>
        <v/>
      </c>
      <c r="Y99" s="23">
        <f>IF($B99="","",SUMPRODUCT((Matriz_Esp&lt;&gt;"")*(D99:W99&gt;=2)))</f>
        <v/>
      </c>
    </row>
    <row r="100">
      <c r="A100" s="27">
        <f>IF('Equipe'!A100="","",'Equipe'!A100)</f>
        <v/>
      </c>
      <c r="B100" s="28">
        <f>IF('Equipe'!B100="","",'Equipe'!B100)</f>
        <v/>
      </c>
      <c r="C100" s="27">
        <f>IF('Equipe'!C100="","",'Equipe'!C100)</f>
        <v/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29" t="n"/>
      <c r="R100" s="29" t="n"/>
      <c r="S100" s="29" t="n"/>
      <c r="T100" s="29" t="n"/>
      <c r="U100" s="29" t="n"/>
      <c r="V100" s="29" t="n"/>
      <c r="W100" s="29" t="n"/>
      <c r="X100" s="19">
        <f>IF($B100="","",IFERROR(SUMPRODUCT((Matriz_Esp&lt;&gt;"")*D100:W100)/SUMPRODUCT(--(Matriz_Esp&lt;&gt;"")),""))</f>
        <v/>
      </c>
      <c r="Y100" s="23">
        <f>IF($B100="","",SUMPRODUCT((Matriz_Esp&lt;&gt;"")*(D100:W100&gt;=2)))</f>
        <v/>
      </c>
    </row>
    <row r="101">
      <c r="A101" s="27">
        <f>IF('Equipe'!A101="","",'Equipe'!A101)</f>
        <v/>
      </c>
      <c r="B101" s="28">
        <f>IF('Equipe'!B101="","",'Equipe'!B101)</f>
        <v/>
      </c>
      <c r="C101" s="27">
        <f>IF('Equipe'!C101="","",'Equipe'!C101)</f>
        <v/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29" t="n"/>
      <c r="R101" s="29" t="n"/>
      <c r="S101" s="29" t="n"/>
      <c r="T101" s="29" t="n"/>
      <c r="U101" s="29" t="n"/>
      <c r="V101" s="29" t="n"/>
      <c r="W101" s="29" t="n"/>
      <c r="X101" s="19">
        <f>IF($B101="","",IFERROR(SUMPRODUCT((Matriz_Esp&lt;&gt;"")*D101:W101)/SUMPRODUCT(--(Matriz_Esp&lt;&gt;"")),""))</f>
        <v/>
      </c>
      <c r="Y101" s="23">
        <f>IF($B101="","",SUMPRODUCT((Matriz_Esp&lt;&gt;"")*(D101:W101&gt;=2)))</f>
        <v/>
      </c>
    </row>
    <row r="102">
      <c r="A102" s="27">
        <f>IF('Equipe'!A102="","",'Equipe'!A102)</f>
        <v/>
      </c>
      <c r="B102" s="28">
        <f>IF('Equipe'!B102="","",'Equipe'!B102)</f>
        <v/>
      </c>
      <c r="C102" s="27">
        <f>IF('Equipe'!C102="","",'Equipe'!C102)</f>
        <v/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29" t="n"/>
      <c r="R102" s="29" t="n"/>
      <c r="S102" s="29" t="n"/>
      <c r="T102" s="29" t="n"/>
      <c r="U102" s="29" t="n"/>
      <c r="V102" s="29" t="n"/>
      <c r="W102" s="29" t="n"/>
      <c r="X102" s="19">
        <f>IF($B102="","",IFERROR(SUMPRODUCT((Matriz_Esp&lt;&gt;"")*D102:W102)/SUMPRODUCT(--(Matriz_Esp&lt;&gt;"")),""))</f>
        <v/>
      </c>
      <c r="Y102" s="23">
        <f>IF($B102="","",SUMPRODUCT((Matriz_Esp&lt;&gt;"")*(D102:W102&gt;=2)))</f>
        <v/>
      </c>
    </row>
    <row r="103">
      <c r="A103" s="27">
        <f>IF('Equipe'!A103="","",'Equipe'!A103)</f>
        <v/>
      </c>
      <c r="B103" s="28">
        <f>IF('Equipe'!B103="","",'Equipe'!B103)</f>
        <v/>
      </c>
      <c r="C103" s="27">
        <f>IF('Equipe'!C103="","",'Equipe'!C103)</f>
        <v/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29" t="n"/>
      <c r="R103" s="29" t="n"/>
      <c r="S103" s="29" t="n"/>
      <c r="T103" s="29" t="n"/>
      <c r="U103" s="29" t="n"/>
      <c r="V103" s="29" t="n"/>
      <c r="W103" s="29" t="n"/>
      <c r="X103" s="19">
        <f>IF($B103="","",IFERROR(SUMPRODUCT((Matriz_Esp&lt;&gt;"")*D103:W103)/SUMPRODUCT(--(Matriz_Esp&lt;&gt;"")),""))</f>
        <v/>
      </c>
      <c r="Y103" s="23">
        <f>IF($B103="","",SUMPRODUCT((Matriz_Esp&lt;&gt;"")*(D103:W103&gt;=2)))</f>
        <v/>
      </c>
    </row>
    <row r="104">
      <c r="A104" s="27">
        <f>IF('Equipe'!A104="","",'Equipe'!A104)</f>
        <v/>
      </c>
      <c r="B104" s="28">
        <f>IF('Equipe'!B104="","",'Equipe'!B104)</f>
        <v/>
      </c>
      <c r="C104" s="27">
        <f>IF('Equipe'!C104="","",'Equipe'!C104)</f>
        <v/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29" t="n"/>
      <c r="R104" s="29" t="n"/>
      <c r="S104" s="29" t="n"/>
      <c r="T104" s="29" t="n"/>
      <c r="U104" s="29" t="n"/>
      <c r="V104" s="29" t="n"/>
      <c r="W104" s="29" t="n"/>
      <c r="X104" s="19">
        <f>IF($B104="","",IFERROR(SUMPRODUCT((Matriz_Esp&lt;&gt;"")*D104:W104)/SUMPRODUCT(--(Matriz_Esp&lt;&gt;"")),""))</f>
        <v/>
      </c>
      <c r="Y104" s="23">
        <f>IF($B104="","",SUMPRODUCT((Matriz_Esp&lt;&gt;"")*(D104:W104&gt;=2)))</f>
        <v/>
      </c>
    </row>
    <row r="105">
      <c r="A105" s="27">
        <f>IF('Equipe'!A105="","",'Equipe'!A105)</f>
        <v/>
      </c>
      <c r="B105" s="28">
        <f>IF('Equipe'!B105="","",'Equipe'!B105)</f>
        <v/>
      </c>
      <c r="C105" s="27">
        <f>IF('Equipe'!C105="","",'Equipe'!C105)</f>
        <v/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29" t="n"/>
      <c r="R105" s="29" t="n"/>
      <c r="S105" s="29" t="n"/>
      <c r="T105" s="29" t="n"/>
      <c r="U105" s="29" t="n"/>
      <c r="V105" s="29" t="n"/>
      <c r="W105" s="29" t="n"/>
      <c r="X105" s="19">
        <f>IF($B105="","",IFERROR(SUMPRODUCT((Matriz_Esp&lt;&gt;"")*D105:W105)/SUMPRODUCT(--(Matriz_Esp&lt;&gt;"")),""))</f>
        <v/>
      </c>
      <c r="Y105" s="23">
        <f>IF($B105="","",SUMPRODUCT((Matriz_Esp&lt;&gt;"")*(D105:W105&gt;=2)))</f>
        <v/>
      </c>
    </row>
    <row r="106">
      <c r="A106" s="27">
        <f>IF('Equipe'!A106="","",'Equipe'!A106)</f>
        <v/>
      </c>
      <c r="B106" s="28">
        <f>IF('Equipe'!B106="","",'Equipe'!B106)</f>
        <v/>
      </c>
      <c r="C106" s="27">
        <f>IF('Equipe'!C106="","",'Equipe'!C106)</f>
        <v/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29" t="n"/>
      <c r="R106" s="29" t="n"/>
      <c r="S106" s="29" t="n"/>
      <c r="T106" s="29" t="n"/>
      <c r="U106" s="29" t="n"/>
      <c r="V106" s="29" t="n"/>
      <c r="W106" s="29" t="n"/>
      <c r="X106" s="19">
        <f>IF($B106="","",IFERROR(SUMPRODUCT((Matriz_Esp&lt;&gt;"")*D106:W106)/SUMPRODUCT(--(Matriz_Esp&lt;&gt;"")),""))</f>
        <v/>
      </c>
      <c r="Y106" s="23">
        <f>IF($B106="","",SUMPRODUCT((Matriz_Esp&lt;&gt;"")*(D106:W106&gt;=2)))</f>
        <v/>
      </c>
    </row>
    <row r="107">
      <c r="A107" s="27">
        <f>IF('Equipe'!A107="","",'Equipe'!A107)</f>
        <v/>
      </c>
      <c r="B107" s="28">
        <f>IF('Equipe'!B107="","",'Equipe'!B107)</f>
        <v/>
      </c>
      <c r="C107" s="27">
        <f>IF('Equipe'!C107="","",'Equipe'!C107)</f>
        <v/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29" t="n"/>
      <c r="R107" s="29" t="n"/>
      <c r="S107" s="29" t="n"/>
      <c r="T107" s="29" t="n"/>
      <c r="U107" s="29" t="n"/>
      <c r="V107" s="29" t="n"/>
      <c r="W107" s="29" t="n"/>
      <c r="X107" s="19">
        <f>IF($B107="","",IFERROR(SUMPRODUCT((Matriz_Esp&lt;&gt;"")*D107:W107)/SUMPRODUCT(--(Matriz_Esp&lt;&gt;"")),""))</f>
        <v/>
      </c>
      <c r="Y107" s="23">
        <f>IF($B107="","",SUMPRODUCT((Matriz_Esp&lt;&gt;"")*(D107:W107&gt;=2)))</f>
        <v/>
      </c>
    </row>
    <row r="108">
      <c r="A108" s="27">
        <f>IF('Equipe'!A108="","",'Equipe'!A108)</f>
        <v/>
      </c>
      <c r="B108" s="28">
        <f>IF('Equipe'!B108="","",'Equipe'!B108)</f>
        <v/>
      </c>
      <c r="C108" s="27">
        <f>IF('Equipe'!C108="","",'Equipe'!C108)</f>
        <v/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29" t="n"/>
      <c r="R108" s="29" t="n"/>
      <c r="S108" s="29" t="n"/>
      <c r="T108" s="29" t="n"/>
      <c r="U108" s="29" t="n"/>
      <c r="V108" s="29" t="n"/>
      <c r="W108" s="29" t="n"/>
      <c r="X108" s="19">
        <f>IF($B108="","",IFERROR(SUMPRODUCT((Matriz_Esp&lt;&gt;"")*D108:W108)/SUMPRODUCT(--(Matriz_Esp&lt;&gt;"")),""))</f>
        <v/>
      </c>
      <c r="Y108" s="23">
        <f>IF($B108="","",SUMPRODUCT((Matriz_Esp&lt;&gt;"")*(D108:W108&gt;=2)))</f>
        <v/>
      </c>
    </row>
    <row r="109">
      <c r="A109" s="27">
        <f>IF('Equipe'!A109="","",'Equipe'!A109)</f>
        <v/>
      </c>
      <c r="B109" s="28">
        <f>IF('Equipe'!B109="","",'Equipe'!B109)</f>
        <v/>
      </c>
      <c r="C109" s="27">
        <f>IF('Equipe'!C109="","",'Equipe'!C109)</f>
        <v/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29" t="n"/>
      <c r="R109" s="29" t="n"/>
      <c r="S109" s="29" t="n"/>
      <c r="T109" s="29" t="n"/>
      <c r="U109" s="29" t="n"/>
      <c r="V109" s="29" t="n"/>
      <c r="W109" s="29" t="n"/>
      <c r="X109" s="19">
        <f>IF($B109="","",IFERROR(SUMPRODUCT((Matriz_Esp&lt;&gt;"")*D109:W109)/SUMPRODUCT(--(Matriz_Esp&lt;&gt;"")),""))</f>
        <v/>
      </c>
      <c r="Y109" s="23">
        <f>IF($B109="","",SUMPRODUCT((Matriz_Esp&lt;&gt;"")*(D109:W109&gt;=2)))</f>
        <v/>
      </c>
    </row>
    <row r="110">
      <c r="A110" s="27">
        <f>IF('Equipe'!A110="","",'Equipe'!A110)</f>
        <v/>
      </c>
      <c r="B110" s="28">
        <f>IF('Equipe'!B110="","",'Equipe'!B110)</f>
        <v/>
      </c>
      <c r="C110" s="27">
        <f>IF('Equipe'!C110="","",'Equipe'!C110)</f>
        <v/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29" t="n"/>
      <c r="R110" s="29" t="n"/>
      <c r="S110" s="29" t="n"/>
      <c r="T110" s="29" t="n"/>
      <c r="U110" s="29" t="n"/>
      <c r="V110" s="29" t="n"/>
      <c r="W110" s="29" t="n"/>
      <c r="X110" s="19">
        <f>IF($B110="","",IFERROR(SUMPRODUCT((Matriz_Esp&lt;&gt;"")*D110:W110)/SUMPRODUCT(--(Matriz_Esp&lt;&gt;"")),""))</f>
        <v/>
      </c>
      <c r="Y110" s="23">
        <f>IF($B110="","",SUMPRODUCT((Matriz_Esp&lt;&gt;"")*(D110:W110&gt;=2)))</f>
        <v/>
      </c>
    </row>
    <row r="111">
      <c r="A111" s="27">
        <f>IF('Equipe'!A111="","",'Equipe'!A111)</f>
        <v/>
      </c>
      <c r="B111" s="28">
        <f>IF('Equipe'!B111="","",'Equipe'!B111)</f>
        <v/>
      </c>
      <c r="C111" s="27">
        <f>IF('Equipe'!C111="","",'Equipe'!C111)</f>
        <v/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29" t="n"/>
      <c r="R111" s="29" t="n"/>
      <c r="S111" s="29" t="n"/>
      <c r="T111" s="29" t="n"/>
      <c r="U111" s="29" t="n"/>
      <c r="V111" s="29" t="n"/>
      <c r="W111" s="29" t="n"/>
      <c r="X111" s="19">
        <f>IF($B111="","",IFERROR(SUMPRODUCT((Matriz_Esp&lt;&gt;"")*D111:W111)/SUMPRODUCT(--(Matriz_Esp&lt;&gt;"")),""))</f>
        <v/>
      </c>
      <c r="Y111" s="23">
        <f>IF($B111="","",SUMPRODUCT((Matriz_Esp&lt;&gt;"")*(D111:W111&gt;=2)))</f>
        <v/>
      </c>
    </row>
    <row r="112">
      <c r="A112" s="27">
        <f>IF('Equipe'!A112="","",'Equipe'!A112)</f>
        <v/>
      </c>
      <c r="B112" s="28">
        <f>IF('Equipe'!B112="","",'Equipe'!B112)</f>
        <v/>
      </c>
      <c r="C112" s="27">
        <f>IF('Equipe'!C112="","",'Equipe'!C112)</f>
        <v/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29" t="n"/>
      <c r="R112" s="29" t="n"/>
      <c r="S112" s="29" t="n"/>
      <c r="T112" s="29" t="n"/>
      <c r="U112" s="29" t="n"/>
      <c r="V112" s="29" t="n"/>
      <c r="W112" s="29" t="n"/>
      <c r="X112" s="19">
        <f>IF($B112="","",IFERROR(SUMPRODUCT((Matriz_Esp&lt;&gt;"")*D112:W112)/SUMPRODUCT(--(Matriz_Esp&lt;&gt;"")),""))</f>
        <v/>
      </c>
      <c r="Y112" s="23">
        <f>IF($B112="","",SUMPRODUCT((Matriz_Esp&lt;&gt;"")*(D112:W112&gt;=2)))</f>
        <v/>
      </c>
    </row>
    <row r="113">
      <c r="A113" s="27">
        <f>IF('Equipe'!A113="","",'Equipe'!A113)</f>
        <v/>
      </c>
      <c r="B113" s="28">
        <f>IF('Equipe'!B113="","",'Equipe'!B113)</f>
        <v/>
      </c>
      <c r="C113" s="27">
        <f>IF('Equipe'!C113="","",'Equipe'!C113)</f>
        <v/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19">
        <f>IF($B113="","",IFERROR(SUMPRODUCT((Matriz_Esp&lt;&gt;"")*D113:W113)/SUMPRODUCT(--(Matriz_Esp&lt;&gt;"")),""))</f>
        <v/>
      </c>
      <c r="Y113" s="23">
        <f>IF($B113="","",SUMPRODUCT((Matriz_Esp&lt;&gt;"")*(D113:W113&gt;=2)))</f>
        <v/>
      </c>
    </row>
    <row r="114">
      <c r="A114" s="27">
        <f>IF('Equipe'!A114="","",'Equipe'!A114)</f>
        <v/>
      </c>
      <c r="B114" s="28">
        <f>IF('Equipe'!B114="","",'Equipe'!B114)</f>
        <v/>
      </c>
      <c r="C114" s="27">
        <f>IF('Equipe'!C114="","",'Equipe'!C114)</f>
        <v/>
      </c>
      <c r="D114" s="29" t="n"/>
      <c r="E114" s="29" t="n"/>
      <c r="F114" s="29" t="n"/>
      <c r="G114" s="29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29" t="n"/>
      <c r="R114" s="29" t="n"/>
      <c r="S114" s="29" t="n"/>
      <c r="T114" s="29" t="n"/>
      <c r="U114" s="29" t="n"/>
      <c r="V114" s="29" t="n"/>
      <c r="W114" s="29" t="n"/>
      <c r="X114" s="19">
        <f>IF($B114="","",IFERROR(SUMPRODUCT((Matriz_Esp&lt;&gt;"")*D114:W114)/SUMPRODUCT(--(Matriz_Esp&lt;&gt;"")),""))</f>
        <v/>
      </c>
      <c r="Y114" s="23">
        <f>IF($B114="","",SUMPRODUCT((Matriz_Esp&lt;&gt;"")*(D114:W114&gt;=2)))</f>
        <v/>
      </c>
    </row>
    <row r="115">
      <c r="A115" s="27">
        <f>IF('Equipe'!A115="","",'Equipe'!A115)</f>
        <v/>
      </c>
      <c r="B115" s="28">
        <f>IF('Equipe'!B115="","",'Equipe'!B115)</f>
        <v/>
      </c>
      <c r="C115" s="27">
        <f>IF('Equipe'!C115="","",'Equipe'!C115)</f>
        <v/>
      </c>
      <c r="D115" s="29" t="n"/>
      <c r="E115" s="29" t="n"/>
      <c r="F115" s="29" t="n"/>
      <c r="G115" s="29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29" t="n"/>
      <c r="R115" s="29" t="n"/>
      <c r="S115" s="29" t="n"/>
      <c r="T115" s="29" t="n"/>
      <c r="U115" s="29" t="n"/>
      <c r="V115" s="29" t="n"/>
      <c r="W115" s="29" t="n"/>
      <c r="X115" s="19">
        <f>IF($B115="","",IFERROR(SUMPRODUCT((Matriz_Esp&lt;&gt;"")*D115:W115)/SUMPRODUCT(--(Matriz_Esp&lt;&gt;"")),""))</f>
        <v/>
      </c>
      <c r="Y115" s="23">
        <f>IF($B115="","",SUMPRODUCT((Matriz_Esp&lt;&gt;"")*(D115:W115&gt;=2)))</f>
        <v/>
      </c>
    </row>
    <row r="116">
      <c r="A116" s="27">
        <f>IF('Equipe'!A116="","",'Equipe'!A116)</f>
        <v/>
      </c>
      <c r="B116" s="28">
        <f>IF('Equipe'!B116="","",'Equipe'!B116)</f>
        <v/>
      </c>
      <c r="C116" s="27">
        <f>IF('Equipe'!C116="","",'Equipe'!C116)</f>
        <v/>
      </c>
      <c r="D116" s="29" t="n"/>
      <c r="E116" s="29" t="n"/>
      <c r="F116" s="29" t="n"/>
      <c r="G116" s="29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29" t="n"/>
      <c r="R116" s="29" t="n"/>
      <c r="S116" s="29" t="n"/>
      <c r="T116" s="29" t="n"/>
      <c r="U116" s="29" t="n"/>
      <c r="V116" s="29" t="n"/>
      <c r="W116" s="29" t="n"/>
      <c r="X116" s="19">
        <f>IF($B116="","",IFERROR(SUMPRODUCT((Matriz_Esp&lt;&gt;"")*D116:W116)/SUMPRODUCT(--(Matriz_Esp&lt;&gt;"")),""))</f>
        <v/>
      </c>
      <c r="Y116" s="23">
        <f>IF($B116="","",SUMPRODUCT((Matriz_Esp&lt;&gt;"")*(D116:W116&gt;=2)))</f>
        <v/>
      </c>
    </row>
    <row r="117">
      <c r="A117" s="27">
        <f>IF('Equipe'!A117="","",'Equipe'!A117)</f>
        <v/>
      </c>
      <c r="B117" s="28">
        <f>IF('Equipe'!B117="","",'Equipe'!B117)</f>
        <v/>
      </c>
      <c r="C117" s="27">
        <f>IF('Equipe'!C117="","",'Equipe'!C117)</f>
        <v/>
      </c>
      <c r="D117" s="29" t="n"/>
      <c r="E117" s="29" t="n"/>
      <c r="F117" s="29" t="n"/>
      <c r="G117" s="29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29" t="n"/>
      <c r="R117" s="29" t="n"/>
      <c r="S117" s="29" t="n"/>
      <c r="T117" s="29" t="n"/>
      <c r="U117" s="29" t="n"/>
      <c r="V117" s="29" t="n"/>
      <c r="W117" s="29" t="n"/>
      <c r="X117" s="19">
        <f>IF($B117="","",IFERROR(SUMPRODUCT((Matriz_Esp&lt;&gt;"")*D117:W117)/SUMPRODUCT(--(Matriz_Esp&lt;&gt;"")),""))</f>
        <v/>
      </c>
      <c r="Y117" s="23">
        <f>IF($B117="","",SUMPRODUCT((Matriz_Esp&lt;&gt;"")*(D117:W117&gt;=2)))</f>
        <v/>
      </c>
    </row>
    <row r="118">
      <c r="A118" s="27">
        <f>IF('Equipe'!A118="","",'Equipe'!A118)</f>
        <v/>
      </c>
      <c r="B118" s="28">
        <f>IF('Equipe'!B118="","",'Equipe'!B118)</f>
        <v/>
      </c>
      <c r="C118" s="27">
        <f>IF('Equipe'!C118="","",'Equipe'!C118)</f>
        <v/>
      </c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29" t="n"/>
      <c r="R118" s="29" t="n"/>
      <c r="S118" s="29" t="n"/>
      <c r="T118" s="29" t="n"/>
      <c r="U118" s="29" t="n"/>
      <c r="V118" s="29" t="n"/>
      <c r="W118" s="29" t="n"/>
      <c r="X118" s="19">
        <f>IF($B118="","",IFERROR(SUMPRODUCT((Matriz_Esp&lt;&gt;"")*D118:W118)/SUMPRODUCT(--(Matriz_Esp&lt;&gt;"")),""))</f>
        <v/>
      </c>
      <c r="Y118" s="23">
        <f>IF($B118="","",SUMPRODUCT((Matriz_Esp&lt;&gt;"")*(D118:W118&gt;=2)))</f>
        <v/>
      </c>
    </row>
    <row r="119">
      <c r="A119" s="27">
        <f>IF('Equipe'!A119="","",'Equipe'!A119)</f>
        <v/>
      </c>
      <c r="B119" s="28">
        <f>IF('Equipe'!B119="","",'Equipe'!B119)</f>
        <v/>
      </c>
      <c r="C119" s="27">
        <f>IF('Equipe'!C119="","",'Equipe'!C119)</f>
        <v/>
      </c>
      <c r="D119" s="29" t="n"/>
      <c r="E119" s="29" t="n"/>
      <c r="F119" s="29" t="n"/>
      <c r="G119" s="29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29" t="n"/>
      <c r="R119" s="29" t="n"/>
      <c r="S119" s="29" t="n"/>
      <c r="T119" s="29" t="n"/>
      <c r="U119" s="29" t="n"/>
      <c r="V119" s="29" t="n"/>
      <c r="W119" s="29" t="n"/>
      <c r="X119" s="19">
        <f>IF($B119="","",IFERROR(SUMPRODUCT((Matriz_Esp&lt;&gt;"")*D119:W119)/SUMPRODUCT(--(Matriz_Esp&lt;&gt;"")),""))</f>
        <v/>
      </c>
      <c r="Y119" s="23">
        <f>IF($B119="","",SUMPRODUCT((Matriz_Esp&lt;&gt;"")*(D119:W119&gt;=2)))</f>
        <v/>
      </c>
    </row>
    <row r="120">
      <c r="A120" s="27">
        <f>IF('Equipe'!A120="","",'Equipe'!A120)</f>
        <v/>
      </c>
      <c r="B120" s="28">
        <f>IF('Equipe'!B120="","",'Equipe'!B120)</f>
        <v/>
      </c>
      <c r="C120" s="27">
        <f>IF('Equipe'!C120="","",'Equipe'!C120)</f>
        <v/>
      </c>
      <c r="D120" s="29" t="n"/>
      <c r="E120" s="29" t="n"/>
      <c r="F120" s="29" t="n"/>
      <c r="G120" s="29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29" t="n"/>
      <c r="R120" s="29" t="n"/>
      <c r="S120" s="29" t="n"/>
      <c r="T120" s="29" t="n"/>
      <c r="U120" s="29" t="n"/>
      <c r="V120" s="29" t="n"/>
      <c r="W120" s="29" t="n"/>
      <c r="X120" s="19">
        <f>IF($B120="","",IFERROR(SUMPRODUCT((Matriz_Esp&lt;&gt;"")*D120:W120)/SUMPRODUCT(--(Matriz_Esp&lt;&gt;"")),""))</f>
        <v/>
      </c>
      <c r="Y120" s="23">
        <f>IF($B120="","",SUMPRODUCT((Matriz_Esp&lt;&gt;"")*(D120:W120&gt;=2)))</f>
        <v/>
      </c>
    </row>
    <row r="121">
      <c r="A121" s="27">
        <f>IF('Equipe'!A121="","",'Equipe'!A121)</f>
        <v/>
      </c>
      <c r="B121" s="28">
        <f>IF('Equipe'!B121="","",'Equipe'!B121)</f>
        <v/>
      </c>
      <c r="C121" s="27">
        <f>IF('Equipe'!C121="","",'Equipe'!C121)</f>
        <v/>
      </c>
      <c r="D121" s="29" t="n"/>
      <c r="E121" s="29" t="n"/>
      <c r="F121" s="29" t="n"/>
      <c r="G121" s="29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29" t="n"/>
      <c r="R121" s="29" t="n"/>
      <c r="S121" s="29" t="n"/>
      <c r="T121" s="29" t="n"/>
      <c r="U121" s="29" t="n"/>
      <c r="V121" s="29" t="n"/>
      <c r="W121" s="29" t="n"/>
      <c r="X121" s="19">
        <f>IF($B121="","",IFERROR(SUMPRODUCT((Matriz_Esp&lt;&gt;"")*D121:W121)/SUMPRODUCT(--(Matriz_Esp&lt;&gt;"")),""))</f>
        <v/>
      </c>
      <c r="Y121" s="23">
        <f>IF($B121="","",SUMPRODUCT((Matriz_Esp&lt;&gt;"")*(D121:W121&gt;=2)))</f>
        <v/>
      </c>
    </row>
    <row r="122">
      <c r="A122" s="27">
        <f>IF('Equipe'!A122="","",'Equipe'!A122)</f>
        <v/>
      </c>
      <c r="B122" s="28">
        <f>IF('Equipe'!B122="","",'Equipe'!B122)</f>
        <v/>
      </c>
      <c r="C122" s="27">
        <f>IF('Equipe'!C122="","",'Equipe'!C122)</f>
        <v/>
      </c>
      <c r="D122" s="29" t="n"/>
      <c r="E122" s="29" t="n"/>
      <c r="F122" s="29" t="n"/>
      <c r="G122" s="29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29" t="n"/>
      <c r="R122" s="29" t="n"/>
      <c r="S122" s="29" t="n"/>
      <c r="T122" s="29" t="n"/>
      <c r="U122" s="29" t="n"/>
      <c r="V122" s="29" t="n"/>
      <c r="W122" s="29" t="n"/>
      <c r="X122" s="19">
        <f>IF($B122="","",IFERROR(SUMPRODUCT((Matriz_Esp&lt;&gt;"")*D122:W122)/SUMPRODUCT(--(Matriz_Esp&lt;&gt;"")),""))</f>
        <v/>
      </c>
      <c r="Y122" s="23">
        <f>IF($B122="","",SUMPRODUCT((Matriz_Esp&lt;&gt;"")*(D122:W122&gt;=2)))</f>
        <v/>
      </c>
    </row>
    <row r="123">
      <c r="A123" s="27">
        <f>IF('Equipe'!A123="","",'Equipe'!A123)</f>
        <v/>
      </c>
      <c r="B123" s="28">
        <f>IF('Equipe'!B123="","",'Equipe'!B123)</f>
        <v/>
      </c>
      <c r="C123" s="27">
        <f>IF('Equipe'!C123="","",'Equipe'!C123)</f>
        <v/>
      </c>
      <c r="D123" s="29" t="n"/>
      <c r="E123" s="29" t="n"/>
      <c r="F123" s="29" t="n"/>
      <c r="G123" s="29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29" t="n"/>
      <c r="R123" s="29" t="n"/>
      <c r="S123" s="29" t="n"/>
      <c r="T123" s="29" t="n"/>
      <c r="U123" s="29" t="n"/>
      <c r="V123" s="29" t="n"/>
      <c r="W123" s="29" t="n"/>
      <c r="X123" s="19">
        <f>IF($B123="","",IFERROR(SUMPRODUCT((Matriz_Esp&lt;&gt;"")*D123:W123)/SUMPRODUCT(--(Matriz_Esp&lt;&gt;"")),""))</f>
        <v/>
      </c>
      <c r="Y123" s="23">
        <f>IF($B123="","",SUMPRODUCT((Matriz_Esp&lt;&gt;"")*(D123:W123&gt;=2)))</f>
        <v/>
      </c>
    </row>
    <row r="124">
      <c r="A124" s="27">
        <f>IF('Equipe'!A124="","",'Equipe'!A124)</f>
        <v/>
      </c>
      <c r="B124" s="28">
        <f>IF('Equipe'!B124="","",'Equipe'!B124)</f>
        <v/>
      </c>
      <c r="C124" s="27">
        <f>IF('Equipe'!C124="","",'Equipe'!C124)</f>
        <v/>
      </c>
      <c r="D124" s="29" t="n"/>
      <c r="E124" s="29" t="n"/>
      <c r="F124" s="29" t="n"/>
      <c r="G124" s="29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29" t="n"/>
      <c r="R124" s="29" t="n"/>
      <c r="S124" s="29" t="n"/>
      <c r="T124" s="29" t="n"/>
      <c r="U124" s="29" t="n"/>
      <c r="V124" s="29" t="n"/>
      <c r="W124" s="29" t="n"/>
      <c r="X124" s="19">
        <f>IF($B124="","",IFERROR(SUMPRODUCT((Matriz_Esp&lt;&gt;"")*D124:W124)/SUMPRODUCT(--(Matriz_Esp&lt;&gt;"")),""))</f>
        <v/>
      </c>
      <c r="Y124" s="23">
        <f>IF($B124="","",SUMPRODUCT((Matriz_Esp&lt;&gt;"")*(D124:W124&gt;=2)))</f>
        <v/>
      </c>
    </row>
    <row r="125">
      <c r="A125" s="27">
        <f>IF('Equipe'!A125="","",'Equipe'!A125)</f>
        <v/>
      </c>
      <c r="B125" s="28">
        <f>IF('Equipe'!B125="","",'Equipe'!B125)</f>
        <v/>
      </c>
      <c r="C125" s="27">
        <f>IF('Equipe'!C125="","",'Equipe'!C125)</f>
        <v/>
      </c>
      <c r="D125" s="29" t="n"/>
      <c r="E125" s="29" t="n"/>
      <c r="F125" s="29" t="n"/>
      <c r="G125" s="29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29" t="n"/>
      <c r="R125" s="29" t="n"/>
      <c r="S125" s="29" t="n"/>
      <c r="T125" s="29" t="n"/>
      <c r="U125" s="29" t="n"/>
      <c r="V125" s="29" t="n"/>
      <c r="W125" s="29" t="n"/>
      <c r="X125" s="19">
        <f>IF($B125="","",IFERROR(SUMPRODUCT((Matriz_Esp&lt;&gt;"")*D125:W125)/SUMPRODUCT(--(Matriz_Esp&lt;&gt;"")),""))</f>
        <v/>
      </c>
      <c r="Y125" s="23">
        <f>IF($B125="","",SUMPRODUCT((Matriz_Esp&lt;&gt;"")*(D125:W125&gt;=2)))</f>
        <v/>
      </c>
    </row>
    <row r="126">
      <c r="A126" s="27">
        <f>IF('Equipe'!A126="","",'Equipe'!A126)</f>
        <v/>
      </c>
      <c r="B126" s="28">
        <f>IF('Equipe'!B126="","",'Equipe'!B126)</f>
        <v/>
      </c>
      <c r="C126" s="27">
        <f>IF('Equipe'!C126="","",'Equipe'!C126)</f>
        <v/>
      </c>
      <c r="D126" s="29" t="n"/>
      <c r="E126" s="29" t="n"/>
      <c r="F126" s="29" t="n"/>
      <c r="G126" s="29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29" t="n"/>
      <c r="R126" s="29" t="n"/>
      <c r="S126" s="29" t="n"/>
      <c r="T126" s="29" t="n"/>
      <c r="U126" s="29" t="n"/>
      <c r="V126" s="29" t="n"/>
      <c r="W126" s="29" t="n"/>
      <c r="X126" s="19">
        <f>IF($B126="","",IFERROR(SUMPRODUCT((Matriz_Esp&lt;&gt;"")*D126:W126)/SUMPRODUCT(--(Matriz_Esp&lt;&gt;"")),""))</f>
        <v/>
      </c>
      <c r="Y126" s="23">
        <f>IF($B126="","",SUMPRODUCT((Matriz_Esp&lt;&gt;"")*(D126:W126&gt;=2)))</f>
        <v/>
      </c>
    </row>
    <row r="127">
      <c r="A127" s="27">
        <f>IF('Equipe'!A127="","",'Equipe'!A127)</f>
        <v/>
      </c>
      <c r="B127" s="28">
        <f>IF('Equipe'!B127="","",'Equipe'!B127)</f>
        <v/>
      </c>
      <c r="C127" s="27">
        <f>IF('Equipe'!C127="","",'Equipe'!C127)</f>
        <v/>
      </c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29" t="n"/>
      <c r="R127" s="29" t="n"/>
      <c r="S127" s="29" t="n"/>
      <c r="T127" s="29" t="n"/>
      <c r="U127" s="29" t="n"/>
      <c r="V127" s="29" t="n"/>
      <c r="W127" s="29" t="n"/>
      <c r="X127" s="19">
        <f>IF($B127="","",IFERROR(SUMPRODUCT((Matriz_Esp&lt;&gt;"")*D127:W127)/SUMPRODUCT(--(Matriz_Esp&lt;&gt;"")),""))</f>
        <v/>
      </c>
      <c r="Y127" s="23">
        <f>IF($B127="","",SUMPRODUCT((Matriz_Esp&lt;&gt;"")*(D127:W127&gt;=2)))</f>
        <v/>
      </c>
    </row>
    <row r="128">
      <c r="A128" s="27">
        <f>IF('Equipe'!A128="","",'Equipe'!A128)</f>
        <v/>
      </c>
      <c r="B128" s="28">
        <f>IF('Equipe'!B128="","",'Equipe'!B128)</f>
        <v/>
      </c>
      <c r="C128" s="27">
        <f>IF('Equipe'!C128="","",'Equipe'!C128)</f>
        <v/>
      </c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29" t="n"/>
      <c r="R128" s="29" t="n"/>
      <c r="S128" s="29" t="n"/>
      <c r="T128" s="29" t="n"/>
      <c r="U128" s="29" t="n"/>
      <c r="V128" s="29" t="n"/>
      <c r="W128" s="29" t="n"/>
      <c r="X128" s="19">
        <f>IF($B128="","",IFERROR(SUMPRODUCT((Matriz_Esp&lt;&gt;"")*D128:W128)/SUMPRODUCT(--(Matriz_Esp&lt;&gt;"")),""))</f>
        <v/>
      </c>
      <c r="Y128" s="23">
        <f>IF($B128="","",SUMPRODUCT((Matriz_Esp&lt;&gt;"")*(D128:W128&gt;=2)))</f>
        <v/>
      </c>
    </row>
    <row r="129">
      <c r="A129" s="27">
        <f>IF('Equipe'!A129="","",'Equipe'!A129)</f>
        <v/>
      </c>
      <c r="B129" s="28">
        <f>IF('Equipe'!B129="","",'Equipe'!B129)</f>
        <v/>
      </c>
      <c r="C129" s="27">
        <f>IF('Equipe'!C129="","",'Equipe'!C129)</f>
        <v/>
      </c>
      <c r="D129" s="29" t="n"/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19">
        <f>IF($B129="","",IFERROR(SUMPRODUCT((Matriz_Esp&lt;&gt;"")*D129:W129)/SUMPRODUCT(--(Matriz_Esp&lt;&gt;"")),""))</f>
        <v/>
      </c>
      <c r="Y129" s="23">
        <f>IF($B129="","",SUMPRODUCT((Matriz_Esp&lt;&gt;"")*(D129:W129&gt;=2)))</f>
        <v/>
      </c>
    </row>
    <row r="130">
      <c r="A130" s="27">
        <f>IF('Equipe'!A130="","",'Equipe'!A130)</f>
        <v/>
      </c>
      <c r="B130" s="28">
        <f>IF('Equipe'!B130="","",'Equipe'!B130)</f>
        <v/>
      </c>
      <c r="C130" s="27">
        <f>IF('Equipe'!C130="","",'Equipe'!C130)</f>
        <v/>
      </c>
      <c r="D130" s="29" t="n"/>
      <c r="E130" s="29" t="n"/>
      <c r="F130" s="29" t="n"/>
      <c r="G130" s="29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29" t="n"/>
      <c r="R130" s="29" t="n"/>
      <c r="S130" s="29" t="n"/>
      <c r="T130" s="29" t="n"/>
      <c r="U130" s="29" t="n"/>
      <c r="V130" s="29" t="n"/>
      <c r="W130" s="29" t="n"/>
      <c r="X130" s="19">
        <f>IF($B130="","",IFERROR(SUMPRODUCT((Matriz_Esp&lt;&gt;"")*D130:W130)/SUMPRODUCT(--(Matriz_Esp&lt;&gt;"")),""))</f>
        <v/>
      </c>
      <c r="Y130" s="23">
        <f>IF($B130="","",SUMPRODUCT((Matriz_Esp&lt;&gt;"")*(D130:W130&gt;=2)))</f>
        <v/>
      </c>
    </row>
    <row r="131">
      <c r="A131" s="27">
        <f>IF('Equipe'!A131="","",'Equipe'!A131)</f>
        <v/>
      </c>
      <c r="B131" s="28">
        <f>IF('Equipe'!B131="","",'Equipe'!B131)</f>
        <v/>
      </c>
      <c r="C131" s="27">
        <f>IF('Equipe'!C131="","",'Equipe'!C131)</f>
        <v/>
      </c>
      <c r="D131" s="29" t="n"/>
      <c r="E131" s="29" t="n"/>
      <c r="F131" s="29" t="n"/>
      <c r="G131" s="29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29" t="n"/>
      <c r="R131" s="29" t="n"/>
      <c r="S131" s="29" t="n"/>
      <c r="T131" s="29" t="n"/>
      <c r="U131" s="29" t="n"/>
      <c r="V131" s="29" t="n"/>
      <c r="W131" s="29" t="n"/>
      <c r="X131" s="19">
        <f>IF($B131="","",IFERROR(SUMPRODUCT((Matriz_Esp&lt;&gt;"")*D131:W131)/SUMPRODUCT(--(Matriz_Esp&lt;&gt;"")),""))</f>
        <v/>
      </c>
      <c r="Y131" s="23">
        <f>IF($B131="","",SUMPRODUCT((Matriz_Esp&lt;&gt;"")*(D131:W131&gt;=2)))</f>
        <v/>
      </c>
    </row>
    <row r="132">
      <c r="A132" s="27">
        <f>IF('Equipe'!A132="","",'Equipe'!A132)</f>
        <v/>
      </c>
      <c r="B132" s="28">
        <f>IF('Equipe'!B132="","",'Equipe'!B132)</f>
        <v/>
      </c>
      <c r="C132" s="27">
        <f>IF('Equipe'!C132="","",'Equipe'!C132)</f>
        <v/>
      </c>
      <c r="D132" s="29" t="n"/>
      <c r="E132" s="29" t="n"/>
      <c r="F132" s="29" t="n"/>
      <c r="G132" s="29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29" t="n"/>
      <c r="R132" s="29" t="n"/>
      <c r="S132" s="29" t="n"/>
      <c r="T132" s="29" t="n"/>
      <c r="U132" s="29" t="n"/>
      <c r="V132" s="29" t="n"/>
      <c r="W132" s="29" t="n"/>
      <c r="X132" s="19">
        <f>IF($B132="","",IFERROR(SUMPRODUCT((Matriz_Esp&lt;&gt;"")*D132:W132)/SUMPRODUCT(--(Matriz_Esp&lt;&gt;"")),""))</f>
        <v/>
      </c>
      <c r="Y132" s="23">
        <f>IF($B132="","",SUMPRODUCT((Matriz_Esp&lt;&gt;"")*(D132:W132&gt;=2)))</f>
        <v/>
      </c>
    </row>
    <row r="133">
      <c r="A133" s="27">
        <f>IF('Equipe'!A133="","",'Equipe'!A133)</f>
        <v/>
      </c>
      <c r="B133" s="28">
        <f>IF('Equipe'!B133="","",'Equipe'!B133)</f>
        <v/>
      </c>
      <c r="C133" s="27">
        <f>IF('Equipe'!C133="","",'Equipe'!C133)</f>
        <v/>
      </c>
      <c r="D133" s="29" t="n"/>
      <c r="E133" s="29" t="n"/>
      <c r="F133" s="29" t="n"/>
      <c r="G133" s="29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29" t="n"/>
      <c r="R133" s="29" t="n"/>
      <c r="S133" s="29" t="n"/>
      <c r="T133" s="29" t="n"/>
      <c r="U133" s="29" t="n"/>
      <c r="V133" s="29" t="n"/>
      <c r="W133" s="29" t="n"/>
      <c r="X133" s="19">
        <f>IF($B133="","",IFERROR(SUMPRODUCT((Matriz_Esp&lt;&gt;"")*D133:W133)/SUMPRODUCT(--(Matriz_Esp&lt;&gt;"")),""))</f>
        <v/>
      </c>
      <c r="Y133" s="23">
        <f>IF($B133="","",SUMPRODUCT((Matriz_Esp&lt;&gt;"")*(D133:W133&gt;=2)))</f>
        <v/>
      </c>
    </row>
    <row r="134">
      <c r="A134" s="27">
        <f>IF('Equipe'!A134="","",'Equipe'!A134)</f>
        <v/>
      </c>
      <c r="B134" s="28">
        <f>IF('Equipe'!B134="","",'Equipe'!B134)</f>
        <v/>
      </c>
      <c r="C134" s="27">
        <f>IF('Equipe'!C134="","",'Equipe'!C134)</f>
        <v/>
      </c>
      <c r="D134" s="29" t="n"/>
      <c r="E134" s="29" t="n"/>
      <c r="F134" s="29" t="n"/>
      <c r="G134" s="29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29" t="n"/>
      <c r="R134" s="29" t="n"/>
      <c r="S134" s="29" t="n"/>
      <c r="T134" s="29" t="n"/>
      <c r="U134" s="29" t="n"/>
      <c r="V134" s="29" t="n"/>
      <c r="W134" s="29" t="n"/>
      <c r="X134" s="19">
        <f>IF($B134="","",IFERROR(SUMPRODUCT((Matriz_Esp&lt;&gt;"")*D134:W134)/SUMPRODUCT(--(Matriz_Esp&lt;&gt;"")),""))</f>
        <v/>
      </c>
      <c r="Y134" s="23">
        <f>IF($B134="","",SUMPRODUCT((Matriz_Esp&lt;&gt;"")*(D134:W134&gt;=2)))</f>
        <v/>
      </c>
    </row>
    <row r="135">
      <c r="A135" s="27">
        <f>IF('Equipe'!A135="","",'Equipe'!A135)</f>
        <v/>
      </c>
      <c r="B135" s="28">
        <f>IF('Equipe'!B135="","",'Equipe'!B135)</f>
        <v/>
      </c>
      <c r="C135" s="27">
        <f>IF('Equipe'!C135="","",'Equipe'!C135)</f>
        <v/>
      </c>
      <c r="D135" s="29" t="n"/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19">
        <f>IF($B135="","",IFERROR(SUMPRODUCT((Matriz_Esp&lt;&gt;"")*D135:W135)/SUMPRODUCT(--(Matriz_Esp&lt;&gt;"")),""))</f>
        <v/>
      </c>
      <c r="Y135" s="23">
        <f>IF($B135="","",SUMPRODUCT((Matriz_Esp&lt;&gt;"")*(D135:W135&gt;=2)))</f>
        <v/>
      </c>
    </row>
    <row r="136">
      <c r="A136" s="27">
        <f>IF('Equipe'!A136="","",'Equipe'!A136)</f>
        <v/>
      </c>
      <c r="B136" s="28">
        <f>IF('Equipe'!B136="","",'Equipe'!B136)</f>
        <v/>
      </c>
      <c r="C136" s="27">
        <f>IF('Equipe'!C136="","",'Equipe'!C136)</f>
        <v/>
      </c>
      <c r="D136" s="29" t="n"/>
      <c r="E136" s="29" t="n"/>
      <c r="F136" s="29" t="n"/>
      <c r="G136" s="29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29" t="n"/>
      <c r="R136" s="29" t="n"/>
      <c r="S136" s="29" t="n"/>
      <c r="T136" s="29" t="n"/>
      <c r="U136" s="29" t="n"/>
      <c r="V136" s="29" t="n"/>
      <c r="W136" s="29" t="n"/>
      <c r="X136" s="19">
        <f>IF($B136="","",IFERROR(SUMPRODUCT((Matriz_Esp&lt;&gt;"")*D136:W136)/SUMPRODUCT(--(Matriz_Esp&lt;&gt;"")),""))</f>
        <v/>
      </c>
      <c r="Y136" s="23">
        <f>IF($B136="","",SUMPRODUCT((Matriz_Esp&lt;&gt;"")*(D136:W136&gt;=2)))</f>
        <v/>
      </c>
    </row>
    <row r="137">
      <c r="A137" s="27">
        <f>IF('Equipe'!A137="","",'Equipe'!A137)</f>
        <v/>
      </c>
      <c r="B137" s="28">
        <f>IF('Equipe'!B137="","",'Equipe'!B137)</f>
        <v/>
      </c>
      <c r="C137" s="27">
        <f>IF('Equipe'!C137="","",'Equipe'!C137)</f>
        <v/>
      </c>
      <c r="D137" s="29" t="n"/>
      <c r="E137" s="29" t="n"/>
      <c r="F137" s="29" t="n"/>
      <c r="G137" s="29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29" t="n"/>
      <c r="R137" s="29" t="n"/>
      <c r="S137" s="29" t="n"/>
      <c r="T137" s="29" t="n"/>
      <c r="U137" s="29" t="n"/>
      <c r="V137" s="29" t="n"/>
      <c r="W137" s="29" t="n"/>
      <c r="X137" s="19">
        <f>IF($B137="","",IFERROR(SUMPRODUCT((Matriz_Esp&lt;&gt;"")*D137:W137)/SUMPRODUCT(--(Matriz_Esp&lt;&gt;"")),""))</f>
        <v/>
      </c>
      <c r="Y137" s="23">
        <f>IF($B137="","",SUMPRODUCT((Matriz_Esp&lt;&gt;"")*(D137:W137&gt;=2)))</f>
        <v/>
      </c>
    </row>
    <row r="138">
      <c r="A138" s="27">
        <f>IF('Equipe'!A138="","",'Equipe'!A138)</f>
        <v/>
      </c>
      <c r="B138" s="28">
        <f>IF('Equipe'!B138="","",'Equipe'!B138)</f>
        <v/>
      </c>
      <c r="C138" s="27">
        <f>IF('Equipe'!C138="","",'Equipe'!C138)</f>
        <v/>
      </c>
      <c r="D138" s="29" t="n"/>
      <c r="E138" s="29" t="n"/>
      <c r="F138" s="29" t="n"/>
      <c r="G138" s="29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29" t="n"/>
      <c r="R138" s="29" t="n"/>
      <c r="S138" s="29" t="n"/>
      <c r="T138" s="29" t="n"/>
      <c r="U138" s="29" t="n"/>
      <c r="V138" s="29" t="n"/>
      <c r="W138" s="29" t="n"/>
      <c r="X138" s="19">
        <f>IF($B138="","",IFERROR(SUMPRODUCT((Matriz_Esp&lt;&gt;"")*D138:W138)/SUMPRODUCT(--(Matriz_Esp&lt;&gt;"")),""))</f>
        <v/>
      </c>
      <c r="Y138" s="23">
        <f>IF($B138="","",SUMPRODUCT((Matriz_Esp&lt;&gt;"")*(D138:W138&gt;=2)))</f>
        <v/>
      </c>
    </row>
    <row r="139">
      <c r="A139" s="27">
        <f>IF('Equipe'!A139="","",'Equipe'!A139)</f>
        <v/>
      </c>
      <c r="B139" s="28">
        <f>IF('Equipe'!B139="","",'Equipe'!B139)</f>
        <v/>
      </c>
      <c r="C139" s="27">
        <f>IF('Equipe'!C139="","",'Equipe'!C139)</f>
        <v/>
      </c>
      <c r="D139" s="29" t="n"/>
      <c r="E139" s="29" t="n"/>
      <c r="F139" s="29" t="n"/>
      <c r="G139" s="29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29" t="n"/>
      <c r="R139" s="29" t="n"/>
      <c r="S139" s="29" t="n"/>
      <c r="T139" s="29" t="n"/>
      <c r="U139" s="29" t="n"/>
      <c r="V139" s="29" t="n"/>
      <c r="W139" s="29" t="n"/>
      <c r="X139" s="19">
        <f>IF($B139="","",IFERROR(SUMPRODUCT((Matriz_Esp&lt;&gt;"")*D139:W139)/SUMPRODUCT(--(Matriz_Esp&lt;&gt;"")),""))</f>
        <v/>
      </c>
      <c r="Y139" s="23">
        <f>IF($B139="","",SUMPRODUCT((Matriz_Esp&lt;&gt;"")*(D139:W139&gt;=2)))</f>
        <v/>
      </c>
    </row>
    <row r="140">
      <c r="A140" s="27">
        <f>IF('Equipe'!A140="","",'Equipe'!A140)</f>
        <v/>
      </c>
      <c r="B140" s="28">
        <f>IF('Equipe'!B140="","",'Equipe'!B140)</f>
        <v/>
      </c>
      <c r="C140" s="27">
        <f>IF('Equipe'!C140="","",'Equipe'!C140)</f>
        <v/>
      </c>
      <c r="D140" s="29" t="n"/>
      <c r="E140" s="29" t="n"/>
      <c r="F140" s="29" t="n"/>
      <c r="G140" s="29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29" t="n"/>
      <c r="R140" s="29" t="n"/>
      <c r="S140" s="29" t="n"/>
      <c r="T140" s="29" t="n"/>
      <c r="U140" s="29" t="n"/>
      <c r="V140" s="29" t="n"/>
      <c r="W140" s="29" t="n"/>
      <c r="X140" s="19">
        <f>IF($B140="","",IFERROR(SUMPRODUCT((Matriz_Esp&lt;&gt;"")*D140:W140)/SUMPRODUCT(--(Matriz_Esp&lt;&gt;"")),""))</f>
        <v/>
      </c>
      <c r="Y140" s="23">
        <f>IF($B140="","",SUMPRODUCT((Matriz_Esp&lt;&gt;"")*(D140:W140&gt;=2)))</f>
        <v/>
      </c>
    </row>
    <row r="141">
      <c r="A141" s="27">
        <f>IF('Equipe'!A141="","",'Equipe'!A141)</f>
        <v/>
      </c>
      <c r="B141" s="28">
        <f>IF('Equipe'!B141="","",'Equipe'!B141)</f>
        <v/>
      </c>
      <c r="C141" s="27">
        <f>IF('Equipe'!C141="","",'Equipe'!C141)</f>
        <v/>
      </c>
      <c r="D141" s="29" t="n"/>
      <c r="E141" s="29" t="n"/>
      <c r="F141" s="29" t="n"/>
      <c r="G141" s="29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29" t="n"/>
      <c r="R141" s="29" t="n"/>
      <c r="S141" s="29" t="n"/>
      <c r="T141" s="29" t="n"/>
      <c r="U141" s="29" t="n"/>
      <c r="V141" s="29" t="n"/>
      <c r="W141" s="29" t="n"/>
      <c r="X141" s="19">
        <f>IF($B141="","",IFERROR(SUMPRODUCT((Matriz_Esp&lt;&gt;"")*D141:W141)/SUMPRODUCT(--(Matriz_Esp&lt;&gt;"")),""))</f>
        <v/>
      </c>
      <c r="Y141" s="23">
        <f>IF($B141="","",SUMPRODUCT((Matriz_Esp&lt;&gt;"")*(D141:W141&gt;=2)))</f>
        <v/>
      </c>
    </row>
    <row r="142">
      <c r="A142" s="27">
        <f>IF('Equipe'!A142="","",'Equipe'!A142)</f>
        <v/>
      </c>
      <c r="B142" s="28">
        <f>IF('Equipe'!B142="","",'Equipe'!B142)</f>
        <v/>
      </c>
      <c r="C142" s="27">
        <f>IF('Equipe'!C142="","",'Equipe'!C142)</f>
        <v/>
      </c>
      <c r="D142" s="29" t="n"/>
      <c r="E142" s="29" t="n"/>
      <c r="F142" s="29" t="n"/>
      <c r="G142" s="29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29" t="n"/>
      <c r="R142" s="29" t="n"/>
      <c r="S142" s="29" t="n"/>
      <c r="T142" s="29" t="n"/>
      <c r="U142" s="29" t="n"/>
      <c r="V142" s="29" t="n"/>
      <c r="W142" s="29" t="n"/>
      <c r="X142" s="19">
        <f>IF($B142="","",IFERROR(SUMPRODUCT((Matriz_Esp&lt;&gt;"")*D142:W142)/SUMPRODUCT(--(Matriz_Esp&lt;&gt;"")),""))</f>
        <v/>
      </c>
      <c r="Y142" s="23">
        <f>IF($B142="","",SUMPRODUCT((Matriz_Esp&lt;&gt;"")*(D142:W142&gt;=2)))</f>
        <v/>
      </c>
    </row>
    <row r="143">
      <c r="A143" s="27">
        <f>IF('Equipe'!A143="","",'Equipe'!A143)</f>
        <v/>
      </c>
      <c r="B143" s="28">
        <f>IF('Equipe'!B143="","",'Equipe'!B143)</f>
        <v/>
      </c>
      <c r="C143" s="27">
        <f>IF('Equipe'!C143="","",'Equipe'!C143)</f>
        <v/>
      </c>
      <c r="D143" s="29" t="n"/>
      <c r="E143" s="29" t="n"/>
      <c r="F143" s="29" t="n"/>
      <c r="G143" s="29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29" t="n"/>
      <c r="R143" s="29" t="n"/>
      <c r="S143" s="29" t="n"/>
      <c r="T143" s="29" t="n"/>
      <c r="U143" s="29" t="n"/>
      <c r="V143" s="29" t="n"/>
      <c r="W143" s="29" t="n"/>
      <c r="X143" s="19">
        <f>IF($B143="","",IFERROR(SUMPRODUCT((Matriz_Esp&lt;&gt;"")*D143:W143)/SUMPRODUCT(--(Matriz_Esp&lt;&gt;"")),""))</f>
        <v/>
      </c>
      <c r="Y143" s="23">
        <f>IF($B143="","",SUMPRODUCT((Matriz_Esp&lt;&gt;"")*(D143:W143&gt;=2)))</f>
        <v/>
      </c>
    </row>
    <row r="144">
      <c r="A144" s="27">
        <f>IF('Equipe'!A144="","",'Equipe'!A144)</f>
        <v/>
      </c>
      <c r="B144" s="28">
        <f>IF('Equipe'!B144="","",'Equipe'!B144)</f>
        <v/>
      </c>
      <c r="C144" s="27">
        <f>IF('Equipe'!C144="","",'Equipe'!C144)</f>
        <v/>
      </c>
      <c r="D144" s="29" t="n"/>
      <c r="E144" s="29" t="n"/>
      <c r="F144" s="29" t="n"/>
      <c r="G144" s="29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29" t="n"/>
      <c r="R144" s="29" t="n"/>
      <c r="S144" s="29" t="n"/>
      <c r="T144" s="29" t="n"/>
      <c r="U144" s="29" t="n"/>
      <c r="V144" s="29" t="n"/>
      <c r="W144" s="29" t="n"/>
      <c r="X144" s="19">
        <f>IF($B144="","",IFERROR(SUMPRODUCT((Matriz_Esp&lt;&gt;"")*D144:W144)/SUMPRODUCT(--(Matriz_Esp&lt;&gt;"")),""))</f>
        <v/>
      </c>
      <c r="Y144" s="23">
        <f>IF($B144="","",SUMPRODUCT((Matriz_Esp&lt;&gt;"")*(D144:W144&gt;=2)))</f>
        <v/>
      </c>
    </row>
    <row r="145">
      <c r="A145" s="27">
        <f>IF('Equipe'!A145="","",'Equipe'!A145)</f>
        <v/>
      </c>
      <c r="B145" s="28">
        <f>IF('Equipe'!B145="","",'Equipe'!B145)</f>
        <v/>
      </c>
      <c r="C145" s="27">
        <f>IF('Equipe'!C145="","",'Equipe'!C145)</f>
        <v/>
      </c>
      <c r="D145" s="29" t="n"/>
      <c r="E145" s="29" t="n"/>
      <c r="F145" s="29" t="n"/>
      <c r="G145" s="29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29" t="n"/>
      <c r="R145" s="29" t="n"/>
      <c r="S145" s="29" t="n"/>
      <c r="T145" s="29" t="n"/>
      <c r="U145" s="29" t="n"/>
      <c r="V145" s="29" t="n"/>
      <c r="W145" s="29" t="n"/>
      <c r="X145" s="19">
        <f>IF($B145="","",IFERROR(SUMPRODUCT((Matriz_Esp&lt;&gt;"")*D145:W145)/SUMPRODUCT(--(Matriz_Esp&lt;&gt;"")),""))</f>
        <v/>
      </c>
      <c r="Y145" s="23">
        <f>IF($B145="","",SUMPRODUCT((Matriz_Esp&lt;&gt;"")*(D145:W145&gt;=2)))</f>
        <v/>
      </c>
    </row>
    <row r="146">
      <c r="A146" s="27">
        <f>IF('Equipe'!A146="","",'Equipe'!A146)</f>
        <v/>
      </c>
      <c r="B146" s="28">
        <f>IF('Equipe'!B146="","",'Equipe'!B146)</f>
        <v/>
      </c>
      <c r="C146" s="27">
        <f>IF('Equipe'!C146="","",'Equipe'!C146)</f>
        <v/>
      </c>
      <c r="D146" s="29" t="n"/>
      <c r="E146" s="29" t="n"/>
      <c r="F146" s="29" t="n"/>
      <c r="G146" s="29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29" t="n"/>
      <c r="R146" s="29" t="n"/>
      <c r="S146" s="29" t="n"/>
      <c r="T146" s="29" t="n"/>
      <c r="U146" s="29" t="n"/>
      <c r="V146" s="29" t="n"/>
      <c r="W146" s="29" t="n"/>
      <c r="X146" s="19">
        <f>IF($B146="","",IFERROR(SUMPRODUCT((Matriz_Esp&lt;&gt;"")*D146:W146)/SUMPRODUCT(--(Matriz_Esp&lt;&gt;"")),""))</f>
        <v/>
      </c>
      <c r="Y146" s="23">
        <f>IF($B146="","",SUMPRODUCT((Matriz_Esp&lt;&gt;"")*(D146:W146&gt;=2)))</f>
        <v/>
      </c>
    </row>
    <row r="147">
      <c r="A147" s="27">
        <f>IF('Equipe'!A147="","",'Equipe'!A147)</f>
        <v/>
      </c>
      <c r="B147" s="28">
        <f>IF('Equipe'!B147="","",'Equipe'!B147)</f>
        <v/>
      </c>
      <c r="C147" s="27">
        <f>IF('Equipe'!C147="","",'Equipe'!C147)</f>
        <v/>
      </c>
      <c r="D147" s="29" t="n"/>
      <c r="E147" s="29" t="n"/>
      <c r="F147" s="29" t="n"/>
      <c r="G147" s="29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29" t="n"/>
      <c r="R147" s="29" t="n"/>
      <c r="S147" s="29" t="n"/>
      <c r="T147" s="29" t="n"/>
      <c r="U147" s="29" t="n"/>
      <c r="V147" s="29" t="n"/>
      <c r="W147" s="29" t="n"/>
      <c r="X147" s="19">
        <f>IF($B147="","",IFERROR(SUMPRODUCT((Matriz_Esp&lt;&gt;"")*D147:W147)/SUMPRODUCT(--(Matriz_Esp&lt;&gt;"")),""))</f>
        <v/>
      </c>
      <c r="Y147" s="23">
        <f>IF($B147="","",SUMPRODUCT((Matriz_Esp&lt;&gt;"")*(D147:W147&gt;=2)))</f>
        <v/>
      </c>
    </row>
    <row r="148">
      <c r="A148" s="27">
        <f>IF('Equipe'!A148="","",'Equipe'!A148)</f>
        <v/>
      </c>
      <c r="B148" s="28">
        <f>IF('Equipe'!B148="","",'Equipe'!B148)</f>
        <v/>
      </c>
      <c r="C148" s="27">
        <f>IF('Equipe'!C148="","",'Equipe'!C148)</f>
        <v/>
      </c>
      <c r="D148" s="29" t="n"/>
      <c r="E148" s="29" t="n"/>
      <c r="F148" s="29" t="n"/>
      <c r="G148" s="29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29" t="n"/>
      <c r="R148" s="29" t="n"/>
      <c r="S148" s="29" t="n"/>
      <c r="T148" s="29" t="n"/>
      <c r="U148" s="29" t="n"/>
      <c r="V148" s="29" t="n"/>
      <c r="W148" s="29" t="n"/>
      <c r="X148" s="19">
        <f>IF($B148="","",IFERROR(SUMPRODUCT((Matriz_Esp&lt;&gt;"")*D148:W148)/SUMPRODUCT(--(Matriz_Esp&lt;&gt;"")),""))</f>
        <v/>
      </c>
      <c r="Y148" s="23">
        <f>IF($B148="","",SUMPRODUCT((Matriz_Esp&lt;&gt;"")*(D148:W148&gt;=2)))</f>
        <v/>
      </c>
    </row>
    <row r="149">
      <c r="A149" s="27">
        <f>IF('Equipe'!A149="","",'Equipe'!A149)</f>
        <v/>
      </c>
      <c r="B149" s="28">
        <f>IF('Equipe'!B149="","",'Equipe'!B149)</f>
        <v/>
      </c>
      <c r="C149" s="27">
        <f>IF('Equipe'!C149="","",'Equipe'!C149)</f>
        <v/>
      </c>
      <c r="D149" s="29" t="n"/>
      <c r="E149" s="29" t="n"/>
      <c r="F149" s="29" t="n"/>
      <c r="G149" s="29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29" t="n"/>
      <c r="R149" s="29" t="n"/>
      <c r="S149" s="29" t="n"/>
      <c r="T149" s="29" t="n"/>
      <c r="U149" s="29" t="n"/>
      <c r="V149" s="29" t="n"/>
      <c r="W149" s="29" t="n"/>
      <c r="X149" s="19">
        <f>IF($B149="","",IFERROR(SUMPRODUCT((Matriz_Esp&lt;&gt;"")*D149:W149)/SUMPRODUCT(--(Matriz_Esp&lt;&gt;"")),""))</f>
        <v/>
      </c>
      <c r="Y149" s="23">
        <f>IF($B149="","",SUMPRODUCT((Matriz_Esp&lt;&gt;"")*(D149:W149&gt;=2)))</f>
        <v/>
      </c>
    </row>
    <row r="150">
      <c r="A150" s="27">
        <f>IF('Equipe'!A150="","",'Equipe'!A150)</f>
        <v/>
      </c>
      <c r="B150" s="28">
        <f>IF('Equipe'!B150="","",'Equipe'!B150)</f>
        <v/>
      </c>
      <c r="C150" s="27">
        <f>IF('Equipe'!C150="","",'Equipe'!C150)</f>
        <v/>
      </c>
      <c r="D150" s="29" t="n"/>
      <c r="E150" s="29" t="n"/>
      <c r="F150" s="29" t="n"/>
      <c r="G150" s="29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29" t="n"/>
      <c r="R150" s="29" t="n"/>
      <c r="S150" s="29" t="n"/>
      <c r="T150" s="29" t="n"/>
      <c r="U150" s="29" t="n"/>
      <c r="V150" s="29" t="n"/>
      <c r="W150" s="29" t="n"/>
      <c r="X150" s="19">
        <f>IF($B150="","",IFERROR(SUMPRODUCT((Matriz_Esp&lt;&gt;"")*D150:W150)/SUMPRODUCT(--(Matriz_Esp&lt;&gt;"")),""))</f>
        <v/>
      </c>
      <c r="Y150" s="23">
        <f>IF($B150="","",SUMPRODUCT((Matriz_Esp&lt;&gt;"")*(D150:W150&gt;=2)))</f>
        <v/>
      </c>
    </row>
    <row r="151">
      <c r="A151" s="27">
        <f>IF('Equipe'!A151="","",'Equipe'!A151)</f>
        <v/>
      </c>
      <c r="B151" s="28">
        <f>IF('Equipe'!B151="","",'Equipe'!B151)</f>
        <v/>
      </c>
      <c r="C151" s="27">
        <f>IF('Equipe'!C151="","",'Equipe'!C151)</f>
        <v/>
      </c>
      <c r="D151" s="29" t="n"/>
      <c r="E151" s="29" t="n"/>
      <c r="F151" s="29" t="n"/>
      <c r="G151" s="29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29" t="n"/>
      <c r="R151" s="29" t="n"/>
      <c r="S151" s="29" t="n"/>
      <c r="T151" s="29" t="n"/>
      <c r="U151" s="29" t="n"/>
      <c r="V151" s="29" t="n"/>
      <c r="W151" s="29" t="n"/>
      <c r="X151" s="19">
        <f>IF($B151="","",IFERROR(SUMPRODUCT((Matriz_Esp&lt;&gt;"")*D151:W151)/SUMPRODUCT(--(Matriz_Esp&lt;&gt;"")),""))</f>
        <v/>
      </c>
      <c r="Y151" s="23">
        <f>IF($B151="","",SUMPRODUCT((Matriz_Esp&lt;&gt;"")*(D151:W151&gt;=2)))</f>
        <v/>
      </c>
    </row>
  </sheetData>
  <conditionalFormatting sqref="D2:W151">
    <cfRule type="colorScale" priority="1">
      <colorScale>
        <cfvo type="num" val="0"/>
        <cfvo type="num" val="1.5"/>
        <cfvo type="num" val="3"/>
        <color rgb="00FFFFFF"/>
        <color rgb="00D9E9D2"/>
        <color rgb="004CAF50"/>
      </colorScale>
    </cfRule>
  </conditionalFormatting>
  <dataValidations count="1">
    <dataValidation sqref="D2:W151" showDropDown="0" showInputMessage="0" showErrorMessage="1" allowBlank="1" errorTitle="Nível inválido" error="Use apenas 0 (não apto), 1 (em treinamento), 2 (apto) ou 3 (referência)." type="whole" operator="between">
      <formula1>0</formula1>
      <formula2>3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11" customWidth="1" min="4" max="4"/>
    <col width="11" customWidth="1" min="5" max="5"/>
    <col width="24" customWidth="1" min="6" max="6"/>
    <col width="34" customWidth="1" min="7" max="7"/>
    <col width="16" customWidth="1" min="8" max="8"/>
    <col width="7" customWidth="1" min="9" max="9"/>
    <col width="12" customWidth="1" min="10" max="10"/>
    <col width="13" customWidth="1" min="11" max="11"/>
    <col width="20" customWidth="1" min="12" max="12"/>
    <col width="34" customWidth="1" min="13" max="13"/>
    <col hidden="1" width="10" customWidth="1" min="14" max="14"/>
    <col hidden="1" width="13" customWidth="1" min="15" max="15"/>
    <col hidden="1" width="13" customWidth="1" min="16" max="16"/>
  </cols>
  <sheetData>
    <row r="1" ht="30" customHeight="1">
      <c r="A1" s="14" t="inlineStr">
        <is>
          <t>Data</t>
        </is>
      </c>
      <c r="B1" s="14" t="inlineStr">
        <is>
          <t>Sala</t>
        </is>
      </c>
      <c r="C1" s="14" t="inlineStr">
        <is>
          <t>Turno</t>
        </is>
      </c>
      <c r="D1" s="14" t="inlineStr">
        <is>
          <t>Hora início</t>
        </is>
      </c>
      <c r="E1" s="14" t="inlineStr">
        <is>
          <t>Hora fim</t>
        </is>
      </c>
      <c r="F1" s="14" t="inlineStr">
        <is>
          <t>Especialidade</t>
        </is>
      </c>
      <c r="G1" s="14" t="inlineStr">
        <is>
          <t>Procedimento</t>
        </is>
      </c>
      <c r="H1" s="14" t="inlineStr">
        <is>
          <t>Cirurgião</t>
        </is>
      </c>
      <c r="I1" s="14" t="inlineStr">
        <is>
          <t>Porte</t>
        </is>
      </c>
      <c r="J1" s="14" t="inlineStr">
        <is>
          <t>Status</t>
        </is>
      </c>
      <c r="K1" s="14" t="inlineStr">
        <is>
          <t>Duração (min)</t>
        </is>
      </c>
      <c r="L1" s="14" t="inlineStr">
        <is>
          <t>Min. ocupação (dur+setup)</t>
        </is>
      </c>
      <c r="M1" s="14" t="inlineStr">
        <is>
          <t>Alerta</t>
        </is>
      </c>
      <c r="N1" s="14" t="inlineStr">
        <is>
          <t>aux_concat</t>
        </is>
      </c>
      <c r="O1" s="14" t="inlineStr">
        <is>
          <t>aux_ini</t>
        </is>
      </c>
      <c r="P1" s="14" t="inlineStr">
        <is>
          <t>aux_fim</t>
        </is>
      </c>
    </row>
    <row r="2">
      <c r="A2" s="30" t="n">
        <v>46254</v>
      </c>
      <c r="B2" s="24" t="inlineStr">
        <is>
          <t>SO-01</t>
        </is>
      </c>
      <c r="C2" s="24" t="inlineStr">
        <is>
          <t>Manhã</t>
        </is>
      </c>
      <c r="D2" s="31" t="n">
        <v>0.2916666666666667</v>
      </c>
      <c r="E2" s="31" t="n">
        <v>0.3923611111111111</v>
      </c>
      <c r="F2" s="25" t="inlineStr">
        <is>
          <t>Ortopedia</t>
        </is>
      </c>
      <c r="G2" s="25" t="inlineStr">
        <is>
          <t>Artroplastia total de joelho</t>
        </is>
      </c>
      <c r="H2" s="25" t="inlineStr">
        <is>
          <t>Dr. Almeida</t>
        </is>
      </c>
      <c r="I2" s="24" t="inlineStr">
        <is>
          <t>M</t>
        </is>
      </c>
      <c r="J2" s="24" t="inlineStr">
        <is>
          <t>Agendada</t>
        </is>
      </c>
      <c r="K2" s="32">
        <f>IF(OR($B2="",NOT(ISNUMBER($D2)),NOT(ISNUMBER($E2))),"",ROUND(MOD($E2-$D2,1)*1440,0))</f>
        <v/>
      </c>
      <c r="L2" s="32">
        <f>IF(NOT(ISNUMBER($K2)),0,IF(OR($K2&lt;=0,$J2="Cancelada",$J2="Suspensa"),0,$K2+Setup_Min))</f>
        <v/>
      </c>
      <c r="M2" s="17">
        <f>IF($B2="","",IF($N2="","OK",LEFT($N2,LEN($N2)-3)))</f>
        <v/>
      </c>
      <c r="N2" s="10">
        <f>IF($B2="","",IF(COUNTIF(Salas_Cod,$B2)=0,"Sala não cadastrada | ","")&amp;IF(AND(COUNTIF(Salas_Cod,$B2)&gt;0,IFERROR(INDEX(Salas_Status,MATCH($B2,Salas_Cod,0)),"")&lt;&gt;"Ativa"),"Sala bloqueada | ","")&amp;IF(COUNTIF(Turnos_Nome,$C2)=0,"Turno inválido | ","")&amp;IF(COUNTIF(Esp_Nome,$F2)=0,"Especialidade não cadastrada | ","")&amp;IF(COUNTIF(Lista_StatusCirurgia,$J2)=0,"Status inválido | ","")&amp;IF(OR(NOT(ISNUMBER($D2)),NOT(ISNUMBER($E2))),"Horário inválido | ","")&amp;IFERROR(IF(AND(ISNUMBER($D2),ISNUMBER($E2),MOD($E2-$D2,1)*1440&lt;=0),"Duração nula ou negativa | ",""),"")&amp;IFERROR(IF(AND(ISNUMBER($D2),COUNTIF(Turnos_Nome,$C2)&gt;0,MOD($D2-INDEX(Turnos_Ini,MATCH($C2,Turnos_Nome,0)),1)*1440&gt;=INDEX(Turnos_Min,MATCH($C2,Turnos_Nome,0))),"Início fora da janela do turno | ",""),"")&amp;IFERROR(IF(AND($L2&gt;0,SUMPRODUCT((Mapa_Sala=$B2)*(Mapa_Data=$A2)*(Mapa_MinOcup&gt;0)*(((MOD(Mapa_IniNum-$O2,1)&lt;MOD($P2-$O2,1))+(MOD($O2-Mapa_IniNum,1)&lt;MOD(Mapa_FimNum-Mapa_IniNum,1)))&gt;0))&gt;1),"Sobreposição de horário na sala | ",""),"")&amp;IFERROR(IF(AND(ISNUMBER($K2),$K2&gt;0,COUNTIF(Esp_Nome,$F2)&gt;0,$K2&gt;3*INDEX(Esp_Dur,MATCH($F2,Esp_Nome,0))),"Duração atípica (&gt;3x a média) | ",""),""))</f>
        <v/>
      </c>
      <c r="O2" s="10">
        <f>IF(ISNUMBER($D2),$D2,0)</f>
        <v/>
      </c>
      <c r="P2" s="10">
        <f>IF(ISNUMBER($E2),$E2,0)</f>
        <v/>
      </c>
    </row>
    <row r="3">
      <c r="A3" s="30" t="n">
        <v>46254</v>
      </c>
      <c r="B3" s="24" t="inlineStr">
        <is>
          <t>SO-01</t>
        </is>
      </c>
      <c r="C3" s="24" t="inlineStr">
        <is>
          <t>Manhã</t>
        </is>
      </c>
      <c r="D3" s="31" t="n">
        <v>0.4131944444444444</v>
      </c>
      <c r="E3" s="31" t="n">
        <v>0.4930555555555556</v>
      </c>
      <c r="F3" s="25" t="inlineStr">
        <is>
          <t>Ortopedia</t>
        </is>
      </c>
      <c r="G3" s="25" t="inlineStr">
        <is>
          <t>Osteossíntese de fêmur</t>
        </is>
      </c>
      <c r="H3" s="25" t="inlineStr">
        <is>
          <t>Dra. Bernardes</t>
        </is>
      </c>
      <c r="I3" s="24" t="inlineStr">
        <is>
          <t>M</t>
        </is>
      </c>
      <c r="J3" s="24" t="inlineStr">
        <is>
          <t>Agendada</t>
        </is>
      </c>
      <c r="K3" s="32">
        <f>IF(OR($B3="",NOT(ISNUMBER($D3)),NOT(ISNUMBER($E3))),"",ROUND(MOD($E3-$D3,1)*1440,0))</f>
        <v/>
      </c>
      <c r="L3" s="32">
        <f>IF(NOT(ISNUMBER($K3)),0,IF(OR($K3&lt;=0,$J3="Cancelada",$J3="Suspensa"),0,$K3+Setup_Min))</f>
        <v/>
      </c>
      <c r="M3" s="17">
        <f>IF($B3="","",IF($N3="","OK",LEFT($N3,LEN($N3)-3)))</f>
        <v/>
      </c>
      <c r="N3" s="10">
        <f>IF($B3="","",IF(COUNTIF(Salas_Cod,$B3)=0,"Sala não cadastrada | ","")&amp;IF(AND(COUNTIF(Salas_Cod,$B3)&gt;0,IFERROR(INDEX(Salas_Status,MATCH($B3,Salas_Cod,0)),"")&lt;&gt;"Ativa"),"Sala bloqueada | ","")&amp;IF(COUNTIF(Turnos_Nome,$C3)=0,"Turno inválido | ","")&amp;IF(COUNTIF(Esp_Nome,$F3)=0,"Especialidade não cadastrada | ","")&amp;IF(COUNTIF(Lista_StatusCirurgia,$J3)=0,"Status inválido | ","")&amp;IF(OR(NOT(ISNUMBER($D3)),NOT(ISNUMBER($E3))),"Horário inválido | ","")&amp;IFERROR(IF(AND(ISNUMBER($D3),ISNUMBER($E3),MOD($E3-$D3,1)*1440&lt;=0),"Duração nula ou negativa | ",""),"")&amp;IFERROR(IF(AND(ISNUMBER($D3),COUNTIF(Turnos_Nome,$C3)&gt;0,MOD($D3-INDEX(Turnos_Ini,MATCH($C3,Turnos_Nome,0)),1)*1440&gt;=INDEX(Turnos_Min,MATCH($C3,Turnos_Nome,0))),"Início fora da janela do turno | ",""),"")&amp;IFERROR(IF(AND($L3&gt;0,SUMPRODUCT((Mapa_Sala=$B3)*(Mapa_Data=$A3)*(Mapa_MinOcup&gt;0)*(((MOD(Mapa_IniNum-$O3,1)&lt;MOD($P3-$O3,1))+(MOD($O3-Mapa_IniNum,1)&lt;MOD(Mapa_FimNum-Mapa_IniNum,1)))&gt;0))&gt;1),"Sobreposição de horário na sala | ",""),"")&amp;IFERROR(IF(AND(ISNUMBER($K3),$K3&gt;0,COUNTIF(Esp_Nome,$F3)&gt;0,$K3&gt;3*INDEX(Esp_Dur,MATCH($F3,Esp_Nome,0))),"Duração atípica (&gt;3x a média) | ",""),""))</f>
        <v/>
      </c>
      <c r="O3" s="10">
        <f>IF(ISNUMBER($D3),$D3,0)</f>
        <v/>
      </c>
      <c r="P3" s="10">
        <f>IF(ISNUMBER($E3),$E3,0)</f>
        <v/>
      </c>
    </row>
    <row r="4">
      <c r="A4" s="30" t="n">
        <v>46254</v>
      </c>
      <c r="B4" s="24" t="inlineStr">
        <is>
          <t>SO-01</t>
        </is>
      </c>
      <c r="C4" s="24" t="inlineStr">
        <is>
          <t>Tarde</t>
        </is>
      </c>
      <c r="D4" s="31" t="n">
        <v>0.5416666666666666</v>
      </c>
      <c r="E4" s="31" t="n">
        <v>0.6319444444444444</v>
      </c>
      <c r="F4" s="25" t="inlineStr">
        <is>
          <t>Ortopedia</t>
        </is>
      </c>
      <c r="G4" s="25" t="inlineStr">
        <is>
          <t>Artroplastia total de joelho</t>
        </is>
      </c>
      <c r="H4" s="25" t="inlineStr">
        <is>
          <t>Dr. Almeida</t>
        </is>
      </c>
      <c r="I4" s="24" t="inlineStr">
        <is>
          <t>M</t>
        </is>
      </c>
      <c r="J4" s="24" t="inlineStr">
        <is>
          <t>Agendada</t>
        </is>
      </c>
      <c r="K4" s="32">
        <f>IF(OR($B4="",NOT(ISNUMBER($D4)),NOT(ISNUMBER($E4))),"",ROUND(MOD($E4-$D4,1)*1440,0))</f>
        <v/>
      </c>
      <c r="L4" s="32">
        <f>IF(NOT(ISNUMBER($K4)),0,IF(OR($K4&lt;=0,$J4="Cancelada",$J4="Suspensa"),0,$K4+Setup_Min))</f>
        <v/>
      </c>
      <c r="M4" s="17">
        <f>IF($B4="","",IF($N4="","OK",LEFT($N4,LEN($N4)-3)))</f>
        <v/>
      </c>
      <c r="N4" s="10">
        <f>IF($B4="","",IF(COUNTIF(Salas_Cod,$B4)=0,"Sala não cadastrada | ","")&amp;IF(AND(COUNTIF(Salas_Cod,$B4)&gt;0,IFERROR(INDEX(Salas_Status,MATCH($B4,Salas_Cod,0)),"")&lt;&gt;"Ativa"),"Sala bloqueada | ","")&amp;IF(COUNTIF(Turnos_Nome,$C4)=0,"Turno inválido | ","")&amp;IF(COUNTIF(Esp_Nome,$F4)=0,"Especialidade não cadastrada | ","")&amp;IF(COUNTIF(Lista_StatusCirurgia,$J4)=0,"Status inválido | ","")&amp;IF(OR(NOT(ISNUMBER($D4)),NOT(ISNUMBER($E4))),"Horário inválido | ","")&amp;IFERROR(IF(AND(ISNUMBER($D4),ISNUMBER($E4),MOD($E4-$D4,1)*1440&lt;=0),"Duração nula ou negativa | ",""),"")&amp;IFERROR(IF(AND(ISNUMBER($D4),COUNTIF(Turnos_Nome,$C4)&gt;0,MOD($D4-INDEX(Turnos_Ini,MATCH($C4,Turnos_Nome,0)),1)*1440&gt;=INDEX(Turnos_Min,MATCH($C4,Turnos_Nome,0))),"Início fora da janela do turno | ",""),"")&amp;IFERROR(IF(AND($L4&gt;0,SUMPRODUCT((Mapa_Sala=$B4)*(Mapa_Data=$A4)*(Mapa_MinOcup&gt;0)*(((MOD(Mapa_IniNum-$O4,1)&lt;MOD($P4-$O4,1))+(MOD($O4-Mapa_IniNum,1)&lt;MOD(Mapa_FimNum-Mapa_IniNum,1)))&gt;0))&gt;1),"Sobreposição de horário na sala | ",""),"")&amp;IFERROR(IF(AND(ISNUMBER($K4),$K4&gt;0,COUNTIF(Esp_Nome,$F4)&gt;0,$K4&gt;3*INDEX(Esp_Dur,MATCH($F4,Esp_Nome,0))),"Duração atípica (&gt;3x a média) | ",""),""))</f>
        <v/>
      </c>
      <c r="O4" s="10">
        <f>IF(ISNUMBER($D4),$D4,0)</f>
        <v/>
      </c>
      <c r="P4" s="10">
        <f>IF(ISNUMBER($E4),$E4,0)</f>
        <v/>
      </c>
    </row>
    <row r="5">
      <c r="A5" s="30" t="n">
        <v>46254</v>
      </c>
      <c r="B5" s="24" t="inlineStr">
        <is>
          <t>SO-01</t>
        </is>
      </c>
      <c r="C5" s="24" t="inlineStr">
        <is>
          <t>Tarde</t>
        </is>
      </c>
      <c r="D5" s="31" t="n">
        <v>0.6527777777777778</v>
      </c>
      <c r="E5" s="31" t="n">
        <v>0.7534722222222222</v>
      </c>
      <c r="F5" s="25" t="inlineStr">
        <is>
          <t>Ortopedia</t>
        </is>
      </c>
      <c r="G5" s="25" t="inlineStr">
        <is>
          <t>Osteossíntese de fêmur</t>
        </is>
      </c>
      <c r="H5" s="25" t="inlineStr">
        <is>
          <t>Dra. Bernardes</t>
        </is>
      </c>
      <c r="I5" s="24" t="inlineStr">
        <is>
          <t>M</t>
        </is>
      </c>
      <c r="J5" s="24" t="inlineStr">
        <is>
          <t>Agendada</t>
        </is>
      </c>
      <c r="K5" s="32">
        <f>IF(OR($B5="",NOT(ISNUMBER($D5)),NOT(ISNUMBER($E5))),"",ROUND(MOD($E5-$D5,1)*1440,0))</f>
        <v/>
      </c>
      <c r="L5" s="32">
        <f>IF(NOT(ISNUMBER($K5)),0,IF(OR($K5&lt;=0,$J5="Cancelada",$J5="Suspensa"),0,$K5+Setup_Min))</f>
        <v/>
      </c>
      <c r="M5" s="17">
        <f>IF($B5="","",IF($N5="","OK",LEFT($N5,LEN($N5)-3)))</f>
        <v/>
      </c>
      <c r="N5" s="10">
        <f>IF($B5="","",IF(COUNTIF(Salas_Cod,$B5)=0,"Sala não cadastrada | ","")&amp;IF(AND(COUNTIF(Salas_Cod,$B5)&gt;0,IFERROR(INDEX(Salas_Status,MATCH($B5,Salas_Cod,0)),"")&lt;&gt;"Ativa"),"Sala bloqueada | ","")&amp;IF(COUNTIF(Turnos_Nome,$C5)=0,"Turno inválido | ","")&amp;IF(COUNTIF(Esp_Nome,$F5)=0,"Especialidade não cadastrada | ","")&amp;IF(COUNTIF(Lista_StatusCirurgia,$J5)=0,"Status inválido | ","")&amp;IF(OR(NOT(ISNUMBER($D5)),NOT(ISNUMBER($E5))),"Horário inválido | ","")&amp;IFERROR(IF(AND(ISNUMBER($D5),ISNUMBER($E5),MOD($E5-$D5,1)*1440&lt;=0),"Duração nula ou negativa | ",""),"")&amp;IFERROR(IF(AND(ISNUMBER($D5),COUNTIF(Turnos_Nome,$C5)&gt;0,MOD($D5-INDEX(Turnos_Ini,MATCH($C5,Turnos_Nome,0)),1)*1440&gt;=INDEX(Turnos_Min,MATCH($C5,Turnos_Nome,0))),"Início fora da janela do turno | ",""),"")&amp;IFERROR(IF(AND($L5&gt;0,SUMPRODUCT((Mapa_Sala=$B5)*(Mapa_Data=$A5)*(Mapa_MinOcup&gt;0)*(((MOD(Mapa_IniNum-$O5,1)&lt;MOD($P5-$O5,1))+(MOD($O5-Mapa_IniNum,1)&lt;MOD(Mapa_FimNum-Mapa_IniNum,1)))&gt;0))&gt;1),"Sobreposição de horário na sala | ",""),"")&amp;IFERROR(IF(AND(ISNUMBER($K5),$K5&gt;0,COUNTIF(Esp_Nome,$F5)&gt;0,$K5&gt;3*INDEX(Esp_Dur,MATCH($F5,Esp_Nome,0))),"Duração atípica (&gt;3x a média) | ",""),""))</f>
        <v/>
      </c>
      <c r="O5" s="10">
        <f>IF(ISNUMBER($D5),$D5,0)</f>
        <v/>
      </c>
      <c r="P5" s="10">
        <f>IF(ISNUMBER($E5),$E5,0)</f>
        <v/>
      </c>
    </row>
    <row r="6">
      <c r="A6" s="30" t="n">
        <v>46254</v>
      </c>
      <c r="B6" s="24" t="inlineStr">
        <is>
          <t>SO-01</t>
        </is>
      </c>
      <c r="C6" s="24" t="inlineStr">
        <is>
          <t>Noite</t>
        </is>
      </c>
      <c r="D6" s="31" t="n">
        <v>0.7916666666666666</v>
      </c>
      <c r="E6" s="31" t="n">
        <v>0.8680555555555556</v>
      </c>
      <c r="F6" s="25" t="inlineStr">
        <is>
          <t>Ortopedia</t>
        </is>
      </c>
      <c r="G6" s="25" t="inlineStr">
        <is>
          <t>Artroplastia total de joelho</t>
        </is>
      </c>
      <c r="H6" s="25" t="inlineStr">
        <is>
          <t>Dr. Almeida</t>
        </is>
      </c>
      <c r="I6" s="24" t="inlineStr">
        <is>
          <t>M</t>
        </is>
      </c>
      <c r="J6" s="24" t="inlineStr">
        <is>
          <t>Agendada</t>
        </is>
      </c>
      <c r="K6" s="32">
        <f>IF(OR($B6="",NOT(ISNUMBER($D6)),NOT(ISNUMBER($E6))),"",ROUND(MOD($E6-$D6,1)*1440,0))</f>
        <v/>
      </c>
      <c r="L6" s="32">
        <f>IF(NOT(ISNUMBER($K6)),0,IF(OR($K6&lt;=0,$J6="Cancelada",$J6="Suspensa"),0,$K6+Setup_Min))</f>
        <v/>
      </c>
      <c r="M6" s="17">
        <f>IF($B6="","",IF($N6="","OK",LEFT($N6,LEN($N6)-3)))</f>
        <v/>
      </c>
      <c r="N6" s="10">
        <f>IF($B6="","",IF(COUNTIF(Salas_Cod,$B6)=0,"Sala não cadastrada | ","")&amp;IF(AND(COUNTIF(Salas_Cod,$B6)&gt;0,IFERROR(INDEX(Salas_Status,MATCH($B6,Salas_Cod,0)),"")&lt;&gt;"Ativa"),"Sala bloqueada | ","")&amp;IF(COUNTIF(Turnos_Nome,$C6)=0,"Turno inválido | ","")&amp;IF(COUNTIF(Esp_Nome,$F6)=0,"Especialidade não cadastrada | ","")&amp;IF(COUNTIF(Lista_StatusCirurgia,$J6)=0,"Status inválido | ","")&amp;IF(OR(NOT(ISNUMBER($D6)),NOT(ISNUMBER($E6))),"Horário inválido | ","")&amp;IFERROR(IF(AND(ISNUMBER($D6),ISNUMBER($E6),MOD($E6-$D6,1)*1440&lt;=0),"Duração nula ou negativa | ",""),"")&amp;IFERROR(IF(AND(ISNUMBER($D6),COUNTIF(Turnos_Nome,$C6)&gt;0,MOD($D6-INDEX(Turnos_Ini,MATCH($C6,Turnos_Nome,0)),1)*1440&gt;=INDEX(Turnos_Min,MATCH($C6,Turnos_Nome,0))),"Início fora da janela do turno | ",""),"")&amp;IFERROR(IF(AND($L6&gt;0,SUMPRODUCT((Mapa_Sala=$B6)*(Mapa_Data=$A6)*(Mapa_MinOcup&gt;0)*(((MOD(Mapa_IniNum-$O6,1)&lt;MOD($P6-$O6,1))+(MOD($O6-Mapa_IniNum,1)&lt;MOD(Mapa_FimNum-Mapa_IniNum,1)))&gt;0))&gt;1),"Sobreposição de horário na sala | ",""),"")&amp;IFERROR(IF(AND(ISNUMBER($K6),$K6&gt;0,COUNTIF(Esp_Nome,$F6)&gt;0,$K6&gt;3*INDEX(Esp_Dur,MATCH($F6,Esp_Nome,0))),"Duração atípica (&gt;3x a média) | ",""),""))</f>
        <v/>
      </c>
      <c r="O6" s="10">
        <f>IF(ISNUMBER($D6),$D6,0)</f>
        <v/>
      </c>
      <c r="P6" s="10">
        <f>IF(ISNUMBER($E6),$E6,0)</f>
        <v/>
      </c>
    </row>
    <row r="7">
      <c r="A7" s="30" t="n">
        <v>46254</v>
      </c>
      <c r="B7" s="24" t="inlineStr">
        <is>
          <t>SO-01</t>
        </is>
      </c>
      <c r="C7" s="24" t="inlineStr">
        <is>
          <t>Noite</t>
        </is>
      </c>
      <c r="D7" s="31" t="n">
        <v>0.8888888888888888</v>
      </c>
      <c r="E7" s="31" t="n">
        <v>0.9618055555555556</v>
      </c>
      <c r="F7" s="25" t="inlineStr">
        <is>
          <t>Ortopedia</t>
        </is>
      </c>
      <c r="G7" s="25" t="inlineStr">
        <is>
          <t>Osteossíntese de fêmur</t>
        </is>
      </c>
      <c r="H7" s="25" t="inlineStr">
        <is>
          <t>Dra. Bernardes</t>
        </is>
      </c>
      <c r="I7" s="24" t="inlineStr">
        <is>
          <t>M</t>
        </is>
      </c>
      <c r="J7" s="24" t="inlineStr">
        <is>
          <t>Agendada</t>
        </is>
      </c>
      <c r="K7" s="32">
        <f>IF(OR($B7="",NOT(ISNUMBER($D7)),NOT(ISNUMBER($E7))),"",ROUND(MOD($E7-$D7,1)*1440,0))</f>
        <v/>
      </c>
      <c r="L7" s="32">
        <f>IF(NOT(ISNUMBER($K7)),0,IF(OR($K7&lt;=0,$J7="Cancelada",$J7="Suspensa"),0,$K7+Setup_Min))</f>
        <v/>
      </c>
      <c r="M7" s="17">
        <f>IF($B7="","",IF($N7="","OK",LEFT($N7,LEN($N7)-3)))</f>
        <v/>
      </c>
      <c r="N7" s="10">
        <f>IF($B7="","",IF(COUNTIF(Salas_Cod,$B7)=0,"Sala não cadastrada | ","")&amp;IF(AND(COUNTIF(Salas_Cod,$B7)&gt;0,IFERROR(INDEX(Salas_Status,MATCH($B7,Salas_Cod,0)),"")&lt;&gt;"Ativa"),"Sala bloqueada | ","")&amp;IF(COUNTIF(Turnos_Nome,$C7)=0,"Turno inválido | ","")&amp;IF(COUNTIF(Esp_Nome,$F7)=0,"Especialidade não cadastrada | ","")&amp;IF(COUNTIF(Lista_StatusCirurgia,$J7)=0,"Status inválido | ","")&amp;IF(OR(NOT(ISNUMBER($D7)),NOT(ISNUMBER($E7))),"Horário inválido | ","")&amp;IFERROR(IF(AND(ISNUMBER($D7),ISNUMBER($E7),MOD($E7-$D7,1)*1440&lt;=0),"Duração nula ou negativa | ",""),"")&amp;IFERROR(IF(AND(ISNUMBER($D7),COUNTIF(Turnos_Nome,$C7)&gt;0,MOD($D7-INDEX(Turnos_Ini,MATCH($C7,Turnos_Nome,0)),1)*1440&gt;=INDEX(Turnos_Min,MATCH($C7,Turnos_Nome,0))),"Início fora da janela do turno | ",""),"")&amp;IFERROR(IF(AND($L7&gt;0,SUMPRODUCT((Mapa_Sala=$B7)*(Mapa_Data=$A7)*(Mapa_MinOcup&gt;0)*(((MOD(Mapa_IniNum-$O7,1)&lt;MOD($P7-$O7,1))+(MOD($O7-Mapa_IniNum,1)&lt;MOD(Mapa_FimNum-Mapa_IniNum,1)))&gt;0))&gt;1),"Sobreposição de horário na sala | ",""),"")&amp;IFERROR(IF(AND(ISNUMBER($K7),$K7&gt;0,COUNTIF(Esp_Nome,$F7)&gt;0,$K7&gt;3*INDEX(Esp_Dur,MATCH($F7,Esp_Nome,0))),"Duração atípica (&gt;3x a média) | ",""),""))</f>
        <v/>
      </c>
      <c r="O7" s="10">
        <f>IF(ISNUMBER($D7),$D7,0)</f>
        <v/>
      </c>
      <c r="P7" s="10">
        <f>IF(ISNUMBER($E7),$E7,0)</f>
        <v/>
      </c>
    </row>
    <row r="8">
      <c r="A8" s="30" t="n">
        <v>46254</v>
      </c>
      <c r="B8" s="24" t="inlineStr">
        <is>
          <t>SO-01</t>
        </is>
      </c>
      <c r="C8" s="24" t="inlineStr">
        <is>
          <t>Noite</t>
        </is>
      </c>
      <c r="D8" s="31" t="n">
        <v>0.9826388888888888</v>
      </c>
      <c r="E8" s="31" t="n">
        <v>0.05902777777777778</v>
      </c>
      <c r="F8" s="25" t="inlineStr">
        <is>
          <t>Ortopedia</t>
        </is>
      </c>
      <c r="G8" s="25" t="inlineStr">
        <is>
          <t>Artroscopia de ombro</t>
        </is>
      </c>
      <c r="H8" s="25" t="inlineStr">
        <is>
          <t>Dr. Coelho</t>
        </is>
      </c>
      <c r="I8" s="24" t="inlineStr">
        <is>
          <t>M</t>
        </is>
      </c>
      <c r="J8" s="24" t="inlineStr">
        <is>
          <t>Agendada</t>
        </is>
      </c>
      <c r="K8" s="32">
        <f>IF(OR($B8="",NOT(ISNUMBER($D8)),NOT(ISNUMBER($E8))),"",ROUND(MOD($E8-$D8,1)*1440,0))</f>
        <v/>
      </c>
      <c r="L8" s="32">
        <f>IF(NOT(ISNUMBER($K8)),0,IF(OR($K8&lt;=0,$J8="Cancelada",$J8="Suspensa"),0,$K8+Setup_Min))</f>
        <v/>
      </c>
      <c r="M8" s="17">
        <f>IF($B8="","",IF($N8="","OK",LEFT($N8,LEN($N8)-3)))</f>
        <v/>
      </c>
      <c r="N8" s="10">
        <f>IF($B8="","",IF(COUNTIF(Salas_Cod,$B8)=0,"Sala não cadastrada | ","")&amp;IF(AND(COUNTIF(Salas_Cod,$B8)&gt;0,IFERROR(INDEX(Salas_Status,MATCH($B8,Salas_Cod,0)),"")&lt;&gt;"Ativa"),"Sala bloqueada | ","")&amp;IF(COUNTIF(Turnos_Nome,$C8)=0,"Turno inválido | ","")&amp;IF(COUNTIF(Esp_Nome,$F8)=0,"Especialidade não cadastrada | ","")&amp;IF(COUNTIF(Lista_StatusCirurgia,$J8)=0,"Status inválido | ","")&amp;IF(OR(NOT(ISNUMBER($D8)),NOT(ISNUMBER($E8))),"Horário inválido | ","")&amp;IFERROR(IF(AND(ISNUMBER($D8),ISNUMBER($E8),MOD($E8-$D8,1)*1440&lt;=0),"Duração nula ou negativa | ",""),"")&amp;IFERROR(IF(AND(ISNUMBER($D8),COUNTIF(Turnos_Nome,$C8)&gt;0,MOD($D8-INDEX(Turnos_Ini,MATCH($C8,Turnos_Nome,0)),1)*1440&gt;=INDEX(Turnos_Min,MATCH($C8,Turnos_Nome,0))),"Início fora da janela do turno | ",""),"")&amp;IFERROR(IF(AND($L8&gt;0,SUMPRODUCT((Mapa_Sala=$B8)*(Mapa_Data=$A8)*(Mapa_MinOcup&gt;0)*(((MOD(Mapa_IniNum-$O8,1)&lt;MOD($P8-$O8,1))+(MOD($O8-Mapa_IniNum,1)&lt;MOD(Mapa_FimNum-Mapa_IniNum,1)))&gt;0))&gt;1),"Sobreposição de horário na sala | ",""),"")&amp;IFERROR(IF(AND(ISNUMBER($K8),$K8&gt;0,COUNTIF(Esp_Nome,$F8)&gt;0,$K8&gt;3*INDEX(Esp_Dur,MATCH($F8,Esp_Nome,0))),"Duração atípica (&gt;3x a média) | ",""),""))</f>
        <v/>
      </c>
      <c r="O8" s="10">
        <f>IF(ISNUMBER($D8),$D8,0)</f>
        <v/>
      </c>
      <c r="P8" s="10">
        <f>IF(ISNUMBER($E8),$E8,0)</f>
        <v/>
      </c>
    </row>
    <row r="9">
      <c r="A9" s="30" t="n">
        <v>46254</v>
      </c>
      <c r="B9" s="24" t="inlineStr">
        <is>
          <t>SO-01</t>
        </is>
      </c>
      <c r="C9" s="24" t="inlineStr">
        <is>
          <t>Noite</t>
        </is>
      </c>
      <c r="D9" s="31" t="n">
        <v>0.0798611111111111</v>
      </c>
      <c r="E9" s="31" t="n">
        <v>0.1736111111111111</v>
      </c>
      <c r="F9" s="25" t="inlineStr">
        <is>
          <t>Ortopedia</t>
        </is>
      </c>
      <c r="G9" s="25" t="inlineStr">
        <is>
          <t>Artroplastia total de joelho</t>
        </is>
      </c>
      <c r="H9" s="25" t="inlineStr">
        <is>
          <t>Dra. Delgado</t>
        </is>
      </c>
      <c r="I9" s="24" t="inlineStr">
        <is>
          <t>M</t>
        </is>
      </c>
      <c r="J9" s="24" t="inlineStr">
        <is>
          <t>Agendada</t>
        </is>
      </c>
      <c r="K9" s="32">
        <f>IF(OR($B9="",NOT(ISNUMBER($D9)),NOT(ISNUMBER($E9))),"",ROUND(MOD($E9-$D9,1)*1440,0))</f>
        <v/>
      </c>
      <c r="L9" s="32">
        <f>IF(NOT(ISNUMBER($K9)),0,IF(OR($K9&lt;=0,$J9="Cancelada",$J9="Suspensa"),0,$K9+Setup_Min))</f>
        <v/>
      </c>
      <c r="M9" s="17">
        <f>IF($B9="","",IF($N9="","OK",LEFT($N9,LEN($N9)-3)))</f>
        <v/>
      </c>
      <c r="N9" s="10">
        <f>IF($B9="","",IF(COUNTIF(Salas_Cod,$B9)=0,"Sala não cadastrada | ","")&amp;IF(AND(COUNTIF(Salas_Cod,$B9)&gt;0,IFERROR(INDEX(Salas_Status,MATCH($B9,Salas_Cod,0)),"")&lt;&gt;"Ativa"),"Sala bloqueada | ","")&amp;IF(COUNTIF(Turnos_Nome,$C9)=0,"Turno inválido | ","")&amp;IF(COUNTIF(Esp_Nome,$F9)=0,"Especialidade não cadastrada | ","")&amp;IF(COUNTIF(Lista_StatusCirurgia,$J9)=0,"Status inválido | ","")&amp;IF(OR(NOT(ISNUMBER($D9)),NOT(ISNUMBER($E9))),"Horário inválido | ","")&amp;IFERROR(IF(AND(ISNUMBER($D9),ISNUMBER($E9),MOD($E9-$D9,1)*1440&lt;=0),"Duração nula ou negativa | ",""),"")&amp;IFERROR(IF(AND(ISNUMBER($D9),COUNTIF(Turnos_Nome,$C9)&gt;0,MOD($D9-INDEX(Turnos_Ini,MATCH($C9,Turnos_Nome,0)),1)*1440&gt;=INDEX(Turnos_Min,MATCH($C9,Turnos_Nome,0))),"Início fora da janela do turno | ",""),"")&amp;IFERROR(IF(AND($L9&gt;0,SUMPRODUCT((Mapa_Sala=$B9)*(Mapa_Data=$A9)*(Mapa_MinOcup&gt;0)*(((MOD(Mapa_IniNum-$O9,1)&lt;MOD($P9-$O9,1))+(MOD($O9-Mapa_IniNum,1)&lt;MOD(Mapa_FimNum-Mapa_IniNum,1)))&gt;0))&gt;1),"Sobreposição de horário na sala | ",""),"")&amp;IFERROR(IF(AND(ISNUMBER($K9),$K9&gt;0,COUNTIF(Esp_Nome,$F9)&gt;0,$K9&gt;3*INDEX(Esp_Dur,MATCH($F9,Esp_Nome,0))),"Duração atípica (&gt;3x a média) | ",""),""))</f>
        <v/>
      </c>
      <c r="O9" s="10">
        <f>IF(ISNUMBER($D9),$D9,0)</f>
        <v/>
      </c>
      <c r="P9" s="10">
        <f>IF(ISNUMBER($E9),$E9,0)</f>
        <v/>
      </c>
    </row>
    <row r="10">
      <c r="A10" s="30" t="n">
        <v>46254</v>
      </c>
      <c r="B10" s="24" t="inlineStr">
        <is>
          <t>SO-01</t>
        </is>
      </c>
      <c r="C10" s="24" t="inlineStr">
        <is>
          <t>Noite</t>
        </is>
      </c>
      <c r="D10" s="31" t="n">
        <v>0.1944444444444444</v>
      </c>
      <c r="E10" s="31" t="n">
        <v>0.2638888888888889</v>
      </c>
      <c r="F10" s="25" t="inlineStr">
        <is>
          <t>Ortopedia</t>
        </is>
      </c>
      <c r="G10" s="25" t="inlineStr">
        <is>
          <t>Osteossíntese de fêmur</t>
        </is>
      </c>
      <c r="H10" s="25" t="inlineStr">
        <is>
          <t>Dr. Esteves</t>
        </is>
      </c>
      <c r="I10" s="24" t="inlineStr">
        <is>
          <t>M</t>
        </is>
      </c>
      <c r="J10" s="24" t="inlineStr">
        <is>
          <t>Agendada</t>
        </is>
      </c>
      <c r="K10" s="32">
        <f>IF(OR($B10="",NOT(ISNUMBER($D10)),NOT(ISNUMBER($E10))),"",ROUND(MOD($E10-$D10,1)*1440,0))</f>
        <v/>
      </c>
      <c r="L10" s="32">
        <f>IF(NOT(ISNUMBER($K10)),0,IF(OR($K10&lt;=0,$J10="Cancelada",$J10="Suspensa"),0,$K10+Setup_Min))</f>
        <v/>
      </c>
      <c r="M10" s="17">
        <f>IF($B10="","",IF($N10="","OK",LEFT($N10,LEN($N10)-3)))</f>
        <v/>
      </c>
      <c r="N10" s="10">
        <f>IF($B10="","",IF(COUNTIF(Salas_Cod,$B10)=0,"Sala não cadastrada | ","")&amp;IF(AND(COUNTIF(Salas_Cod,$B10)&gt;0,IFERROR(INDEX(Salas_Status,MATCH($B10,Salas_Cod,0)),"")&lt;&gt;"Ativa"),"Sala bloqueada | ","")&amp;IF(COUNTIF(Turnos_Nome,$C10)=0,"Turno inválido | ","")&amp;IF(COUNTIF(Esp_Nome,$F10)=0,"Especialidade não cadastrada | ","")&amp;IF(COUNTIF(Lista_StatusCirurgia,$J10)=0,"Status inválido | ","")&amp;IF(OR(NOT(ISNUMBER($D10)),NOT(ISNUMBER($E10))),"Horário inválido | ","")&amp;IFERROR(IF(AND(ISNUMBER($D10),ISNUMBER($E10),MOD($E10-$D10,1)*1440&lt;=0),"Duração nula ou negativa | ",""),"")&amp;IFERROR(IF(AND(ISNUMBER($D10),COUNTIF(Turnos_Nome,$C10)&gt;0,MOD($D10-INDEX(Turnos_Ini,MATCH($C10,Turnos_Nome,0)),1)*1440&gt;=INDEX(Turnos_Min,MATCH($C10,Turnos_Nome,0))),"Início fora da janela do turno | ",""),"")&amp;IFERROR(IF(AND($L10&gt;0,SUMPRODUCT((Mapa_Sala=$B10)*(Mapa_Data=$A10)*(Mapa_MinOcup&gt;0)*(((MOD(Mapa_IniNum-$O10,1)&lt;MOD($P10-$O10,1))+(MOD($O10-Mapa_IniNum,1)&lt;MOD(Mapa_FimNum-Mapa_IniNum,1)))&gt;0))&gt;1),"Sobreposição de horário na sala | ",""),"")&amp;IFERROR(IF(AND(ISNUMBER($K10),$K10&gt;0,COUNTIF(Esp_Nome,$F10)&gt;0,$K10&gt;3*INDEX(Esp_Dur,MATCH($F10,Esp_Nome,0))),"Duração atípica (&gt;3x a média) | ",""),""))</f>
        <v/>
      </c>
      <c r="O10" s="10">
        <f>IF(ISNUMBER($D10),$D10,0)</f>
        <v/>
      </c>
      <c r="P10" s="10">
        <f>IF(ISNUMBER($E10),$E10,0)</f>
        <v/>
      </c>
    </row>
    <row r="11">
      <c r="A11" s="30" t="n">
        <v>46254</v>
      </c>
      <c r="B11" s="24" t="inlineStr">
        <is>
          <t>SO-02</t>
        </is>
      </c>
      <c r="C11" s="24" t="inlineStr">
        <is>
          <t>Manhã</t>
        </is>
      </c>
      <c r="D11" s="31" t="n">
        <v>0.2916666666666667</v>
      </c>
      <c r="E11" s="31" t="n">
        <v>0.3472222222222222</v>
      </c>
      <c r="F11" s="25" t="inlineStr">
        <is>
          <t>Cirurgia Geral</t>
        </is>
      </c>
      <c r="G11" s="25" t="inlineStr">
        <is>
          <t>Colecistectomia videolaparoscópica</t>
        </is>
      </c>
      <c r="H11" s="25" t="inlineStr">
        <is>
          <t>Dra. Delgado</t>
        </is>
      </c>
      <c r="I11" s="24" t="inlineStr">
        <is>
          <t>P</t>
        </is>
      </c>
      <c r="J11" s="24" t="inlineStr">
        <is>
          <t>Agendada</t>
        </is>
      </c>
      <c r="K11" s="32">
        <f>IF(OR($B11="",NOT(ISNUMBER($D11)),NOT(ISNUMBER($E11))),"",ROUND(MOD($E11-$D11,1)*1440,0))</f>
        <v/>
      </c>
      <c r="L11" s="32">
        <f>IF(NOT(ISNUMBER($K11)),0,IF(OR($K11&lt;=0,$J11="Cancelada",$J11="Suspensa"),0,$K11+Setup_Min))</f>
        <v/>
      </c>
      <c r="M11" s="17">
        <f>IF($B11="","",IF($N11="","OK",LEFT($N11,LEN($N11)-3)))</f>
        <v/>
      </c>
      <c r="N11" s="10">
        <f>IF($B11="","",IF(COUNTIF(Salas_Cod,$B11)=0,"Sala não cadastrada | ","")&amp;IF(AND(COUNTIF(Salas_Cod,$B11)&gt;0,IFERROR(INDEX(Salas_Status,MATCH($B11,Salas_Cod,0)),"")&lt;&gt;"Ativa"),"Sala bloqueada | ","")&amp;IF(COUNTIF(Turnos_Nome,$C11)=0,"Turno inválido | ","")&amp;IF(COUNTIF(Esp_Nome,$F11)=0,"Especialidade não cadastrada | ","")&amp;IF(COUNTIF(Lista_StatusCirurgia,$J11)=0,"Status inválido | ","")&amp;IF(OR(NOT(ISNUMBER($D11)),NOT(ISNUMBER($E11))),"Horário inválido | ","")&amp;IFERROR(IF(AND(ISNUMBER($D11),ISNUMBER($E11),MOD($E11-$D11,1)*1440&lt;=0),"Duração nula ou negativa | ",""),"")&amp;IFERROR(IF(AND(ISNUMBER($D11),COUNTIF(Turnos_Nome,$C11)&gt;0,MOD($D11-INDEX(Turnos_Ini,MATCH($C11,Turnos_Nome,0)),1)*1440&gt;=INDEX(Turnos_Min,MATCH($C11,Turnos_Nome,0))),"Início fora da janela do turno | ",""),"")&amp;IFERROR(IF(AND($L11&gt;0,SUMPRODUCT((Mapa_Sala=$B11)*(Mapa_Data=$A11)*(Mapa_MinOcup&gt;0)*(((MOD(Mapa_IniNum-$O11,1)&lt;MOD($P11-$O11,1))+(MOD($O11-Mapa_IniNum,1)&lt;MOD(Mapa_FimNum-Mapa_IniNum,1)))&gt;0))&gt;1),"Sobreposição de horário na sala | ",""),"")&amp;IFERROR(IF(AND(ISNUMBER($K11),$K11&gt;0,COUNTIF(Esp_Nome,$F11)&gt;0,$K11&gt;3*INDEX(Esp_Dur,MATCH($F11,Esp_Nome,0))),"Duração atípica (&gt;3x a média) | ",""),""))</f>
        <v/>
      </c>
      <c r="O11" s="10">
        <f>IF(ISNUMBER($D11),$D11,0)</f>
        <v/>
      </c>
      <c r="P11" s="10">
        <f>IF(ISNUMBER($E11),$E11,0)</f>
        <v/>
      </c>
    </row>
    <row r="12">
      <c r="A12" s="30" t="n">
        <v>46254</v>
      </c>
      <c r="B12" s="24" t="inlineStr">
        <is>
          <t>SO-02</t>
        </is>
      </c>
      <c r="C12" s="24" t="inlineStr">
        <is>
          <t>Manhã</t>
        </is>
      </c>
      <c r="D12" s="31" t="n">
        <v>0.3680555555555556</v>
      </c>
      <c r="E12" s="31" t="n">
        <v>0.46875</v>
      </c>
      <c r="F12" s="25" t="inlineStr">
        <is>
          <t>Cirurgia Bariátrica</t>
        </is>
      </c>
      <c r="G12" s="25" t="inlineStr">
        <is>
          <t>Gastrectomia vertical</t>
        </is>
      </c>
      <c r="H12" s="25" t="inlineStr">
        <is>
          <t>Dr. Esteves</t>
        </is>
      </c>
      <c r="I12" s="24" t="inlineStr">
        <is>
          <t>M</t>
        </is>
      </c>
      <c r="J12" s="24" t="inlineStr">
        <is>
          <t>Agendada</t>
        </is>
      </c>
      <c r="K12" s="32">
        <f>IF(OR($B12="",NOT(ISNUMBER($D12)),NOT(ISNUMBER($E12))),"",ROUND(MOD($E12-$D12,1)*1440,0))</f>
        <v/>
      </c>
      <c r="L12" s="32">
        <f>IF(NOT(ISNUMBER($K12)),0,IF(OR($K12&lt;=0,$J12="Cancelada",$J12="Suspensa"),0,$K12+Setup_Min))</f>
        <v/>
      </c>
      <c r="M12" s="17">
        <f>IF($B12="","",IF($N12="","OK",LEFT($N12,LEN($N12)-3)))</f>
        <v/>
      </c>
      <c r="N12" s="10">
        <f>IF($B12="","",IF(COUNTIF(Salas_Cod,$B12)=0,"Sala não cadastrada | ","")&amp;IF(AND(COUNTIF(Salas_Cod,$B12)&gt;0,IFERROR(INDEX(Salas_Status,MATCH($B12,Salas_Cod,0)),"")&lt;&gt;"Ativa"),"Sala bloqueada | ","")&amp;IF(COUNTIF(Turnos_Nome,$C12)=0,"Turno inválido | ","")&amp;IF(COUNTIF(Esp_Nome,$F12)=0,"Especialidade não cadastrada | ","")&amp;IF(COUNTIF(Lista_StatusCirurgia,$J12)=0,"Status inválido | ","")&amp;IF(OR(NOT(ISNUMBER($D12)),NOT(ISNUMBER($E12))),"Horário inválido | ","")&amp;IFERROR(IF(AND(ISNUMBER($D12),ISNUMBER($E12),MOD($E12-$D12,1)*1440&lt;=0),"Duração nula ou negativa | ",""),"")&amp;IFERROR(IF(AND(ISNUMBER($D12),COUNTIF(Turnos_Nome,$C12)&gt;0,MOD($D12-INDEX(Turnos_Ini,MATCH($C12,Turnos_Nome,0)),1)*1440&gt;=INDEX(Turnos_Min,MATCH($C12,Turnos_Nome,0))),"Início fora da janela do turno | ",""),"")&amp;IFERROR(IF(AND($L12&gt;0,SUMPRODUCT((Mapa_Sala=$B12)*(Mapa_Data=$A12)*(Mapa_MinOcup&gt;0)*(((MOD(Mapa_IniNum-$O12,1)&lt;MOD($P12-$O12,1))+(MOD($O12-Mapa_IniNum,1)&lt;MOD(Mapa_FimNum-Mapa_IniNum,1)))&gt;0))&gt;1),"Sobreposição de horário na sala | ",""),"")&amp;IFERROR(IF(AND(ISNUMBER($K12),$K12&gt;0,COUNTIF(Esp_Nome,$F12)&gt;0,$K12&gt;3*INDEX(Esp_Dur,MATCH($F12,Esp_Nome,0))),"Duração atípica (&gt;3x a média) | ",""),""))</f>
        <v/>
      </c>
      <c r="O12" s="10">
        <f>IF(ISNUMBER($D12),$D12,0)</f>
        <v/>
      </c>
      <c r="P12" s="10">
        <f>IF(ISNUMBER($E12),$E12,0)</f>
        <v/>
      </c>
    </row>
    <row r="13">
      <c r="A13" s="30" t="n">
        <v>46254</v>
      </c>
      <c r="B13" s="24" t="inlineStr">
        <is>
          <t>SO-02</t>
        </is>
      </c>
      <c r="C13" s="24" t="inlineStr">
        <is>
          <t>Tarde</t>
        </is>
      </c>
      <c r="D13" s="31" t="n">
        <v>0.5416666666666666</v>
      </c>
      <c r="E13" s="31" t="n">
        <v>0.59375</v>
      </c>
      <c r="F13" s="25" t="inlineStr">
        <is>
          <t>Cirurgia Geral</t>
        </is>
      </c>
      <c r="G13" s="25" t="inlineStr">
        <is>
          <t>Colecistectomia videolaparoscópica</t>
        </is>
      </c>
      <c r="H13" s="25" t="inlineStr">
        <is>
          <t>Dra. Delgado</t>
        </is>
      </c>
      <c r="I13" s="24" t="inlineStr">
        <is>
          <t>P</t>
        </is>
      </c>
      <c r="J13" s="24" t="inlineStr">
        <is>
          <t>Agendada</t>
        </is>
      </c>
      <c r="K13" s="32">
        <f>IF(OR($B13="",NOT(ISNUMBER($D13)),NOT(ISNUMBER($E13))),"",ROUND(MOD($E13-$D13,1)*1440,0))</f>
        <v/>
      </c>
      <c r="L13" s="32">
        <f>IF(NOT(ISNUMBER($K13)),0,IF(OR($K13&lt;=0,$J13="Cancelada",$J13="Suspensa"),0,$K13+Setup_Min))</f>
        <v/>
      </c>
      <c r="M13" s="17">
        <f>IF($B13="","",IF($N13="","OK",LEFT($N13,LEN($N13)-3)))</f>
        <v/>
      </c>
      <c r="N13" s="10">
        <f>IF($B13="","",IF(COUNTIF(Salas_Cod,$B13)=0,"Sala não cadastrada | ","")&amp;IF(AND(COUNTIF(Salas_Cod,$B13)&gt;0,IFERROR(INDEX(Salas_Status,MATCH($B13,Salas_Cod,0)),"")&lt;&gt;"Ativa"),"Sala bloqueada | ","")&amp;IF(COUNTIF(Turnos_Nome,$C13)=0,"Turno inválido | ","")&amp;IF(COUNTIF(Esp_Nome,$F13)=0,"Especialidade não cadastrada | ","")&amp;IF(COUNTIF(Lista_StatusCirurgia,$J13)=0,"Status inválido | ","")&amp;IF(OR(NOT(ISNUMBER($D13)),NOT(ISNUMBER($E13))),"Horário inválido | ","")&amp;IFERROR(IF(AND(ISNUMBER($D13),ISNUMBER($E13),MOD($E13-$D13,1)*1440&lt;=0),"Duração nula ou negativa | ",""),"")&amp;IFERROR(IF(AND(ISNUMBER($D13),COUNTIF(Turnos_Nome,$C13)&gt;0,MOD($D13-INDEX(Turnos_Ini,MATCH($C13,Turnos_Nome,0)),1)*1440&gt;=INDEX(Turnos_Min,MATCH($C13,Turnos_Nome,0))),"Início fora da janela do turno | ",""),"")&amp;IFERROR(IF(AND($L13&gt;0,SUMPRODUCT((Mapa_Sala=$B13)*(Mapa_Data=$A13)*(Mapa_MinOcup&gt;0)*(((MOD(Mapa_IniNum-$O13,1)&lt;MOD($P13-$O13,1))+(MOD($O13-Mapa_IniNum,1)&lt;MOD(Mapa_FimNum-Mapa_IniNum,1)))&gt;0))&gt;1),"Sobreposição de horário na sala | ",""),"")&amp;IFERROR(IF(AND(ISNUMBER($K13),$K13&gt;0,COUNTIF(Esp_Nome,$F13)&gt;0,$K13&gt;3*INDEX(Esp_Dur,MATCH($F13,Esp_Nome,0))),"Duração atípica (&gt;3x a média) | ",""),""))</f>
        <v/>
      </c>
      <c r="O13" s="10">
        <f>IF(ISNUMBER($D13),$D13,0)</f>
        <v/>
      </c>
      <c r="P13" s="10">
        <f>IF(ISNUMBER($E13),$E13,0)</f>
        <v/>
      </c>
    </row>
    <row r="14">
      <c r="A14" s="30" t="n">
        <v>46254</v>
      </c>
      <c r="B14" s="24" t="inlineStr">
        <is>
          <t>SO-02</t>
        </is>
      </c>
      <c r="C14" s="24" t="inlineStr">
        <is>
          <t>Tarde</t>
        </is>
      </c>
      <c r="D14" s="31" t="n">
        <v>0.6145833333333334</v>
      </c>
      <c r="E14" s="31" t="n">
        <v>0.7013888888888888</v>
      </c>
      <c r="F14" s="25" t="inlineStr">
        <is>
          <t>Cirurgia Bariátrica</t>
        </is>
      </c>
      <c r="G14" s="25" t="inlineStr">
        <is>
          <t>Gastrectomia vertical</t>
        </is>
      </c>
      <c r="H14" s="25" t="inlineStr">
        <is>
          <t>Dr. Esteves</t>
        </is>
      </c>
      <c r="I14" s="24" t="inlineStr">
        <is>
          <t>M</t>
        </is>
      </c>
      <c r="J14" s="24" t="inlineStr">
        <is>
          <t>Cancelada</t>
        </is>
      </c>
      <c r="K14" s="32">
        <f>IF(OR($B14="",NOT(ISNUMBER($D14)),NOT(ISNUMBER($E14))),"",ROUND(MOD($E14-$D14,1)*1440,0))</f>
        <v/>
      </c>
      <c r="L14" s="32">
        <f>IF(NOT(ISNUMBER($K14)),0,IF(OR($K14&lt;=0,$J14="Cancelada",$J14="Suspensa"),0,$K14+Setup_Min))</f>
        <v/>
      </c>
      <c r="M14" s="17">
        <f>IF($B14="","",IF($N14="","OK",LEFT($N14,LEN($N14)-3)))</f>
        <v/>
      </c>
      <c r="N14" s="10">
        <f>IF($B14="","",IF(COUNTIF(Salas_Cod,$B14)=0,"Sala não cadastrada | ","")&amp;IF(AND(COUNTIF(Salas_Cod,$B14)&gt;0,IFERROR(INDEX(Salas_Status,MATCH($B14,Salas_Cod,0)),"")&lt;&gt;"Ativa"),"Sala bloqueada | ","")&amp;IF(COUNTIF(Turnos_Nome,$C14)=0,"Turno inválido | ","")&amp;IF(COUNTIF(Esp_Nome,$F14)=0,"Especialidade não cadastrada | ","")&amp;IF(COUNTIF(Lista_StatusCirurgia,$J14)=0,"Status inválido | ","")&amp;IF(OR(NOT(ISNUMBER($D14)),NOT(ISNUMBER($E14))),"Horário inválido | ","")&amp;IFERROR(IF(AND(ISNUMBER($D14),ISNUMBER($E14),MOD($E14-$D14,1)*1440&lt;=0),"Duração nula ou negativa | ",""),"")&amp;IFERROR(IF(AND(ISNUMBER($D14),COUNTIF(Turnos_Nome,$C14)&gt;0,MOD($D14-INDEX(Turnos_Ini,MATCH($C14,Turnos_Nome,0)),1)*1440&gt;=INDEX(Turnos_Min,MATCH($C14,Turnos_Nome,0))),"Início fora da janela do turno | ",""),"")&amp;IFERROR(IF(AND($L14&gt;0,SUMPRODUCT((Mapa_Sala=$B14)*(Mapa_Data=$A14)*(Mapa_MinOcup&gt;0)*(((MOD(Mapa_IniNum-$O14,1)&lt;MOD($P14-$O14,1))+(MOD($O14-Mapa_IniNum,1)&lt;MOD(Mapa_FimNum-Mapa_IniNum,1)))&gt;0))&gt;1),"Sobreposição de horário na sala | ",""),"")&amp;IFERROR(IF(AND(ISNUMBER($K14),$K14&gt;0,COUNTIF(Esp_Nome,$F14)&gt;0,$K14&gt;3*INDEX(Esp_Dur,MATCH($F14,Esp_Nome,0))),"Duração atípica (&gt;3x a média) | ",""),""))</f>
        <v/>
      </c>
      <c r="O14" s="10">
        <f>IF(ISNUMBER($D14),$D14,0)</f>
        <v/>
      </c>
      <c r="P14" s="10">
        <f>IF(ISNUMBER($E14),$E14,0)</f>
        <v/>
      </c>
    </row>
    <row r="15">
      <c r="A15" s="30" t="n">
        <v>46254</v>
      </c>
      <c r="B15" s="24" t="inlineStr">
        <is>
          <t>SO-02</t>
        </is>
      </c>
      <c r="C15" s="24" t="inlineStr">
        <is>
          <t>Tarde</t>
        </is>
      </c>
      <c r="D15" s="31" t="n">
        <v>0.7222222222222222</v>
      </c>
      <c r="E15" s="31" t="n">
        <v>0.7708333333333334</v>
      </c>
      <c r="F15" s="25" t="inlineStr">
        <is>
          <t>Cirurgia Geral</t>
        </is>
      </c>
      <c r="G15" s="25" t="inlineStr">
        <is>
          <t>Apendicectomia</t>
        </is>
      </c>
      <c r="H15" s="25" t="inlineStr">
        <is>
          <t>Dra. Fialho</t>
        </is>
      </c>
      <c r="I15" s="24" t="inlineStr">
        <is>
          <t>P</t>
        </is>
      </c>
      <c r="J15" s="24" t="inlineStr">
        <is>
          <t>Agendada</t>
        </is>
      </c>
      <c r="K15" s="32">
        <f>IF(OR($B15="",NOT(ISNUMBER($D15)),NOT(ISNUMBER($E15))),"",ROUND(MOD($E15-$D15,1)*1440,0))</f>
        <v/>
      </c>
      <c r="L15" s="32">
        <f>IF(NOT(ISNUMBER($K15)),0,IF(OR($K15&lt;=0,$J15="Cancelada",$J15="Suspensa"),0,$K15+Setup_Min))</f>
        <v/>
      </c>
      <c r="M15" s="17">
        <f>IF($B15="","",IF($N15="","OK",LEFT($N15,LEN($N15)-3)))</f>
        <v/>
      </c>
      <c r="N15" s="10">
        <f>IF($B15="","",IF(COUNTIF(Salas_Cod,$B15)=0,"Sala não cadastrada | ","")&amp;IF(AND(COUNTIF(Salas_Cod,$B15)&gt;0,IFERROR(INDEX(Salas_Status,MATCH($B15,Salas_Cod,0)),"")&lt;&gt;"Ativa"),"Sala bloqueada | ","")&amp;IF(COUNTIF(Turnos_Nome,$C15)=0,"Turno inválido | ","")&amp;IF(COUNTIF(Esp_Nome,$F15)=0,"Especialidade não cadastrada | ","")&amp;IF(COUNTIF(Lista_StatusCirurgia,$J15)=0,"Status inválido | ","")&amp;IF(OR(NOT(ISNUMBER($D15)),NOT(ISNUMBER($E15))),"Horário inválido | ","")&amp;IFERROR(IF(AND(ISNUMBER($D15),ISNUMBER($E15),MOD($E15-$D15,1)*1440&lt;=0),"Duração nula ou negativa | ",""),"")&amp;IFERROR(IF(AND(ISNUMBER($D15),COUNTIF(Turnos_Nome,$C15)&gt;0,MOD($D15-INDEX(Turnos_Ini,MATCH($C15,Turnos_Nome,0)),1)*1440&gt;=INDEX(Turnos_Min,MATCH($C15,Turnos_Nome,0))),"Início fora da janela do turno | ",""),"")&amp;IFERROR(IF(AND($L15&gt;0,SUMPRODUCT((Mapa_Sala=$B15)*(Mapa_Data=$A15)*(Mapa_MinOcup&gt;0)*(((MOD(Mapa_IniNum-$O15,1)&lt;MOD($P15-$O15,1))+(MOD($O15-Mapa_IniNum,1)&lt;MOD(Mapa_FimNum-Mapa_IniNum,1)))&gt;0))&gt;1),"Sobreposição de horário na sala | ",""),"")&amp;IFERROR(IF(AND(ISNUMBER($K15),$K15&gt;0,COUNTIF(Esp_Nome,$F15)&gt;0,$K15&gt;3*INDEX(Esp_Dur,MATCH($F15,Esp_Nome,0))),"Duração atípica (&gt;3x a média) | ",""),""))</f>
        <v/>
      </c>
      <c r="O15" s="10">
        <f>IF(ISNUMBER($D15),$D15,0)</f>
        <v/>
      </c>
      <c r="P15" s="10">
        <f>IF(ISNUMBER($E15),$E15,0)</f>
        <v/>
      </c>
    </row>
    <row r="16">
      <c r="A16" s="30" t="n">
        <v>46254</v>
      </c>
      <c r="B16" s="24" t="inlineStr">
        <is>
          <t>SO-02</t>
        </is>
      </c>
      <c r="C16" s="24" t="inlineStr">
        <is>
          <t>Noite</t>
        </is>
      </c>
      <c r="D16" s="31" t="n">
        <v>0.7916666666666666</v>
      </c>
      <c r="E16" s="31" t="n">
        <v>0.84375</v>
      </c>
      <c r="F16" s="25" t="inlineStr">
        <is>
          <t>Cirurgia Geral</t>
        </is>
      </c>
      <c r="G16" s="25" t="inlineStr">
        <is>
          <t>Colecistectomia videolaparoscópica</t>
        </is>
      </c>
      <c r="H16" s="25" t="inlineStr">
        <is>
          <t>Dra. Delgado</t>
        </is>
      </c>
      <c r="I16" s="24" t="inlineStr">
        <is>
          <t>P</t>
        </is>
      </c>
      <c r="J16" s="24" t="inlineStr">
        <is>
          <t>Agendada</t>
        </is>
      </c>
      <c r="K16" s="32">
        <f>IF(OR($B16="",NOT(ISNUMBER($D16)),NOT(ISNUMBER($E16))),"",ROUND(MOD($E16-$D16,1)*1440,0))</f>
        <v/>
      </c>
      <c r="L16" s="32">
        <f>IF(NOT(ISNUMBER($K16)),0,IF(OR($K16&lt;=0,$J16="Cancelada",$J16="Suspensa"),0,$K16+Setup_Min))</f>
        <v/>
      </c>
      <c r="M16" s="17">
        <f>IF($B16="","",IF($N16="","OK",LEFT($N16,LEN($N16)-3)))</f>
        <v/>
      </c>
      <c r="N16" s="10">
        <f>IF($B16="","",IF(COUNTIF(Salas_Cod,$B16)=0,"Sala não cadastrada | ","")&amp;IF(AND(COUNTIF(Salas_Cod,$B16)&gt;0,IFERROR(INDEX(Salas_Status,MATCH($B16,Salas_Cod,0)),"")&lt;&gt;"Ativa"),"Sala bloqueada | ","")&amp;IF(COUNTIF(Turnos_Nome,$C16)=0,"Turno inválido | ","")&amp;IF(COUNTIF(Esp_Nome,$F16)=0,"Especialidade não cadastrada | ","")&amp;IF(COUNTIF(Lista_StatusCirurgia,$J16)=0,"Status inválido | ","")&amp;IF(OR(NOT(ISNUMBER($D16)),NOT(ISNUMBER($E16))),"Horário inválido | ","")&amp;IFERROR(IF(AND(ISNUMBER($D16),ISNUMBER($E16),MOD($E16-$D16,1)*1440&lt;=0),"Duração nula ou negativa | ",""),"")&amp;IFERROR(IF(AND(ISNUMBER($D16),COUNTIF(Turnos_Nome,$C16)&gt;0,MOD($D16-INDEX(Turnos_Ini,MATCH($C16,Turnos_Nome,0)),1)*1440&gt;=INDEX(Turnos_Min,MATCH($C16,Turnos_Nome,0))),"Início fora da janela do turno | ",""),"")&amp;IFERROR(IF(AND($L16&gt;0,SUMPRODUCT((Mapa_Sala=$B16)*(Mapa_Data=$A16)*(Mapa_MinOcup&gt;0)*(((MOD(Mapa_IniNum-$O16,1)&lt;MOD($P16-$O16,1))+(MOD($O16-Mapa_IniNum,1)&lt;MOD(Mapa_FimNum-Mapa_IniNum,1)))&gt;0))&gt;1),"Sobreposição de horário na sala | ",""),"")&amp;IFERROR(IF(AND(ISNUMBER($K16),$K16&gt;0,COUNTIF(Esp_Nome,$F16)&gt;0,$K16&gt;3*INDEX(Esp_Dur,MATCH($F16,Esp_Nome,0))),"Duração atípica (&gt;3x a média) | ",""),""))</f>
        <v/>
      </c>
      <c r="O16" s="10">
        <f>IF(ISNUMBER($D16),$D16,0)</f>
        <v/>
      </c>
      <c r="P16" s="10">
        <f>IF(ISNUMBER($E16),$E16,0)</f>
        <v/>
      </c>
    </row>
    <row r="17">
      <c r="A17" s="30" t="n">
        <v>46254</v>
      </c>
      <c r="B17" s="24" t="inlineStr">
        <is>
          <t>SO-02</t>
        </is>
      </c>
      <c r="C17" s="24" t="inlineStr">
        <is>
          <t>Noite</t>
        </is>
      </c>
      <c r="D17" s="31" t="n">
        <v>0.8645833333333334</v>
      </c>
      <c r="E17" s="31" t="n">
        <v>0.9583333333333334</v>
      </c>
      <c r="F17" s="25" t="inlineStr">
        <is>
          <t>Cirurgia Bariátrica</t>
        </is>
      </c>
      <c r="G17" s="25" t="inlineStr">
        <is>
          <t>Gastrectomia vertical</t>
        </is>
      </c>
      <c r="H17" s="25" t="inlineStr">
        <is>
          <t>Dr. Esteves</t>
        </is>
      </c>
      <c r="I17" s="24" t="inlineStr">
        <is>
          <t>M</t>
        </is>
      </c>
      <c r="J17" s="24" t="inlineStr">
        <is>
          <t>Agendada</t>
        </is>
      </c>
      <c r="K17" s="32">
        <f>IF(OR($B17="",NOT(ISNUMBER($D17)),NOT(ISNUMBER($E17))),"",ROUND(MOD($E17-$D17,1)*1440,0))</f>
        <v/>
      </c>
      <c r="L17" s="32">
        <f>IF(NOT(ISNUMBER($K17)),0,IF(OR($K17&lt;=0,$J17="Cancelada",$J17="Suspensa"),0,$K17+Setup_Min))</f>
        <v/>
      </c>
      <c r="M17" s="17">
        <f>IF($B17="","",IF($N17="","OK",LEFT($N17,LEN($N17)-3)))</f>
        <v/>
      </c>
      <c r="N17" s="10">
        <f>IF($B17="","",IF(COUNTIF(Salas_Cod,$B17)=0,"Sala não cadastrada | ","")&amp;IF(AND(COUNTIF(Salas_Cod,$B17)&gt;0,IFERROR(INDEX(Salas_Status,MATCH($B17,Salas_Cod,0)),"")&lt;&gt;"Ativa"),"Sala bloqueada | ","")&amp;IF(COUNTIF(Turnos_Nome,$C17)=0,"Turno inválido | ","")&amp;IF(COUNTIF(Esp_Nome,$F17)=0,"Especialidade não cadastrada | ","")&amp;IF(COUNTIF(Lista_StatusCirurgia,$J17)=0,"Status inválido | ","")&amp;IF(OR(NOT(ISNUMBER($D17)),NOT(ISNUMBER($E17))),"Horário inválido | ","")&amp;IFERROR(IF(AND(ISNUMBER($D17),ISNUMBER($E17),MOD($E17-$D17,1)*1440&lt;=0),"Duração nula ou negativa | ",""),"")&amp;IFERROR(IF(AND(ISNUMBER($D17),COUNTIF(Turnos_Nome,$C17)&gt;0,MOD($D17-INDEX(Turnos_Ini,MATCH($C17,Turnos_Nome,0)),1)*1440&gt;=INDEX(Turnos_Min,MATCH($C17,Turnos_Nome,0))),"Início fora da janela do turno | ",""),"")&amp;IFERROR(IF(AND($L17&gt;0,SUMPRODUCT((Mapa_Sala=$B17)*(Mapa_Data=$A17)*(Mapa_MinOcup&gt;0)*(((MOD(Mapa_IniNum-$O17,1)&lt;MOD($P17-$O17,1))+(MOD($O17-Mapa_IniNum,1)&lt;MOD(Mapa_FimNum-Mapa_IniNum,1)))&gt;0))&gt;1),"Sobreposição de horário na sala | ",""),"")&amp;IFERROR(IF(AND(ISNUMBER($K17),$K17&gt;0,COUNTIF(Esp_Nome,$F17)&gt;0,$K17&gt;3*INDEX(Esp_Dur,MATCH($F17,Esp_Nome,0))),"Duração atípica (&gt;3x a média) | ",""),""))</f>
        <v/>
      </c>
      <c r="O17" s="10">
        <f>IF(ISNUMBER($D17),$D17,0)</f>
        <v/>
      </c>
      <c r="P17" s="10">
        <f>IF(ISNUMBER($E17),$E17,0)</f>
        <v/>
      </c>
    </row>
    <row r="18">
      <c r="A18" s="30" t="n">
        <v>46254</v>
      </c>
      <c r="B18" s="24" t="inlineStr">
        <is>
          <t>SO-02</t>
        </is>
      </c>
      <c r="C18" s="24" t="inlineStr">
        <is>
          <t>Noite</t>
        </is>
      </c>
      <c r="D18" s="31" t="n">
        <v>0.9791666666666666</v>
      </c>
      <c r="E18" s="31" t="n">
        <v>0.03472222222222222</v>
      </c>
      <c r="F18" s="25" t="inlineStr">
        <is>
          <t>Cirurgia Geral</t>
        </is>
      </c>
      <c r="G18" s="25" t="inlineStr">
        <is>
          <t>Apendicectomia</t>
        </is>
      </c>
      <c r="H18" s="25" t="inlineStr">
        <is>
          <t>Dra. Fialho</t>
        </is>
      </c>
      <c r="I18" s="24" t="inlineStr">
        <is>
          <t>P</t>
        </is>
      </c>
      <c r="J18" s="24" t="inlineStr">
        <is>
          <t>Agendada</t>
        </is>
      </c>
      <c r="K18" s="32">
        <f>IF(OR($B18="",NOT(ISNUMBER($D18)),NOT(ISNUMBER($E18))),"",ROUND(MOD($E18-$D18,1)*1440,0))</f>
        <v/>
      </c>
      <c r="L18" s="32">
        <f>IF(NOT(ISNUMBER($K18)),0,IF(OR($K18&lt;=0,$J18="Cancelada",$J18="Suspensa"),0,$K18+Setup_Min))</f>
        <v/>
      </c>
      <c r="M18" s="17">
        <f>IF($B18="","",IF($N18="","OK",LEFT($N18,LEN($N18)-3)))</f>
        <v/>
      </c>
      <c r="N18" s="10">
        <f>IF($B18="","",IF(COUNTIF(Salas_Cod,$B18)=0,"Sala não cadastrada | ","")&amp;IF(AND(COUNTIF(Salas_Cod,$B18)&gt;0,IFERROR(INDEX(Salas_Status,MATCH($B18,Salas_Cod,0)),"")&lt;&gt;"Ativa"),"Sala bloqueada | ","")&amp;IF(COUNTIF(Turnos_Nome,$C18)=0,"Turno inválido | ","")&amp;IF(COUNTIF(Esp_Nome,$F18)=0,"Especialidade não cadastrada | ","")&amp;IF(COUNTIF(Lista_StatusCirurgia,$J18)=0,"Status inválido | ","")&amp;IF(OR(NOT(ISNUMBER($D18)),NOT(ISNUMBER($E18))),"Horário inválido | ","")&amp;IFERROR(IF(AND(ISNUMBER($D18),ISNUMBER($E18),MOD($E18-$D18,1)*1440&lt;=0),"Duração nula ou negativa | ",""),"")&amp;IFERROR(IF(AND(ISNUMBER($D18),COUNTIF(Turnos_Nome,$C18)&gt;0,MOD($D18-INDEX(Turnos_Ini,MATCH($C18,Turnos_Nome,0)),1)*1440&gt;=INDEX(Turnos_Min,MATCH($C18,Turnos_Nome,0))),"Início fora da janela do turno | ",""),"")&amp;IFERROR(IF(AND($L18&gt;0,SUMPRODUCT((Mapa_Sala=$B18)*(Mapa_Data=$A18)*(Mapa_MinOcup&gt;0)*(((MOD(Mapa_IniNum-$O18,1)&lt;MOD($P18-$O18,1))+(MOD($O18-Mapa_IniNum,1)&lt;MOD(Mapa_FimNum-Mapa_IniNum,1)))&gt;0))&gt;1),"Sobreposição de horário na sala | ",""),"")&amp;IFERROR(IF(AND(ISNUMBER($K18),$K18&gt;0,COUNTIF(Esp_Nome,$F18)&gt;0,$K18&gt;3*INDEX(Esp_Dur,MATCH($F18,Esp_Nome,0))),"Duração atípica (&gt;3x a média) | ",""),""))</f>
        <v/>
      </c>
      <c r="O18" s="10">
        <f>IF(ISNUMBER($D18),$D18,0)</f>
        <v/>
      </c>
      <c r="P18" s="10">
        <f>IF(ISNUMBER($E18),$E18,0)</f>
        <v/>
      </c>
    </row>
    <row r="19">
      <c r="A19" s="30" t="n">
        <v>46254</v>
      </c>
      <c r="B19" s="24" t="inlineStr">
        <is>
          <t>SO-02</t>
        </is>
      </c>
      <c r="C19" s="24" t="inlineStr">
        <is>
          <t>Noite</t>
        </is>
      </c>
      <c r="D19" s="31" t="n">
        <v>0.05555555555555555</v>
      </c>
      <c r="E19" s="31" t="n">
        <v>0.1597222222222222</v>
      </c>
      <c r="F19" s="25" t="inlineStr">
        <is>
          <t>Cirurgia Bariátrica</t>
        </is>
      </c>
      <c r="G19" s="25" t="inlineStr">
        <is>
          <t>Gastrectomia vertical</t>
        </is>
      </c>
      <c r="H19" s="25" t="inlineStr">
        <is>
          <t>Dr. Gouveia</t>
        </is>
      </c>
      <c r="I19" s="24" t="inlineStr">
        <is>
          <t>M</t>
        </is>
      </c>
      <c r="J19" s="24" t="inlineStr">
        <is>
          <t>Agendada</t>
        </is>
      </c>
      <c r="K19" s="32">
        <f>IF(OR($B19="",NOT(ISNUMBER($D19)),NOT(ISNUMBER($E19))),"",ROUND(MOD($E19-$D19,1)*1440,0))</f>
        <v/>
      </c>
      <c r="L19" s="32">
        <f>IF(NOT(ISNUMBER($K19)),0,IF(OR($K19&lt;=0,$J19="Cancelada",$J19="Suspensa"),0,$K19+Setup_Min))</f>
        <v/>
      </c>
      <c r="M19" s="17">
        <f>IF($B19="","",IF($N19="","OK",LEFT($N19,LEN($N19)-3)))</f>
        <v/>
      </c>
      <c r="N19" s="10">
        <f>IF($B19="","",IF(COUNTIF(Salas_Cod,$B19)=0,"Sala não cadastrada | ","")&amp;IF(AND(COUNTIF(Salas_Cod,$B19)&gt;0,IFERROR(INDEX(Salas_Status,MATCH($B19,Salas_Cod,0)),"")&lt;&gt;"Ativa"),"Sala bloqueada | ","")&amp;IF(COUNTIF(Turnos_Nome,$C19)=0,"Turno inválido | ","")&amp;IF(COUNTIF(Esp_Nome,$F19)=0,"Especialidade não cadastrada | ","")&amp;IF(COUNTIF(Lista_StatusCirurgia,$J19)=0,"Status inválido | ","")&amp;IF(OR(NOT(ISNUMBER($D19)),NOT(ISNUMBER($E19))),"Horário inválido | ","")&amp;IFERROR(IF(AND(ISNUMBER($D19),ISNUMBER($E19),MOD($E19-$D19,1)*1440&lt;=0),"Duração nula ou negativa | ",""),"")&amp;IFERROR(IF(AND(ISNUMBER($D19),COUNTIF(Turnos_Nome,$C19)&gt;0,MOD($D19-INDEX(Turnos_Ini,MATCH($C19,Turnos_Nome,0)),1)*1440&gt;=INDEX(Turnos_Min,MATCH($C19,Turnos_Nome,0))),"Início fora da janela do turno | ",""),"")&amp;IFERROR(IF(AND($L19&gt;0,SUMPRODUCT((Mapa_Sala=$B19)*(Mapa_Data=$A19)*(Mapa_MinOcup&gt;0)*(((MOD(Mapa_IniNum-$O19,1)&lt;MOD($P19-$O19,1))+(MOD($O19-Mapa_IniNum,1)&lt;MOD(Mapa_FimNum-Mapa_IniNum,1)))&gt;0))&gt;1),"Sobreposição de horário na sala | ",""),"")&amp;IFERROR(IF(AND(ISNUMBER($K19),$K19&gt;0,COUNTIF(Esp_Nome,$F19)&gt;0,$K19&gt;3*INDEX(Esp_Dur,MATCH($F19,Esp_Nome,0))),"Duração atípica (&gt;3x a média) | ",""),""))</f>
        <v/>
      </c>
      <c r="O19" s="10">
        <f>IF(ISNUMBER($D19),$D19,0)</f>
        <v/>
      </c>
      <c r="P19" s="10">
        <f>IF(ISNUMBER($E19),$E19,0)</f>
        <v/>
      </c>
    </row>
    <row r="20">
      <c r="A20" s="30" t="n">
        <v>46254</v>
      </c>
      <c r="B20" s="24" t="inlineStr">
        <is>
          <t>SO-02</t>
        </is>
      </c>
      <c r="C20" s="24" t="inlineStr">
        <is>
          <t>Noite</t>
        </is>
      </c>
      <c r="D20" s="31" t="n">
        <v>0.1805555555555556</v>
      </c>
      <c r="E20" s="31" t="n">
        <v>0.2326388888888889</v>
      </c>
      <c r="F20" s="25" t="inlineStr">
        <is>
          <t>Cirurgia Geral</t>
        </is>
      </c>
      <c r="G20" s="25" t="inlineStr">
        <is>
          <t>Herniorrafia inguinal</t>
        </is>
      </c>
      <c r="H20" s="25" t="inlineStr">
        <is>
          <t>Dra. Hirano</t>
        </is>
      </c>
      <c r="I20" s="24" t="inlineStr">
        <is>
          <t>P</t>
        </is>
      </c>
      <c r="J20" s="24" t="inlineStr">
        <is>
          <t>Agendada</t>
        </is>
      </c>
      <c r="K20" s="32">
        <f>IF(OR($B20="",NOT(ISNUMBER($D20)),NOT(ISNUMBER($E20))),"",ROUND(MOD($E20-$D20,1)*1440,0))</f>
        <v/>
      </c>
      <c r="L20" s="32">
        <f>IF(NOT(ISNUMBER($K20)),0,IF(OR($K20&lt;=0,$J20="Cancelada",$J20="Suspensa"),0,$K20+Setup_Min))</f>
        <v/>
      </c>
      <c r="M20" s="17">
        <f>IF($B20="","",IF($N20="","OK",LEFT($N20,LEN($N20)-3)))</f>
        <v/>
      </c>
      <c r="N20" s="10">
        <f>IF($B20="","",IF(COUNTIF(Salas_Cod,$B20)=0,"Sala não cadastrada | ","")&amp;IF(AND(COUNTIF(Salas_Cod,$B20)&gt;0,IFERROR(INDEX(Salas_Status,MATCH($B20,Salas_Cod,0)),"")&lt;&gt;"Ativa"),"Sala bloqueada | ","")&amp;IF(COUNTIF(Turnos_Nome,$C20)=0,"Turno inválido | ","")&amp;IF(COUNTIF(Esp_Nome,$F20)=0,"Especialidade não cadastrada | ","")&amp;IF(COUNTIF(Lista_StatusCirurgia,$J20)=0,"Status inválido | ","")&amp;IF(OR(NOT(ISNUMBER($D20)),NOT(ISNUMBER($E20))),"Horário inválido | ","")&amp;IFERROR(IF(AND(ISNUMBER($D20),ISNUMBER($E20),MOD($E20-$D20,1)*1440&lt;=0),"Duração nula ou negativa | ",""),"")&amp;IFERROR(IF(AND(ISNUMBER($D20),COUNTIF(Turnos_Nome,$C20)&gt;0,MOD($D20-INDEX(Turnos_Ini,MATCH($C20,Turnos_Nome,0)),1)*1440&gt;=INDEX(Turnos_Min,MATCH($C20,Turnos_Nome,0))),"Início fora da janela do turno | ",""),"")&amp;IFERROR(IF(AND($L20&gt;0,SUMPRODUCT((Mapa_Sala=$B20)*(Mapa_Data=$A20)*(Mapa_MinOcup&gt;0)*(((MOD(Mapa_IniNum-$O20,1)&lt;MOD($P20-$O20,1))+(MOD($O20-Mapa_IniNum,1)&lt;MOD(Mapa_FimNum-Mapa_IniNum,1)))&gt;0))&gt;1),"Sobreposição de horário na sala | ",""),"")&amp;IFERROR(IF(AND(ISNUMBER($K20),$K20&gt;0,COUNTIF(Esp_Nome,$F20)&gt;0,$K20&gt;3*INDEX(Esp_Dur,MATCH($F20,Esp_Nome,0))),"Duração atípica (&gt;3x a média) | ",""),""))</f>
        <v/>
      </c>
      <c r="O20" s="10">
        <f>IF(ISNUMBER($D20),$D20,0)</f>
        <v/>
      </c>
      <c r="P20" s="10">
        <f>IF(ISNUMBER($E20),$E20,0)</f>
        <v/>
      </c>
    </row>
    <row r="21">
      <c r="A21" s="30" t="n">
        <v>46254</v>
      </c>
      <c r="B21" s="24" t="inlineStr">
        <is>
          <t>SO-03</t>
        </is>
      </c>
      <c r="C21" s="24" t="inlineStr">
        <is>
          <t>Manhã</t>
        </is>
      </c>
      <c r="D21" s="31" t="n">
        <v>0.2916666666666667</v>
      </c>
      <c r="E21" s="31" t="n">
        <v>0.4444444444444444</v>
      </c>
      <c r="F21" s="25" t="inlineStr">
        <is>
          <t>Neurocirurgia</t>
        </is>
      </c>
      <c r="G21" s="25" t="inlineStr">
        <is>
          <t>Craniotomia para tumor</t>
        </is>
      </c>
      <c r="H21" s="25" t="inlineStr">
        <is>
          <t>Dr. Gouveia</t>
        </is>
      </c>
      <c r="I21" s="24" t="inlineStr">
        <is>
          <t>G</t>
        </is>
      </c>
      <c r="J21" s="24" t="inlineStr">
        <is>
          <t>Agendada</t>
        </is>
      </c>
      <c r="K21" s="32">
        <f>IF(OR($B21="",NOT(ISNUMBER($D21)),NOT(ISNUMBER($E21))),"",ROUND(MOD($E21-$D21,1)*1440,0))</f>
        <v/>
      </c>
      <c r="L21" s="32">
        <f>IF(NOT(ISNUMBER($K21)),0,IF(OR($K21&lt;=0,$J21="Cancelada",$J21="Suspensa"),0,$K21+Setup_Min))</f>
        <v/>
      </c>
      <c r="M21" s="17">
        <f>IF($B21="","",IF($N21="","OK",LEFT($N21,LEN($N21)-3)))</f>
        <v/>
      </c>
      <c r="N21" s="10">
        <f>IF($B21="","",IF(COUNTIF(Salas_Cod,$B21)=0,"Sala não cadastrada | ","")&amp;IF(AND(COUNTIF(Salas_Cod,$B21)&gt;0,IFERROR(INDEX(Salas_Status,MATCH($B21,Salas_Cod,0)),"")&lt;&gt;"Ativa"),"Sala bloqueada | ","")&amp;IF(COUNTIF(Turnos_Nome,$C21)=0,"Turno inválido | ","")&amp;IF(COUNTIF(Esp_Nome,$F21)=0,"Especialidade não cadastrada | ","")&amp;IF(COUNTIF(Lista_StatusCirurgia,$J21)=0,"Status inválido | ","")&amp;IF(OR(NOT(ISNUMBER($D21)),NOT(ISNUMBER($E21))),"Horário inválido | ","")&amp;IFERROR(IF(AND(ISNUMBER($D21),ISNUMBER($E21),MOD($E21-$D21,1)*1440&lt;=0),"Duração nula ou negativa | ",""),"")&amp;IFERROR(IF(AND(ISNUMBER($D21),COUNTIF(Turnos_Nome,$C21)&gt;0,MOD($D21-INDEX(Turnos_Ini,MATCH($C21,Turnos_Nome,0)),1)*1440&gt;=INDEX(Turnos_Min,MATCH($C21,Turnos_Nome,0))),"Início fora da janela do turno | ",""),"")&amp;IFERROR(IF(AND($L21&gt;0,SUMPRODUCT((Mapa_Sala=$B21)*(Mapa_Data=$A21)*(Mapa_MinOcup&gt;0)*(((MOD(Mapa_IniNum-$O21,1)&lt;MOD($P21-$O21,1))+(MOD($O21-Mapa_IniNum,1)&lt;MOD(Mapa_FimNum-Mapa_IniNum,1)))&gt;0))&gt;1),"Sobreposição de horário na sala | ",""),"")&amp;IFERROR(IF(AND(ISNUMBER($K21),$K21&gt;0,COUNTIF(Esp_Nome,$F21)&gt;0,$K21&gt;3*INDEX(Esp_Dur,MATCH($F21,Esp_Nome,0))),"Duração atípica (&gt;3x a média) | ",""),""))</f>
        <v/>
      </c>
      <c r="O21" s="10">
        <f>IF(ISNUMBER($D21),$D21,0)</f>
        <v/>
      </c>
      <c r="P21" s="10">
        <f>IF(ISNUMBER($E21),$E21,0)</f>
        <v/>
      </c>
    </row>
    <row r="22">
      <c r="A22" s="30" t="n">
        <v>46254</v>
      </c>
      <c r="B22" s="24" t="inlineStr">
        <is>
          <t>SO-03</t>
        </is>
      </c>
      <c r="C22" s="24" t="inlineStr">
        <is>
          <t>Tarde</t>
        </is>
      </c>
      <c r="D22" s="31" t="n">
        <v>0.5416666666666666</v>
      </c>
      <c r="E22" s="31" t="n">
        <v>0.7048611111111112</v>
      </c>
      <c r="F22" s="25" t="inlineStr">
        <is>
          <t>Neurocirurgia</t>
        </is>
      </c>
      <c r="G22" s="25" t="inlineStr">
        <is>
          <t>Craniotomia para tumor</t>
        </is>
      </c>
      <c r="H22" s="25" t="inlineStr">
        <is>
          <t>Dr. Gouveia</t>
        </is>
      </c>
      <c r="I22" s="24" t="inlineStr">
        <is>
          <t>G</t>
        </is>
      </c>
      <c r="J22" s="24" t="inlineStr">
        <is>
          <t>Agendada</t>
        </is>
      </c>
      <c r="K22" s="32">
        <f>IF(OR($B22="",NOT(ISNUMBER($D22)),NOT(ISNUMBER($E22))),"",ROUND(MOD($E22-$D22,1)*1440,0))</f>
        <v/>
      </c>
      <c r="L22" s="32">
        <f>IF(NOT(ISNUMBER($K22)),0,IF(OR($K22&lt;=0,$J22="Cancelada",$J22="Suspensa"),0,$K22+Setup_Min))</f>
        <v/>
      </c>
      <c r="M22" s="17">
        <f>IF($B22="","",IF($N22="","OK",LEFT($N22,LEN($N22)-3)))</f>
        <v/>
      </c>
      <c r="N22" s="10">
        <f>IF($B22="","",IF(COUNTIF(Salas_Cod,$B22)=0,"Sala não cadastrada | ","")&amp;IF(AND(COUNTIF(Salas_Cod,$B22)&gt;0,IFERROR(INDEX(Salas_Status,MATCH($B22,Salas_Cod,0)),"")&lt;&gt;"Ativa"),"Sala bloqueada | ","")&amp;IF(COUNTIF(Turnos_Nome,$C22)=0,"Turno inválido | ","")&amp;IF(COUNTIF(Esp_Nome,$F22)=0,"Especialidade não cadastrada | ","")&amp;IF(COUNTIF(Lista_StatusCirurgia,$J22)=0,"Status inválido | ","")&amp;IF(OR(NOT(ISNUMBER($D22)),NOT(ISNUMBER($E22))),"Horário inválido | ","")&amp;IFERROR(IF(AND(ISNUMBER($D22),ISNUMBER($E22),MOD($E22-$D22,1)*1440&lt;=0),"Duração nula ou negativa | ",""),"")&amp;IFERROR(IF(AND(ISNUMBER($D22),COUNTIF(Turnos_Nome,$C22)&gt;0,MOD($D22-INDEX(Turnos_Ini,MATCH($C22,Turnos_Nome,0)),1)*1440&gt;=INDEX(Turnos_Min,MATCH($C22,Turnos_Nome,0))),"Início fora da janela do turno | ",""),"")&amp;IFERROR(IF(AND($L22&gt;0,SUMPRODUCT((Mapa_Sala=$B22)*(Mapa_Data=$A22)*(Mapa_MinOcup&gt;0)*(((MOD(Mapa_IniNum-$O22,1)&lt;MOD($P22-$O22,1))+(MOD($O22-Mapa_IniNum,1)&lt;MOD(Mapa_FimNum-Mapa_IniNum,1)))&gt;0))&gt;1),"Sobreposição de horário na sala | ",""),"")&amp;IFERROR(IF(AND(ISNUMBER($K22),$K22&gt;0,COUNTIF(Esp_Nome,$F22)&gt;0,$K22&gt;3*INDEX(Esp_Dur,MATCH($F22,Esp_Nome,0))),"Duração atípica (&gt;3x a média) | ",""),""))</f>
        <v/>
      </c>
      <c r="O22" s="10">
        <f>IF(ISNUMBER($D22),$D22,0)</f>
        <v/>
      </c>
      <c r="P22" s="10">
        <f>IF(ISNUMBER($E22),$E22,0)</f>
        <v/>
      </c>
    </row>
    <row r="23">
      <c r="A23" s="30" t="n">
        <v>46254</v>
      </c>
      <c r="B23" s="24" t="inlineStr">
        <is>
          <t>SO-03</t>
        </is>
      </c>
      <c r="C23" s="24" t="inlineStr">
        <is>
          <t>Noite</t>
        </is>
      </c>
      <c r="D23" s="31" t="n">
        <v>0.7916666666666666</v>
      </c>
      <c r="E23" s="31" t="n">
        <v>0.9965277777777778</v>
      </c>
      <c r="F23" s="25" t="inlineStr">
        <is>
          <t>Neurocirurgia</t>
        </is>
      </c>
      <c r="G23" s="25" t="inlineStr">
        <is>
          <t>Craniotomia para tumor</t>
        </is>
      </c>
      <c r="H23" s="25" t="inlineStr">
        <is>
          <t>Dr. Gouveia</t>
        </is>
      </c>
      <c r="I23" s="24" t="inlineStr">
        <is>
          <t>G</t>
        </is>
      </c>
      <c r="J23" s="24" t="inlineStr">
        <is>
          <t>Agendada</t>
        </is>
      </c>
      <c r="K23" s="32">
        <f>IF(OR($B23="",NOT(ISNUMBER($D23)),NOT(ISNUMBER($E23))),"",ROUND(MOD($E23-$D23,1)*1440,0))</f>
        <v/>
      </c>
      <c r="L23" s="32">
        <f>IF(NOT(ISNUMBER($K23)),0,IF(OR($K23&lt;=0,$J23="Cancelada",$J23="Suspensa"),0,$K23+Setup_Min))</f>
        <v/>
      </c>
      <c r="M23" s="17">
        <f>IF($B23="","",IF($N23="","OK",LEFT($N23,LEN($N23)-3)))</f>
        <v/>
      </c>
      <c r="N23" s="10">
        <f>IF($B23="","",IF(COUNTIF(Salas_Cod,$B23)=0,"Sala não cadastrada | ","")&amp;IF(AND(COUNTIF(Salas_Cod,$B23)&gt;0,IFERROR(INDEX(Salas_Status,MATCH($B23,Salas_Cod,0)),"")&lt;&gt;"Ativa"),"Sala bloqueada | ","")&amp;IF(COUNTIF(Turnos_Nome,$C23)=0,"Turno inválido | ","")&amp;IF(COUNTIF(Esp_Nome,$F23)=0,"Especialidade não cadastrada | ","")&amp;IF(COUNTIF(Lista_StatusCirurgia,$J23)=0,"Status inválido | ","")&amp;IF(OR(NOT(ISNUMBER($D23)),NOT(ISNUMBER($E23))),"Horário inválido | ","")&amp;IFERROR(IF(AND(ISNUMBER($D23),ISNUMBER($E23),MOD($E23-$D23,1)*1440&lt;=0),"Duração nula ou negativa | ",""),"")&amp;IFERROR(IF(AND(ISNUMBER($D23),COUNTIF(Turnos_Nome,$C23)&gt;0,MOD($D23-INDEX(Turnos_Ini,MATCH($C23,Turnos_Nome,0)),1)*1440&gt;=INDEX(Turnos_Min,MATCH($C23,Turnos_Nome,0))),"Início fora da janela do turno | ",""),"")&amp;IFERROR(IF(AND($L23&gt;0,SUMPRODUCT((Mapa_Sala=$B23)*(Mapa_Data=$A23)*(Mapa_MinOcup&gt;0)*(((MOD(Mapa_IniNum-$O23,1)&lt;MOD($P23-$O23,1))+(MOD($O23-Mapa_IniNum,1)&lt;MOD(Mapa_FimNum-Mapa_IniNum,1)))&gt;0))&gt;1),"Sobreposição de horário na sala | ",""),"")&amp;IFERROR(IF(AND(ISNUMBER($K23),$K23&gt;0,COUNTIF(Esp_Nome,$F23)&gt;0,$K23&gt;3*INDEX(Esp_Dur,MATCH($F23,Esp_Nome,0))),"Duração atípica (&gt;3x a média) | ",""),""))</f>
        <v/>
      </c>
      <c r="O23" s="10">
        <f>IF(ISNUMBER($D23),$D23,0)</f>
        <v/>
      </c>
      <c r="P23" s="10">
        <f>IF(ISNUMBER($E23),$E23,0)</f>
        <v/>
      </c>
    </row>
    <row r="24">
      <c r="A24" s="30" t="n">
        <v>46254</v>
      </c>
      <c r="B24" s="24" t="inlineStr">
        <is>
          <t>SO-03</t>
        </is>
      </c>
      <c r="C24" s="24" t="inlineStr">
        <is>
          <t>Noite</t>
        </is>
      </c>
      <c r="D24" s="31" t="n">
        <v>0.01736111111111111</v>
      </c>
      <c r="E24" s="31" t="n">
        <v>0.1840277777777778</v>
      </c>
      <c r="F24" s="25" t="inlineStr">
        <is>
          <t>Neurocirurgia</t>
        </is>
      </c>
      <c r="G24" s="25" t="inlineStr">
        <is>
          <t>Artrodese lombar</t>
        </is>
      </c>
      <c r="H24" s="25" t="inlineStr">
        <is>
          <t>Dra. Hirano</t>
        </is>
      </c>
      <c r="I24" s="24" t="inlineStr">
        <is>
          <t>G</t>
        </is>
      </c>
      <c r="J24" s="24" t="inlineStr">
        <is>
          <t>Agendada</t>
        </is>
      </c>
      <c r="K24" s="32">
        <f>IF(OR($B24="",NOT(ISNUMBER($D24)),NOT(ISNUMBER($E24))),"",ROUND(MOD($E24-$D24,1)*1440,0))</f>
        <v/>
      </c>
      <c r="L24" s="32">
        <f>IF(NOT(ISNUMBER($K24)),0,IF(OR($K24&lt;=0,$J24="Cancelada",$J24="Suspensa"),0,$K24+Setup_Min))</f>
        <v/>
      </c>
      <c r="M24" s="17">
        <f>IF($B24="","",IF($N24="","OK",LEFT($N24,LEN($N24)-3)))</f>
        <v/>
      </c>
      <c r="N24" s="10">
        <f>IF($B24="","",IF(COUNTIF(Salas_Cod,$B24)=0,"Sala não cadastrada | ","")&amp;IF(AND(COUNTIF(Salas_Cod,$B24)&gt;0,IFERROR(INDEX(Salas_Status,MATCH($B24,Salas_Cod,0)),"")&lt;&gt;"Ativa"),"Sala bloqueada | ","")&amp;IF(COUNTIF(Turnos_Nome,$C24)=0,"Turno inválido | ","")&amp;IF(COUNTIF(Esp_Nome,$F24)=0,"Especialidade não cadastrada | ","")&amp;IF(COUNTIF(Lista_StatusCirurgia,$J24)=0,"Status inválido | ","")&amp;IF(OR(NOT(ISNUMBER($D24)),NOT(ISNUMBER($E24))),"Horário inválido | ","")&amp;IFERROR(IF(AND(ISNUMBER($D24),ISNUMBER($E24),MOD($E24-$D24,1)*1440&lt;=0),"Duração nula ou negativa | ",""),"")&amp;IFERROR(IF(AND(ISNUMBER($D24),COUNTIF(Turnos_Nome,$C24)&gt;0,MOD($D24-INDEX(Turnos_Ini,MATCH($C24,Turnos_Nome,0)),1)*1440&gt;=INDEX(Turnos_Min,MATCH($C24,Turnos_Nome,0))),"Início fora da janela do turno | ",""),"")&amp;IFERROR(IF(AND($L24&gt;0,SUMPRODUCT((Mapa_Sala=$B24)*(Mapa_Data=$A24)*(Mapa_MinOcup&gt;0)*(((MOD(Mapa_IniNum-$O24,1)&lt;MOD($P24-$O24,1))+(MOD($O24-Mapa_IniNum,1)&lt;MOD(Mapa_FimNum-Mapa_IniNum,1)))&gt;0))&gt;1),"Sobreposição de horário na sala | ",""),"")&amp;IFERROR(IF(AND(ISNUMBER($K24),$K24&gt;0,COUNTIF(Esp_Nome,$F24)&gt;0,$K24&gt;3*INDEX(Esp_Dur,MATCH($F24,Esp_Nome,0))),"Duração atípica (&gt;3x a média) | ",""),""))</f>
        <v/>
      </c>
      <c r="O24" s="10">
        <f>IF(ISNUMBER($D24),$D24,0)</f>
        <v/>
      </c>
      <c r="P24" s="10">
        <f>IF(ISNUMBER($E24),$E24,0)</f>
        <v/>
      </c>
    </row>
    <row r="25">
      <c r="A25" s="30" t="n">
        <v>46254</v>
      </c>
      <c r="B25" s="24" t="inlineStr">
        <is>
          <t>SO-04</t>
        </is>
      </c>
      <c r="C25" s="24" t="inlineStr">
        <is>
          <t>Manhã</t>
        </is>
      </c>
      <c r="D25" s="31" t="n">
        <v>0.2916666666666667</v>
      </c>
      <c r="E25" s="31" t="n">
        <v>0.4756944444444444</v>
      </c>
      <c r="F25" s="25" t="inlineStr">
        <is>
          <t>Cirurgia Cardiovascular</t>
        </is>
      </c>
      <c r="G25" s="25" t="inlineStr">
        <is>
          <t>Revascularização do miocárdio</t>
        </is>
      </c>
      <c r="H25" s="25" t="inlineStr">
        <is>
          <t>Dra. Jordão</t>
        </is>
      </c>
      <c r="I25" s="24" t="inlineStr">
        <is>
          <t>G</t>
        </is>
      </c>
      <c r="J25" s="24" t="inlineStr">
        <is>
          <t>Agendada</t>
        </is>
      </c>
      <c r="K25" s="32">
        <f>IF(OR($B25="",NOT(ISNUMBER($D25)),NOT(ISNUMBER($E25))),"",ROUND(MOD($E25-$D25,1)*1440,0))</f>
        <v/>
      </c>
      <c r="L25" s="32">
        <f>IF(NOT(ISNUMBER($K25)),0,IF(OR($K25&lt;=0,$J25="Cancelada",$J25="Suspensa"),0,$K25+Setup_Min))</f>
        <v/>
      </c>
      <c r="M25" s="17">
        <f>IF($B25="","",IF($N25="","OK",LEFT($N25,LEN($N25)-3)))</f>
        <v/>
      </c>
      <c r="N25" s="10">
        <f>IF($B25="","",IF(COUNTIF(Salas_Cod,$B25)=0,"Sala não cadastrada | ","")&amp;IF(AND(COUNTIF(Salas_Cod,$B25)&gt;0,IFERROR(INDEX(Salas_Status,MATCH($B25,Salas_Cod,0)),"")&lt;&gt;"Ativa"),"Sala bloqueada | ","")&amp;IF(COUNTIF(Turnos_Nome,$C25)=0,"Turno inválido | ","")&amp;IF(COUNTIF(Esp_Nome,$F25)=0,"Especialidade não cadastrada | ","")&amp;IF(COUNTIF(Lista_StatusCirurgia,$J25)=0,"Status inválido | ","")&amp;IF(OR(NOT(ISNUMBER($D25)),NOT(ISNUMBER($E25))),"Horário inválido | ","")&amp;IFERROR(IF(AND(ISNUMBER($D25),ISNUMBER($E25),MOD($E25-$D25,1)*1440&lt;=0),"Duração nula ou negativa | ",""),"")&amp;IFERROR(IF(AND(ISNUMBER($D25),COUNTIF(Turnos_Nome,$C25)&gt;0,MOD($D25-INDEX(Turnos_Ini,MATCH($C25,Turnos_Nome,0)),1)*1440&gt;=INDEX(Turnos_Min,MATCH($C25,Turnos_Nome,0))),"Início fora da janela do turno | ",""),"")&amp;IFERROR(IF(AND($L25&gt;0,SUMPRODUCT((Mapa_Sala=$B25)*(Mapa_Data=$A25)*(Mapa_MinOcup&gt;0)*(((MOD(Mapa_IniNum-$O25,1)&lt;MOD($P25-$O25,1))+(MOD($O25-Mapa_IniNum,1)&lt;MOD(Mapa_FimNum-Mapa_IniNum,1)))&gt;0))&gt;1),"Sobreposição de horário na sala | ",""),"")&amp;IFERROR(IF(AND(ISNUMBER($K25),$K25&gt;0,COUNTIF(Esp_Nome,$F25)&gt;0,$K25&gt;3*INDEX(Esp_Dur,MATCH($F25,Esp_Nome,0))),"Duração atípica (&gt;3x a média) | ",""),""))</f>
        <v/>
      </c>
      <c r="O25" s="10">
        <f>IF(ISNUMBER($D25),$D25,0)</f>
        <v/>
      </c>
      <c r="P25" s="10">
        <f>IF(ISNUMBER($E25),$E25,0)</f>
        <v/>
      </c>
    </row>
    <row r="26">
      <c r="A26" s="30" t="n">
        <v>46254</v>
      </c>
      <c r="B26" s="24" t="inlineStr">
        <is>
          <t>SO-04</t>
        </is>
      </c>
      <c r="C26" s="24" t="inlineStr">
        <is>
          <t>Manhã</t>
        </is>
      </c>
      <c r="D26" s="31" t="n">
        <v>0.4965277777777778</v>
      </c>
      <c r="E26" s="31" t="n">
        <v>0.5208333333333334</v>
      </c>
      <c r="F26" s="25" t="inlineStr">
        <is>
          <t>Cirurgia Vascular</t>
        </is>
      </c>
      <c r="G26" s="25" t="inlineStr">
        <is>
          <t>Correção de aneurisma de aorta</t>
        </is>
      </c>
      <c r="H26" s="25" t="inlineStr">
        <is>
          <t>Dr. Almeida</t>
        </is>
      </c>
      <c r="I26" s="24" t="inlineStr">
        <is>
          <t>P</t>
        </is>
      </c>
      <c r="J26" s="24" t="inlineStr">
        <is>
          <t>Agendada</t>
        </is>
      </c>
      <c r="K26" s="32">
        <f>IF(OR($B26="",NOT(ISNUMBER($D26)),NOT(ISNUMBER($E26))),"",ROUND(MOD($E26-$D26,1)*1440,0))</f>
        <v/>
      </c>
      <c r="L26" s="32">
        <f>IF(NOT(ISNUMBER($K26)),0,IF(OR($K26&lt;=0,$J26="Cancelada",$J26="Suspensa"),0,$K26+Setup_Min))</f>
        <v/>
      </c>
      <c r="M26" s="17">
        <f>IF($B26="","",IF($N26="","OK",LEFT($N26,LEN($N26)-3)))</f>
        <v/>
      </c>
      <c r="N26" s="10">
        <f>IF($B26="","",IF(COUNTIF(Salas_Cod,$B26)=0,"Sala não cadastrada | ","")&amp;IF(AND(COUNTIF(Salas_Cod,$B26)&gt;0,IFERROR(INDEX(Salas_Status,MATCH($B26,Salas_Cod,0)),"")&lt;&gt;"Ativa"),"Sala bloqueada | ","")&amp;IF(COUNTIF(Turnos_Nome,$C26)=0,"Turno inválido | ","")&amp;IF(COUNTIF(Esp_Nome,$F26)=0,"Especialidade não cadastrada | ","")&amp;IF(COUNTIF(Lista_StatusCirurgia,$J26)=0,"Status inválido | ","")&amp;IF(OR(NOT(ISNUMBER($D26)),NOT(ISNUMBER($E26))),"Horário inválido | ","")&amp;IFERROR(IF(AND(ISNUMBER($D26),ISNUMBER($E26),MOD($E26-$D26,1)*1440&lt;=0),"Duração nula ou negativa | ",""),"")&amp;IFERROR(IF(AND(ISNUMBER($D26),COUNTIF(Turnos_Nome,$C26)&gt;0,MOD($D26-INDEX(Turnos_Ini,MATCH($C26,Turnos_Nome,0)),1)*1440&gt;=INDEX(Turnos_Min,MATCH($C26,Turnos_Nome,0))),"Início fora da janela do turno | ",""),"")&amp;IFERROR(IF(AND($L26&gt;0,SUMPRODUCT((Mapa_Sala=$B26)*(Mapa_Data=$A26)*(Mapa_MinOcup&gt;0)*(((MOD(Mapa_IniNum-$O26,1)&lt;MOD($P26-$O26,1))+(MOD($O26-Mapa_IniNum,1)&lt;MOD(Mapa_FimNum-Mapa_IniNum,1)))&gt;0))&gt;1),"Sobreposição de horário na sala | ",""),"")&amp;IFERROR(IF(AND(ISNUMBER($K26),$K26&gt;0,COUNTIF(Esp_Nome,$F26)&gt;0,$K26&gt;3*INDEX(Esp_Dur,MATCH($F26,Esp_Nome,0))),"Duração atípica (&gt;3x a média) | ",""),""))</f>
        <v/>
      </c>
      <c r="O26" s="10">
        <f>IF(ISNUMBER($D26),$D26,0)</f>
        <v/>
      </c>
      <c r="P26" s="10">
        <f>IF(ISNUMBER($E26),$E26,0)</f>
        <v/>
      </c>
    </row>
    <row r="27">
      <c r="A27" s="30" t="n">
        <v>46254</v>
      </c>
      <c r="B27" s="24" t="inlineStr">
        <is>
          <t>SO-04</t>
        </is>
      </c>
      <c r="C27" s="24" t="inlineStr">
        <is>
          <t>Tarde</t>
        </is>
      </c>
      <c r="D27" s="31" t="n">
        <v>0.5416666666666666</v>
      </c>
      <c r="E27" s="31" t="n">
        <v>0.7430555555555556</v>
      </c>
      <c r="F27" s="25" t="inlineStr">
        <is>
          <t>Cirurgia Cardiovascular</t>
        </is>
      </c>
      <c r="G27" s="25" t="inlineStr">
        <is>
          <t>Revascularização do miocárdio</t>
        </is>
      </c>
      <c r="H27" s="25" t="inlineStr">
        <is>
          <t>Dra. Jordão</t>
        </is>
      </c>
      <c r="I27" s="24" t="inlineStr">
        <is>
          <t>G</t>
        </is>
      </c>
      <c r="J27" s="24" t="inlineStr">
        <is>
          <t>Agendada</t>
        </is>
      </c>
      <c r="K27" s="32">
        <f>IF(OR($B27="",NOT(ISNUMBER($D27)),NOT(ISNUMBER($E27))),"",ROUND(MOD($E27-$D27,1)*1440,0))</f>
        <v/>
      </c>
      <c r="L27" s="32">
        <f>IF(NOT(ISNUMBER($K27)),0,IF(OR($K27&lt;=0,$J27="Cancelada",$J27="Suspensa"),0,$K27+Setup_Min))</f>
        <v/>
      </c>
      <c r="M27" s="17">
        <f>IF($B27="","",IF($N27="","OK",LEFT($N27,LEN($N27)-3)))</f>
        <v/>
      </c>
      <c r="N27" s="10">
        <f>IF($B27="","",IF(COUNTIF(Salas_Cod,$B27)=0,"Sala não cadastrada | ","")&amp;IF(AND(COUNTIF(Salas_Cod,$B27)&gt;0,IFERROR(INDEX(Salas_Status,MATCH($B27,Salas_Cod,0)),"")&lt;&gt;"Ativa"),"Sala bloqueada | ","")&amp;IF(COUNTIF(Turnos_Nome,$C27)=0,"Turno inválido | ","")&amp;IF(COUNTIF(Esp_Nome,$F27)=0,"Especialidade não cadastrada | ","")&amp;IF(COUNTIF(Lista_StatusCirurgia,$J27)=0,"Status inválido | ","")&amp;IF(OR(NOT(ISNUMBER($D27)),NOT(ISNUMBER($E27))),"Horário inválido | ","")&amp;IFERROR(IF(AND(ISNUMBER($D27),ISNUMBER($E27),MOD($E27-$D27,1)*1440&lt;=0),"Duração nula ou negativa | ",""),"")&amp;IFERROR(IF(AND(ISNUMBER($D27),COUNTIF(Turnos_Nome,$C27)&gt;0,MOD($D27-INDEX(Turnos_Ini,MATCH($C27,Turnos_Nome,0)),1)*1440&gt;=INDEX(Turnos_Min,MATCH($C27,Turnos_Nome,0))),"Início fora da janela do turno | ",""),"")&amp;IFERROR(IF(AND($L27&gt;0,SUMPRODUCT((Mapa_Sala=$B27)*(Mapa_Data=$A27)*(Mapa_MinOcup&gt;0)*(((MOD(Mapa_IniNum-$O27,1)&lt;MOD($P27-$O27,1))+(MOD($O27-Mapa_IniNum,1)&lt;MOD(Mapa_FimNum-Mapa_IniNum,1)))&gt;0))&gt;1),"Sobreposição de horário na sala | ",""),"")&amp;IFERROR(IF(AND(ISNUMBER($K27),$K27&gt;0,COUNTIF(Esp_Nome,$F27)&gt;0,$K27&gt;3*INDEX(Esp_Dur,MATCH($F27,Esp_Nome,0))),"Duração atípica (&gt;3x a média) | ",""),""))</f>
        <v/>
      </c>
      <c r="O27" s="10">
        <f>IF(ISNUMBER($D27),$D27,0)</f>
        <v/>
      </c>
      <c r="P27" s="10">
        <f>IF(ISNUMBER($E27),$E27,0)</f>
        <v/>
      </c>
    </row>
    <row r="28">
      <c r="A28" s="30" t="n">
        <v>46254</v>
      </c>
      <c r="B28" s="24" t="inlineStr">
        <is>
          <t>SO-04</t>
        </is>
      </c>
      <c r="C28" s="24" t="inlineStr">
        <is>
          <t>Noite</t>
        </is>
      </c>
      <c r="D28" s="31" t="n">
        <v>0.7916666666666666</v>
      </c>
      <c r="E28" s="31" t="n">
        <v>0.05208333333333334</v>
      </c>
      <c r="F28" s="25" t="inlineStr">
        <is>
          <t>Cirurgia Cardiovascular</t>
        </is>
      </c>
      <c r="G28" s="25" t="inlineStr">
        <is>
          <t>Revascularização do miocárdio</t>
        </is>
      </c>
      <c r="H28" s="25" t="inlineStr">
        <is>
          <t>Dra. Jordão</t>
        </is>
      </c>
      <c r="I28" s="24" t="inlineStr">
        <is>
          <t>G</t>
        </is>
      </c>
      <c r="J28" s="24" t="inlineStr">
        <is>
          <t>Agendada</t>
        </is>
      </c>
      <c r="K28" s="32">
        <f>IF(OR($B28="",NOT(ISNUMBER($D28)),NOT(ISNUMBER($E28))),"",ROUND(MOD($E28-$D28,1)*1440,0))</f>
        <v/>
      </c>
      <c r="L28" s="32">
        <f>IF(NOT(ISNUMBER($K28)),0,IF(OR($K28&lt;=0,$J28="Cancelada",$J28="Suspensa"),0,$K28+Setup_Min))</f>
        <v/>
      </c>
      <c r="M28" s="17">
        <f>IF($B28="","",IF($N28="","OK",LEFT($N28,LEN($N28)-3)))</f>
        <v/>
      </c>
      <c r="N28" s="10">
        <f>IF($B28="","",IF(COUNTIF(Salas_Cod,$B28)=0,"Sala não cadastrada | ","")&amp;IF(AND(COUNTIF(Salas_Cod,$B28)&gt;0,IFERROR(INDEX(Salas_Status,MATCH($B28,Salas_Cod,0)),"")&lt;&gt;"Ativa"),"Sala bloqueada | ","")&amp;IF(COUNTIF(Turnos_Nome,$C28)=0,"Turno inválido | ","")&amp;IF(COUNTIF(Esp_Nome,$F28)=0,"Especialidade não cadastrada | ","")&amp;IF(COUNTIF(Lista_StatusCirurgia,$J28)=0,"Status inválido | ","")&amp;IF(OR(NOT(ISNUMBER($D28)),NOT(ISNUMBER($E28))),"Horário inválido | ","")&amp;IFERROR(IF(AND(ISNUMBER($D28),ISNUMBER($E28),MOD($E28-$D28,1)*1440&lt;=0),"Duração nula ou negativa | ",""),"")&amp;IFERROR(IF(AND(ISNUMBER($D28),COUNTIF(Turnos_Nome,$C28)&gt;0,MOD($D28-INDEX(Turnos_Ini,MATCH($C28,Turnos_Nome,0)),1)*1440&gt;=INDEX(Turnos_Min,MATCH($C28,Turnos_Nome,0))),"Início fora da janela do turno | ",""),"")&amp;IFERROR(IF(AND($L28&gt;0,SUMPRODUCT((Mapa_Sala=$B28)*(Mapa_Data=$A28)*(Mapa_MinOcup&gt;0)*(((MOD(Mapa_IniNum-$O28,1)&lt;MOD($P28-$O28,1))+(MOD($O28-Mapa_IniNum,1)&lt;MOD(Mapa_FimNum-Mapa_IniNum,1)))&gt;0))&gt;1),"Sobreposição de horário na sala | ",""),"")&amp;IFERROR(IF(AND(ISNUMBER($K28),$K28&gt;0,COUNTIF(Esp_Nome,$F28)&gt;0,$K28&gt;3*INDEX(Esp_Dur,MATCH($F28,Esp_Nome,0))),"Duração atípica (&gt;3x a média) | ",""),""))</f>
        <v/>
      </c>
      <c r="O28" s="10">
        <f>IF(ISNUMBER($D28),$D28,0)</f>
        <v/>
      </c>
      <c r="P28" s="10">
        <f>IF(ISNUMBER($E28),$E28,0)</f>
        <v/>
      </c>
    </row>
    <row r="29">
      <c r="A29" s="30" t="n">
        <v>46254</v>
      </c>
      <c r="B29" s="24" t="inlineStr">
        <is>
          <t>SO-04</t>
        </is>
      </c>
      <c r="C29" s="24" t="inlineStr">
        <is>
          <t>Noite</t>
        </is>
      </c>
      <c r="D29" s="31" t="n">
        <v>0.07291666666666667</v>
      </c>
      <c r="E29" s="31" t="n">
        <v>0.1909722222222222</v>
      </c>
      <c r="F29" s="25" t="inlineStr">
        <is>
          <t>Cirurgia Vascular</t>
        </is>
      </c>
      <c r="G29" s="25" t="inlineStr">
        <is>
          <t>Correção de aneurisma de aorta</t>
        </is>
      </c>
      <c r="H29" s="25" t="inlineStr">
        <is>
          <t>Dr. Almeida</t>
        </is>
      </c>
      <c r="I29" s="24" t="inlineStr">
        <is>
          <t>M</t>
        </is>
      </c>
      <c r="J29" s="24" t="inlineStr">
        <is>
          <t>Agendada</t>
        </is>
      </c>
      <c r="K29" s="32">
        <f>IF(OR($B29="",NOT(ISNUMBER($D29)),NOT(ISNUMBER($E29))),"",ROUND(MOD($E29-$D29,1)*1440,0))</f>
        <v/>
      </c>
      <c r="L29" s="32">
        <f>IF(NOT(ISNUMBER($K29)),0,IF(OR($K29&lt;=0,$J29="Cancelada",$J29="Suspensa"),0,$K29+Setup_Min))</f>
        <v/>
      </c>
      <c r="M29" s="17">
        <f>IF($B29="","",IF($N29="","OK",LEFT($N29,LEN($N29)-3)))</f>
        <v/>
      </c>
      <c r="N29" s="10">
        <f>IF($B29="","",IF(COUNTIF(Salas_Cod,$B29)=0,"Sala não cadastrada | ","")&amp;IF(AND(COUNTIF(Salas_Cod,$B29)&gt;0,IFERROR(INDEX(Salas_Status,MATCH($B29,Salas_Cod,0)),"")&lt;&gt;"Ativa"),"Sala bloqueada | ","")&amp;IF(COUNTIF(Turnos_Nome,$C29)=0,"Turno inválido | ","")&amp;IF(COUNTIF(Esp_Nome,$F29)=0,"Especialidade não cadastrada | ","")&amp;IF(COUNTIF(Lista_StatusCirurgia,$J29)=0,"Status inválido | ","")&amp;IF(OR(NOT(ISNUMBER($D29)),NOT(ISNUMBER($E29))),"Horário inválido | ","")&amp;IFERROR(IF(AND(ISNUMBER($D29),ISNUMBER($E29),MOD($E29-$D29,1)*1440&lt;=0),"Duração nula ou negativa | ",""),"")&amp;IFERROR(IF(AND(ISNUMBER($D29),COUNTIF(Turnos_Nome,$C29)&gt;0,MOD($D29-INDEX(Turnos_Ini,MATCH($C29,Turnos_Nome,0)),1)*1440&gt;=INDEX(Turnos_Min,MATCH($C29,Turnos_Nome,0))),"Início fora da janela do turno | ",""),"")&amp;IFERROR(IF(AND($L29&gt;0,SUMPRODUCT((Mapa_Sala=$B29)*(Mapa_Data=$A29)*(Mapa_MinOcup&gt;0)*(((MOD(Mapa_IniNum-$O29,1)&lt;MOD($P29-$O29,1))+(MOD($O29-Mapa_IniNum,1)&lt;MOD(Mapa_FimNum-Mapa_IniNum,1)))&gt;0))&gt;1),"Sobreposição de horário na sala | ",""),"")&amp;IFERROR(IF(AND(ISNUMBER($K29),$K29&gt;0,COUNTIF(Esp_Nome,$F29)&gt;0,$K29&gt;3*INDEX(Esp_Dur,MATCH($F29,Esp_Nome,0))),"Duração atípica (&gt;3x a média) | ",""),""))</f>
        <v/>
      </c>
      <c r="O29" s="10">
        <f>IF(ISNUMBER($D29),$D29,0)</f>
        <v/>
      </c>
      <c r="P29" s="10">
        <f>IF(ISNUMBER($E29),$E29,0)</f>
        <v/>
      </c>
    </row>
    <row r="30">
      <c r="A30" s="30" t="n">
        <v>46254</v>
      </c>
      <c r="B30" s="24" t="inlineStr">
        <is>
          <t>SO-05</t>
        </is>
      </c>
      <c r="C30" s="24" t="inlineStr">
        <is>
          <t>Manhã</t>
        </is>
      </c>
      <c r="D30" s="31" t="n">
        <v>0.2916666666666667</v>
      </c>
      <c r="E30" s="31" t="n">
        <v>0.3506944444444444</v>
      </c>
      <c r="F30" s="25" t="inlineStr">
        <is>
          <t>Urologia</t>
        </is>
      </c>
      <c r="G30" s="25" t="inlineStr">
        <is>
          <t>Ressecção transuretral de próstata</t>
        </is>
      </c>
      <c r="H30" s="25" t="inlineStr">
        <is>
          <t>Dr. Coelho</t>
        </is>
      </c>
      <c r="I30" s="24" t="inlineStr">
        <is>
          <t>P</t>
        </is>
      </c>
      <c r="J30" s="24" t="inlineStr">
        <is>
          <t>Agendada</t>
        </is>
      </c>
      <c r="K30" s="32">
        <f>IF(OR($B30="",NOT(ISNUMBER($D30)),NOT(ISNUMBER($E30))),"",ROUND(MOD($E30-$D30,1)*1440,0))</f>
        <v/>
      </c>
      <c r="L30" s="32">
        <f>IF(NOT(ISNUMBER($K30)),0,IF(OR($K30&lt;=0,$J30="Cancelada",$J30="Suspensa"),0,$K30+Setup_Min))</f>
        <v/>
      </c>
      <c r="M30" s="17">
        <f>IF($B30="","",IF($N30="","OK",LEFT($N30,LEN($N30)-3)))</f>
        <v/>
      </c>
      <c r="N30" s="10">
        <f>IF($B30="","",IF(COUNTIF(Salas_Cod,$B30)=0,"Sala não cadastrada | ","")&amp;IF(AND(COUNTIF(Salas_Cod,$B30)&gt;0,IFERROR(INDEX(Salas_Status,MATCH($B30,Salas_Cod,0)),"")&lt;&gt;"Ativa"),"Sala bloqueada | ","")&amp;IF(COUNTIF(Turnos_Nome,$C30)=0,"Turno inválido | ","")&amp;IF(COUNTIF(Esp_Nome,$F30)=0,"Especialidade não cadastrada | ","")&amp;IF(COUNTIF(Lista_StatusCirurgia,$J30)=0,"Status inválido | ","")&amp;IF(OR(NOT(ISNUMBER($D30)),NOT(ISNUMBER($E30))),"Horário inválido | ","")&amp;IFERROR(IF(AND(ISNUMBER($D30),ISNUMBER($E30),MOD($E30-$D30,1)*1440&lt;=0),"Duração nula ou negativa | ",""),"")&amp;IFERROR(IF(AND(ISNUMBER($D30),COUNTIF(Turnos_Nome,$C30)&gt;0,MOD($D30-INDEX(Turnos_Ini,MATCH($C30,Turnos_Nome,0)),1)*1440&gt;=INDEX(Turnos_Min,MATCH($C30,Turnos_Nome,0))),"Início fora da janela do turno | ",""),"")&amp;IFERROR(IF(AND($L30&gt;0,SUMPRODUCT((Mapa_Sala=$B30)*(Mapa_Data=$A30)*(Mapa_MinOcup&gt;0)*(((MOD(Mapa_IniNum-$O30,1)&lt;MOD($P30-$O30,1))+(MOD($O30-Mapa_IniNum,1)&lt;MOD(Mapa_FimNum-Mapa_IniNum,1)))&gt;0))&gt;1),"Sobreposição de horário na sala | ",""),"")&amp;IFERROR(IF(AND(ISNUMBER($K30),$K30&gt;0,COUNTIF(Esp_Nome,$F30)&gt;0,$K30&gt;3*INDEX(Esp_Dur,MATCH($F30,Esp_Nome,0))),"Duração atípica (&gt;3x a média) | ",""),""))</f>
        <v/>
      </c>
      <c r="O30" s="10">
        <f>IF(ISNUMBER($D30),$D30,0)</f>
        <v/>
      </c>
      <c r="P30" s="10">
        <f>IF(ISNUMBER($E30),$E30,0)</f>
        <v/>
      </c>
    </row>
    <row r="31">
      <c r="A31" s="30" t="n">
        <v>46254</v>
      </c>
      <c r="B31" s="24" t="inlineStr">
        <is>
          <t>SO-05</t>
        </is>
      </c>
      <c r="C31" s="24" t="inlineStr">
        <is>
          <t>Manhã</t>
        </is>
      </c>
      <c r="D31" s="31" t="n">
        <v>0.3715277777777778</v>
      </c>
      <c r="E31" s="31" t="n">
        <v>0.4340277777777778</v>
      </c>
      <c r="F31" s="25" t="inlineStr">
        <is>
          <t>Ginecologia</t>
        </is>
      </c>
      <c r="G31" s="25" t="inlineStr">
        <is>
          <t>Videolaparoscopia diagnóstica</t>
        </is>
      </c>
      <c r="H31" s="25" t="inlineStr">
        <is>
          <t>Dra. Delgado</t>
        </is>
      </c>
      <c r="I31" s="24" t="inlineStr">
        <is>
          <t>M</t>
        </is>
      </c>
      <c r="J31" s="24" t="inlineStr">
        <is>
          <t>Agendada</t>
        </is>
      </c>
      <c r="K31" s="32">
        <f>IF(OR($B31="",NOT(ISNUMBER($D31)),NOT(ISNUMBER($E31))),"",ROUND(MOD($E31-$D31,1)*1440,0))</f>
        <v/>
      </c>
      <c r="L31" s="32">
        <f>IF(NOT(ISNUMBER($K31)),0,IF(OR($K31&lt;=0,$J31="Cancelada",$J31="Suspensa"),0,$K31+Setup_Min))</f>
        <v/>
      </c>
      <c r="M31" s="17">
        <f>IF($B31="","",IF($N31="","OK",LEFT($N31,LEN($N31)-3)))</f>
        <v/>
      </c>
      <c r="N31" s="10">
        <f>IF($B31="","",IF(COUNTIF(Salas_Cod,$B31)=0,"Sala não cadastrada | ","")&amp;IF(AND(COUNTIF(Salas_Cod,$B31)&gt;0,IFERROR(INDEX(Salas_Status,MATCH($B31,Salas_Cod,0)),"")&lt;&gt;"Ativa"),"Sala bloqueada | ","")&amp;IF(COUNTIF(Turnos_Nome,$C31)=0,"Turno inválido | ","")&amp;IF(COUNTIF(Esp_Nome,$F31)=0,"Especialidade não cadastrada | ","")&amp;IF(COUNTIF(Lista_StatusCirurgia,$J31)=0,"Status inválido | ","")&amp;IF(OR(NOT(ISNUMBER($D31)),NOT(ISNUMBER($E31))),"Horário inválido | ","")&amp;IFERROR(IF(AND(ISNUMBER($D31),ISNUMBER($E31),MOD($E31-$D31,1)*1440&lt;=0),"Duração nula ou negativa | ",""),"")&amp;IFERROR(IF(AND(ISNUMBER($D31),COUNTIF(Turnos_Nome,$C31)&gt;0,MOD($D31-INDEX(Turnos_Ini,MATCH($C31,Turnos_Nome,0)),1)*1440&gt;=INDEX(Turnos_Min,MATCH($C31,Turnos_Nome,0))),"Início fora da janela do turno | ",""),"")&amp;IFERROR(IF(AND($L31&gt;0,SUMPRODUCT((Mapa_Sala=$B31)*(Mapa_Data=$A31)*(Mapa_MinOcup&gt;0)*(((MOD(Mapa_IniNum-$O31,1)&lt;MOD($P31-$O31,1))+(MOD($O31-Mapa_IniNum,1)&lt;MOD(Mapa_FimNum-Mapa_IniNum,1)))&gt;0))&gt;1),"Sobreposição de horário na sala | ",""),"")&amp;IFERROR(IF(AND(ISNUMBER($K31),$K31&gt;0,COUNTIF(Esp_Nome,$F31)&gt;0,$K31&gt;3*INDEX(Esp_Dur,MATCH($F31,Esp_Nome,0))),"Duração atípica (&gt;3x a média) | ",""),""))</f>
        <v/>
      </c>
      <c r="O31" s="10">
        <f>IF(ISNUMBER($D31),$D31,0)</f>
        <v/>
      </c>
      <c r="P31" s="10">
        <f>IF(ISNUMBER($E31),$E31,0)</f>
        <v/>
      </c>
    </row>
    <row r="32">
      <c r="A32" s="30" t="n">
        <v>46254</v>
      </c>
      <c r="B32" s="24" t="inlineStr">
        <is>
          <t>SO-05</t>
        </is>
      </c>
      <c r="C32" s="24" t="inlineStr">
        <is>
          <t>Manhã</t>
        </is>
      </c>
      <c r="D32" s="31" t="n">
        <v>0.4548611111111111</v>
      </c>
      <c r="E32" s="31" t="n">
        <v>0.5208333333333334</v>
      </c>
      <c r="F32" s="25" t="inlineStr">
        <is>
          <t>Urologia</t>
        </is>
      </c>
      <c r="G32" s="25" t="inlineStr">
        <is>
          <t>Ressecção transuretral de próstata</t>
        </is>
      </c>
      <c r="H32" s="25" t="inlineStr">
        <is>
          <t>Dr. Esteves</t>
        </is>
      </c>
      <c r="I32" s="24" t="inlineStr">
        <is>
          <t>M</t>
        </is>
      </c>
      <c r="J32" s="24" t="inlineStr">
        <is>
          <t>Agendada</t>
        </is>
      </c>
      <c r="K32" s="32">
        <f>IF(OR($B32="",NOT(ISNUMBER($D32)),NOT(ISNUMBER($E32))),"",ROUND(MOD($E32-$D32,1)*1440,0))</f>
        <v/>
      </c>
      <c r="L32" s="32">
        <f>IF(NOT(ISNUMBER($K32)),0,IF(OR($K32&lt;=0,$J32="Cancelada",$J32="Suspensa"),0,$K32+Setup_Min))</f>
        <v/>
      </c>
      <c r="M32" s="17">
        <f>IF($B32="","",IF($N32="","OK",LEFT($N32,LEN($N32)-3)))</f>
        <v/>
      </c>
      <c r="N32" s="10">
        <f>IF($B32="","",IF(COUNTIF(Salas_Cod,$B32)=0,"Sala não cadastrada | ","")&amp;IF(AND(COUNTIF(Salas_Cod,$B32)&gt;0,IFERROR(INDEX(Salas_Status,MATCH($B32,Salas_Cod,0)),"")&lt;&gt;"Ativa"),"Sala bloqueada | ","")&amp;IF(COUNTIF(Turnos_Nome,$C32)=0,"Turno inválido | ","")&amp;IF(COUNTIF(Esp_Nome,$F32)=0,"Especialidade não cadastrada | ","")&amp;IF(COUNTIF(Lista_StatusCirurgia,$J32)=0,"Status inválido | ","")&amp;IF(OR(NOT(ISNUMBER($D32)),NOT(ISNUMBER($E32))),"Horário inválido | ","")&amp;IFERROR(IF(AND(ISNUMBER($D32),ISNUMBER($E32),MOD($E32-$D32,1)*1440&lt;=0),"Duração nula ou negativa | ",""),"")&amp;IFERROR(IF(AND(ISNUMBER($D32),COUNTIF(Turnos_Nome,$C32)&gt;0,MOD($D32-INDEX(Turnos_Ini,MATCH($C32,Turnos_Nome,0)),1)*1440&gt;=INDEX(Turnos_Min,MATCH($C32,Turnos_Nome,0))),"Início fora da janela do turno | ",""),"")&amp;IFERROR(IF(AND($L32&gt;0,SUMPRODUCT((Mapa_Sala=$B32)*(Mapa_Data=$A32)*(Mapa_MinOcup&gt;0)*(((MOD(Mapa_IniNum-$O32,1)&lt;MOD($P32-$O32,1))+(MOD($O32-Mapa_IniNum,1)&lt;MOD(Mapa_FimNum-Mapa_IniNum,1)))&gt;0))&gt;1),"Sobreposição de horário na sala | ",""),"")&amp;IFERROR(IF(AND(ISNUMBER($K32),$K32&gt;0,COUNTIF(Esp_Nome,$F32)&gt;0,$K32&gt;3*INDEX(Esp_Dur,MATCH($F32,Esp_Nome,0))),"Duração atípica (&gt;3x a média) | ",""),""))</f>
        <v/>
      </c>
      <c r="O32" s="10">
        <f>IF(ISNUMBER($D32),$D32,0)</f>
        <v/>
      </c>
      <c r="P32" s="10">
        <f>IF(ISNUMBER($E32),$E32,0)</f>
        <v/>
      </c>
    </row>
    <row r="33">
      <c r="A33" s="30" t="n">
        <v>46254</v>
      </c>
      <c r="B33" s="24" t="inlineStr">
        <is>
          <t>SO-05</t>
        </is>
      </c>
      <c r="C33" s="24" t="inlineStr">
        <is>
          <t>Tarde</t>
        </is>
      </c>
      <c r="D33" s="31" t="n">
        <v>0.5416666666666666</v>
      </c>
      <c r="E33" s="31" t="n">
        <v>0.6076388888888888</v>
      </c>
      <c r="F33" s="25" t="inlineStr">
        <is>
          <t>Urologia</t>
        </is>
      </c>
      <c r="G33" s="25" t="inlineStr">
        <is>
          <t>Ressecção transuretral de próstata</t>
        </is>
      </c>
      <c r="H33" s="25" t="inlineStr">
        <is>
          <t>Dr. Coelho</t>
        </is>
      </c>
      <c r="I33" s="24" t="inlineStr">
        <is>
          <t>M</t>
        </is>
      </c>
      <c r="J33" s="24" t="inlineStr">
        <is>
          <t>Agendada</t>
        </is>
      </c>
      <c r="K33" s="32">
        <f>IF(OR($B33="",NOT(ISNUMBER($D33)),NOT(ISNUMBER($E33))),"",ROUND(MOD($E33-$D33,1)*1440,0))</f>
        <v/>
      </c>
      <c r="L33" s="32">
        <f>IF(NOT(ISNUMBER($K33)),0,IF(OR($K33&lt;=0,$J33="Cancelada",$J33="Suspensa"),0,$K33+Setup_Min))</f>
        <v/>
      </c>
      <c r="M33" s="17">
        <f>IF($B33="","",IF($N33="","OK",LEFT($N33,LEN($N33)-3)))</f>
        <v/>
      </c>
      <c r="N33" s="10">
        <f>IF($B33="","",IF(COUNTIF(Salas_Cod,$B33)=0,"Sala não cadastrada | ","")&amp;IF(AND(COUNTIF(Salas_Cod,$B33)&gt;0,IFERROR(INDEX(Salas_Status,MATCH($B33,Salas_Cod,0)),"")&lt;&gt;"Ativa"),"Sala bloqueada | ","")&amp;IF(COUNTIF(Turnos_Nome,$C33)=0,"Turno inválido | ","")&amp;IF(COUNTIF(Esp_Nome,$F33)=0,"Especialidade não cadastrada | ","")&amp;IF(COUNTIF(Lista_StatusCirurgia,$J33)=0,"Status inválido | ","")&amp;IF(OR(NOT(ISNUMBER($D33)),NOT(ISNUMBER($E33))),"Horário inválido | ","")&amp;IFERROR(IF(AND(ISNUMBER($D33),ISNUMBER($E33),MOD($E33-$D33,1)*1440&lt;=0),"Duração nula ou negativa | ",""),"")&amp;IFERROR(IF(AND(ISNUMBER($D33),COUNTIF(Turnos_Nome,$C33)&gt;0,MOD($D33-INDEX(Turnos_Ini,MATCH($C33,Turnos_Nome,0)),1)*1440&gt;=INDEX(Turnos_Min,MATCH($C33,Turnos_Nome,0))),"Início fora da janela do turno | ",""),"")&amp;IFERROR(IF(AND($L33&gt;0,SUMPRODUCT((Mapa_Sala=$B33)*(Mapa_Data=$A33)*(Mapa_MinOcup&gt;0)*(((MOD(Mapa_IniNum-$O33,1)&lt;MOD($P33-$O33,1))+(MOD($O33-Mapa_IniNum,1)&lt;MOD(Mapa_FimNum-Mapa_IniNum,1)))&gt;0))&gt;1),"Sobreposição de horário na sala | ",""),"")&amp;IFERROR(IF(AND(ISNUMBER($K33),$K33&gt;0,COUNTIF(Esp_Nome,$F33)&gt;0,$K33&gt;3*INDEX(Esp_Dur,MATCH($F33,Esp_Nome,0))),"Duração atípica (&gt;3x a média) | ",""),""))</f>
        <v/>
      </c>
      <c r="O33" s="10">
        <f>IF(ISNUMBER($D33),$D33,0)</f>
        <v/>
      </c>
      <c r="P33" s="10">
        <f>IF(ISNUMBER($E33),$E33,0)</f>
        <v/>
      </c>
    </row>
    <row r="34">
      <c r="A34" s="30" t="n">
        <v>46254</v>
      </c>
      <c r="B34" s="24" t="inlineStr">
        <is>
          <t>SO-05</t>
        </is>
      </c>
      <c r="C34" s="24" t="inlineStr">
        <is>
          <t>Tarde</t>
        </is>
      </c>
      <c r="D34" s="31" t="n">
        <v>0.6284722222222222</v>
      </c>
      <c r="E34" s="31" t="n">
        <v>0.6875</v>
      </c>
      <c r="F34" s="25" t="inlineStr">
        <is>
          <t>Ginecologia</t>
        </is>
      </c>
      <c r="G34" s="25" t="inlineStr">
        <is>
          <t>Videolaparoscopia diagnóstica</t>
        </is>
      </c>
      <c r="H34" s="25" t="inlineStr">
        <is>
          <t>Dra. Delgado</t>
        </is>
      </c>
      <c r="I34" s="24" t="inlineStr">
        <is>
          <t>P</t>
        </is>
      </c>
      <c r="J34" s="24" t="inlineStr">
        <is>
          <t>Agendada</t>
        </is>
      </c>
      <c r="K34" s="32">
        <f>IF(OR($B34="",NOT(ISNUMBER($D34)),NOT(ISNUMBER($E34))),"",ROUND(MOD($E34-$D34,1)*1440,0))</f>
        <v/>
      </c>
      <c r="L34" s="32">
        <f>IF(NOT(ISNUMBER($K34)),0,IF(OR($K34&lt;=0,$J34="Cancelada",$J34="Suspensa"),0,$K34+Setup_Min))</f>
        <v/>
      </c>
      <c r="M34" s="17">
        <f>IF($B34="","",IF($N34="","OK",LEFT($N34,LEN($N34)-3)))</f>
        <v/>
      </c>
      <c r="N34" s="10">
        <f>IF($B34="","",IF(COUNTIF(Salas_Cod,$B34)=0,"Sala não cadastrada | ","")&amp;IF(AND(COUNTIF(Salas_Cod,$B34)&gt;0,IFERROR(INDEX(Salas_Status,MATCH($B34,Salas_Cod,0)),"")&lt;&gt;"Ativa"),"Sala bloqueada | ","")&amp;IF(COUNTIF(Turnos_Nome,$C34)=0,"Turno inválido | ","")&amp;IF(COUNTIF(Esp_Nome,$F34)=0,"Especialidade não cadastrada | ","")&amp;IF(COUNTIF(Lista_StatusCirurgia,$J34)=0,"Status inválido | ","")&amp;IF(OR(NOT(ISNUMBER($D34)),NOT(ISNUMBER($E34))),"Horário inválido | ","")&amp;IFERROR(IF(AND(ISNUMBER($D34),ISNUMBER($E34),MOD($E34-$D34,1)*1440&lt;=0),"Duração nula ou negativa | ",""),"")&amp;IFERROR(IF(AND(ISNUMBER($D34),COUNTIF(Turnos_Nome,$C34)&gt;0,MOD($D34-INDEX(Turnos_Ini,MATCH($C34,Turnos_Nome,0)),1)*1440&gt;=INDEX(Turnos_Min,MATCH($C34,Turnos_Nome,0))),"Início fora da janela do turno | ",""),"")&amp;IFERROR(IF(AND($L34&gt;0,SUMPRODUCT((Mapa_Sala=$B34)*(Mapa_Data=$A34)*(Mapa_MinOcup&gt;0)*(((MOD(Mapa_IniNum-$O34,1)&lt;MOD($P34-$O34,1))+(MOD($O34-Mapa_IniNum,1)&lt;MOD(Mapa_FimNum-Mapa_IniNum,1)))&gt;0))&gt;1),"Sobreposição de horário na sala | ",""),"")&amp;IFERROR(IF(AND(ISNUMBER($K34),$K34&gt;0,COUNTIF(Esp_Nome,$F34)&gt;0,$K34&gt;3*INDEX(Esp_Dur,MATCH($F34,Esp_Nome,0))),"Duração atípica (&gt;3x a média) | ",""),""))</f>
        <v/>
      </c>
      <c r="O34" s="10">
        <f>IF(ISNUMBER($D34),$D34,0)</f>
        <v/>
      </c>
      <c r="P34" s="10">
        <f>IF(ISNUMBER($E34),$E34,0)</f>
        <v/>
      </c>
    </row>
    <row r="35">
      <c r="A35" s="30" t="n">
        <v>46254</v>
      </c>
      <c r="B35" s="24" t="inlineStr">
        <is>
          <t>SO-05</t>
        </is>
      </c>
      <c r="C35" s="24" t="inlineStr">
        <is>
          <t>Tarde</t>
        </is>
      </c>
      <c r="D35" s="31" t="n">
        <v>0.7083333333333334</v>
      </c>
      <c r="E35" s="31" t="n">
        <v>0.7708333333333334</v>
      </c>
      <c r="F35" s="25" t="inlineStr">
        <is>
          <t>Urologia</t>
        </is>
      </c>
      <c r="G35" s="25" t="inlineStr">
        <is>
          <t>Ressecção transuretral de próstata</t>
        </is>
      </c>
      <c r="H35" s="25" t="inlineStr">
        <is>
          <t>Dr. Esteves</t>
        </is>
      </c>
      <c r="I35" s="24" t="inlineStr">
        <is>
          <t>M</t>
        </is>
      </c>
      <c r="J35" s="24" t="inlineStr">
        <is>
          <t>Agendada</t>
        </is>
      </c>
      <c r="K35" s="32">
        <f>IF(OR($B35="",NOT(ISNUMBER($D35)),NOT(ISNUMBER($E35))),"",ROUND(MOD($E35-$D35,1)*1440,0))</f>
        <v/>
      </c>
      <c r="L35" s="32">
        <f>IF(NOT(ISNUMBER($K35)),0,IF(OR($K35&lt;=0,$J35="Cancelada",$J35="Suspensa"),0,$K35+Setup_Min))</f>
        <v/>
      </c>
      <c r="M35" s="17">
        <f>IF($B35="","",IF($N35="","OK",LEFT($N35,LEN($N35)-3)))</f>
        <v/>
      </c>
      <c r="N35" s="10">
        <f>IF($B35="","",IF(COUNTIF(Salas_Cod,$B35)=0,"Sala não cadastrada | ","")&amp;IF(AND(COUNTIF(Salas_Cod,$B35)&gt;0,IFERROR(INDEX(Salas_Status,MATCH($B35,Salas_Cod,0)),"")&lt;&gt;"Ativa"),"Sala bloqueada | ","")&amp;IF(COUNTIF(Turnos_Nome,$C35)=0,"Turno inválido | ","")&amp;IF(COUNTIF(Esp_Nome,$F35)=0,"Especialidade não cadastrada | ","")&amp;IF(COUNTIF(Lista_StatusCirurgia,$J35)=0,"Status inválido | ","")&amp;IF(OR(NOT(ISNUMBER($D35)),NOT(ISNUMBER($E35))),"Horário inválido | ","")&amp;IFERROR(IF(AND(ISNUMBER($D35),ISNUMBER($E35),MOD($E35-$D35,1)*1440&lt;=0),"Duração nula ou negativa | ",""),"")&amp;IFERROR(IF(AND(ISNUMBER($D35),COUNTIF(Turnos_Nome,$C35)&gt;0,MOD($D35-INDEX(Turnos_Ini,MATCH($C35,Turnos_Nome,0)),1)*1440&gt;=INDEX(Turnos_Min,MATCH($C35,Turnos_Nome,0))),"Início fora da janela do turno | ",""),"")&amp;IFERROR(IF(AND($L35&gt;0,SUMPRODUCT((Mapa_Sala=$B35)*(Mapa_Data=$A35)*(Mapa_MinOcup&gt;0)*(((MOD(Mapa_IniNum-$O35,1)&lt;MOD($P35-$O35,1))+(MOD($O35-Mapa_IniNum,1)&lt;MOD(Mapa_FimNum-Mapa_IniNum,1)))&gt;0))&gt;1),"Sobreposição de horário na sala | ",""),"")&amp;IFERROR(IF(AND(ISNUMBER($K35),$K35&gt;0,COUNTIF(Esp_Nome,$F35)&gt;0,$K35&gt;3*INDEX(Esp_Dur,MATCH($F35,Esp_Nome,0))),"Duração atípica (&gt;3x a média) | ",""),""))</f>
        <v/>
      </c>
      <c r="O35" s="10">
        <f>IF(ISNUMBER($D35),$D35,0)</f>
        <v/>
      </c>
      <c r="P35" s="10">
        <f>IF(ISNUMBER($E35),$E35,0)</f>
        <v/>
      </c>
    </row>
    <row r="36">
      <c r="A36" s="30" t="n">
        <v>46254</v>
      </c>
      <c r="B36" s="24" t="inlineStr">
        <is>
          <t>SO-05</t>
        </is>
      </c>
      <c r="C36" s="24" t="inlineStr">
        <is>
          <t>Noite</t>
        </is>
      </c>
      <c r="D36" s="31" t="n">
        <v>0.7916666666666666</v>
      </c>
      <c r="E36" s="31" t="n">
        <v>0.8472222222222222</v>
      </c>
      <c r="F36" s="25" t="inlineStr">
        <is>
          <t>Urologia</t>
        </is>
      </c>
      <c r="G36" s="25" t="inlineStr">
        <is>
          <t>Ressecção transuretral de próstata</t>
        </is>
      </c>
      <c r="H36" s="25" t="inlineStr">
        <is>
          <t>Dr. Coelho</t>
        </is>
      </c>
      <c r="I36" s="24" t="inlineStr">
        <is>
          <t>P</t>
        </is>
      </c>
      <c r="J36" s="24" t="inlineStr">
        <is>
          <t>Agendada</t>
        </is>
      </c>
      <c r="K36" s="32">
        <f>IF(OR($B36="",NOT(ISNUMBER($D36)),NOT(ISNUMBER($E36))),"",ROUND(MOD($E36-$D36,1)*1440,0))</f>
        <v/>
      </c>
      <c r="L36" s="32">
        <f>IF(NOT(ISNUMBER($K36)),0,IF(OR($K36&lt;=0,$J36="Cancelada",$J36="Suspensa"),0,$K36+Setup_Min))</f>
        <v/>
      </c>
      <c r="M36" s="17">
        <f>IF($B36="","",IF($N36="","OK",LEFT($N36,LEN($N36)-3)))</f>
        <v/>
      </c>
      <c r="N36" s="10">
        <f>IF($B36="","",IF(COUNTIF(Salas_Cod,$B36)=0,"Sala não cadastrada | ","")&amp;IF(AND(COUNTIF(Salas_Cod,$B36)&gt;0,IFERROR(INDEX(Salas_Status,MATCH($B36,Salas_Cod,0)),"")&lt;&gt;"Ativa"),"Sala bloqueada | ","")&amp;IF(COUNTIF(Turnos_Nome,$C36)=0,"Turno inválido | ","")&amp;IF(COUNTIF(Esp_Nome,$F36)=0,"Especialidade não cadastrada | ","")&amp;IF(COUNTIF(Lista_StatusCirurgia,$J36)=0,"Status inválido | ","")&amp;IF(OR(NOT(ISNUMBER($D36)),NOT(ISNUMBER($E36))),"Horário inválido | ","")&amp;IFERROR(IF(AND(ISNUMBER($D36),ISNUMBER($E36),MOD($E36-$D36,1)*1440&lt;=0),"Duração nula ou negativa | ",""),"")&amp;IFERROR(IF(AND(ISNUMBER($D36),COUNTIF(Turnos_Nome,$C36)&gt;0,MOD($D36-INDEX(Turnos_Ini,MATCH($C36,Turnos_Nome,0)),1)*1440&gt;=INDEX(Turnos_Min,MATCH($C36,Turnos_Nome,0))),"Início fora da janela do turno | ",""),"")&amp;IFERROR(IF(AND($L36&gt;0,SUMPRODUCT((Mapa_Sala=$B36)*(Mapa_Data=$A36)*(Mapa_MinOcup&gt;0)*(((MOD(Mapa_IniNum-$O36,1)&lt;MOD($P36-$O36,1))+(MOD($O36-Mapa_IniNum,1)&lt;MOD(Mapa_FimNum-Mapa_IniNum,1)))&gt;0))&gt;1),"Sobreposição de horário na sala | ",""),"")&amp;IFERROR(IF(AND(ISNUMBER($K36),$K36&gt;0,COUNTIF(Esp_Nome,$F36)&gt;0,$K36&gt;3*INDEX(Esp_Dur,MATCH($F36,Esp_Nome,0))),"Duração atípica (&gt;3x a média) | ",""),""))</f>
        <v/>
      </c>
      <c r="O36" s="10">
        <f>IF(ISNUMBER($D36),$D36,0)</f>
        <v/>
      </c>
      <c r="P36" s="10">
        <f>IF(ISNUMBER($E36),$E36,0)</f>
        <v/>
      </c>
    </row>
    <row r="37">
      <c r="A37" s="30" t="n">
        <v>46254</v>
      </c>
      <c r="B37" s="24" t="inlineStr">
        <is>
          <t>SO-05</t>
        </is>
      </c>
      <c r="C37" s="24" t="inlineStr">
        <is>
          <t>Noite</t>
        </is>
      </c>
      <c r="D37" s="31" t="n">
        <v>0.8680555555555556</v>
      </c>
      <c r="E37" s="31" t="n">
        <v>0.9340277777777778</v>
      </c>
      <c r="F37" s="25" t="inlineStr">
        <is>
          <t>Ginecologia</t>
        </is>
      </c>
      <c r="G37" s="25" t="inlineStr">
        <is>
          <t>Videolaparoscopia diagnóstica</t>
        </is>
      </c>
      <c r="H37" s="25" t="inlineStr">
        <is>
          <t>Dra. Delgado</t>
        </is>
      </c>
      <c r="I37" s="24" t="inlineStr">
        <is>
          <t>M</t>
        </is>
      </c>
      <c r="J37" s="24" t="inlineStr">
        <is>
          <t>Agendada</t>
        </is>
      </c>
      <c r="K37" s="32">
        <f>IF(OR($B37="",NOT(ISNUMBER($D37)),NOT(ISNUMBER($E37))),"",ROUND(MOD($E37-$D37,1)*1440,0))</f>
        <v/>
      </c>
      <c r="L37" s="32">
        <f>IF(NOT(ISNUMBER($K37)),0,IF(OR($K37&lt;=0,$J37="Cancelada",$J37="Suspensa"),0,$K37+Setup_Min))</f>
        <v/>
      </c>
      <c r="M37" s="17">
        <f>IF($B37="","",IF($N37="","OK",LEFT($N37,LEN($N37)-3)))</f>
        <v/>
      </c>
      <c r="N37" s="10">
        <f>IF($B37="","",IF(COUNTIF(Salas_Cod,$B37)=0,"Sala não cadastrada | ","")&amp;IF(AND(COUNTIF(Salas_Cod,$B37)&gt;0,IFERROR(INDEX(Salas_Status,MATCH($B37,Salas_Cod,0)),"")&lt;&gt;"Ativa"),"Sala bloqueada | ","")&amp;IF(COUNTIF(Turnos_Nome,$C37)=0,"Turno inválido | ","")&amp;IF(COUNTIF(Esp_Nome,$F37)=0,"Especialidade não cadastrada | ","")&amp;IF(COUNTIF(Lista_StatusCirurgia,$J37)=0,"Status inválido | ","")&amp;IF(OR(NOT(ISNUMBER($D37)),NOT(ISNUMBER($E37))),"Horário inválido | ","")&amp;IFERROR(IF(AND(ISNUMBER($D37),ISNUMBER($E37),MOD($E37-$D37,1)*1440&lt;=0),"Duração nula ou negativa | ",""),"")&amp;IFERROR(IF(AND(ISNUMBER($D37),COUNTIF(Turnos_Nome,$C37)&gt;0,MOD($D37-INDEX(Turnos_Ini,MATCH($C37,Turnos_Nome,0)),1)*1440&gt;=INDEX(Turnos_Min,MATCH($C37,Turnos_Nome,0))),"Início fora da janela do turno | ",""),"")&amp;IFERROR(IF(AND($L37&gt;0,SUMPRODUCT((Mapa_Sala=$B37)*(Mapa_Data=$A37)*(Mapa_MinOcup&gt;0)*(((MOD(Mapa_IniNum-$O37,1)&lt;MOD($P37-$O37,1))+(MOD($O37-Mapa_IniNum,1)&lt;MOD(Mapa_FimNum-Mapa_IniNum,1)))&gt;0))&gt;1),"Sobreposição de horário na sala | ",""),"")&amp;IFERROR(IF(AND(ISNUMBER($K37),$K37&gt;0,COUNTIF(Esp_Nome,$F37)&gt;0,$K37&gt;3*INDEX(Esp_Dur,MATCH($F37,Esp_Nome,0))),"Duração atípica (&gt;3x a média) | ",""),""))</f>
        <v/>
      </c>
      <c r="O37" s="10">
        <f>IF(ISNUMBER($D37),$D37,0)</f>
        <v/>
      </c>
      <c r="P37" s="10">
        <f>IF(ISNUMBER($E37),$E37,0)</f>
        <v/>
      </c>
    </row>
    <row r="38">
      <c r="A38" s="30" t="n">
        <v>46254</v>
      </c>
      <c r="B38" s="24" t="inlineStr">
        <is>
          <t>SO-05</t>
        </is>
      </c>
      <c r="C38" s="24" t="inlineStr">
        <is>
          <t>Noite</t>
        </is>
      </c>
      <c r="D38" s="31" t="n">
        <v>0.9548611111111112</v>
      </c>
      <c r="E38" s="31" t="n">
        <v>0.02777777777777778</v>
      </c>
      <c r="F38" s="25" t="inlineStr">
        <is>
          <t>Urologia</t>
        </is>
      </c>
      <c r="G38" s="25" t="inlineStr">
        <is>
          <t>Ressecção transuretral de próstata</t>
        </is>
      </c>
      <c r="H38" s="25" t="inlineStr">
        <is>
          <t>Dr. Esteves</t>
        </is>
      </c>
      <c r="I38" s="24" t="inlineStr">
        <is>
          <t>M</t>
        </is>
      </c>
      <c r="J38" s="24" t="inlineStr">
        <is>
          <t>Agendada</t>
        </is>
      </c>
      <c r="K38" s="32">
        <f>IF(OR($B38="",NOT(ISNUMBER($D38)),NOT(ISNUMBER($E38))),"",ROUND(MOD($E38-$D38,1)*1440,0))</f>
        <v/>
      </c>
      <c r="L38" s="32">
        <f>IF(NOT(ISNUMBER($K38)),0,IF(OR($K38&lt;=0,$J38="Cancelada",$J38="Suspensa"),0,$K38+Setup_Min))</f>
        <v/>
      </c>
      <c r="M38" s="17">
        <f>IF($B38="","",IF($N38="","OK",LEFT($N38,LEN($N38)-3)))</f>
        <v/>
      </c>
      <c r="N38" s="10">
        <f>IF($B38="","",IF(COUNTIF(Salas_Cod,$B38)=0,"Sala não cadastrada | ","")&amp;IF(AND(COUNTIF(Salas_Cod,$B38)&gt;0,IFERROR(INDEX(Salas_Status,MATCH($B38,Salas_Cod,0)),"")&lt;&gt;"Ativa"),"Sala bloqueada | ","")&amp;IF(COUNTIF(Turnos_Nome,$C38)=0,"Turno inválido | ","")&amp;IF(COUNTIF(Esp_Nome,$F38)=0,"Especialidade não cadastrada | ","")&amp;IF(COUNTIF(Lista_StatusCirurgia,$J38)=0,"Status inválido | ","")&amp;IF(OR(NOT(ISNUMBER($D38)),NOT(ISNUMBER($E38))),"Horário inválido | ","")&amp;IFERROR(IF(AND(ISNUMBER($D38),ISNUMBER($E38),MOD($E38-$D38,1)*1440&lt;=0),"Duração nula ou negativa | ",""),"")&amp;IFERROR(IF(AND(ISNUMBER($D38),COUNTIF(Turnos_Nome,$C38)&gt;0,MOD($D38-INDEX(Turnos_Ini,MATCH($C38,Turnos_Nome,0)),1)*1440&gt;=INDEX(Turnos_Min,MATCH($C38,Turnos_Nome,0))),"Início fora da janela do turno | ",""),"")&amp;IFERROR(IF(AND($L38&gt;0,SUMPRODUCT((Mapa_Sala=$B38)*(Mapa_Data=$A38)*(Mapa_MinOcup&gt;0)*(((MOD(Mapa_IniNum-$O38,1)&lt;MOD($P38-$O38,1))+(MOD($O38-Mapa_IniNum,1)&lt;MOD(Mapa_FimNum-Mapa_IniNum,1)))&gt;0))&gt;1),"Sobreposição de horário na sala | ",""),"")&amp;IFERROR(IF(AND(ISNUMBER($K38),$K38&gt;0,COUNTIF(Esp_Nome,$F38)&gt;0,$K38&gt;3*INDEX(Esp_Dur,MATCH($F38,Esp_Nome,0))),"Duração atípica (&gt;3x a média) | ",""),""))</f>
        <v/>
      </c>
      <c r="O38" s="10">
        <f>IF(ISNUMBER($D38),$D38,0)</f>
        <v/>
      </c>
      <c r="P38" s="10">
        <f>IF(ISNUMBER($E38),$E38,0)</f>
        <v/>
      </c>
    </row>
    <row r="39">
      <c r="A39" s="30" t="n">
        <v>46254</v>
      </c>
      <c r="B39" s="24" t="inlineStr">
        <is>
          <t>SO-05</t>
        </is>
      </c>
      <c r="C39" s="24" t="inlineStr">
        <is>
          <t>Noite</t>
        </is>
      </c>
      <c r="D39" s="31" t="n">
        <v>0.04861111111111111</v>
      </c>
      <c r="E39" s="31" t="n">
        <v>0.1145833333333333</v>
      </c>
      <c r="F39" s="25" t="inlineStr">
        <is>
          <t>Ginecologia</t>
        </is>
      </c>
      <c r="G39" s="25" t="inlineStr">
        <is>
          <t>Videolaparoscopia diagnóstica</t>
        </is>
      </c>
      <c r="H39" s="25" t="inlineStr">
        <is>
          <t>Dra. Fialho</t>
        </is>
      </c>
      <c r="I39" s="24" t="inlineStr">
        <is>
          <t>M</t>
        </is>
      </c>
      <c r="J39" s="24" t="inlineStr">
        <is>
          <t>Agendada</t>
        </is>
      </c>
      <c r="K39" s="32">
        <f>IF(OR($B39="",NOT(ISNUMBER($D39)),NOT(ISNUMBER($E39))),"",ROUND(MOD($E39-$D39,1)*1440,0))</f>
        <v/>
      </c>
      <c r="L39" s="32">
        <f>IF(NOT(ISNUMBER($K39)),0,IF(OR($K39&lt;=0,$J39="Cancelada",$J39="Suspensa"),0,$K39+Setup_Min))</f>
        <v/>
      </c>
      <c r="M39" s="17">
        <f>IF($B39="","",IF($N39="","OK",LEFT($N39,LEN($N39)-3)))</f>
        <v/>
      </c>
      <c r="N39" s="10">
        <f>IF($B39="","",IF(COUNTIF(Salas_Cod,$B39)=0,"Sala não cadastrada | ","")&amp;IF(AND(COUNTIF(Salas_Cod,$B39)&gt;0,IFERROR(INDEX(Salas_Status,MATCH($B39,Salas_Cod,0)),"")&lt;&gt;"Ativa"),"Sala bloqueada | ","")&amp;IF(COUNTIF(Turnos_Nome,$C39)=0,"Turno inválido | ","")&amp;IF(COUNTIF(Esp_Nome,$F39)=0,"Especialidade não cadastrada | ","")&amp;IF(COUNTIF(Lista_StatusCirurgia,$J39)=0,"Status inválido | ","")&amp;IF(OR(NOT(ISNUMBER($D39)),NOT(ISNUMBER($E39))),"Horário inválido | ","")&amp;IFERROR(IF(AND(ISNUMBER($D39),ISNUMBER($E39),MOD($E39-$D39,1)*1440&lt;=0),"Duração nula ou negativa | ",""),"")&amp;IFERROR(IF(AND(ISNUMBER($D39),COUNTIF(Turnos_Nome,$C39)&gt;0,MOD($D39-INDEX(Turnos_Ini,MATCH($C39,Turnos_Nome,0)),1)*1440&gt;=INDEX(Turnos_Min,MATCH($C39,Turnos_Nome,0))),"Início fora da janela do turno | ",""),"")&amp;IFERROR(IF(AND($L39&gt;0,SUMPRODUCT((Mapa_Sala=$B39)*(Mapa_Data=$A39)*(Mapa_MinOcup&gt;0)*(((MOD(Mapa_IniNum-$O39,1)&lt;MOD($P39-$O39,1))+(MOD($O39-Mapa_IniNum,1)&lt;MOD(Mapa_FimNum-Mapa_IniNum,1)))&gt;0))&gt;1),"Sobreposição de horário na sala | ",""),"")&amp;IFERROR(IF(AND(ISNUMBER($K39),$K39&gt;0,COUNTIF(Esp_Nome,$F39)&gt;0,$K39&gt;3*INDEX(Esp_Dur,MATCH($F39,Esp_Nome,0))),"Duração atípica (&gt;3x a média) | ",""),""))</f>
        <v/>
      </c>
      <c r="O39" s="10">
        <f>IF(ISNUMBER($D39),$D39,0)</f>
        <v/>
      </c>
      <c r="P39" s="10">
        <f>IF(ISNUMBER($E39),$E39,0)</f>
        <v/>
      </c>
    </row>
    <row r="40">
      <c r="A40" s="30" t="n">
        <v>46254</v>
      </c>
      <c r="B40" s="24" t="inlineStr">
        <is>
          <t>SO-05</t>
        </is>
      </c>
      <c r="C40" s="24" t="inlineStr">
        <is>
          <t>Noite</t>
        </is>
      </c>
      <c r="D40" s="31" t="n">
        <v>0.1354166666666667</v>
      </c>
      <c r="E40" s="31" t="n">
        <v>0.1944444444444444</v>
      </c>
      <c r="F40" s="25" t="inlineStr">
        <is>
          <t>Urologia</t>
        </is>
      </c>
      <c r="G40" s="25" t="inlineStr">
        <is>
          <t>Ressecção transuretral de próstata</t>
        </is>
      </c>
      <c r="H40" s="25" t="inlineStr">
        <is>
          <t>Dr. Gouveia</t>
        </is>
      </c>
      <c r="I40" s="24" t="inlineStr">
        <is>
          <t>P</t>
        </is>
      </c>
      <c r="J40" s="24" t="inlineStr">
        <is>
          <t>Agendada</t>
        </is>
      </c>
      <c r="K40" s="32">
        <f>IF(OR($B40="",NOT(ISNUMBER($D40)),NOT(ISNUMBER($E40))),"",ROUND(MOD($E40-$D40,1)*1440,0))</f>
        <v/>
      </c>
      <c r="L40" s="32">
        <f>IF(NOT(ISNUMBER($K40)),0,IF(OR($K40&lt;=0,$J40="Cancelada",$J40="Suspensa"),0,$K40+Setup_Min))</f>
        <v/>
      </c>
      <c r="M40" s="17">
        <f>IF($B40="","",IF($N40="","OK",LEFT($N40,LEN($N40)-3)))</f>
        <v/>
      </c>
      <c r="N40" s="10">
        <f>IF($B40="","",IF(COUNTIF(Salas_Cod,$B40)=0,"Sala não cadastrada | ","")&amp;IF(AND(COUNTIF(Salas_Cod,$B40)&gt;0,IFERROR(INDEX(Salas_Status,MATCH($B40,Salas_Cod,0)),"")&lt;&gt;"Ativa"),"Sala bloqueada | ","")&amp;IF(COUNTIF(Turnos_Nome,$C40)=0,"Turno inválido | ","")&amp;IF(COUNTIF(Esp_Nome,$F40)=0,"Especialidade não cadastrada | ","")&amp;IF(COUNTIF(Lista_StatusCirurgia,$J40)=0,"Status inválido | ","")&amp;IF(OR(NOT(ISNUMBER($D40)),NOT(ISNUMBER($E40))),"Horário inválido | ","")&amp;IFERROR(IF(AND(ISNUMBER($D40),ISNUMBER($E40),MOD($E40-$D40,1)*1440&lt;=0),"Duração nula ou negativa | ",""),"")&amp;IFERROR(IF(AND(ISNUMBER($D40),COUNTIF(Turnos_Nome,$C40)&gt;0,MOD($D40-INDEX(Turnos_Ini,MATCH($C40,Turnos_Nome,0)),1)*1440&gt;=INDEX(Turnos_Min,MATCH($C40,Turnos_Nome,0))),"Início fora da janela do turno | ",""),"")&amp;IFERROR(IF(AND($L40&gt;0,SUMPRODUCT((Mapa_Sala=$B40)*(Mapa_Data=$A40)*(Mapa_MinOcup&gt;0)*(((MOD(Mapa_IniNum-$O40,1)&lt;MOD($P40-$O40,1))+(MOD($O40-Mapa_IniNum,1)&lt;MOD(Mapa_FimNum-Mapa_IniNum,1)))&gt;0))&gt;1),"Sobreposição de horário na sala | ",""),"")&amp;IFERROR(IF(AND(ISNUMBER($K40),$K40&gt;0,COUNTIF(Esp_Nome,$F40)&gt;0,$K40&gt;3*INDEX(Esp_Dur,MATCH($F40,Esp_Nome,0))),"Duração atípica (&gt;3x a média) | ",""),""))</f>
        <v/>
      </c>
      <c r="O40" s="10">
        <f>IF(ISNUMBER($D40),$D40,0)</f>
        <v/>
      </c>
      <c r="P40" s="10">
        <f>IF(ISNUMBER($E40),$E40,0)</f>
        <v/>
      </c>
    </row>
    <row r="41">
      <c r="A41" s="30" t="n">
        <v>46254</v>
      </c>
      <c r="B41" s="24" t="inlineStr">
        <is>
          <t>SO-06</t>
        </is>
      </c>
      <c r="C41" s="24" t="inlineStr">
        <is>
          <t>Manhã</t>
        </is>
      </c>
      <c r="D41" s="31" t="n">
        <v>0.2916666666666667</v>
      </c>
      <c r="E41" s="31" t="n">
        <v>0.3229166666666667</v>
      </c>
      <c r="F41" s="25" t="inlineStr">
        <is>
          <t>Oftalmologia</t>
        </is>
      </c>
      <c r="G41" s="25" t="inlineStr">
        <is>
          <t>Facectomia com implante de LIO</t>
        </is>
      </c>
      <c r="H41" s="25" t="inlineStr">
        <is>
          <t>Dra. Fialho</t>
        </is>
      </c>
      <c r="I41" s="24" t="inlineStr">
        <is>
          <t>P</t>
        </is>
      </c>
      <c r="J41" s="24" t="inlineStr">
        <is>
          <t>Agendada</t>
        </is>
      </c>
      <c r="K41" s="32">
        <f>IF(OR($B41="",NOT(ISNUMBER($D41)),NOT(ISNUMBER($E41))),"",ROUND(MOD($E41-$D41,1)*1440,0))</f>
        <v/>
      </c>
      <c r="L41" s="32">
        <f>IF(NOT(ISNUMBER($K41)),0,IF(OR($K41&lt;=0,$J41="Cancelada",$J41="Suspensa"),0,$K41+Setup_Min))</f>
        <v/>
      </c>
      <c r="M41" s="17">
        <f>IF($B41="","",IF($N41="","OK",LEFT($N41,LEN($N41)-3)))</f>
        <v/>
      </c>
      <c r="N41" s="10">
        <f>IF($B41="","",IF(COUNTIF(Salas_Cod,$B41)=0,"Sala não cadastrada | ","")&amp;IF(AND(COUNTIF(Salas_Cod,$B41)&gt;0,IFERROR(INDEX(Salas_Status,MATCH($B41,Salas_Cod,0)),"")&lt;&gt;"Ativa"),"Sala bloqueada | ","")&amp;IF(COUNTIF(Turnos_Nome,$C41)=0,"Turno inválido | ","")&amp;IF(COUNTIF(Esp_Nome,$F41)=0,"Especialidade não cadastrada | ","")&amp;IF(COUNTIF(Lista_StatusCirurgia,$J41)=0,"Status inválido | ","")&amp;IF(OR(NOT(ISNUMBER($D41)),NOT(ISNUMBER($E41))),"Horário inválido | ","")&amp;IFERROR(IF(AND(ISNUMBER($D41),ISNUMBER($E41),MOD($E41-$D41,1)*1440&lt;=0),"Duração nula ou negativa | ",""),"")&amp;IFERROR(IF(AND(ISNUMBER($D41),COUNTIF(Turnos_Nome,$C41)&gt;0,MOD($D41-INDEX(Turnos_Ini,MATCH($C41,Turnos_Nome,0)),1)*1440&gt;=INDEX(Turnos_Min,MATCH($C41,Turnos_Nome,0))),"Início fora da janela do turno | ",""),"")&amp;IFERROR(IF(AND($L41&gt;0,SUMPRODUCT((Mapa_Sala=$B41)*(Mapa_Data=$A41)*(Mapa_MinOcup&gt;0)*(((MOD(Mapa_IniNum-$O41,1)&lt;MOD($P41-$O41,1))+(MOD($O41-Mapa_IniNum,1)&lt;MOD(Mapa_FimNum-Mapa_IniNum,1)))&gt;0))&gt;1),"Sobreposição de horário na sala | ",""),"")&amp;IFERROR(IF(AND(ISNUMBER($K41),$K41&gt;0,COUNTIF(Esp_Nome,$F41)&gt;0,$K41&gt;3*INDEX(Esp_Dur,MATCH($F41,Esp_Nome,0))),"Duração atípica (&gt;3x a média) | ",""),""))</f>
        <v/>
      </c>
      <c r="O41" s="10">
        <f>IF(ISNUMBER($D41),$D41,0)</f>
        <v/>
      </c>
      <c r="P41" s="10">
        <f>IF(ISNUMBER($E41),$E41,0)</f>
        <v/>
      </c>
    </row>
    <row r="42">
      <c r="A42" s="30" t="n">
        <v>46254</v>
      </c>
      <c r="B42" s="24" t="inlineStr">
        <is>
          <t>SO-06</t>
        </is>
      </c>
      <c r="C42" s="24" t="inlineStr">
        <is>
          <t>Manhã</t>
        </is>
      </c>
      <c r="D42" s="31" t="n">
        <v>0.34375</v>
      </c>
      <c r="E42" s="31" t="n">
        <v>0.4027777777777778</v>
      </c>
      <c r="F42" s="25" t="inlineStr">
        <is>
          <t>Otorrinolaringologia</t>
        </is>
      </c>
      <c r="G42" s="25" t="inlineStr">
        <is>
          <t>Septoplastia</t>
        </is>
      </c>
      <c r="H42" s="25" t="inlineStr">
        <is>
          <t>Dr. Gouveia</t>
        </is>
      </c>
      <c r="I42" s="24" t="inlineStr">
        <is>
          <t>P</t>
        </is>
      </c>
      <c r="J42" s="24" t="inlineStr">
        <is>
          <t>Agendada</t>
        </is>
      </c>
      <c r="K42" s="32">
        <f>IF(OR($B42="",NOT(ISNUMBER($D42)),NOT(ISNUMBER($E42))),"",ROUND(MOD($E42-$D42,1)*1440,0))</f>
        <v/>
      </c>
      <c r="L42" s="32">
        <f>IF(NOT(ISNUMBER($K42)),0,IF(OR($K42&lt;=0,$J42="Cancelada",$J42="Suspensa"),0,$K42+Setup_Min))</f>
        <v/>
      </c>
      <c r="M42" s="17">
        <f>IF($B42="","",IF($N42="","OK",LEFT($N42,LEN($N42)-3)))</f>
        <v/>
      </c>
      <c r="N42" s="10">
        <f>IF($B42="","",IF(COUNTIF(Salas_Cod,$B42)=0,"Sala não cadastrada | ","")&amp;IF(AND(COUNTIF(Salas_Cod,$B42)&gt;0,IFERROR(INDEX(Salas_Status,MATCH($B42,Salas_Cod,0)),"")&lt;&gt;"Ativa"),"Sala bloqueada | ","")&amp;IF(COUNTIF(Turnos_Nome,$C42)=0,"Turno inválido | ","")&amp;IF(COUNTIF(Esp_Nome,$F42)=0,"Especialidade não cadastrada | ","")&amp;IF(COUNTIF(Lista_StatusCirurgia,$J42)=0,"Status inválido | ","")&amp;IF(OR(NOT(ISNUMBER($D42)),NOT(ISNUMBER($E42))),"Horário inválido | ","")&amp;IFERROR(IF(AND(ISNUMBER($D42),ISNUMBER($E42),MOD($E42-$D42,1)*1440&lt;=0),"Duração nula ou negativa | ",""),"")&amp;IFERROR(IF(AND(ISNUMBER($D42),COUNTIF(Turnos_Nome,$C42)&gt;0,MOD($D42-INDEX(Turnos_Ini,MATCH($C42,Turnos_Nome,0)),1)*1440&gt;=INDEX(Turnos_Min,MATCH($C42,Turnos_Nome,0))),"Início fora da janela do turno | ",""),"")&amp;IFERROR(IF(AND($L42&gt;0,SUMPRODUCT((Mapa_Sala=$B42)*(Mapa_Data=$A42)*(Mapa_MinOcup&gt;0)*(((MOD(Mapa_IniNum-$O42,1)&lt;MOD($P42-$O42,1))+(MOD($O42-Mapa_IniNum,1)&lt;MOD(Mapa_FimNum-Mapa_IniNum,1)))&gt;0))&gt;1),"Sobreposição de horário na sala | ",""),"")&amp;IFERROR(IF(AND(ISNUMBER($K42),$K42&gt;0,COUNTIF(Esp_Nome,$F42)&gt;0,$K42&gt;3*INDEX(Esp_Dur,MATCH($F42,Esp_Nome,0))),"Duração atípica (&gt;3x a média) | ",""),""))</f>
        <v/>
      </c>
      <c r="O42" s="10">
        <f>IF(ISNUMBER($D42),$D42,0)</f>
        <v/>
      </c>
      <c r="P42" s="10">
        <f>IF(ISNUMBER($E42),$E42,0)</f>
        <v/>
      </c>
    </row>
    <row r="43">
      <c r="A43" s="30" t="n">
        <v>46254</v>
      </c>
      <c r="B43" s="24" t="inlineStr">
        <is>
          <t>SO-06</t>
        </is>
      </c>
      <c r="C43" s="24" t="inlineStr">
        <is>
          <t>Manhã</t>
        </is>
      </c>
      <c r="D43" s="31" t="n">
        <v>0.4236111111111111</v>
      </c>
      <c r="E43" s="31" t="n">
        <v>0.4548611111111111</v>
      </c>
      <c r="F43" s="25" t="inlineStr">
        <is>
          <t>Oftalmologia</t>
        </is>
      </c>
      <c r="G43" s="25" t="inlineStr">
        <is>
          <t>Facectomia com implante de LIO</t>
        </is>
      </c>
      <c r="H43" s="25" t="inlineStr">
        <is>
          <t>Dra. Hirano</t>
        </is>
      </c>
      <c r="I43" s="24" t="inlineStr">
        <is>
          <t>P</t>
        </is>
      </c>
      <c r="J43" s="24" t="inlineStr">
        <is>
          <t>Agendada</t>
        </is>
      </c>
      <c r="K43" s="32">
        <f>IF(OR($B43="",NOT(ISNUMBER($D43)),NOT(ISNUMBER($E43))),"",ROUND(MOD($E43-$D43,1)*1440,0))</f>
        <v/>
      </c>
      <c r="L43" s="32">
        <f>IF(NOT(ISNUMBER($K43)),0,IF(OR($K43&lt;=0,$J43="Cancelada",$J43="Suspensa"),0,$K43+Setup_Min))</f>
        <v/>
      </c>
      <c r="M43" s="17">
        <f>IF($B43="","",IF($N43="","OK",LEFT($N43,LEN($N43)-3)))</f>
        <v/>
      </c>
      <c r="N43" s="10">
        <f>IF($B43="","",IF(COUNTIF(Salas_Cod,$B43)=0,"Sala não cadastrada | ","")&amp;IF(AND(COUNTIF(Salas_Cod,$B43)&gt;0,IFERROR(INDEX(Salas_Status,MATCH($B43,Salas_Cod,0)),"")&lt;&gt;"Ativa"),"Sala bloqueada | ","")&amp;IF(COUNTIF(Turnos_Nome,$C43)=0,"Turno inválido | ","")&amp;IF(COUNTIF(Esp_Nome,$F43)=0,"Especialidade não cadastrada | ","")&amp;IF(COUNTIF(Lista_StatusCirurgia,$J43)=0,"Status inválido | ","")&amp;IF(OR(NOT(ISNUMBER($D43)),NOT(ISNUMBER($E43))),"Horário inválido | ","")&amp;IFERROR(IF(AND(ISNUMBER($D43),ISNUMBER($E43),MOD($E43-$D43,1)*1440&lt;=0),"Duração nula ou negativa | ",""),"")&amp;IFERROR(IF(AND(ISNUMBER($D43),COUNTIF(Turnos_Nome,$C43)&gt;0,MOD($D43-INDEX(Turnos_Ini,MATCH($C43,Turnos_Nome,0)),1)*1440&gt;=INDEX(Turnos_Min,MATCH($C43,Turnos_Nome,0))),"Início fora da janela do turno | ",""),"")&amp;IFERROR(IF(AND($L43&gt;0,SUMPRODUCT((Mapa_Sala=$B43)*(Mapa_Data=$A43)*(Mapa_MinOcup&gt;0)*(((MOD(Mapa_IniNum-$O43,1)&lt;MOD($P43-$O43,1))+(MOD($O43-Mapa_IniNum,1)&lt;MOD(Mapa_FimNum-Mapa_IniNum,1)))&gt;0))&gt;1),"Sobreposição de horário na sala | ",""),"")&amp;IFERROR(IF(AND(ISNUMBER($K43),$K43&gt;0,COUNTIF(Esp_Nome,$F43)&gt;0,$K43&gt;3*INDEX(Esp_Dur,MATCH($F43,Esp_Nome,0))),"Duração atípica (&gt;3x a média) | ",""),""))</f>
        <v/>
      </c>
      <c r="O43" s="10">
        <f>IF(ISNUMBER($D43),$D43,0)</f>
        <v/>
      </c>
      <c r="P43" s="10">
        <f>IF(ISNUMBER($E43),$E43,0)</f>
        <v/>
      </c>
    </row>
    <row r="44">
      <c r="A44" s="30" t="n">
        <v>46254</v>
      </c>
      <c r="B44" s="24" t="inlineStr">
        <is>
          <t>SO-06</t>
        </is>
      </c>
      <c r="C44" s="24" t="inlineStr">
        <is>
          <t>Tarde</t>
        </is>
      </c>
      <c r="D44" s="31" t="n">
        <v>0.5416666666666666</v>
      </c>
      <c r="E44" s="31" t="n">
        <v>0.5798611111111112</v>
      </c>
      <c r="F44" s="25" t="inlineStr">
        <is>
          <t>Oftalmologia</t>
        </is>
      </c>
      <c r="G44" s="25" t="inlineStr">
        <is>
          <t>Facectomia com implante de LIO</t>
        </is>
      </c>
      <c r="H44" s="25" t="inlineStr">
        <is>
          <t>Dra. Fialho</t>
        </is>
      </c>
      <c r="I44" s="24" t="inlineStr">
        <is>
          <t>P</t>
        </is>
      </c>
      <c r="J44" s="24" t="inlineStr">
        <is>
          <t>Agendada</t>
        </is>
      </c>
      <c r="K44" s="32">
        <f>IF(OR($B44="",NOT(ISNUMBER($D44)),NOT(ISNUMBER($E44))),"",ROUND(MOD($E44-$D44,1)*1440,0))</f>
        <v/>
      </c>
      <c r="L44" s="32">
        <f>IF(NOT(ISNUMBER($K44)),0,IF(OR($K44&lt;=0,$J44="Cancelada",$J44="Suspensa"),0,$K44+Setup_Min))</f>
        <v/>
      </c>
      <c r="M44" s="17">
        <f>IF($B44="","",IF($N44="","OK",LEFT($N44,LEN($N44)-3)))</f>
        <v/>
      </c>
      <c r="N44" s="10">
        <f>IF($B44="","",IF(COUNTIF(Salas_Cod,$B44)=0,"Sala não cadastrada | ","")&amp;IF(AND(COUNTIF(Salas_Cod,$B44)&gt;0,IFERROR(INDEX(Salas_Status,MATCH($B44,Salas_Cod,0)),"")&lt;&gt;"Ativa"),"Sala bloqueada | ","")&amp;IF(COUNTIF(Turnos_Nome,$C44)=0,"Turno inválido | ","")&amp;IF(COUNTIF(Esp_Nome,$F44)=0,"Especialidade não cadastrada | ","")&amp;IF(COUNTIF(Lista_StatusCirurgia,$J44)=0,"Status inválido | ","")&amp;IF(OR(NOT(ISNUMBER($D44)),NOT(ISNUMBER($E44))),"Horário inválido | ","")&amp;IFERROR(IF(AND(ISNUMBER($D44),ISNUMBER($E44),MOD($E44-$D44,1)*1440&lt;=0),"Duração nula ou negativa | ",""),"")&amp;IFERROR(IF(AND(ISNUMBER($D44),COUNTIF(Turnos_Nome,$C44)&gt;0,MOD($D44-INDEX(Turnos_Ini,MATCH($C44,Turnos_Nome,0)),1)*1440&gt;=INDEX(Turnos_Min,MATCH($C44,Turnos_Nome,0))),"Início fora da janela do turno | ",""),"")&amp;IFERROR(IF(AND($L44&gt;0,SUMPRODUCT((Mapa_Sala=$B44)*(Mapa_Data=$A44)*(Mapa_MinOcup&gt;0)*(((MOD(Mapa_IniNum-$O44,1)&lt;MOD($P44-$O44,1))+(MOD($O44-Mapa_IniNum,1)&lt;MOD(Mapa_FimNum-Mapa_IniNum,1)))&gt;0))&gt;1),"Sobreposição de horário na sala | ",""),"")&amp;IFERROR(IF(AND(ISNUMBER($K44),$K44&gt;0,COUNTIF(Esp_Nome,$F44)&gt;0,$K44&gt;3*INDEX(Esp_Dur,MATCH($F44,Esp_Nome,0))),"Duração atípica (&gt;3x a média) | ",""),""))</f>
        <v/>
      </c>
      <c r="O44" s="10">
        <f>IF(ISNUMBER($D44),$D44,0)</f>
        <v/>
      </c>
      <c r="P44" s="10">
        <f>IF(ISNUMBER($E44),$E44,0)</f>
        <v/>
      </c>
    </row>
    <row r="45">
      <c r="A45" s="30" t="n">
        <v>46254</v>
      </c>
      <c r="B45" s="24" t="inlineStr">
        <is>
          <t>SO-06</t>
        </is>
      </c>
      <c r="C45" s="24" t="inlineStr">
        <is>
          <t>Tarde</t>
        </is>
      </c>
      <c r="D45" s="31" t="n">
        <v>0.6006944444444444</v>
      </c>
      <c r="E45" s="31" t="n">
        <v>0.6631944444444444</v>
      </c>
      <c r="F45" s="25" t="inlineStr">
        <is>
          <t>Otorrinolaringologia</t>
        </is>
      </c>
      <c r="G45" s="25" t="inlineStr">
        <is>
          <t>Septoplastia</t>
        </is>
      </c>
      <c r="H45" s="25" t="inlineStr">
        <is>
          <t>Dr. Gouveia</t>
        </is>
      </c>
      <c r="I45" s="24" t="inlineStr">
        <is>
          <t>M</t>
        </is>
      </c>
      <c r="J45" s="24" t="inlineStr">
        <is>
          <t>Agendada</t>
        </is>
      </c>
      <c r="K45" s="32">
        <f>IF(OR($B45="",NOT(ISNUMBER($D45)),NOT(ISNUMBER($E45))),"",ROUND(MOD($E45-$D45,1)*1440,0))</f>
        <v/>
      </c>
      <c r="L45" s="32">
        <f>IF(NOT(ISNUMBER($K45)),0,IF(OR($K45&lt;=0,$J45="Cancelada",$J45="Suspensa"),0,$K45+Setup_Min))</f>
        <v/>
      </c>
      <c r="M45" s="17">
        <f>IF($B45="","",IF($N45="","OK",LEFT($N45,LEN($N45)-3)))</f>
        <v/>
      </c>
      <c r="N45" s="10">
        <f>IF($B45="","",IF(COUNTIF(Salas_Cod,$B45)=0,"Sala não cadastrada | ","")&amp;IF(AND(COUNTIF(Salas_Cod,$B45)&gt;0,IFERROR(INDEX(Salas_Status,MATCH($B45,Salas_Cod,0)),"")&lt;&gt;"Ativa"),"Sala bloqueada | ","")&amp;IF(COUNTIF(Turnos_Nome,$C45)=0,"Turno inválido | ","")&amp;IF(COUNTIF(Esp_Nome,$F45)=0,"Especialidade não cadastrada | ","")&amp;IF(COUNTIF(Lista_StatusCirurgia,$J45)=0,"Status inválido | ","")&amp;IF(OR(NOT(ISNUMBER($D45)),NOT(ISNUMBER($E45))),"Horário inválido | ","")&amp;IFERROR(IF(AND(ISNUMBER($D45),ISNUMBER($E45),MOD($E45-$D45,1)*1440&lt;=0),"Duração nula ou negativa | ",""),"")&amp;IFERROR(IF(AND(ISNUMBER($D45),COUNTIF(Turnos_Nome,$C45)&gt;0,MOD($D45-INDEX(Turnos_Ini,MATCH($C45,Turnos_Nome,0)),1)*1440&gt;=INDEX(Turnos_Min,MATCH($C45,Turnos_Nome,0))),"Início fora da janela do turno | ",""),"")&amp;IFERROR(IF(AND($L45&gt;0,SUMPRODUCT((Mapa_Sala=$B45)*(Mapa_Data=$A45)*(Mapa_MinOcup&gt;0)*(((MOD(Mapa_IniNum-$O45,1)&lt;MOD($P45-$O45,1))+(MOD($O45-Mapa_IniNum,1)&lt;MOD(Mapa_FimNum-Mapa_IniNum,1)))&gt;0))&gt;1),"Sobreposição de horário na sala | ",""),"")&amp;IFERROR(IF(AND(ISNUMBER($K45),$K45&gt;0,COUNTIF(Esp_Nome,$F45)&gt;0,$K45&gt;3*INDEX(Esp_Dur,MATCH($F45,Esp_Nome,0))),"Duração atípica (&gt;3x a média) | ",""),""))</f>
        <v/>
      </c>
      <c r="O45" s="10">
        <f>IF(ISNUMBER($D45),$D45,0)</f>
        <v/>
      </c>
      <c r="P45" s="10">
        <f>IF(ISNUMBER($E45),$E45,0)</f>
        <v/>
      </c>
    </row>
    <row r="46">
      <c r="A46" s="30" t="n">
        <v>46254</v>
      </c>
      <c r="B46" s="24" t="inlineStr">
        <is>
          <t>SO-06</t>
        </is>
      </c>
      <c r="C46" s="24" t="inlineStr">
        <is>
          <t>Tarde</t>
        </is>
      </c>
      <c r="D46" s="31" t="n">
        <v>0.6840277777777778</v>
      </c>
      <c r="E46" s="31" t="n">
        <v>0.7118055555555556</v>
      </c>
      <c r="F46" s="25" t="inlineStr">
        <is>
          <t>Oftalmologia</t>
        </is>
      </c>
      <c r="G46" s="25" t="inlineStr">
        <is>
          <t>Facectomia com implante de LIO</t>
        </is>
      </c>
      <c r="H46" s="25" t="inlineStr">
        <is>
          <t>Dra. Hirano</t>
        </is>
      </c>
      <c r="I46" s="24" t="inlineStr">
        <is>
          <t>P</t>
        </is>
      </c>
      <c r="J46" s="24" t="inlineStr">
        <is>
          <t>Agendada</t>
        </is>
      </c>
      <c r="K46" s="32">
        <f>IF(OR($B46="",NOT(ISNUMBER($D46)),NOT(ISNUMBER($E46))),"",ROUND(MOD($E46-$D46,1)*1440,0))</f>
        <v/>
      </c>
      <c r="L46" s="32">
        <f>IF(NOT(ISNUMBER($K46)),0,IF(OR($K46&lt;=0,$J46="Cancelada",$J46="Suspensa"),0,$K46+Setup_Min))</f>
        <v/>
      </c>
      <c r="M46" s="17">
        <f>IF($B46="","",IF($N46="","OK",LEFT($N46,LEN($N46)-3)))</f>
        <v/>
      </c>
      <c r="N46" s="10">
        <f>IF($B46="","",IF(COUNTIF(Salas_Cod,$B46)=0,"Sala não cadastrada | ","")&amp;IF(AND(COUNTIF(Salas_Cod,$B46)&gt;0,IFERROR(INDEX(Salas_Status,MATCH($B46,Salas_Cod,0)),"")&lt;&gt;"Ativa"),"Sala bloqueada | ","")&amp;IF(COUNTIF(Turnos_Nome,$C46)=0,"Turno inválido | ","")&amp;IF(COUNTIF(Esp_Nome,$F46)=0,"Especialidade não cadastrada | ","")&amp;IF(COUNTIF(Lista_StatusCirurgia,$J46)=0,"Status inválido | ","")&amp;IF(OR(NOT(ISNUMBER($D46)),NOT(ISNUMBER($E46))),"Horário inválido | ","")&amp;IFERROR(IF(AND(ISNUMBER($D46),ISNUMBER($E46),MOD($E46-$D46,1)*1440&lt;=0),"Duração nula ou negativa | ",""),"")&amp;IFERROR(IF(AND(ISNUMBER($D46),COUNTIF(Turnos_Nome,$C46)&gt;0,MOD($D46-INDEX(Turnos_Ini,MATCH($C46,Turnos_Nome,0)),1)*1440&gt;=INDEX(Turnos_Min,MATCH($C46,Turnos_Nome,0))),"Início fora da janela do turno | ",""),"")&amp;IFERROR(IF(AND($L46&gt;0,SUMPRODUCT((Mapa_Sala=$B46)*(Mapa_Data=$A46)*(Mapa_MinOcup&gt;0)*(((MOD(Mapa_IniNum-$O46,1)&lt;MOD($P46-$O46,1))+(MOD($O46-Mapa_IniNum,1)&lt;MOD(Mapa_FimNum-Mapa_IniNum,1)))&gt;0))&gt;1),"Sobreposição de horário na sala | ",""),"")&amp;IFERROR(IF(AND(ISNUMBER($K46),$K46&gt;0,COUNTIF(Esp_Nome,$F46)&gt;0,$K46&gt;3*INDEX(Esp_Dur,MATCH($F46,Esp_Nome,0))),"Duração atípica (&gt;3x a média) | ",""),""))</f>
        <v/>
      </c>
      <c r="O46" s="10">
        <f>IF(ISNUMBER($D46),$D46,0)</f>
        <v/>
      </c>
      <c r="P46" s="10">
        <f>IF(ISNUMBER($E46),$E46,0)</f>
        <v/>
      </c>
    </row>
    <row r="47">
      <c r="A47" s="30" t="n">
        <v>46254</v>
      </c>
      <c r="B47" s="24" t="inlineStr">
        <is>
          <t>SO-06</t>
        </is>
      </c>
      <c r="C47" s="24" t="inlineStr">
        <is>
          <t>Noite</t>
        </is>
      </c>
      <c r="D47" s="31" t="n">
        <v>0.7916666666666666</v>
      </c>
      <c r="E47" s="31" t="n">
        <v>0.8159722222222222</v>
      </c>
      <c r="F47" s="25" t="inlineStr">
        <is>
          <t>Oftalmologia</t>
        </is>
      </c>
      <c r="G47" s="25" t="inlineStr">
        <is>
          <t>Facectomia com implante de LIO</t>
        </is>
      </c>
      <c r="H47" s="25" t="inlineStr">
        <is>
          <t>Dra. Fialho</t>
        </is>
      </c>
      <c r="I47" s="24" t="inlineStr">
        <is>
          <t>P</t>
        </is>
      </c>
      <c r="J47" s="24" t="inlineStr">
        <is>
          <t>Agendada</t>
        </is>
      </c>
      <c r="K47" s="32">
        <f>IF(OR($B47="",NOT(ISNUMBER($D47)),NOT(ISNUMBER($E47))),"",ROUND(MOD($E47-$D47,1)*1440,0))</f>
        <v/>
      </c>
      <c r="L47" s="32">
        <f>IF(NOT(ISNUMBER($K47)),0,IF(OR($K47&lt;=0,$J47="Cancelada",$J47="Suspensa"),0,$K47+Setup_Min))</f>
        <v/>
      </c>
      <c r="M47" s="17">
        <f>IF($B47="","",IF($N47="","OK",LEFT($N47,LEN($N47)-3)))</f>
        <v/>
      </c>
      <c r="N47" s="10">
        <f>IF($B47="","",IF(COUNTIF(Salas_Cod,$B47)=0,"Sala não cadastrada | ","")&amp;IF(AND(COUNTIF(Salas_Cod,$B47)&gt;0,IFERROR(INDEX(Salas_Status,MATCH($B47,Salas_Cod,0)),"")&lt;&gt;"Ativa"),"Sala bloqueada | ","")&amp;IF(COUNTIF(Turnos_Nome,$C47)=0,"Turno inválido | ","")&amp;IF(COUNTIF(Esp_Nome,$F47)=0,"Especialidade não cadastrada | ","")&amp;IF(COUNTIF(Lista_StatusCirurgia,$J47)=0,"Status inválido | ","")&amp;IF(OR(NOT(ISNUMBER($D47)),NOT(ISNUMBER($E47))),"Horário inválido | ","")&amp;IFERROR(IF(AND(ISNUMBER($D47),ISNUMBER($E47),MOD($E47-$D47,1)*1440&lt;=0),"Duração nula ou negativa | ",""),"")&amp;IFERROR(IF(AND(ISNUMBER($D47),COUNTIF(Turnos_Nome,$C47)&gt;0,MOD($D47-INDEX(Turnos_Ini,MATCH($C47,Turnos_Nome,0)),1)*1440&gt;=INDEX(Turnos_Min,MATCH($C47,Turnos_Nome,0))),"Início fora da janela do turno | ",""),"")&amp;IFERROR(IF(AND($L47&gt;0,SUMPRODUCT((Mapa_Sala=$B47)*(Mapa_Data=$A47)*(Mapa_MinOcup&gt;0)*(((MOD(Mapa_IniNum-$O47,1)&lt;MOD($P47-$O47,1))+(MOD($O47-Mapa_IniNum,1)&lt;MOD(Mapa_FimNum-Mapa_IniNum,1)))&gt;0))&gt;1),"Sobreposição de horário na sala | ",""),"")&amp;IFERROR(IF(AND(ISNUMBER($K47),$K47&gt;0,COUNTIF(Esp_Nome,$F47)&gt;0,$K47&gt;3*INDEX(Esp_Dur,MATCH($F47,Esp_Nome,0))),"Duração atípica (&gt;3x a média) | ",""),""))</f>
        <v/>
      </c>
      <c r="O47" s="10">
        <f>IF(ISNUMBER($D47),$D47,0)</f>
        <v/>
      </c>
      <c r="P47" s="10">
        <f>IF(ISNUMBER($E47),$E47,0)</f>
        <v/>
      </c>
    </row>
    <row r="48">
      <c r="A48" s="30" t="n">
        <v>46254</v>
      </c>
      <c r="B48" s="24" t="inlineStr">
        <is>
          <t>SO-06</t>
        </is>
      </c>
      <c r="C48" s="24" t="inlineStr">
        <is>
          <t>Noite</t>
        </is>
      </c>
      <c r="D48" s="31" t="n">
        <v>0.8368055555555556</v>
      </c>
      <c r="E48" s="31" t="n">
        <v>0.8923611111111112</v>
      </c>
      <c r="F48" s="25" t="inlineStr">
        <is>
          <t>Otorrinolaringologia</t>
        </is>
      </c>
      <c r="G48" s="25" t="inlineStr">
        <is>
          <t>Septoplastia</t>
        </is>
      </c>
      <c r="H48" s="25" t="inlineStr">
        <is>
          <t>Dr. Gouveia</t>
        </is>
      </c>
      <c r="I48" s="24" t="inlineStr">
        <is>
          <t>P</t>
        </is>
      </c>
      <c r="J48" s="24" t="inlineStr">
        <is>
          <t>Cancelada</t>
        </is>
      </c>
      <c r="K48" s="32">
        <f>IF(OR($B48="",NOT(ISNUMBER($D48)),NOT(ISNUMBER($E48))),"",ROUND(MOD($E48-$D48,1)*1440,0))</f>
        <v/>
      </c>
      <c r="L48" s="32">
        <f>IF(NOT(ISNUMBER($K48)),0,IF(OR($K48&lt;=0,$J48="Cancelada",$J48="Suspensa"),0,$K48+Setup_Min))</f>
        <v/>
      </c>
      <c r="M48" s="17">
        <f>IF($B48="","",IF($N48="","OK",LEFT($N48,LEN($N48)-3)))</f>
        <v/>
      </c>
      <c r="N48" s="10">
        <f>IF($B48="","",IF(COUNTIF(Salas_Cod,$B48)=0,"Sala não cadastrada | ","")&amp;IF(AND(COUNTIF(Salas_Cod,$B48)&gt;0,IFERROR(INDEX(Salas_Status,MATCH($B48,Salas_Cod,0)),"")&lt;&gt;"Ativa"),"Sala bloqueada | ","")&amp;IF(COUNTIF(Turnos_Nome,$C48)=0,"Turno inválido | ","")&amp;IF(COUNTIF(Esp_Nome,$F48)=0,"Especialidade não cadastrada | ","")&amp;IF(COUNTIF(Lista_StatusCirurgia,$J48)=0,"Status inválido | ","")&amp;IF(OR(NOT(ISNUMBER($D48)),NOT(ISNUMBER($E48))),"Horário inválido | ","")&amp;IFERROR(IF(AND(ISNUMBER($D48),ISNUMBER($E48),MOD($E48-$D48,1)*1440&lt;=0),"Duração nula ou negativa | ",""),"")&amp;IFERROR(IF(AND(ISNUMBER($D48),COUNTIF(Turnos_Nome,$C48)&gt;0,MOD($D48-INDEX(Turnos_Ini,MATCH($C48,Turnos_Nome,0)),1)*1440&gt;=INDEX(Turnos_Min,MATCH($C48,Turnos_Nome,0))),"Início fora da janela do turno | ",""),"")&amp;IFERROR(IF(AND($L48&gt;0,SUMPRODUCT((Mapa_Sala=$B48)*(Mapa_Data=$A48)*(Mapa_MinOcup&gt;0)*(((MOD(Mapa_IniNum-$O48,1)&lt;MOD($P48-$O48,1))+(MOD($O48-Mapa_IniNum,1)&lt;MOD(Mapa_FimNum-Mapa_IniNum,1)))&gt;0))&gt;1),"Sobreposição de horário na sala | ",""),"")&amp;IFERROR(IF(AND(ISNUMBER($K48),$K48&gt;0,COUNTIF(Esp_Nome,$F48)&gt;0,$K48&gt;3*INDEX(Esp_Dur,MATCH($F48,Esp_Nome,0))),"Duração atípica (&gt;3x a média) | ",""),""))</f>
        <v/>
      </c>
      <c r="O48" s="10">
        <f>IF(ISNUMBER($D48),$D48,0)</f>
        <v/>
      </c>
      <c r="P48" s="10">
        <f>IF(ISNUMBER($E48),$E48,0)</f>
        <v/>
      </c>
    </row>
    <row r="49">
      <c r="A49" s="30" t="n">
        <v>46254</v>
      </c>
      <c r="B49" s="24" t="inlineStr">
        <is>
          <t>SO-06</t>
        </is>
      </c>
      <c r="C49" s="24" t="inlineStr">
        <is>
          <t>Noite</t>
        </is>
      </c>
      <c r="D49" s="31" t="n">
        <v>0.9131944444444444</v>
      </c>
      <c r="E49" s="31" t="n">
        <v>0.9409722222222222</v>
      </c>
      <c r="F49" s="25" t="inlineStr">
        <is>
          <t>Oftalmologia</t>
        </is>
      </c>
      <c r="G49" s="25" t="inlineStr">
        <is>
          <t>Facectomia com implante de LIO</t>
        </is>
      </c>
      <c r="H49" s="25" t="inlineStr">
        <is>
          <t>Dra. Hirano</t>
        </is>
      </c>
      <c r="I49" s="24" t="inlineStr">
        <is>
          <t>P</t>
        </is>
      </c>
      <c r="J49" s="24" t="inlineStr">
        <is>
          <t>Agendada</t>
        </is>
      </c>
      <c r="K49" s="32">
        <f>IF(OR($B49="",NOT(ISNUMBER($D49)),NOT(ISNUMBER($E49))),"",ROUND(MOD($E49-$D49,1)*1440,0))</f>
        <v/>
      </c>
      <c r="L49" s="32">
        <f>IF(NOT(ISNUMBER($K49)),0,IF(OR($K49&lt;=0,$J49="Cancelada",$J49="Suspensa"),0,$K49+Setup_Min))</f>
        <v/>
      </c>
      <c r="M49" s="17">
        <f>IF($B49="","",IF($N49="","OK",LEFT($N49,LEN($N49)-3)))</f>
        <v/>
      </c>
      <c r="N49" s="10">
        <f>IF($B49="","",IF(COUNTIF(Salas_Cod,$B49)=0,"Sala não cadastrada | ","")&amp;IF(AND(COUNTIF(Salas_Cod,$B49)&gt;0,IFERROR(INDEX(Salas_Status,MATCH($B49,Salas_Cod,0)),"")&lt;&gt;"Ativa"),"Sala bloqueada | ","")&amp;IF(COUNTIF(Turnos_Nome,$C49)=0,"Turno inválido | ","")&amp;IF(COUNTIF(Esp_Nome,$F49)=0,"Especialidade não cadastrada | ","")&amp;IF(COUNTIF(Lista_StatusCirurgia,$J49)=0,"Status inválido | ","")&amp;IF(OR(NOT(ISNUMBER($D49)),NOT(ISNUMBER($E49))),"Horário inválido | ","")&amp;IFERROR(IF(AND(ISNUMBER($D49),ISNUMBER($E49),MOD($E49-$D49,1)*1440&lt;=0),"Duração nula ou negativa | ",""),"")&amp;IFERROR(IF(AND(ISNUMBER($D49),COUNTIF(Turnos_Nome,$C49)&gt;0,MOD($D49-INDEX(Turnos_Ini,MATCH($C49,Turnos_Nome,0)),1)*1440&gt;=INDEX(Turnos_Min,MATCH($C49,Turnos_Nome,0))),"Início fora da janela do turno | ",""),"")&amp;IFERROR(IF(AND($L49&gt;0,SUMPRODUCT((Mapa_Sala=$B49)*(Mapa_Data=$A49)*(Mapa_MinOcup&gt;0)*(((MOD(Mapa_IniNum-$O49,1)&lt;MOD($P49-$O49,1))+(MOD($O49-Mapa_IniNum,1)&lt;MOD(Mapa_FimNum-Mapa_IniNum,1)))&gt;0))&gt;1),"Sobreposição de horário na sala | ",""),"")&amp;IFERROR(IF(AND(ISNUMBER($K49),$K49&gt;0,COUNTIF(Esp_Nome,$F49)&gt;0,$K49&gt;3*INDEX(Esp_Dur,MATCH($F49,Esp_Nome,0))),"Duração atípica (&gt;3x a média) | ",""),""))</f>
        <v/>
      </c>
      <c r="O49" s="10">
        <f>IF(ISNUMBER($D49),$D49,0)</f>
        <v/>
      </c>
      <c r="P49" s="10">
        <f>IF(ISNUMBER($E49),$E49,0)</f>
        <v/>
      </c>
    </row>
    <row r="50">
      <c r="A50" s="30" t="n">
        <v>46254</v>
      </c>
      <c r="B50" s="24" t="inlineStr">
        <is>
          <t>SO-06</t>
        </is>
      </c>
      <c r="C50" s="24" t="inlineStr">
        <is>
          <t>Noite</t>
        </is>
      </c>
      <c r="D50" s="31" t="n">
        <v>0.9618055555555556</v>
      </c>
      <c r="E50" s="31" t="n">
        <v>0.01388888888888889</v>
      </c>
      <c r="F50" s="25" t="inlineStr">
        <is>
          <t>Otorrinolaringologia</t>
        </is>
      </c>
      <c r="G50" s="25" t="inlineStr">
        <is>
          <t>Amigdalectomia</t>
        </is>
      </c>
      <c r="H50" s="25" t="inlineStr">
        <is>
          <t>Dr. Iglesias</t>
        </is>
      </c>
      <c r="I50" s="24" t="inlineStr">
        <is>
          <t>P</t>
        </is>
      </c>
      <c r="J50" s="24" t="inlineStr">
        <is>
          <t>Agendada</t>
        </is>
      </c>
      <c r="K50" s="32">
        <f>IF(OR($B50="",NOT(ISNUMBER($D50)),NOT(ISNUMBER($E50))),"",ROUND(MOD($E50-$D50,1)*1440,0))</f>
        <v/>
      </c>
      <c r="L50" s="32">
        <f>IF(NOT(ISNUMBER($K50)),0,IF(OR($K50&lt;=0,$J50="Cancelada",$J50="Suspensa"),0,$K50+Setup_Min))</f>
        <v/>
      </c>
      <c r="M50" s="17">
        <f>IF($B50="","",IF($N50="","OK",LEFT($N50,LEN($N50)-3)))</f>
        <v/>
      </c>
      <c r="N50" s="10">
        <f>IF($B50="","",IF(COUNTIF(Salas_Cod,$B50)=0,"Sala não cadastrada | ","")&amp;IF(AND(COUNTIF(Salas_Cod,$B50)&gt;0,IFERROR(INDEX(Salas_Status,MATCH($B50,Salas_Cod,0)),"")&lt;&gt;"Ativa"),"Sala bloqueada | ","")&amp;IF(COUNTIF(Turnos_Nome,$C50)=0,"Turno inválido | ","")&amp;IF(COUNTIF(Esp_Nome,$F50)=0,"Especialidade não cadastrada | ","")&amp;IF(COUNTIF(Lista_StatusCirurgia,$J50)=0,"Status inválido | ","")&amp;IF(OR(NOT(ISNUMBER($D50)),NOT(ISNUMBER($E50))),"Horário inválido | ","")&amp;IFERROR(IF(AND(ISNUMBER($D50),ISNUMBER($E50),MOD($E50-$D50,1)*1440&lt;=0),"Duração nula ou negativa | ",""),"")&amp;IFERROR(IF(AND(ISNUMBER($D50),COUNTIF(Turnos_Nome,$C50)&gt;0,MOD($D50-INDEX(Turnos_Ini,MATCH($C50,Turnos_Nome,0)),1)*1440&gt;=INDEX(Turnos_Min,MATCH($C50,Turnos_Nome,0))),"Início fora da janela do turno | ",""),"")&amp;IFERROR(IF(AND($L50&gt;0,SUMPRODUCT((Mapa_Sala=$B50)*(Mapa_Data=$A50)*(Mapa_MinOcup&gt;0)*(((MOD(Mapa_IniNum-$O50,1)&lt;MOD($P50-$O50,1))+(MOD($O50-Mapa_IniNum,1)&lt;MOD(Mapa_FimNum-Mapa_IniNum,1)))&gt;0))&gt;1),"Sobreposição de horário na sala | ",""),"")&amp;IFERROR(IF(AND(ISNUMBER($K50),$K50&gt;0,COUNTIF(Esp_Nome,$F50)&gt;0,$K50&gt;3*INDEX(Esp_Dur,MATCH($F50,Esp_Nome,0))),"Duração atípica (&gt;3x a média) | ",""),""))</f>
        <v/>
      </c>
      <c r="O50" s="10">
        <f>IF(ISNUMBER($D50),$D50,0)</f>
        <v/>
      </c>
      <c r="P50" s="10">
        <f>IF(ISNUMBER($E50),$E50,0)</f>
        <v/>
      </c>
    </row>
    <row r="51">
      <c r="A51" s="30" t="n">
        <v>46254</v>
      </c>
      <c r="B51" s="24" t="inlineStr">
        <is>
          <t>SO-06</t>
        </is>
      </c>
      <c r="C51" s="24" t="inlineStr">
        <is>
          <t>Noite</t>
        </is>
      </c>
      <c r="D51" s="31" t="n">
        <v>0.03472222222222222</v>
      </c>
      <c r="E51" s="31" t="n">
        <v>0.06597222222222222</v>
      </c>
      <c r="F51" s="25" t="inlineStr">
        <is>
          <t>Oftalmologia</t>
        </is>
      </c>
      <c r="G51" s="25" t="inlineStr">
        <is>
          <t>Facectomia com implante de LIO</t>
        </is>
      </c>
      <c r="H51" s="25" t="inlineStr">
        <is>
          <t>Dra. Jordão</t>
        </is>
      </c>
      <c r="I51" s="24" t="inlineStr">
        <is>
          <t>P</t>
        </is>
      </c>
      <c r="J51" s="24" t="inlineStr">
        <is>
          <t>Agendada</t>
        </is>
      </c>
      <c r="K51" s="32">
        <f>IF(OR($B51="",NOT(ISNUMBER($D51)),NOT(ISNUMBER($E51))),"",ROUND(MOD($E51-$D51,1)*1440,0))</f>
        <v/>
      </c>
      <c r="L51" s="32">
        <f>IF(NOT(ISNUMBER($K51)),0,IF(OR($K51&lt;=0,$J51="Cancelada",$J51="Suspensa"),0,$K51+Setup_Min))</f>
        <v/>
      </c>
      <c r="M51" s="17">
        <f>IF($B51="","",IF($N51="","OK",LEFT($N51,LEN($N51)-3)))</f>
        <v/>
      </c>
      <c r="N51" s="10">
        <f>IF($B51="","",IF(COUNTIF(Salas_Cod,$B51)=0,"Sala não cadastrada | ","")&amp;IF(AND(COUNTIF(Salas_Cod,$B51)&gt;0,IFERROR(INDEX(Salas_Status,MATCH($B51,Salas_Cod,0)),"")&lt;&gt;"Ativa"),"Sala bloqueada | ","")&amp;IF(COUNTIF(Turnos_Nome,$C51)=0,"Turno inválido | ","")&amp;IF(COUNTIF(Esp_Nome,$F51)=0,"Especialidade não cadastrada | ","")&amp;IF(COUNTIF(Lista_StatusCirurgia,$J51)=0,"Status inválido | ","")&amp;IF(OR(NOT(ISNUMBER($D51)),NOT(ISNUMBER($E51))),"Horário inválido | ","")&amp;IFERROR(IF(AND(ISNUMBER($D51),ISNUMBER($E51),MOD($E51-$D51,1)*1440&lt;=0),"Duração nula ou negativa | ",""),"")&amp;IFERROR(IF(AND(ISNUMBER($D51),COUNTIF(Turnos_Nome,$C51)&gt;0,MOD($D51-INDEX(Turnos_Ini,MATCH($C51,Turnos_Nome,0)),1)*1440&gt;=INDEX(Turnos_Min,MATCH($C51,Turnos_Nome,0))),"Início fora da janela do turno | ",""),"")&amp;IFERROR(IF(AND($L51&gt;0,SUMPRODUCT((Mapa_Sala=$B51)*(Mapa_Data=$A51)*(Mapa_MinOcup&gt;0)*(((MOD(Mapa_IniNum-$O51,1)&lt;MOD($P51-$O51,1))+(MOD($O51-Mapa_IniNum,1)&lt;MOD(Mapa_FimNum-Mapa_IniNum,1)))&gt;0))&gt;1),"Sobreposição de horário na sala | ",""),"")&amp;IFERROR(IF(AND(ISNUMBER($K51),$K51&gt;0,COUNTIF(Esp_Nome,$F51)&gt;0,$K51&gt;3*INDEX(Esp_Dur,MATCH($F51,Esp_Nome,0))),"Duração atípica (&gt;3x a média) | ",""),""))</f>
        <v/>
      </c>
      <c r="O51" s="10">
        <f>IF(ISNUMBER($D51),$D51,0)</f>
        <v/>
      </c>
      <c r="P51" s="10">
        <f>IF(ISNUMBER($E51),$E51,0)</f>
        <v/>
      </c>
    </row>
    <row r="52">
      <c r="A52" s="30" t="n">
        <v>46254</v>
      </c>
      <c r="B52" s="24" t="inlineStr">
        <is>
          <t>SO-07</t>
        </is>
      </c>
      <c r="C52" s="24" t="inlineStr">
        <is>
          <t>Manhã</t>
        </is>
      </c>
      <c r="D52" s="31" t="n">
        <v>0.2916666666666667</v>
      </c>
      <c r="E52" s="31" t="n">
        <v>0.3854166666666667</v>
      </c>
      <c r="F52" s="25" t="inlineStr">
        <is>
          <t>Cirurgia Plástica</t>
        </is>
      </c>
      <c r="G52" s="25" t="inlineStr">
        <is>
          <t>Dermolipectomia abdominal</t>
        </is>
      </c>
      <c r="H52" s="25" t="inlineStr">
        <is>
          <t>Dr. Iglesias</t>
        </is>
      </c>
      <c r="I52" s="24" t="inlineStr">
        <is>
          <t>M</t>
        </is>
      </c>
      <c r="J52" s="24" t="inlineStr">
        <is>
          <t>Agendada</t>
        </is>
      </c>
      <c r="K52" s="32">
        <f>IF(OR($B52="",NOT(ISNUMBER($D52)),NOT(ISNUMBER($E52))),"",ROUND(MOD($E52-$D52,1)*1440,0))</f>
        <v/>
      </c>
      <c r="L52" s="32">
        <f>IF(NOT(ISNUMBER($K52)),0,IF(OR($K52&lt;=0,$J52="Cancelada",$J52="Suspensa"),0,$K52+Setup_Min))</f>
        <v/>
      </c>
      <c r="M52" s="17">
        <f>IF($B52="","",IF($N52="","OK",LEFT($N52,LEN($N52)-3)))</f>
        <v/>
      </c>
      <c r="N52" s="10">
        <f>IF($B52="","",IF(COUNTIF(Salas_Cod,$B52)=0,"Sala não cadastrada | ","")&amp;IF(AND(COUNTIF(Salas_Cod,$B52)&gt;0,IFERROR(INDEX(Salas_Status,MATCH($B52,Salas_Cod,0)),"")&lt;&gt;"Ativa"),"Sala bloqueada | ","")&amp;IF(COUNTIF(Turnos_Nome,$C52)=0,"Turno inválido | ","")&amp;IF(COUNTIF(Esp_Nome,$F52)=0,"Especialidade não cadastrada | ","")&amp;IF(COUNTIF(Lista_StatusCirurgia,$J52)=0,"Status inválido | ","")&amp;IF(OR(NOT(ISNUMBER($D52)),NOT(ISNUMBER($E52))),"Horário inválido | ","")&amp;IFERROR(IF(AND(ISNUMBER($D52),ISNUMBER($E52),MOD($E52-$D52,1)*1440&lt;=0),"Duração nula ou negativa | ",""),"")&amp;IFERROR(IF(AND(ISNUMBER($D52),COUNTIF(Turnos_Nome,$C52)&gt;0,MOD($D52-INDEX(Turnos_Ini,MATCH($C52,Turnos_Nome,0)),1)*1440&gt;=INDEX(Turnos_Min,MATCH($C52,Turnos_Nome,0))),"Início fora da janela do turno | ",""),"")&amp;IFERROR(IF(AND($L52&gt;0,SUMPRODUCT((Mapa_Sala=$B52)*(Mapa_Data=$A52)*(Mapa_MinOcup&gt;0)*(((MOD(Mapa_IniNum-$O52,1)&lt;MOD($P52-$O52,1))+(MOD($O52-Mapa_IniNum,1)&lt;MOD(Mapa_FimNum-Mapa_IniNum,1)))&gt;0))&gt;1),"Sobreposição de horário na sala | ",""),"")&amp;IFERROR(IF(AND(ISNUMBER($K52),$K52&gt;0,COUNTIF(Esp_Nome,$F52)&gt;0,$K52&gt;3*INDEX(Esp_Dur,MATCH($F52,Esp_Nome,0))),"Duração atípica (&gt;3x a média) | ",""),""))</f>
        <v/>
      </c>
      <c r="O52" s="10">
        <f>IF(ISNUMBER($D52),$D52,0)</f>
        <v/>
      </c>
      <c r="P52" s="10">
        <f>IF(ISNUMBER($E52),$E52,0)</f>
        <v/>
      </c>
    </row>
    <row r="53">
      <c r="A53" s="30" t="n">
        <v>46254</v>
      </c>
      <c r="B53" s="24" t="inlineStr">
        <is>
          <t>SO-07</t>
        </is>
      </c>
      <c r="C53" s="24" t="inlineStr">
        <is>
          <t>Manhã</t>
        </is>
      </c>
      <c r="D53" s="31" t="n">
        <v>0.40625</v>
      </c>
      <c r="E53" s="31" t="n">
        <v>0.5034722222222222</v>
      </c>
      <c r="F53" s="25" t="inlineStr">
        <is>
          <t>Buco-Maxilo-Facial</t>
        </is>
      </c>
      <c r="G53" s="25" t="inlineStr">
        <is>
          <t>Redução de fratura de zigoma</t>
        </is>
      </c>
      <c r="H53" s="25" t="inlineStr">
        <is>
          <t>Dra. Jordão</t>
        </is>
      </c>
      <c r="I53" s="24" t="inlineStr">
        <is>
          <t>M</t>
        </is>
      </c>
      <c r="J53" s="24" t="inlineStr">
        <is>
          <t>Agendada</t>
        </is>
      </c>
      <c r="K53" s="32">
        <f>IF(OR($B53="",NOT(ISNUMBER($D53)),NOT(ISNUMBER($E53))),"",ROUND(MOD($E53-$D53,1)*1440,0))</f>
        <v/>
      </c>
      <c r="L53" s="32">
        <f>IF(NOT(ISNUMBER($K53)),0,IF(OR($K53&lt;=0,$J53="Cancelada",$J53="Suspensa"),0,$K53+Setup_Min))</f>
        <v/>
      </c>
      <c r="M53" s="17">
        <f>IF($B53="","",IF($N53="","OK",LEFT($N53,LEN($N53)-3)))</f>
        <v/>
      </c>
      <c r="N53" s="10">
        <f>IF($B53="","",IF(COUNTIF(Salas_Cod,$B53)=0,"Sala não cadastrada | ","")&amp;IF(AND(COUNTIF(Salas_Cod,$B53)&gt;0,IFERROR(INDEX(Salas_Status,MATCH($B53,Salas_Cod,0)),"")&lt;&gt;"Ativa"),"Sala bloqueada | ","")&amp;IF(COUNTIF(Turnos_Nome,$C53)=0,"Turno inválido | ","")&amp;IF(COUNTIF(Esp_Nome,$F53)=0,"Especialidade não cadastrada | ","")&amp;IF(COUNTIF(Lista_StatusCirurgia,$J53)=0,"Status inválido | ","")&amp;IF(OR(NOT(ISNUMBER($D53)),NOT(ISNUMBER($E53))),"Horário inválido | ","")&amp;IFERROR(IF(AND(ISNUMBER($D53),ISNUMBER($E53),MOD($E53-$D53,1)*1440&lt;=0),"Duração nula ou negativa | ",""),"")&amp;IFERROR(IF(AND(ISNUMBER($D53),COUNTIF(Turnos_Nome,$C53)&gt;0,MOD($D53-INDEX(Turnos_Ini,MATCH($C53,Turnos_Nome,0)),1)*1440&gt;=INDEX(Turnos_Min,MATCH($C53,Turnos_Nome,0))),"Início fora da janela do turno | ",""),"")&amp;IFERROR(IF(AND($L53&gt;0,SUMPRODUCT((Mapa_Sala=$B53)*(Mapa_Data=$A53)*(Mapa_MinOcup&gt;0)*(((MOD(Mapa_IniNum-$O53,1)&lt;MOD($P53-$O53,1))+(MOD($O53-Mapa_IniNum,1)&lt;MOD(Mapa_FimNum-Mapa_IniNum,1)))&gt;0))&gt;1),"Sobreposição de horário na sala | ",""),"")&amp;IFERROR(IF(AND(ISNUMBER($K53),$K53&gt;0,COUNTIF(Esp_Nome,$F53)&gt;0,$K53&gt;3*INDEX(Esp_Dur,MATCH($F53,Esp_Nome,0))),"Duração atípica (&gt;3x a média) | ",""),""))</f>
        <v/>
      </c>
      <c r="O53" s="10">
        <f>IF(ISNUMBER($D53),$D53,0)</f>
        <v/>
      </c>
      <c r="P53" s="10">
        <f>IF(ISNUMBER($E53),$E53,0)</f>
        <v/>
      </c>
    </row>
    <row r="54">
      <c r="A54" s="30" t="n">
        <v>46254</v>
      </c>
      <c r="B54" s="24" t="inlineStr">
        <is>
          <t>SO-07</t>
        </is>
      </c>
      <c r="C54" s="24" t="inlineStr">
        <is>
          <t>Tarde</t>
        </is>
      </c>
      <c r="D54" s="31" t="n">
        <v>0.5416666666666666</v>
      </c>
      <c r="E54" s="31" t="n">
        <v>0.625</v>
      </c>
      <c r="F54" s="25" t="inlineStr">
        <is>
          <t>Cirurgia Plástica</t>
        </is>
      </c>
      <c r="G54" s="25" t="inlineStr">
        <is>
          <t>Dermolipectomia abdominal</t>
        </is>
      </c>
      <c r="H54" s="25" t="inlineStr">
        <is>
          <t>Dr. Iglesias</t>
        </is>
      </c>
      <c r="I54" s="24" t="inlineStr">
        <is>
          <t>M</t>
        </is>
      </c>
      <c r="J54" s="24" t="inlineStr">
        <is>
          <t>Agendada</t>
        </is>
      </c>
      <c r="K54" s="32">
        <f>IF(OR($B54="",NOT(ISNUMBER($D54)),NOT(ISNUMBER($E54))),"",ROUND(MOD($E54-$D54,1)*1440,0))</f>
        <v/>
      </c>
      <c r="L54" s="32">
        <f>IF(NOT(ISNUMBER($K54)),0,IF(OR($K54&lt;=0,$J54="Cancelada",$J54="Suspensa"),0,$K54+Setup_Min))</f>
        <v/>
      </c>
      <c r="M54" s="17">
        <f>IF($B54="","",IF($N54="","OK",LEFT($N54,LEN($N54)-3)))</f>
        <v/>
      </c>
      <c r="N54" s="10">
        <f>IF($B54="","",IF(COUNTIF(Salas_Cod,$B54)=0,"Sala não cadastrada | ","")&amp;IF(AND(COUNTIF(Salas_Cod,$B54)&gt;0,IFERROR(INDEX(Salas_Status,MATCH($B54,Salas_Cod,0)),"")&lt;&gt;"Ativa"),"Sala bloqueada | ","")&amp;IF(COUNTIF(Turnos_Nome,$C54)=0,"Turno inválido | ","")&amp;IF(COUNTIF(Esp_Nome,$F54)=0,"Especialidade não cadastrada | ","")&amp;IF(COUNTIF(Lista_StatusCirurgia,$J54)=0,"Status inválido | ","")&amp;IF(OR(NOT(ISNUMBER($D54)),NOT(ISNUMBER($E54))),"Horário inválido | ","")&amp;IFERROR(IF(AND(ISNUMBER($D54),ISNUMBER($E54),MOD($E54-$D54,1)*1440&lt;=0),"Duração nula ou negativa | ",""),"")&amp;IFERROR(IF(AND(ISNUMBER($D54),COUNTIF(Turnos_Nome,$C54)&gt;0,MOD($D54-INDEX(Turnos_Ini,MATCH($C54,Turnos_Nome,0)),1)*1440&gt;=INDEX(Turnos_Min,MATCH($C54,Turnos_Nome,0))),"Início fora da janela do turno | ",""),"")&amp;IFERROR(IF(AND($L54&gt;0,SUMPRODUCT((Mapa_Sala=$B54)*(Mapa_Data=$A54)*(Mapa_MinOcup&gt;0)*(((MOD(Mapa_IniNum-$O54,1)&lt;MOD($P54-$O54,1))+(MOD($O54-Mapa_IniNum,1)&lt;MOD(Mapa_FimNum-Mapa_IniNum,1)))&gt;0))&gt;1),"Sobreposição de horário na sala | ",""),"")&amp;IFERROR(IF(AND(ISNUMBER($K54),$K54&gt;0,COUNTIF(Esp_Nome,$F54)&gt;0,$K54&gt;3*INDEX(Esp_Dur,MATCH($F54,Esp_Nome,0))),"Duração atípica (&gt;3x a média) | ",""),""))</f>
        <v/>
      </c>
      <c r="O54" s="10">
        <f>IF(ISNUMBER($D54),$D54,0)</f>
        <v/>
      </c>
      <c r="P54" s="10">
        <f>IF(ISNUMBER($E54),$E54,0)</f>
        <v/>
      </c>
    </row>
    <row r="55">
      <c r="A55" s="30" t="n">
        <v>46254</v>
      </c>
      <c r="B55" s="24" t="inlineStr">
        <is>
          <t>SO-07</t>
        </is>
      </c>
      <c r="C55" s="24" t="inlineStr">
        <is>
          <t>Tarde</t>
        </is>
      </c>
      <c r="D55" s="31" t="n">
        <v>0.6458333333333334</v>
      </c>
      <c r="E55" s="31" t="n">
        <v>0.7361111111111112</v>
      </c>
      <c r="F55" s="25" t="inlineStr">
        <is>
          <t>Buco-Maxilo-Facial</t>
        </is>
      </c>
      <c r="G55" s="25" t="inlineStr">
        <is>
          <t>Redução de fratura de zigoma</t>
        </is>
      </c>
      <c r="H55" s="25" t="inlineStr">
        <is>
          <t>Dra. Jordão</t>
        </is>
      </c>
      <c r="I55" s="24" t="inlineStr">
        <is>
          <t>M</t>
        </is>
      </c>
      <c r="J55" s="24" t="inlineStr">
        <is>
          <t>Agendada</t>
        </is>
      </c>
      <c r="K55" s="32">
        <f>IF(OR($B55="",NOT(ISNUMBER($D55)),NOT(ISNUMBER($E55))),"",ROUND(MOD($E55-$D55,1)*1440,0))</f>
        <v/>
      </c>
      <c r="L55" s="32">
        <f>IF(NOT(ISNUMBER($K55)),0,IF(OR($K55&lt;=0,$J55="Cancelada",$J55="Suspensa"),0,$K55+Setup_Min))</f>
        <v/>
      </c>
      <c r="M55" s="17">
        <f>IF($B55="","",IF($N55="","OK",LEFT($N55,LEN($N55)-3)))</f>
        <v/>
      </c>
      <c r="N55" s="10">
        <f>IF($B55="","",IF(COUNTIF(Salas_Cod,$B55)=0,"Sala não cadastrada | ","")&amp;IF(AND(COUNTIF(Salas_Cod,$B55)&gt;0,IFERROR(INDEX(Salas_Status,MATCH($B55,Salas_Cod,0)),"")&lt;&gt;"Ativa"),"Sala bloqueada | ","")&amp;IF(COUNTIF(Turnos_Nome,$C55)=0,"Turno inválido | ","")&amp;IF(COUNTIF(Esp_Nome,$F55)=0,"Especialidade não cadastrada | ","")&amp;IF(COUNTIF(Lista_StatusCirurgia,$J55)=0,"Status inválido | ","")&amp;IF(OR(NOT(ISNUMBER($D55)),NOT(ISNUMBER($E55))),"Horário inválido | ","")&amp;IFERROR(IF(AND(ISNUMBER($D55),ISNUMBER($E55),MOD($E55-$D55,1)*1440&lt;=0),"Duração nula ou negativa | ",""),"")&amp;IFERROR(IF(AND(ISNUMBER($D55),COUNTIF(Turnos_Nome,$C55)&gt;0,MOD($D55-INDEX(Turnos_Ini,MATCH($C55,Turnos_Nome,0)),1)*1440&gt;=INDEX(Turnos_Min,MATCH($C55,Turnos_Nome,0))),"Início fora da janela do turno | ",""),"")&amp;IFERROR(IF(AND($L55&gt;0,SUMPRODUCT((Mapa_Sala=$B55)*(Mapa_Data=$A55)*(Mapa_MinOcup&gt;0)*(((MOD(Mapa_IniNum-$O55,1)&lt;MOD($P55-$O55,1))+(MOD($O55-Mapa_IniNum,1)&lt;MOD(Mapa_FimNum-Mapa_IniNum,1)))&gt;0))&gt;1),"Sobreposição de horário na sala | ",""),"")&amp;IFERROR(IF(AND(ISNUMBER($K55),$K55&gt;0,COUNTIF(Esp_Nome,$F55)&gt;0,$K55&gt;3*INDEX(Esp_Dur,MATCH($F55,Esp_Nome,0))),"Duração atípica (&gt;3x a média) | ",""),""))</f>
        <v/>
      </c>
      <c r="O55" s="10">
        <f>IF(ISNUMBER($D55),$D55,0)</f>
        <v/>
      </c>
      <c r="P55" s="10">
        <f>IF(ISNUMBER($E55),$E55,0)</f>
        <v/>
      </c>
    </row>
    <row r="56">
      <c r="A56" s="30" t="n">
        <v>46254</v>
      </c>
      <c r="B56" s="24" t="inlineStr">
        <is>
          <t>SO-07</t>
        </is>
      </c>
      <c r="C56" s="24" t="inlineStr">
        <is>
          <t>Noite</t>
        </is>
      </c>
      <c r="D56" s="31" t="n">
        <v>0.7916666666666666</v>
      </c>
      <c r="E56" s="31" t="n">
        <v>0.8680555555555556</v>
      </c>
      <c r="F56" s="25" t="inlineStr">
        <is>
          <t>Cirurgia Plástica</t>
        </is>
      </c>
      <c r="G56" s="25" t="inlineStr">
        <is>
          <t>Dermolipectomia abdominal</t>
        </is>
      </c>
      <c r="H56" s="25" t="inlineStr">
        <is>
          <t>Dr. Iglesias</t>
        </is>
      </c>
      <c r="I56" s="24" t="inlineStr">
        <is>
          <t>M</t>
        </is>
      </c>
      <c r="J56" s="24" t="inlineStr">
        <is>
          <t>Agendada</t>
        </is>
      </c>
      <c r="K56" s="32">
        <f>IF(OR($B56="",NOT(ISNUMBER($D56)),NOT(ISNUMBER($E56))),"",ROUND(MOD($E56-$D56,1)*1440,0))</f>
        <v/>
      </c>
      <c r="L56" s="32">
        <f>IF(NOT(ISNUMBER($K56)),0,IF(OR($K56&lt;=0,$J56="Cancelada",$J56="Suspensa"),0,$K56+Setup_Min))</f>
        <v/>
      </c>
      <c r="M56" s="17">
        <f>IF($B56="","",IF($N56="","OK",LEFT($N56,LEN($N56)-3)))</f>
        <v/>
      </c>
      <c r="N56" s="10">
        <f>IF($B56="","",IF(COUNTIF(Salas_Cod,$B56)=0,"Sala não cadastrada | ","")&amp;IF(AND(COUNTIF(Salas_Cod,$B56)&gt;0,IFERROR(INDEX(Salas_Status,MATCH($B56,Salas_Cod,0)),"")&lt;&gt;"Ativa"),"Sala bloqueada | ","")&amp;IF(COUNTIF(Turnos_Nome,$C56)=0,"Turno inválido | ","")&amp;IF(COUNTIF(Esp_Nome,$F56)=0,"Especialidade não cadastrada | ","")&amp;IF(COUNTIF(Lista_StatusCirurgia,$J56)=0,"Status inválido | ","")&amp;IF(OR(NOT(ISNUMBER($D56)),NOT(ISNUMBER($E56))),"Horário inválido | ","")&amp;IFERROR(IF(AND(ISNUMBER($D56),ISNUMBER($E56),MOD($E56-$D56,1)*1440&lt;=0),"Duração nula ou negativa | ",""),"")&amp;IFERROR(IF(AND(ISNUMBER($D56),COUNTIF(Turnos_Nome,$C56)&gt;0,MOD($D56-INDEX(Turnos_Ini,MATCH($C56,Turnos_Nome,0)),1)*1440&gt;=INDEX(Turnos_Min,MATCH($C56,Turnos_Nome,0))),"Início fora da janela do turno | ",""),"")&amp;IFERROR(IF(AND($L56&gt;0,SUMPRODUCT((Mapa_Sala=$B56)*(Mapa_Data=$A56)*(Mapa_MinOcup&gt;0)*(((MOD(Mapa_IniNum-$O56,1)&lt;MOD($P56-$O56,1))+(MOD($O56-Mapa_IniNum,1)&lt;MOD(Mapa_FimNum-Mapa_IniNum,1)))&gt;0))&gt;1),"Sobreposição de horário na sala | ",""),"")&amp;IFERROR(IF(AND(ISNUMBER($K56),$K56&gt;0,COUNTIF(Esp_Nome,$F56)&gt;0,$K56&gt;3*INDEX(Esp_Dur,MATCH($F56,Esp_Nome,0))),"Duração atípica (&gt;3x a média) | ",""),""))</f>
        <v/>
      </c>
      <c r="O56" s="10">
        <f>IF(ISNUMBER($D56),$D56,0)</f>
        <v/>
      </c>
      <c r="P56" s="10">
        <f>IF(ISNUMBER($E56),$E56,0)</f>
        <v/>
      </c>
    </row>
    <row r="57">
      <c r="A57" s="30" t="n">
        <v>46254</v>
      </c>
      <c r="B57" s="24" t="inlineStr">
        <is>
          <t>SO-07</t>
        </is>
      </c>
      <c r="C57" s="24" t="inlineStr">
        <is>
          <t>Noite</t>
        </is>
      </c>
      <c r="D57" s="31" t="n">
        <v>0.8888888888888888</v>
      </c>
      <c r="E57" s="31" t="n">
        <v>0.9722222222222222</v>
      </c>
      <c r="F57" s="25" t="inlineStr">
        <is>
          <t>Buco-Maxilo-Facial</t>
        </is>
      </c>
      <c r="G57" s="25" t="inlineStr">
        <is>
          <t>Redução de fratura de zigoma</t>
        </is>
      </c>
      <c r="H57" s="25" t="inlineStr">
        <is>
          <t>Dra. Jordão</t>
        </is>
      </c>
      <c r="I57" s="24" t="inlineStr">
        <is>
          <t>M</t>
        </is>
      </c>
      <c r="J57" s="24" t="inlineStr">
        <is>
          <t>Agendada</t>
        </is>
      </c>
      <c r="K57" s="32">
        <f>IF(OR($B57="",NOT(ISNUMBER($D57)),NOT(ISNUMBER($E57))),"",ROUND(MOD($E57-$D57,1)*1440,0))</f>
        <v/>
      </c>
      <c r="L57" s="32">
        <f>IF(NOT(ISNUMBER($K57)),0,IF(OR($K57&lt;=0,$J57="Cancelada",$J57="Suspensa"),0,$K57+Setup_Min))</f>
        <v/>
      </c>
      <c r="M57" s="17">
        <f>IF($B57="","",IF($N57="","OK",LEFT($N57,LEN($N57)-3)))</f>
        <v/>
      </c>
      <c r="N57" s="10">
        <f>IF($B57="","",IF(COUNTIF(Salas_Cod,$B57)=0,"Sala não cadastrada | ","")&amp;IF(AND(COUNTIF(Salas_Cod,$B57)&gt;0,IFERROR(INDEX(Salas_Status,MATCH($B57,Salas_Cod,0)),"")&lt;&gt;"Ativa"),"Sala bloqueada | ","")&amp;IF(COUNTIF(Turnos_Nome,$C57)=0,"Turno inválido | ","")&amp;IF(COUNTIF(Esp_Nome,$F57)=0,"Especialidade não cadastrada | ","")&amp;IF(COUNTIF(Lista_StatusCirurgia,$J57)=0,"Status inválido | ","")&amp;IF(OR(NOT(ISNUMBER($D57)),NOT(ISNUMBER($E57))),"Horário inválido | ","")&amp;IFERROR(IF(AND(ISNUMBER($D57),ISNUMBER($E57),MOD($E57-$D57,1)*1440&lt;=0),"Duração nula ou negativa | ",""),"")&amp;IFERROR(IF(AND(ISNUMBER($D57),COUNTIF(Turnos_Nome,$C57)&gt;0,MOD($D57-INDEX(Turnos_Ini,MATCH($C57,Turnos_Nome,0)),1)*1440&gt;=INDEX(Turnos_Min,MATCH($C57,Turnos_Nome,0))),"Início fora da janela do turno | ",""),"")&amp;IFERROR(IF(AND($L57&gt;0,SUMPRODUCT((Mapa_Sala=$B57)*(Mapa_Data=$A57)*(Mapa_MinOcup&gt;0)*(((MOD(Mapa_IniNum-$O57,1)&lt;MOD($P57-$O57,1))+(MOD($O57-Mapa_IniNum,1)&lt;MOD(Mapa_FimNum-Mapa_IniNum,1)))&gt;0))&gt;1),"Sobreposição de horário na sala | ",""),"")&amp;IFERROR(IF(AND(ISNUMBER($K57),$K57&gt;0,COUNTIF(Esp_Nome,$F57)&gt;0,$K57&gt;3*INDEX(Esp_Dur,MATCH($F57,Esp_Nome,0))),"Duração atípica (&gt;3x a média) | ",""),""))</f>
        <v/>
      </c>
      <c r="O57" s="10">
        <f>IF(ISNUMBER($D57),$D57,0)</f>
        <v/>
      </c>
      <c r="P57" s="10">
        <f>IF(ISNUMBER($E57),$E57,0)</f>
        <v/>
      </c>
    </row>
    <row r="58">
      <c r="A58" s="30" t="n">
        <v>46254</v>
      </c>
      <c r="B58" s="24" t="inlineStr">
        <is>
          <t>SO-07</t>
        </is>
      </c>
      <c r="C58" s="24" t="inlineStr">
        <is>
          <t>Noite</t>
        </is>
      </c>
      <c r="D58" s="31" t="n">
        <v>0.9930555555555556</v>
      </c>
      <c r="E58" s="31" t="n">
        <v>0.09375</v>
      </c>
      <c r="F58" s="25" t="inlineStr">
        <is>
          <t>Cirurgia Plástica</t>
        </is>
      </c>
      <c r="G58" s="25" t="inlineStr">
        <is>
          <t>Dermolipectomia abdominal</t>
        </is>
      </c>
      <c r="H58" s="25" t="inlineStr">
        <is>
          <t>Dr. Almeida</t>
        </is>
      </c>
      <c r="I58" s="24" t="inlineStr">
        <is>
          <t>M</t>
        </is>
      </c>
      <c r="J58" s="24" t="inlineStr">
        <is>
          <t>Agendada</t>
        </is>
      </c>
      <c r="K58" s="32">
        <f>IF(OR($B58="",NOT(ISNUMBER($D58)),NOT(ISNUMBER($E58))),"",ROUND(MOD($E58-$D58,1)*1440,0))</f>
        <v/>
      </c>
      <c r="L58" s="32">
        <f>IF(NOT(ISNUMBER($K58)),0,IF(OR($K58&lt;=0,$J58="Cancelada",$J58="Suspensa"),0,$K58+Setup_Min))</f>
        <v/>
      </c>
      <c r="M58" s="17">
        <f>IF($B58="","",IF($N58="","OK",LEFT($N58,LEN($N58)-3)))</f>
        <v/>
      </c>
      <c r="N58" s="10">
        <f>IF($B58="","",IF(COUNTIF(Salas_Cod,$B58)=0,"Sala não cadastrada | ","")&amp;IF(AND(COUNTIF(Salas_Cod,$B58)&gt;0,IFERROR(INDEX(Salas_Status,MATCH($B58,Salas_Cod,0)),"")&lt;&gt;"Ativa"),"Sala bloqueada | ","")&amp;IF(COUNTIF(Turnos_Nome,$C58)=0,"Turno inválido | ","")&amp;IF(COUNTIF(Esp_Nome,$F58)=0,"Especialidade não cadastrada | ","")&amp;IF(COUNTIF(Lista_StatusCirurgia,$J58)=0,"Status inválido | ","")&amp;IF(OR(NOT(ISNUMBER($D58)),NOT(ISNUMBER($E58))),"Horário inválido | ","")&amp;IFERROR(IF(AND(ISNUMBER($D58),ISNUMBER($E58),MOD($E58-$D58,1)*1440&lt;=0),"Duração nula ou negativa | ",""),"")&amp;IFERROR(IF(AND(ISNUMBER($D58),COUNTIF(Turnos_Nome,$C58)&gt;0,MOD($D58-INDEX(Turnos_Ini,MATCH($C58,Turnos_Nome,0)),1)*1440&gt;=INDEX(Turnos_Min,MATCH($C58,Turnos_Nome,0))),"Início fora da janela do turno | ",""),"")&amp;IFERROR(IF(AND($L58&gt;0,SUMPRODUCT((Mapa_Sala=$B58)*(Mapa_Data=$A58)*(Mapa_MinOcup&gt;0)*(((MOD(Mapa_IniNum-$O58,1)&lt;MOD($P58-$O58,1))+(MOD($O58-Mapa_IniNum,1)&lt;MOD(Mapa_FimNum-Mapa_IniNum,1)))&gt;0))&gt;1),"Sobreposição de horário na sala | ",""),"")&amp;IFERROR(IF(AND(ISNUMBER($K58),$K58&gt;0,COUNTIF(Esp_Nome,$F58)&gt;0,$K58&gt;3*INDEX(Esp_Dur,MATCH($F58,Esp_Nome,0))),"Duração atípica (&gt;3x a média) | ",""),""))</f>
        <v/>
      </c>
      <c r="O58" s="10">
        <f>IF(ISNUMBER($D58),$D58,0)</f>
        <v/>
      </c>
      <c r="P58" s="10">
        <f>IF(ISNUMBER($E58),$E58,0)</f>
        <v/>
      </c>
    </row>
    <row r="59">
      <c r="A59" s="30" t="n">
        <v>46254</v>
      </c>
      <c r="B59" s="24" t="inlineStr">
        <is>
          <t>SO-08</t>
        </is>
      </c>
      <c r="C59" s="24" t="inlineStr">
        <is>
          <t>Manhã</t>
        </is>
      </c>
      <c r="D59" s="31" t="n">
        <v>0.2916666666666667</v>
      </c>
      <c r="E59" s="31" t="n">
        <v>0.3576388888888889</v>
      </c>
      <c r="F59" s="25" t="inlineStr">
        <is>
          <t>Cirurgia Pediátrica</t>
        </is>
      </c>
      <c r="G59" s="25" t="inlineStr">
        <is>
          <t>Postectomia</t>
        </is>
      </c>
      <c r="H59" s="25" t="inlineStr">
        <is>
          <t>Dra. Bernardes</t>
        </is>
      </c>
      <c r="I59" s="24" t="inlineStr">
        <is>
          <t>M</t>
        </is>
      </c>
      <c r="J59" s="24" t="inlineStr">
        <is>
          <t>Agendada</t>
        </is>
      </c>
      <c r="K59" s="32">
        <f>IF(OR($B59="",NOT(ISNUMBER($D59)),NOT(ISNUMBER($E59))),"",ROUND(MOD($E59-$D59,1)*1440,0))</f>
        <v/>
      </c>
      <c r="L59" s="32">
        <f>IF(NOT(ISNUMBER($K59)),0,IF(OR($K59&lt;=0,$J59="Cancelada",$J59="Suspensa"),0,$K59+Setup_Min))</f>
        <v/>
      </c>
      <c r="M59" s="17">
        <f>IF($B59="","",IF($N59="","OK",LEFT($N59,LEN($N59)-3)))</f>
        <v/>
      </c>
      <c r="N59" s="10">
        <f>IF($B59="","",IF(COUNTIF(Salas_Cod,$B59)=0,"Sala não cadastrada | ","")&amp;IF(AND(COUNTIF(Salas_Cod,$B59)&gt;0,IFERROR(INDEX(Salas_Status,MATCH($B59,Salas_Cod,0)),"")&lt;&gt;"Ativa"),"Sala bloqueada | ","")&amp;IF(COUNTIF(Turnos_Nome,$C59)=0,"Turno inválido | ","")&amp;IF(COUNTIF(Esp_Nome,$F59)=0,"Especialidade não cadastrada | ","")&amp;IF(COUNTIF(Lista_StatusCirurgia,$J59)=0,"Status inválido | ","")&amp;IF(OR(NOT(ISNUMBER($D59)),NOT(ISNUMBER($E59))),"Horário inválido | ","")&amp;IFERROR(IF(AND(ISNUMBER($D59),ISNUMBER($E59),MOD($E59-$D59,1)*1440&lt;=0),"Duração nula ou negativa | ",""),"")&amp;IFERROR(IF(AND(ISNUMBER($D59),COUNTIF(Turnos_Nome,$C59)&gt;0,MOD($D59-INDEX(Turnos_Ini,MATCH($C59,Turnos_Nome,0)),1)*1440&gt;=INDEX(Turnos_Min,MATCH($C59,Turnos_Nome,0))),"Início fora da janela do turno | ",""),"")&amp;IFERROR(IF(AND($L59&gt;0,SUMPRODUCT((Mapa_Sala=$B59)*(Mapa_Data=$A59)*(Mapa_MinOcup&gt;0)*(((MOD(Mapa_IniNum-$O59,1)&lt;MOD($P59-$O59,1))+(MOD($O59-Mapa_IniNum,1)&lt;MOD(Mapa_FimNum-Mapa_IniNum,1)))&gt;0))&gt;1),"Sobreposição de horário na sala | ",""),"")&amp;IFERROR(IF(AND(ISNUMBER($K59),$K59&gt;0,COUNTIF(Esp_Nome,$F59)&gt;0,$K59&gt;3*INDEX(Esp_Dur,MATCH($F59,Esp_Nome,0))),"Duração atípica (&gt;3x a média) | ",""),""))</f>
        <v/>
      </c>
      <c r="O59" s="10">
        <f>IF(ISNUMBER($D59),$D59,0)</f>
        <v/>
      </c>
      <c r="P59" s="10">
        <f>IF(ISNUMBER($E59),$E59,0)</f>
        <v/>
      </c>
    </row>
    <row r="60">
      <c r="A60" s="30" t="n">
        <v>46254</v>
      </c>
      <c r="B60" s="24" t="inlineStr">
        <is>
          <t>SO-08</t>
        </is>
      </c>
      <c r="C60" s="24" t="inlineStr">
        <is>
          <t>Manhã</t>
        </is>
      </c>
      <c r="D60" s="31" t="n">
        <v>0.3784722222222222</v>
      </c>
      <c r="E60" s="31" t="n">
        <v>0.4236111111111111</v>
      </c>
      <c r="F60" s="25" t="inlineStr">
        <is>
          <t>Obstetrícia</t>
        </is>
      </c>
      <c r="G60" s="25" t="inlineStr">
        <is>
          <t>Curetagem uterina</t>
        </is>
      </c>
      <c r="H60" s="25" t="inlineStr">
        <is>
          <t>Dr. Coelho</t>
        </is>
      </c>
      <c r="I60" s="24" t="inlineStr">
        <is>
          <t>P</t>
        </is>
      </c>
      <c r="J60" s="24" t="inlineStr">
        <is>
          <t>Suspensa</t>
        </is>
      </c>
      <c r="K60" s="32">
        <f>IF(OR($B60="",NOT(ISNUMBER($D60)),NOT(ISNUMBER($E60))),"",ROUND(MOD($E60-$D60,1)*1440,0))</f>
        <v/>
      </c>
      <c r="L60" s="32">
        <f>IF(NOT(ISNUMBER($K60)),0,IF(OR($K60&lt;=0,$J60="Cancelada",$J60="Suspensa"),0,$K60+Setup_Min))</f>
        <v/>
      </c>
      <c r="M60" s="17">
        <f>IF($B60="","",IF($N60="","OK",LEFT($N60,LEN($N60)-3)))</f>
        <v/>
      </c>
      <c r="N60" s="10">
        <f>IF($B60="","",IF(COUNTIF(Salas_Cod,$B60)=0,"Sala não cadastrada | ","")&amp;IF(AND(COUNTIF(Salas_Cod,$B60)&gt;0,IFERROR(INDEX(Salas_Status,MATCH($B60,Salas_Cod,0)),"")&lt;&gt;"Ativa"),"Sala bloqueada | ","")&amp;IF(COUNTIF(Turnos_Nome,$C60)=0,"Turno inválido | ","")&amp;IF(COUNTIF(Esp_Nome,$F60)=0,"Especialidade não cadastrada | ","")&amp;IF(COUNTIF(Lista_StatusCirurgia,$J60)=0,"Status inválido | ","")&amp;IF(OR(NOT(ISNUMBER($D60)),NOT(ISNUMBER($E60))),"Horário inválido | ","")&amp;IFERROR(IF(AND(ISNUMBER($D60),ISNUMBER($E60),MOD($E60-$D60,1)*1440&lt;=0),"Duração nula ou negativa | ",""),"")&amp;IFERROR(IF(AND(ISNUMBER($D60),COUNTIF(Turnos_Nome,$C60)&gt;0,MOD($D60-INDEX(Turnos_Ini,MATCH($C60,Turnos_Nome,0)),1)*1440&gt;=INDEX(Turnos_Min,MATCH($C60,Turnos_Nome,0))),"Início fora da janela do turno | ",""),"")&amp;IFERROR(IF(AND($L60&gt;0,SUMPRODUCT((Mapa_Sala=$B60)*(Mapa_Data=$A60)*(Mapa_MinOcup&gt;0)*(((MOD(Mapa_IniNum-$O60,1)&lt;MOD($P60-$O60,1))+(MOD($O60-Mapa_IniNum,1)&lt;MOD(Mapa_FimNum-Mapa_IniNum,1)))&gt;0))&gt;1),"Sobreposição de horário na sala | ",""),"")&amp;IFERROR(IF(AND(ISNUMBER($K60),$K60&gt;0,COUNTIF(Esp_Nome,$F60)&gt;0,$K60&gt;3*INDEX(Esp_Dur,MATCH($F60,Esp_Nome,0))),"Duração atípica (&gt;3x a média) | ",""),""))</f>
        <v/>
      </c>
      <c r="O60" s="10">
        <f>IF(ISNUMBER($D60),$D60,0)</f>
        <v/>
      </c>
      <c r="P60" s="10">
        <f>IF(ISNUMBER($E60),$E60,0)</f>
        <v/>
      </c>
    </row>
    <row r="61">
      <c r="A61" s="30" t="n">
        <v>46254</v>
      </c>
      <c r="B61" s="24" t="inlineStr">
        <is>
          <t>SO-08</t>
        </is>
      </c>
      <c r="C61" s="24" t="inlineStr">
        <is>
          <t>Manhã</t>
        </is>
      </c>
      <c r="D61" s="31" t="n">
        <v>0.4444444444444444</v>
      </c>
      <c r="E61" s="31" t="n">
        <v>0.5208333333333334</v>
      </c>
      <c r="F61" s="25" t="inlineStr">
        <is>
          <t>Cirurgia Pediátrica</t>
        </is>
      </c>
      <c r="G61" s="25" t="inlineStr">
        <is>
          <t>Postectomia</t>
        </is>
      </c>
      <c r="H61" s="25" t="inlineStr">
        <is>
          <t>Dra. Delgado</t>
        </is>
      </c>
      <c r="I61" s="24" t="inlineStr">
        <is>
          <t>M</t>
        </is>
      </c>
      <c r="J61" s="24" t="inlineStr">
        <is>
          <t>Agendada</t>
        </is>
      </c>
      <c r="K61" s="32">
        <f>IF(OR($B61="",NOT(ISNUMBER($D61)),NOT(ISNUMBER($E61))),"",ROUND(MOD($E61-$D61,1)*1440,0))</f>
        <v/>
      </c>
      <c r="L61" s="32">
        <f>IF(NOT(ISNUMBER($K61)),0,IF(OR($K61&lt;=0,$J61="Cancelada",$J61="Suspensa"),0,$K61+Setup_Min))</f>
        <v/>
      </c>
      <c r="M61" s="17">
        <f>IF($B61="","",IF($N61="","OK",LEFT($N61,LEN($N61)-3)))</f>
        <v/>
      </c>
      <c r="N61" s="10">
        <f>IF($B61="","",IF(COUNTIF(Salas_Cod,$B61)=0,"Sala não cadastrada | ","")&amp;IF(AND(COUNTIF(Salas_Cod,$B61)&gt;0,IFERROR(INDEX(Salas_Status,MATCH($B61,Salas_Cod,0)),"")&lt;&gt;"Ativa"),"Sala bloqueada | ","")&amp;IF(COUNTIF(Turnos_Nome,$C61)=0,"Turno inválido | ","")&amp;IF(COUNTIF(Esp_Nome,$F61)=0,"Especialidade não cadastrada | ","")&amp;IF(COUNTIF(Lista_StatusCirurgia,$J61)=0,"Status inválido | ","")&amp;IF(OR(NOT(ISNUMBER($D61)),NOT(ISNUMBER($E61))),"Horário inválido | ","")&amp;IFERROR(IF(AND(ISNUMBER($D61),ISNUMBER($E61),MOD($E61-$D61,1)*1440&lt;=0),"Duração nula ou negativa | ",""),"")&amp;IFERROR(IF(AND(ISNUMBER($D61),COUNTIF(Turnos_Nome,$C61)&gt;0,MOD($D61-INDEX(Turnos_Ini,MATCH($C61,Turnos_Nome,0)),1)*1440&gt;=INDEX(Turnos_Min,MATCH($C61,Turnos_Nome,0))),"Início fora da janela do turno | ",""),"")&amp;IFERROR(IF(AND($L61&gt;0,SUMPRODUCT((Mapa_Sala=$B61)*(Mapa_Data=$A61)*(Mapa_MinOcup&gt;0)*(((MOD(Mapa_IniNum-$O61,1)&lt;MOD($P61-$O61,1))+(MOD($O61-Mapa_IniNum,1)&lt;MOD(Mapa_FimNum-Mapa_IniNum,1)))&gt;0))&gt;1),"Sobreposição de horário na sala | ",""),"")&amp;IFERROR(IF(AND(ISNUMBER($K61),$K61&gt;0,COUNTIF(Esp_Nome,$F61)&gt;0,$K61&gt;3*INDEX(Esp_Dur,MATCH($F61,Esp_Nome,0))),"Duração atípica (&gt;3x a média) | ",""),""))</f>
        <v/>
      </c>
      <c r="O61" s="10">
        <f>IF(ISNUMBER($D61),$D61,0)</f>
        <v/>
      </c>
      <c r="P61" s="10">
        <f>IF(ISNUMBER($E61),$E61,0)</f>
        <v/>
      </c>
    </row>
    <row r="62">
      <c r="A62" s="30" t="n">
        <v>46254</v>
      </c>
      <c r="B62" s="24" t="inlineStr">
        <is>
          <t>SO-08</t>
        </is>
      </c>
      <c r="C62" s="24" t="inlineStr">
        <is>
          <t>Tarde</t>
        </is>
      </c>
      <c r="D62" s="31" t="n">
        <v>0.5416666666666666</v>
      </c>
      <c r="E62" s="31" t="n">
        <v>0.59375</v>
      </c>
      <c r="F62" s="25" t="inlineStr">
        <is>
          <t>Cirurgia Pediátrica</t>
        </is>
      </c>
      <c r="G62" s="25" t="inlineStr">
        <is>
          <t>Postectomia</t>
        </is>
      </c>
      <c r="H62" s="25" t="inlineStr">
        <is>
          <t>Dra. Bernardes</t>
        </is>
      </c>
      <c r="I62" s="24" t="inlineStr">
        <is>
          <t>P</t>
        </is>
      </c>
      <c r="J62" s="24" t="inlineStr">
        <is>
          <t>Agendada</t>
        </is>
      </c>
      <c r="K62" s="32">
        <f>IF(OR($B62="",NOT(ISNUMBER($D62)),NOT(ISNUMBER($E62))),"",ROUND(MOD($E62-$D62,1)*1440,0))</f>
        <v/>
      </c>
      <c r="L62" s="32">
        <f>IF(NOT(ISNUMBER($K62)),0,IF(OR($K62&lt;=0,$J62="Cancelada",$J62="Suspensa"),0,$K62+Setup_Min))</f>
        <v/>
      </c>
      <c r="M62" s="17">
        <f>IF($B62="","",IF($N62="","OK",LEFT($N62,LEN($N62)-3)))</f>
        <v/>
      </c>
      <c r="N62" s="10">
        <f>IF($B62="","",IF(COUNTIF(Salas_Cod,$B62)=0,"Sala não cadastrada | ","")&amp;IF(AND(COUNTIF(Salas_Cod,$B62)&gt;0,IFERROR(INDEX(Salas_Status,MATCH($B62,Salas_Cod,0)),"")&lt;&gt;"Ativa"),"Sala bloqueada | ","")&amp;IF(COUNTIF(Turnos_Nome,$C62)=0,"Turno inválido | ","")&amp;IF(COUNTIF(Esp_Nome,$F62)=0,"Especialidade não cadastrada | ","")&amp;IF(COUNTIF(Lista_StatusCirurgia,$J62)=0,"Status inválido | ","")&amp;IF(OR(NOT(ISNUMBER($D62)),NOT(ISNUMBER($E62))),"Horário inválido | ","")&amp;IFERROR(IF(AND(ISNUMBER($D62),ISNUMBER($E62),MOD($E62-$D62,1)*1440&lt;=0),"Duração nula ou negativa | ",""),"")&amp;IFERROR(IF(AND(ISNUMBER($D62),COUNTIF(Turnos_Nome,$C62)&gt;0,MOD($D62-INDEX(Turnos_Ini,MATCH($C62,Turnos_Nome,0)),1)*1440&gt;=INDEX(Turnos_Min,MATCH($C62,Turnos_Nome,0))),"Início fora da janela do turno | ",""),"")&amp;IFERROR(IF(AND($L62&gt;0,SUMPRODUCT((Mapa_Sala=$B62)*(Mapa_Data=$A62)*(Mapa_MinOcup&gt;0)*(((MOD(Mapa_IniNum-$O62,1)&lt;MOD($P62-$O62,1))+(MOD($O62-Mapa_IniNum,1)&lt;MOD(Mapa_FimNum-Mapa_IniNum,1)))&gt;0))&gt;1),"Sobreposição de horário na sala | ",""),"")&amp;IFERROR(IF(AND(ISNUMBER($K62),$K62&gt;0,COUNTIF(Esp_Nome,$F62)&gt;0,$K62&gt;3*INDEX(Esp_Dur,MATCH($F62,Esp_Nome,0))),"Duração atípica (&gt;3x a média) | ",""),""))</f>
        <v/>
      </c>
      <c r="O62" s="10">
        <f>IF(ISNUMBER($D62),$D62,0)</f>
        <v/>
      </c>
      <c r="P62" s="10">
        <f>IF(ISNUMBER($E62),$E62,0)</f>
        <v/>
      </c>
    </row>
    <row r="63">
      <c r="A63" s="30" t="n">
        <v>46254</v>
      </c>
      <c r="B63" s="24" t="inlineStr">
        <is>
          <t>SO-08</t>
        </is>
      </c>
      <c r="C63" s="24" t="inlineStr">
        <is>
          <t>Tarde</t>
        </is>
      </c>
      <c r="D63" s="31" t="n">
        <v>0.6145833333333334</v>
      </c>
      <c r="E63" s="31" t="n">
        <v>0.6597222222222222</v>
      </c>
      <c r="F63" s="25" t="inlineStr">
        <is>
          <t>Obstetrícia</t>
        </is>
      </c>
      <c r="G63" s="25" t="inlineStr">
        <is>
          <t>Curetagem uterina</t>
        </is>
      </c>
      <c r="H63" s="25" t="inlineStr">
        <is>
          <t>Dr. Coelho</t>
        </is>
      </c>
      <c r="I63" s="24" t="inlineStr">
        <is>
          <t>P</t>
        </is>
      </c>
      <c r="J63" s="24" t="inlineStr">
        <is>
          <t>Agendada</t>
        </is>
      </c>
      <c r="K63" s="32">
        <f>IF(OR($B63="",NOT(ISNUMBER($D63)),NOT(ISNUMBER($E63))),"",ROUND(MOD($E63-$D63,1)*1440,0))</f>
        <v/>
      </c>
      <c r="L63" s="32">
        <f>IF(NOT(ISNUMBER($K63)),0,IF(OR($K63&lt;=0,$J63="Cancelada",$J63="Suspensa"),0,$K63+Setup_Min))</f>
        <v/>
      </c>
      <c r="M63" s="17">
        <f>IF($B63="","",IF($N63="","OK",LEFT($N63,LEN($N63)-3)))</f>
        <v/>
      </c>
      <c r="N63" s="10">
        <f>IF($B63="","",IF(COUNTIF(Salas_Cod,$B63)=0,"Sala não cadastrada | ","")&amp;IF(AND(COUNTIF(Salas_Cod,$B63)&gt;0,IFERROR(INDEX(Salas_Status,MATCH($B63,Salas_Cod,0)),"")&lt;&gt;"Ativa"),"Sala bloqueada | ","")&amp;IF(COUNTIF(Turnos_Nome,$C63)=0,"Turno inválido | ","")&amp;IF(COUNTIF(Esp_Nome,$F63)=0,"Especialidade não cadastrada | ","")&amp;IF(COUNTIF(Lista_StatusCirurgia,$J63)=0,"Status inválido | ","")&amp;IF(OR(NOT(ISNUMBER($D63)),NOT(ISNUMBER($E63))),"Horário inválido | ","")&amp;IFERROR(IF(AND(ISNUMBER($D63),ISNUMBER($E63),MOD($E63-$D63,1)*1440&lt;=0),"Duração nula ou negativa | ",""),"")&amp;IFERROR(IF(AND(ISNUMBER($D63),COUNTIF(Turnos_Nome,$C63)&gt;0,MOD($D63-INDEX(Turnos_Ini,MATCH($C63,Turnos_Nome,0)),1)*1440&gt;=INDEX(Turnos_Min,MATCH($C63,Turnos_Nome,0))),"Início fora da janela do turno | ",""),"")&amp;IFERROR(IF(AND($L63&gt;0,SUMPRODUCT((Mapa_Sala=$B63)*(Mapa_Data=$A63)*(Mapa_MinOcup&gt;0)*(((MOD(Mapa_IniNum-$O63,1)&lt;MOD($P63-$O63,1))+(MOD($O63-Mapa_IniNum,1)&lt;MOD(Mapa_FimNum-Mapa_IniNum,1)))&gt;0))&gt;1),"Sobreposição de horário na sala | ",""),"")&amp;IFERROR(IF(AND(ISNUMBER($K63),$K63&gt;0,COUNTIF(Esp_Nome,$F63)&gt;0,$K63&gt;3*INDEX(Esp_Dur,MATCH($F63,Esp_Nome,0))),"Duração atípica (&gt;3x a média) | ",""),""))</f>
        <v/>
      </c>
      <c r="O63" s="10">
        <f>IF(ISNUMBER($D63),$D63,0)</f>
        <v/>
      </c>
      <c r="P63" s="10">
        <f>IF(ISNUMBER($E63),$E63,0)</f>
        <v/>
      </c>
    </row>
    <row r="64">
      <c r="A64" s="30" t="n">
        <v>46254</v>
      </c>
      <c r="B64" s="24" t="inlineStr">
        <is>
          <t>SO-08</t>
        </is>
      </c>
      <c r="C64" s="24" t="inlineStr">
        <is>
          <t>Tarde</t>
        </is>
      </c>
      <c r="D64" s="31" t="n">
        <v>0.6805555555555556</v>
      </c>
      <c r="E64" s="31" t="n">
        <v>0.7569444444444444</v>
      </c>
      <c r="F64" s="25" t="inlineStr">
        <is>
          <t>Cirurgia Pediátrica</t>
        </is>
      </c>
      <c r="G64" s="25" t="inlineStr">
        <is>
          <t>Postectomia</t>
        </is>
      </c>
      <c r="H64" s="25" t="inlineStr">
        <is>
          <t>Dra. Delgado</t>
        </is>
      </c>
      <c r="I64" s="24" t="inlineStr">
        <is>
          <t>M</t>
        </is>
      </c>
      <c r="J64" s="24" t="inlineStr">
        <is>
          <t>Agendada</t>
        </is>
      </c>
      <c r="K64" s="32">
        <f>IF(OR($B64="",NOT(ISNUMBER($D64)),NOT(ISNUMBER($E64))),"",ROUND(MOD($E64-$D64,1)*1440,0))</f>
        <v/>
      </c>
      <c r="L64" s="32">
        <f>IF(NOT(ISNUMBER($K64)),0,IF(OR($K64&lt;=0,$J64="Cancelada",$J64="Suspensa"),0,$K64+Setup_Min))</f>
        <v/>
      </c>
      <c r="M64" s="17">
        <f>IF($B64="","",IF($N64="","OK",LEFT($N64,LEN($N64)-3)))</f>
        <v/>
      </c>
      <c r="N64" s="10">
        <f>IF($B64="","",IF(COUNTIF(Salas_Cod,$B64)=0,"Sala não cadastrada | ","")&amp;IF(AND(COUNTIF(Salas_Cod,$B64)&gt;0,IFERROR(INDEX(Salas_Status,MATCH($B64,Salas_Cod,0)),"")&lt;&gt;"Ativa"),"Sala bloqueada | ","")&amp;IF(COUNTIF(Turnos_Nome,$C64)=0,"Turno inválido | ","")&amp;IF(COUNTIF(Esp_Nome,$F64)=0,"Especialidade não cadastrada | ","")&amp;IF(COUNTIF(Lista_StatusCirurgia,$J64)=0,"Status inválido | ","")&amp;IF(OR(NOT(ISNUMBER($D64)),NOT(ISNUMBER($E64))),"Horário inválido | ","")&amp;IFERROR(IF(AND(ISNUMBER($D64),ISNUMBER($E64),MOD($E64-$D64,1)*1440&lt;=0),"Duração nula ou negativa | ",""),"")&amp;IFERROR(IF(AND(ISNUMBER($D64),COUNTIF(Turnos_Nome,$C64)&gt;0,MOD($D64-INDEX(Turnos_Ini,MATCH($C64,Turnos_Nome,0)),1)*1440&gt;=INDEX(Turnos_Min,MATCH($C64,Turnos_Nome,0))),"Início fora da janela do turno | ",""),"")&amp;IFERROR(IF(AND($L64&gt;0,SUMPRODUCT((Mapa_Sala=$B64)*(Mapa_Data=$A64)*(Mapa_MinOcup&gt;0)*(((MOD(Mapa_IniNum-$O64,1)&lt;MOD($P64-$O64,1))+(MOD($O64-Mapa_IniNum,1)&lt;MOD(Mapa_FimNum-Mapa_IniNum,1)))&gt;0))&gt;1),"Sobreposição de horário na sala | ",""),"")&amp;IFERROR(IF(AND(ISNUMBER($K64),$K64&gt;0,COUNTIF(Esp_Nome,$F64)&gt;0,$K64&gt;3*INDEX(Esp_Dur,MATCH($F64,Esp_Nome,0))),"Duração atípica (&gt;3x a média) | ",""),""))</f>
        <v/>
      </c>
      <c r="O64" s="10">
        <f>IF(ISNUMBER($D64),$D64,0)</f>
        <v/>
      </c>
      <c r="P64" s="10">
        <f>IF(ISNUMBER($E64),$E64,0)</f>
        <v/>
      </c>
    </row>
    <row r="65">
      <c r="A65" s="30" t="n">
        <v>46254</v>
      </c>
      <c r="B65" s="24" t="inlineStr">
        <is>
          <t>SO-08</t>
        </is>
      </c>
      <c r="C65" s="24" t="inlineStr">
        <is>
          <t>Noite</t>
        </is>
      </c>
      <c r="D65" s="31" t="n">
        <v>0.7916666666666666</v>
      </c>
      <c r="E65" s="31" t="n">
        <v>0.84375</v>
      </c>
      <c r="F65" s="25" t="inlineStr">
        <is>
          <t>Cirurgia Pediátrica</t>
        </is>
      </c>
      <c r="G65" s="25" t="inlineStr">
        <is>
          <t>Postectomia</t>
        </is>
      </c>
      <c r="H65" s="25" t="inlineStr">
        <is>
          <t>Dra. Bernardes</t>
        </is>
      </c>
      <c r="I65" s="24" t="inlineStr">
        <is>
          <t>P</t>
        </is>
      </c>
      <c r="J65" s="24" t="inlineStr">
        <is>
          <t>Agendada</t>
        </is>
      </c>
      <c r="K65" s="32">
        <f>IF(OR($B65="",NOT(ISNUMBER($D65)),NOT(ISNUMBER($E65))),"",ROUND(MOD($E65-$D65,1)*1440,0))</f>
        <v/>
      </c>
      <c r="L65" s="32">
        <f>IF(NOT(ISNUMBER($K65)),0,IF(OR($K65&lt;=0,$J65="Cancelada",$J65="Suspensa"),0,$K65+Setup_Min))</f>
        <v/>
      </c>
      <c r="M65" s="17">
        <f>IF($B65="","",IF($N65="","OK",LEFT($N65,LEN($N65)-3)))</f>
        <v/>
      </c>
      <c r="N65" s="10">
        <f>IF($B65="","",IF(COUNTIF(Salas_Cod,$B65)=0,"Sala não cadastrada | ","")&amp;IF(AND(COUNTIF(Salas_Cod,$B65)&gt;0,IFERROR(INDEX(Salas_Status,MATCH($B65,Salas_Cod,0)),"")&lt;&gt;"Ativa"),"Sala bloqueada | ","")&amp;IF(COUNTIF(Turnos_Nome,$C65)=0,"Turno inválido | ","")&amp;IF(COUNTIF(Esp_Nome,$F65)=0,"Especialidade não cadastrada | ","")&amp;IF(COUNTIF(Lista_StatusCirurgia,$J65)=0,"Status inválido | ","")&amp;IF(OR(NOT(ISNUMBER($D65)),NOT(ISNUMBER($E65))),"Horário inválido | ","")&amp;IFERROR(IF(AND(ISNUMBER($D65),ISNUMBER($E65),MOD($E65-$D65,1)*1440&lt;=0),"Duração nula ou negativa | ",""),"")&amp;IFERROR(IF(AND(ISNUMBER($D65),COUNTIF(Turnos_Nome,$C65)&gt;0,MOD($D65-INDEX(Turnos_Ini,MATCH($C65,Turnos_Nome,0)),1)*1440&gt;=INDEX(Turnos_Min,MATCH($C65,Turnos_Nome,0))),"Início fora da janela do turno | ",""),"")&amp;IFERROR(IF(AND($L65&gt;0,SUMPRODUCT((Mapa_Sala=$B65)*(Mapa_Data=$A65)*(Mapa_MinOcup&gt;0)*(((MOD(Mapa_IniNum-$O65,1)&lt;MOD($P65-$O65,1))+(MOD($O65-Mapa_IniNum,1)&lt;MOD(Mapa_FimNum-Mapa_IniNum,1)))&gt;0))&gt;1),"Sobreposição de horário na sala | ",""),"")&amp;IFERROR(IF(AND(ISNUMBER($K65),$K65&gt;0,COUNTIF(Esp_Nome,$F65)&gt;0,$K65&gt;3*INDEX(Esp_Dur,MATCH($F65,Esp_Nome,0))),"Duração atípica (&gt;3x a média) | ",""),""))</f>
        <v/>
      </c>
      <c r="O65" s="10">
        <f>IF(ISNUMBER($D65),$D65,0)</f>
        <v/>
      </c>
      <c r="P65" s="10">
        <f>IF(ISNUMBER($E65),$E65,0)</f>
        <v/>
      </c>
    </row>
    <row r="66">
      <c r="A66" s="30" t="n">
        <v>46254</v>
      </c>
      <c r="B66" s="24" t="inlineStr">
        <is>
          <t>SO-08</t>
        </is>
      </c>
      <c r="C66" s="24" t="inlineStr">
        <is>
          <t>Noite</t>
        </is>
      </c>
      <c r="D66" s="31" t="n">
        <v>0.8645833333333334</v>
      </c>
      <c r="E66" s="31" t="n">
        <v>0.9131944444444444</v>
      </c>
      <c r="F66" s="25" t="inlineStr">
        <is>
          <t>Obstetrícia</t>
        </is>
      </c>
      <c r="G66" s="25" t="inlineStr">
        <is>
          <t>Curetagem uterina</t>
        </is>
      </c>
      <c r="H66" s="25" t="inlineStr">
        <is>
          <t>Dr. Coelho</t>
        </is>
      </c>
      <c r="I66" s="24" t="inlineStr">
        <is>
          <t>P</t>
        </is>
      </c>
      <c r="J66" s="24" t="inlineStr">
        <is>
          <t>Agendada</t>
        </is>
      </c>
      <c r="K66" s="32">
        <f>IF(OR($B66="",NOT(ISNUMBER($D66)),NOT(ISNUMBER($E66))),"",ROUND(MOD($E66-$D66,1)*1440,0))</f>
        <v/>
      </c>
      <c r="L66" s="32">
        <f>IF(NOT(ISNUMBER($K66)),0,IF(OR($K66&lt;=0,$J66="Cancelada",$J66="Suspensa"),0,$K66+Setup_Min))</f>
        <v/>
      </c>
      <c r="M66" s="17">
        <f>IF($B66="","",IF($N66="","OK",LEFT($N66,LEN($N66)-3)))</f>
        <v/>
      </c>
      <c r="N66" s="10">
        <f>IF($B66="","",IF(COUNTIF(Salas_Cod,$B66)=0,"Sala não cadastrada | ","")&amp;IF(AND(COUNTIF(Salas_Cod,$B66)&gt;0,IFERROR(INDEX(Salas_Status,MATCH($B66,Salas_Cod,0)),"")&lt;&gt;"Ativa"),"Sala bloqueada | ","")&amp;IF(COUNTIF(Turnos_Nome,$C66)=0,"Turno inválido | ","")&amp;IF(COUNTIF(Esp_Nome,$F66)=0,"Especialidade não cadastrada | ","")&amp;IF(COUNTIF(Lista_StatusCirurgia,$J66)=0,"Status inválido | ","")&amp;IF(OR(NOT(ISNUMBER($D66)),NOT(ISNUMBER($E66))),"Horário inválido | ","")&amp;IFERROR(IF(AND(ISNUMBER($D66),ISNUMBER($E66),MOD($E66-$D66,1)*1440&lt;=0),"Duração nula ou negativa | ",""),"")&amp;IFERROR(IF(AND(ISNUMBER($D66),COUNTIF(Turnos_Nome,$C66)&gt;0,MOD($D66-INDEX(Turnos_Ini,MATCH($C66,Turnos_Nome,0)),1)*1440&gt;=INDEX(Turnos_Min,MATCH($C66,Turnos_Nome,0))),"Início fora da janela do turno | ",""),"")&amp;IFERROR(IF(AND($L66&gt;0,SUMPRODUCT((Mapa_Sala=$B66)*(Mapa_Data=$A66)*(Mapa_MinOcup&gt;0)*(((MOD(Mapa_IniNum-$O66,1)&lt;MOD($P66-$O66,1))+(MOD($O66-Mapa_IniNum,1)&lt;MOD(Mapa_FimNum-Mapa_IniNum,1)))&gt;0))&gt;1),"Sobreposição de horário na sala | ",""),"")&amp;IFERROR(IF(AND(ISNUMBER($K66),$K66&gt;0,COUNTIF(Esp_Nome,$F66)&gt;0,$K66&gt;3*INDEX(Esp_Dur,MATCH($F66,Esp_Nome,0))),"Duração atípica (&gt;3x a média) | ",""),""))</f>
        <v/>
      </c>
      <c r="O66" s="10">
        <f>IF(ISNUMBER($D66),$D66,0)</f>
        <v/>
      </c>
      <c r="P66" s="10">
        <f>IF(ISNUMBER($E66),$E66,0)</f>
        <v/>
      </c>
    </row>
    <row r="67">
      <c r="A67" s="30" t="n">
        <v>46254</v>
      </c>
      <c r="B67" s="24" t="inlineStr">
        <is>
          <t>SO-08</t>
        </is>
      </c>
      <c r="C67" s="24" t="inlineStr">
        <is>
          <t>Noite</t>
        </is>
      </c>
      <c r="D67" s="31" t="n">
        <v>0.9340277777777778</v>
      </c>
      <c r="E67" s="31" t="n">
        <v>0.9895833333333334</v>
      </c>
      <c r="F67" s="25" t="inlineStr">
        <is>
          <t>Cirurgia Pediátrica</t>
        </is>
      </c>
      <c r="G67" s="25" t="inlineStr">
        <is>
          <t>Postectomia</t>
        </is>
      </c>
      <c r="H67" s="25" t="inlineStr">
        <is>
          <t>Dra. Delgado</t>
        </is>
      </c>
      <c r="I67" s="24" t="inlineStr">
        <is>
          <t>P</t>
        </is>
      </c>
      <c r="J67" s="24" t="inlineStr">
        <is>
          <t>Agendada</t>
        </is>
      </c>
      <c r="K67" s="32">
        <f>IF(OR($B67="",NOT(ISNUMBER($D67)),NOT(ISNUMBER($E67))),"",ROUND(MOD($E67-$D67,1)*1440,0))</f>
        <v/>
      </c>
      <c r="L67" s="32">
        <f>IF(NOT(ISNUMBER($K67)),0,IF(OR($K67&lt;=0,$J67="Cancelada",$J67="Suspensa"),0,$K67+Setup_Min))</f>
        <v/>
      </c>
      <c r="M67" s="17">
        <f>IF($B67="","",IF($N67="","OK",LEFT($N67,LEN($N67)-3)))</f>
        <v/>
      </c>
      <c r="N67" s="10">
        <f>IF($B67="","",IF(COUNTIF(Salas_Cod,$B67)=0,"Sala não cadastrada | ","")&amp;IF(AND(COUNTIF(Salas_Cod,$B67)&gt;0,IFERROR(INDEX(Salas_Status,MATCH($B67,Salas_Cod,0)),"")&lt;&gt;"Ativa"),"Sala bloqueada | ","")&amp;IF(COUNTIF(Turnos_Nome,$C67)=0,"Turno inválido | ","")&amp;IF(COUNTIF(Esp_Nome,$F67)=0,"Especialidade não cadastrada | ","")&amp;IF(COUNTIF(Lista_StatusCirurgia,$J67)=0,"Status inválido | ","")&amp;IF(OR(NOT(ISNUMBER($D67)),NOT(ISNUMBER($E67))),"Horário inválido | ","")&amp;IFERROR(IF(AND(ISNUMBER($D67),ISNUMBER($E67),MOD($E67-$D67,1)*1440&lt;=0),"Duração nula ou negativa | ",""),"")&amp;IFERROR(IF(AND(ISNUMBER($D67),COUNTIF(Turnos_Nome,$C67)&gt;0,MOD($D67-INDEX(Turnos_Ini,MATCH($C67,Turnos_Nome,0)),1)*1440&gt;=INDEX(Turnos_Min,MATCH($C67,Turnos_Nome,0))),"Início fora da janela do turno | ",""),"")&amp;IFERROR(IF(AND($L67&gt;0,SUMPRODUCT((Mapa_Sala=$B67)*(Mapa_Data=$A67)*(Mapa_MinOcup&gt;0)*(((MOD(Mapa_IniNum-$O67,1)&lt;MOD($P67-$O67,1))+(MOD($O67-Mapa_IniNum,1)&lt;MOD(Mapa_FimNum-Mapa_IniNum,1)))&gt;0))&gt;1),"Sobreposição de horário na sala | ",""),"")&amp;IFERROR(IF(AND(ISNUMBER($K67),$K67&gt;0,COUNTIF(Esp_Nome,$F67)&gt;0,$K67&gt;3*INDEX(Esp_Dur,MATCH($F67,Esp_Nome,0))),"Duração atípica (&gt;3x a média) | ",""),""))</f>
        <v/>
      </c>
      <c r="O67" s="10">
        <f>IF(ISNUMBER($D67),$D67,0)</f>
        <v/>
      </c>
      <c r="P67" s="10">
        <f>IF(ISNUMBER($E67),$E67,0)</f>
        <v/>
      </c>
    </row>
    <row r="68">
      <c r="A68" s="30" t="n">
        <v>46254</v>
      </c>
      <c r="B68" s="24" t="inlineStr">
        <is>
          <t>SO-08</t>
        </is>
      </c>
      <c r="C68" s="24" t="inlineStr">
        <is>
          <t>Noite</t>
        </is>
      </c>
      <c r="D68" s="31" t="n">
        <v>0.01041666666666667</v>
      </c>
      <c r="E68" s="31" t="n">
        <v>0.05555555555555555</v>
      </c>
      <c r="F68" s="25" t="inlineStr">
        <is>
          <t>Obstetrícia</t>
        </is>
      </c>
      <c r="G68" s="25" t="inlineStr">
        <is>
          <t>Curetagem uterina</t>
        </is>
      </c>
      <c r="H68" s="25" t="inlineStr">
        <is>
          <t>Dr. Esteves</t>
        </is>
      </c>
      <c r="I68" s="24" t="inlineStr">
        <is>
          <t>P</t>
        </is>
      </c>
      <c r="J68" s="24" t="inlineStr">
        <is>
          <t>Agendada</t>
        </is>
      </c>
      <c r="K68" s="32">
        <f>IF(OR($B68="",NOT(ISNUMBER($D68)),NOT(ISNUMBER($E68))),"",ROUND(MOD($E68-$D68,1)*1440,0))</f>
        <v/>
      </c>
      <c r="L68" s="32">
        <f>IF(NOT(ISNUMBER($K68)),0,IF(OR($K68&lt;=0,$J68="Cancelada",$J68="Suspensa"),0,$K68+Setup_Min))</f>
        <v/>
      </c>
      <c r="M68" s="17">
        <f>IF($B68="","",IF($N68="","OK",LEFT($N68,LEN($N68)-3)))</f>
        <v/>
      </c>
      <c r="N68" s="10">
        <f>IF($B68="","",IF(COUNTIF(Salas_Cod,$B68)=0,"Sala não cadastrada | ","")&amp;IF(AND(COUNTIF(Salas_Cod,$B68)&gt;0,IFERROR(INDEX(Salas_Status,MATCH($B68,Salas_Cod,0)),"")&lt;&gt;"Ativa"),"Sala bloqueada | ","")&amp;IF(COUNTIF(Turnos_Nome,$C68)=0,"Turno inválido | ","")&amp;IF(COUNTIF(Esp_Nome,$F68)=0,"Especialidade não cadastrada | ","")&amp;IF(COUNTIF(Lista_StatusCirurgia,$J68)=0,"Status inválido | ","")&amp;IF(OR(NOT(ISNUMBER($D68)),NOT(ISNUMBER($E68))),"Horário inválido | ","")&amp;IFERROR(IF(AND(ISNUMBER($D68),ISNUMBER($E68),MOD($E68-$D68,1)*1440&lt;=0),"Duração nula ou negativa | ",""),"")&amp;IFERROR(IF(AND(ISNUMBER($D68),COUNTIF(Turnos_Nome,$C68)&gt;0,MOD($D68-INDEX(Turnos_Ini,MATCH($C68,Turnos_Nome,0)),1)*1440&gt;=INDEX(Turnos_Min,MATCH($C68,Turnos_Nome,0))),"Início fora da janela do turno | ",""),"")&amp;IFERROR(IF(AND($L68&gt;0,SUMPRODUCT((Mapa_Sala=$B68)*(Mapa_Data=$A68)*(Mapa_MinOcup&gt;0)*(((MOD(Mapa_IniNum-$O68,1)&lt;MOD($P68-$O68,1))+(MOD($O68-Mapa_IniNum,1)&lt;MOD(Mapa_FimNum-Mapa_IniNum,1)))&gt;0))&gt;1),"Sobreposição de horário na sala | ",""),"")&amp;IFERROR(IF(AND(ISNUMBER($K68),$K68&gt;0,COUNTIF(Esp_Nome,$F68)&gt;0,$K68&gt;3*INDEX(Esp_Dur,MATCH($F68,Esp_Nome,0))),"Duração atípica (&gt;3x a média) | ",""),""))</f>
        <v/>
      </c>
      <c r="O68" s="10">
        <f>IF(ISNUMBER($D68),$D68,0)</f>
        <v/>
      </c>
      <c r="P68" s="10">
        <f>IF(ISNUMBER($E68),$E68,0)</f>
        <v/>
      </c>
    </row>
    <row r="69">
      <c r="A69" s="30" t="n">
        <v>46254</v>
      </c>
      <c r="B69" s="24" t="inlineStr">
        <is>
          <t>SO-08</t>
        </is>
      </c>
      <c r="C69" s="24" t="inlineStr">
        <is>
          <t>Noite</t>
        </is>
      </c>
      <c r="D69" s="31" t="n">
        <v>0.0763888888888889</v>
      </c>
      <c r="E69" s="31" t="n">
        <v>0.1458333333333333</v>
      </c>
      <c r="F69" s="25" t="inlineStr">
        <is>
          <t>Cirurgia Pediátrica</t>
        </is>
      </c>
      <c r="G69" s="25" t="inlineStr">
        <is>
          <t>Postectomia</t>
        </is>
      </c>
      <c r="H69" s="25" t="inlineStr">
        <is>
          <t>Dra. Fialho</t>
        </is>
      </c>
      <c r="I69" s="24" t="inlineStr">
        <is>
          <t>M</t>
        </is>
      </c>
      <c r="J69" s="24" t="inlineStr">
        <is>
          <t>Agendada</t>
        </is>
      </c>
      <c r="K69" s="32">
        <f>IF(OR($B69="",NOT(ISNUMBER($D69)),NOT(ISNUMBER($E69))),"",ROUND(MOD($E69-$D69,1)*1440,0))</f>
        <v/>
      </c>
      <c r="L69" s="32">
        <f>IF(NOT(ISNUMBER($K69)),0,IF(OR($K69&lt;=0,$J69="Cancelada",$J69="Suspensa"),0,$K69+Setup_Min))</f>
        <v/>
      </c>
      <c r="M69" s="17">
        <f>IF($B69="","",IF($N69="","OK",LEFT($N69,LEN($N69)-3)))</f>
        <v/>
      </c>
      <c r="N69" s="10">
        <f>IF($B69="","",IF(COUNTIF(Salas_Cod,$B69)=0,"Sala não cadastrada | ","")&amp;IF(AND(COUNTIF(Salas_Cod,$B69)&gt;0,IFERROR(INDEX(Salas_Status,MATCH($B69,Salas_Cod,0)),"")&lt;&gt;"Ativa"),"Sala bloqueada | ","")&amp;IF(COUNTIF(Turnos_Nome,$C69)=0,"Turno inválido | ","")&amp;IF(COUNTIF(Esp_Nome,$F69)=0,"Especialidade não cadastrada | ","")&amp;IF(COUNTIF(Lista_StatusCirurgia,$J69)=0,"Status inválido | ","")&amp;IF(OR(NOT(ISNUMBER($D69)),NOT(ISNUMBER($E69))),"Horário inválido | ","")&amp;IFERROR(IF(AND(ISNUMBER($D69),ISNUMBER($E69),MOD($E69-$D69,1)*1440&lt;=0),"Duração nula ou negativa | ",""),"")&amp;IFERROR(IF(AND(ISNUMBER($D69),COUNTIF(Turnos_Nome,$C69)&gt;0,MOD($D69-INDEX(Turnos_Ini,MATCH($C69,Turnos_Nome,0)),1)*1440&gt;=INDEX(Turnos_Min,MATCH($C69,Turnos_Nome,0))),"Início fora da janela do turno | ",""),"")&amp;IFERROR(IF(AND($L69&gt;0,SUMPRODUCT((Mapa_Sala=$B69)*(Mapa_Data=$A69)*(Mapa_MinOcup&gt;0)*(((MOD(Mapa_IniNum-$O69,1)&lt;MOD($P69-$O69,1))+(MOD($O69-Mapa_IniNum,1)&lt;MOD(Mapa_FimNum-Mapa_IniNum,1)))&gt;0))&gt;1),"Sobreposição de horário na sala | ",""),"")&amp;IFERROR(IF(AND(ISNUMBER($K69),$K69&gt;0,COUNTIF(Esp_Nome,$F69)&gt;0,$K69&gt;3*INDEX(Esp_Dur,MATCH($F69,Esp_Nome,0))),"Duração atípica (&gt;3x a média) | ",""),""))</f>
        <v/>
      </c>
      <c r="O69" s="10">
        <f>IF(ISNUMBER($D69),$D69,0)</f>
        <v/>
      </c>
      <c r="P69" s="10">
        <f>IF(ISNUMBER($E69),$E69,0)</f>
        <v/>
      </c>
    </row>
    <row r="70">
      <c r="A70" s="30" t="n"/>
      <c r="B70" s="24" t="n"/>
      <c r="C70" s="24" t="n"/>
      <c r="D70" s="31" t="n"/>
      <c r="E70" s="31" t="n"/>
      <c r="F70" s="25" t="n"/>
      <c r="G70" s="25" t="n"/>
      <c r="H70" s="25" t="n"/>
      <c r="I70" s="24" t="n"/>
      <c r="J70" s="24" t="n"/>
      <c r="K70" s="32">
        <f>IF(OR($B70="",NOT(ISNUMBER($D70)),NOT(ISNUMBER($E70))),"",ROUND(MOD($E70-$D70,1)*1440,0))</f>
        <v/>
      </c>
      <c r="L70" s="32">
        <f>IF(NOT(ISNUMBER($K70)),0,IF(OR($K70&lt;=0,$J70="Cancelada",$J70="Suspensa"),0,$K70+Setup_Min))</f>
        <v/>
      </c>
      <c r="M70" s="17">
        <f>IF($B70="","",IF($N70="","OK",LEFT($N70,LEN($N70)-3)))</f>
        <v/>
      </c>
      <c r="N70" s="10">
        <f>IF($B70="","",IF(COUNTIF(Salas_Cod,$B70)=0,"Sala não cadastrada | ","")&amp;IF(AND(COUNTIF(Salas_Cod,$B70)&gt;0,IFERROR(INDEX(Salas_Status,MATCH($B70,Salas_Cod,0)),"")&lt;&gt;"Ativa"),"Sala bloqueada | ","")&amp;IF(COUNTIF(Turnos_Nome,$C70)=0,"Turno inválido | ","")&amp;IF(COUNTIF(Esp_Nome,$F70)=0,"Especialidade não cadastrada | ","")&amp;IF(COUNTIF(Lista_StatusCirurgia,$J70)=0,"Status inválido | ","")&amp;IF(OR(NOT(ISNUMBER($D70)),NOT(ISNUMBER($E70))),"Horário inválido | ","")&amp;IFERROR(IF(AND(ISNUMBER($D70),ISNUMBER($E70),MOD($E70-$D70,1)*1440&lt;=0),"Duração nula ou negativa | ",""),"")&amp;IFERROR(IF(AND(ISNUMBER($D70),COUNTIF(Turnos_Nome,$C70)&gt;0,MOD($D70-INDEX(Turnos_Ini,MATCH($C70,Turnos_Nome,0)),1)*1440&gt;=INDEX(Turnos_Min,MATCH($C70,Turnos_Nome,0))),"Início fora da janela do turno | ",""),"")&amp;IFERROR(IF(AND($L70&gt;0,SUMPRODUCT((Mapa_Sala=$B70)*(Mapa_Data=$A70)*(Mapa_MinOcup&gt;0)*(((MOD(Mapa_IniNum-$O70,1)&lt;MOD($P70-$O70,1))+(MOD($O70-Mapa_IniNum,1)&lt;MOD(Mapa_FimNum-Mapa_IniNum,1)))&gt;0))&gt;1),"Sobreposição de horário na sala | ",""),"")&amp;IFERROR(IF(AND(ISNUMBER($K70),$K70&gt;0,COUNTIF(Esp_Nome,$F70)&gt;0,$K70&gt;3*INDEX(Esp_Dur,MATCH($F70,Esp_Nome,0))),"Duração atípica (&gt;3x a média) | ",""),""))</f>
        <v/>
      </c>
      <c r="O70" s="10">
        <f>IF(ISNUMBER($D70),$D70,0)</f>
        <v/>
      </c>
      <c r="P70" s="10">
        <f>IF(ISNUMBER($E70),$E70,0)</f>
        <v/>
      </c>
    </row>
    <row r="71">
      <c r="A71" s="30" t="n"/>
      <c r="B71" s="24" t="n"/>
      <c r="C71" s="24" t="n"/>
      <c r="D71" s="31" t="n"/>
      <c r="E71" s="31" t="n"/>
      <c r="F71" s="25" t="n"/>
      <c r="G71" s="25" t="n"/>
      <c r="H71" s="25" t="n"/>
      <c r="I71" s="24" t="n"/>
      <c r="J71" s="24" t="n"/>
      <c r="K71" s="32">
        <f>IF(OR($B71="",NOT(ISNUMBER($D71)),NOT(ISNUMBER($E71))),"",ROUND(MOD($E71-$D71,1)*1440,0))</f>
        <v/>
      </c>
      <c r="L71" s="32">
        <f>IF(NOT(ISNUMBER($K71)),0,IF(OR($K71&lt;=0,$J71="Cancelada",$J71="Suspensa"),0,$K71+Setup_Min))</f>
        <v/>
      </c>
      <c r="M71" s="17">
        <f>IF($B71="","",IF($N71="","OK",LEFT($N71,LEN($N71)-3)))</f>
        <v/>
      </c>
      <c r="N71" s="10">
        <f>IF($B71="","",IF(COUNTIF(Salas_Cod,$B71)=0,"Sala não cadastrada | ","")&amp;IF(AND(COUNTIF(Salas_Cod,$B71)&gt;0,IFERROR(INDEX(Salas_Status,MATCH($B71,Salas_Cod,0)),"")&lt;&gt;"Ativa"),"Sala bloqueada | ","")&amp;IF(COUNTIF(Turnos_Nome,$C71)=0,"Turno inválido | ","")&amp;IF(COUNTIF(Esp_Nome,$F71)=0,"Especialidade não cadastrada | ","")&amp;IF(COUNTIF(Lista_StatusCirurgia,$J71)=0,"Status inválido | ","")&amp;IF(OR(NOT(ISNUMBER($D71)),NOT(ISNUMBER($E71))),"Horário inválido | ","")&amp;IFERROR(IF(AND(ISNUMBER($D71),ISNUMBER($E71),MOD($E71-$D71,1)*1440&lt;=0),"Duração nula ou negativa | ",""),"")&amp;IFERROR(IF(AND(ISNUMBER($D71),COUNTIF(Turnos_Nome,$C71)&gt;0,MOD($D71-INDEX(Turnos_Ini,MATCH($C71,Turnos_Nome,0)),1)*1440&gt;=INDEX(Turnos_Min,MATCH($C71,Turnos_Nome,0))),"Início fora da janela do turno | ",""),"")&amp;IFERROR(IF(AND($L71&gt;0,SUMPRODUCT((Mapa_Sala=$B71)*(Mapa_Data=$A71)*(Mapa_MinOcup&gt;0)*(((MOD(Mapa_IniNum-$O71,1)&lt;MOD($P71-$O71,1))+(MOD($O71-Mapa_IniNum,1)&lt;MOD(Mapa_FimNum-Mapa_IniNum,1)))&gt;0))&gt;1),"Sobreposição de horário na sala | ",""),"")&amp;IFERROR(IF(AND(ISNUMBER($K71),$K71&gt;0,COUNTIF(Esp_Nome,$F71)&gt;0,$K71&gt;3*INDEX(Esp_Dur,MATCH($F71,Esp_Nome,0))),"Duração atípica (&gt;3x a média) | ",""),""))</f>
        <v/>
      </c>
      <c r="O71" s="10">
        <f>IF(ISNUMBER($D71),$D71,0)</f>
        <v/>
      </c>
      <c r="P71" s="10">
        <f>IF(ISNUMBER($E71),$E71,0)</f>
        <v/>
      </c>
    </row>
    <row r="72">
      <c r="A72" s="30" t="n"/>
      <c r="B72" s="24" t="n"/>
      <c r="C72" s="24" t="n"/>
      <c r="D72" s="31" t="n"/>
      <c r="E72" s="31" t="n"/>
      <c r="F72" s="25" t="n"/>
      <c r="G72" s="25" t="n"/>
      <c r="H72" s="25" t="n"/>
      <c r="I72" s="24" t="n"/>
      <c r="J72" s="24" t="n"/>
      <c r="K72" s="32">
        <f>IF(OR($B72="",NOT(ISNUMBER($D72)),NOT(ISNUMBER($E72))),"",ROUND(MOD($E72-$D72,1)*1440,0))</f>
        <v/>
      </c>
      <c r="L72" s="32">
        <f>IF(NOT(ISNUMBER($K72)),0,IF(OR($K72&lt;=0,$J72="Cancelada",$J72="Suspensa"),0,$K72+Setup_Min))</f>
        <v/>
      </c>
      <c r="M72" s="17">
        <f>IF($B72="","",IF($N72="","OK",LEFT($N72,LEN($N72)-3)))</f>
        <v/>
      </c>
      <c r="N72" s="10">
        <f>IF($B72="","",IF(COUNTIF(Salas_Cod,$B72)=0,"Sala não cadastrada | ","")&amp;IF(AND(COUNTIF(Salas_Cod,$B72)&gt;0,IFERROR(INDEX(Salas_Status,MATCH($B72,Salas_Cod,0)),"")&lt;&gt;"Ativa"),"Sala bloqueada | ","")&amp;IF(COUNTIF(Turnos_Nome,$C72)=0,"Turno inválido | ","")&amp;IF(COUNTIF(Esp_Nome,$F72)=0,"Especialidade não cadastrada | ","")&amp;IF(COUNTIF(Lista_StatusCirurgia,$J72)=0,"Status inválido | ","")&amp;IF(OR(NOT(ISNUMBER($D72)),NOT(ISNUMBER($E72))),"Horário inválido | ","")&amp;IFERROR(IF(AND(ISNUMBER($D72),ISNUMBER($E72),MOD($E72-$D72,1)*1440&lt;=0),"Duração nula ou negativa | ",""),"")&amp;IFERROR(IF(AND(ISNUMBER($D72),COUNTIF(Turnos_Nome,$C72)&gt;0,MOD($D72-INDEX(Turnos_Ini,MATCH($C72,Turnos_Nome,0)),1)*1440&gt;=INDEX(Turnos_Min,MATCH($C72,Turnos_Nome,0))),"Início fora da janela do turno | ",""),"")&amp;IFERROR(IF(AND($L72&gt;0,SUMPRODUCT((Mapa_Sala=$B72)*(Mapa_Data=$A72)*(Mapa_MinOcup&gt;0)*(((MOD(Mapa_IniNum-$O72,1)&lt;MOD($P72-$O72,1))+(MOD($O72-Mapa_IniNum,1)&lt;MOD(Mapa_FimNum-Mapa_IniNum,1)))&gt;0))&gt;1),"Sobreposição de horário na sala | ",""),"")&amp;IFERROR(IF(AND(ISNUMBER($K72),$K72&gt;0,COUNTIF(Esp_Nome,$F72)&gt;0,$K72&gt;3*INDEX(Esp_Dur,MATCH($F72,Esp_Nome,0))),"Duração atípica (&gt;3x a média) | ",""),""))</f>
        <v/>
      </c>
      <c r="O72" s="10">
        <f>IF(ISNUMBER($D72),$D72,0)</f>
        <v/>
      </c>
      <c r="P72" s="10">
        <f>IF(ISNUMBER($E72),$E72,0)</f>
        <v/>
      </c>
    </row>
    <row r="73">
      <c r="A73" s="30" t="n"/>
      <c r="B73" s="24" t="n"/>
      <c r="C73" s="24" t="n"/>
      <c r="D73" s="31" t="n"/>
      <c r="E73" s="31" t="n"/>
      <c r="F73" s="25" t="n"/>
      <c r="G73" s="25" t="n"/>
      <c r="H73" s="25" t="n"/>
      <c r="I73" s="24" t="n"/>
      <c r="J73" s="24" t="n"/>
      <c r="K73" s="32">
        <f>IF(OR($B73="",NOT(ISNUMBER($D73)),NOT(ISNUMBER($E73))),"",ROUND(MOD($E73-$D73,1)*1440,0))</f>
        <v/>
      </c>
      <c r="L73" s="32">
        <f>IF(NOT(ISNUMBER($K73)),0,IF(OR($K73&lt;=0,$J73="Cancelada",$J73="Suspensa"),0,$K73+Setup_Min))</f>
        <v/>
      </c>
      <c r="M73" s="17">
        <f>IF($B73="","",IF($N73="","OK",LEFT($N73,LEN($N73)-3)))</f>
        <v/>
      </c>
      <c r="N73" s="10">
        <f>IF($B73="","",IF(COUNTIF(Salas_Cod,$B73)=0,"Sala não cadastrada | ","")&amp;IF(AND(COUNTIF(Salas_Cod,$B73)&gt;0,IFERROR(INDEX(Salas_Status,MATCH($B73,Salas_Cod,0)),"")&lt;&gt;"Ativa"),"Sala bloqueada | ","")&amp;IF(COUNTIF(Turnos_Nome,$C73)=0,"Turno inválido | ","")&amp;IF(COUNTIF(Esp_Nome,$F73)=0,"Especialidade não cadastrada | ","")&amp;IF(COUNTIF(Lista_StatusCirurgia,$J73)=0,"Status inválido | ","")&amp;IF(OR(NOT(ISNUMBER($D73)),NOT(ISNUMBER($E73))),"Horário inválido | ","")&amp;IFERROR(IF(AND(ISNUMBER($D73),ISNUMBER($E73),MOD($E73-$D73,1)*1440&lt;=0),"Duração nula ou negativa | ",""),"")&amp;IFERROR(IF(AND(ISNUMBER($D73),COUNTIF(Turnos_Nome,$C73)&gt;0,MOD($D73-INDEX(Turnos_Ini,MATCH($C73,Turnos_Nome,0)),1)*1440&gt;=INDEX(Turnos_Min,MATCH($C73,Turnos_Nome,0))),"Início fora da janela do turno | ",""),"")&amp;IFERROR(IF(AND($L73&gt;0,SUMPRODUCT((Mapa_Sala=$B73)*(Mapa_Data=$A73)*(Mapa_MinOcup&gt;0)*(((MOD(Mapa_IniNum-$O73,1)&lt;MOD($P73-$O73,1))+(MOD($O73-Mapa_IniNum,1)&lt;MOD(Mapa_FimNum-Mapa_IniNum,1)))&gt;0))&gt;1),"Sobreposição de horário na sala | ",""),"")&amp;IFERROR(IF(AND(ISNUMBER($K73),$K73&gt;0,COUNTIF(Esp_Nome,$F73)&gt;0,$K73&gt;3*INDEX(Esp_Dur,MATCH($F73,Esp_Nome,0))),"Duração atípica (&gt;3x a média) | ",""),""))</f>
        <v/>
      </c>
      <c r="O73" s="10">
        <f>IF(ISNUMBER($D73),$D73,0)</f>
        <v/>
      </c>
      <c r="P73" s="10">
        <f>IF(ISNUMBER($E73),$E73,0)</f>
        <v/>
      </c>
    </row>
    <row r="74">
      <c r="A74" s="30" t="n"/>
      <c r="B74" s="24" t="n"/>
      <c r="C74" s="24" t="n"/>
      <c r="D74" s="31" t="n"/>
      <c r="E74" s="31" t="n"/>
      <c r="F74" s="25" t="n"/>
      <c r="G74" s="25" t="n"/>
      <c r="H74" s="25" t="n"/>
      <c r="I74" s="24" t="n"/>
      <c r="J74" s="24" t="n"/>
      <c r="K74" s="32">
        <f>IF(OR($B74="",NOT(ISNUMBER($D74)),NOT(ISNUMBER($E74))),"",ROUND(MOD($E74-$D74,1)*1440,0))</f>
        <v/>
      </c>
      <c r="L74" s="32">
        <f>IF(NOT(ISNUMBER($K74)),0,IF(OR($K74&lt;=0,$J74="Cancelada",$J74="Suspensa"),0,$K74+Setup_Min))</f>
        <v/>
      </c>
      <c r="M74" s="17">
        <f>IF($B74="","",IF($N74="","OK",LEFT($N74,LEN($N74)-3)))</f>
        <v/>
      </c>
      <c r="N74" s="10">
        <f>IF($B74="","",IF(COUNTIF(Salas_Cod,$B74)=0,"Sala não cadastrada | ","")&amp;IF(AND(COUNTIF(Salas_Cod,$B74)&gt;0,IFERROR(INDEX(Salas_Status,MATCH($B74,Salas_Cod,0)),"")&lt;&gt;"Ativa"),"Sala bloqueada | ","")&amp;IF(COUNTIF(Turnos_Nome,$C74)=0,"Turno inválido | ","")&amp;IF(COUNTIF(Esp_Nome,$F74)=0,"Especialidade não cadastrada | ","")&amp;IF(COUNTIF(Lista_StatusCirurgia,$J74)=0,"Status inválido | ","")&amp;IF(OR(NOT(ISNUMBER($D74)),NOT(ISNUMBER($E74))),"Horário inválido | ","")&amp;IFERROR(IF(AND(ISNUMBER($D74),ISNUMBER($E74),MOD($E74-$D74,1)*1440&lt;=0),"Duração nula ou negativa | ",""),"")&amp;IFERROR(IF(AND(ISNUMBER($D74),COUNTIF(Turnos_Nome,$C74)&gt;0,MOD($D74-INDEX(Turnos_Ini,MATCH($C74,Turnos_Nome,0)),1)*1440&gt;=INDEX(Turnos_Min,MATCH($C74,Turnos_Nome,0))),"Início fora da janela do turno | ",""),"")&amp;IFERROR(IF(AND($L74&gt;0,SUMPRODUCT((Mapa_Sala=$B74)*(Mapa_Data=$A74)*(Mapa_MinOcup&gt;0)*(((MOD(Mapa_IniNum-$O74,1)&lt;MOD($P74-$O74,1))+(MOD($O74-Mapa_IniNum,1)&lt;MOD(Mapa_FimNum-Mapa_IniNum,1)))&gt;0))&gt;1),"Sobreposição de horário na sala | ",""),"")&amp;IFERROR(IF(AND(ISNUMBER($K74),$K74&gt;0,COUNTIF(Esp_Nome,$F74)&gt;0,$K74&gt;3*INDEX(Esp_Dur,MATCH($F74,Esp_Nome,0))),"Duração atípica (&gt;3x a média) | ",""),""))</f>
        <v/>
      </c>
      <c r="O74" s="10">
        <f>IF(ISNUMBER($D74),$D74,0)</f>
        <v/>
      </c>
      <c r="P74" s="10">
        <f>IF(ISNUMBER($E74),$E74,0)</f>
        <v/>
      </c>
    </row>
    <row r="75">
      <c r="A75" s="30" t="n"/>
      <c r="B75" s="24" t="n"/>
      <c r="C75" s="24" t="n"/>
      <c r="D75" s="31" t="n"/>
      <c r="E75" s="31" t="n"/>
      <c r="F75" s="25" t="n"/>
      <c r="G75" s="25" t="n"/>
      <c r="H75" s="25" t="n"/>
      <c r="I75" s="24" t="n"/>
      <c r="J75" s="24" t="n"/>
      <c r="K75" s="32">
        <f>IF(OR($B75="",NOT(ISNUMBER($D75)),NOT(ISNUMBER($E75))),"",ROUND(MOD($E75-$D75,1)*1440,0))</f>
        <v/>
      </c>
      <c r="L75" s="32">
        <f>IF(NOT(ISNUMBER($K75)),0,IF(OR($K75&lt;=0,$J75="Cancelada",$J75="Suspensa"),0,$K75+Setup_Min))</f>
        <v/>
      </c>
      <c r="M75" s="17">
        <f>IF($B75="","",IF($N75="","OK",LEFT($N75,LEN($N75)-3)))</f>
        <v/>
      </c>
      <c r="N75" s="10">
        <f>IF($B75="","",IF(COUNTIF(Salas_Cod,$B75)=0,"Sala não cadastrada | ","")&amp;IF(AND(COUNTIF(Salas_Cod,$B75)&gt;0,IFERROR(INDEX(Salas_Status,MATCH($B75,Salas_Cod,0)),"")&lt;&gt;"Ativa"),"Sala bloqueada | ","")&amp;IF(COUNTIF(Turnos_Nome,$C75)=0,"Turno inválido | ","")&amp;IF(COUNTIF(Esp_Nome,$F75)=0,"Especialidade não cadastrada | ","")&amp;IF(COUNTIF(Lista_StatusCirurgia,$J75)=0,"Status inválido | ","")&amp;IF(OR(NOT(ISNUMBER($D75)),NOT(ISNUMBER($E75))),"Horário inválido | ","")&amp;IFERROR(IF(AND(ISNUMBER($D75),ISNUMBER($E75),MOD($E75-$D75,1)*1440&lt;=0),"Duração nula ou negativa | ",""),"")&amp;IFERROR(IF(AND(ISNUMBER($D75),COUNTIF(Turnos_Nome,$C75)&gt;0,MOD($D75-INDEX(Turnos_Ini,MATCH($C75,Turnos_Nome,0)),1)*1440&gt;=INDEX(Turnos_Min,MATCH($C75,Turnos_Nome,0))),"Início fora da janela do turno | ",""),"")&amp;IFERROR(IF(AND($L75&gt;0,SUMPRODUCT((Mapa_Sala=$B75)*(Mapa_Data=$A75)*(Mapa_MinOcup&gt;0)*(((MOD(Mapa_IniNum-$O75,1)&lt;MOD($P75-$O75,1))+(MOD($O75-Mapa_IniNum,1)&lt;MOD(Mapa_FimNum-Mapa_IniNum,1)))&gt;0))&gt;1),"Sobreposição de horário na sala | ",""),"")&amp;IFERROR(IF(AND(ISNUMBER($K75),$K75&gt;0,COUNTIF(Esp_Nome,$F75)&gt;0,$K75&gt;3*INDEX(Esp_Dur,MATCH($F75,Esp_Nome,0))),"Duração atípica (&gt;3x a média) | ",""),""))</f>
        <v/>
      </c>
      <c r="O75" s="10">
        <f>IF(ISNUMBER($D75),$D75,0)</f>
        <v/>
      </c>
      <c r="P75" s="10">
        <f>IF(ISNUMBER($E75),$E75,0)</f>
        <v/>
      </c>
    </row>
    <row r="76">
      <c r="A76" s="30" t="n"/>
      <c r="B76" s="24" t="n"/>
      <c r="C76" s="24" t="n"/>
      <c r="D76" s="31" t="n"/>
      <c r="E76" s="31" t="n"/>
      <c r="F76" s="25" t="n"/>
      <c r="G76" s="25" t="n"/>
      <c r="H76" s="25" t="n"/>
      <c r="I76" s="24" t="n"/>
      <c r="J76" s="24" t="n"/>
      <c r="K76" s="32">
        <f>IF(OR($B76="",NOT(ISNUMBER($D76)),NOT(ISNUMBER($E76))),"",ROUND(MOD($E76-$D76,1)*1440,0))</f>
        <v/>
      </c>
      <c r="L76" s="32">
        <f>IF(NOT(ISNUMBER($K76)),0,IF(OR($K76&lt;=0,$J76="Cancelada",$J76="Suspensa"),0,$K76+Setup_Min))</f>
        <v/>
      </c>
      <c r="M76" s="17">
        <f>IF($B76="","",IF($N76="","OK",LEFT($N76,LEN($N76)-3)))</f>
        <v/>
      </c>
      <c r="N76" s="10">
        <f>IF($B76="","",IF(COUNTIF(Salas_Cod,$B76)=0,"Sala não cadastrada | ","")&amp;IF(AND(COUNTIF(Salas_Cod,$B76)&gt;0,IFERROR(INDEX(Salas_Status,MATCH($B76,Salas_Cod,0)),"")&lt;&gt;"Ativa"),"Sala bloqueada | ","")&amp;IF(COUNTIF(Turnos_Nome,$C76)=0,"Turno inválido | ","")&amp;IF(COUNTIF(Esp_Nome,$F76)=0,"Especialidade não cadastrada | ","")&amp;IF(COUNTIF(Lista_StatusCirurgia,$J76)=0,"Status inválido | ","")&amp;IF(OR(NOT(ISNUMBER($D76)),NOT(ISNUMBER($E76))),"Horário inválido | ","")&amp;IFERROR(IF(AND(ISNUMBER($D76),ISNUMBER($E76),MOD($E76-$D76,1)*1440&lt;=0),"Duração nula ou negativa | ",""),"")&amp;IFERROR(IF(AND(ISNUMBER($D76),COUNTIF(Turnos_Nome,$C76)&gt;0,MOD($D76-INDEX(Turnos_Ini,MATCH($C76,Turnos_Nome,0)),1)*1440&gt;=INDEX(Turnos_Min,MATCH($C76,Turnos_Nome,0))),"Início fora da janela do turno | ",""),"")&amp;IFERROR(IF(AND($L76&gt;0,SUMPRODUCT((Mapa_Sala=$B76)*(Mapa_Data=$A76)*(Mapa_MinOcup&gt;0)*(((MOD(Mapa_IniNum-$O76,1)&lt;MOD($P76-$O76,1))+(MOD($O76-Mapa_IniNum,1)&lt;MOD(Mapa_FimNum-Mapa_IniNum,1)))&gt;0))&gt;1),"Sobreposição de horário na sala | ",""),"")&amp;IFERROR(IF(AND(ISNUMBER($K76),$K76&gt;0,COUNTIF(Esp_Nome,$F76)&gt;0,$K76&gt;3*INDEX(Esp_Dur,MATCH($F76,Esp_Nome,0))),"Duração atípica (&gt;3x a média) | ",""),""))</f>
        <v/>
      </c>
      <c r="O76" s="10">
        <f>IF(ISNUMBER($D76),$D76,0)</f>
        <v/>
      </c>
      <c r="P76" s="10">
        <f>IF(ISNUMBER($E76),$E76,0)</f>
        <v/>
      </c>
    </row>
    <row r="77">
      <c r="A77" s="30" t="n"/>
      <c r="B77" s="24" t="n"/>
      <c r="C77" s="24" t="n"/>
      <c r="D77" s="31" t="n"/>
      <c r="E77" s="31" t="n"/>
      <c r="F77" s="25" t="n"/>
      <c r="G77" s="25" t="n"/>
      <c r="H77" s="25" t="n"/>
      <c r="I77" s="24" t="n"/>
      <c r="J77" s="24" t="n"/>
      <c r="K77" s="32">
        <f>IF(OR($B77="",NOT(ISNUMBER($D77)),NOT(ISNUMBER($E77))),"",ROUND(MOD($E77-$D77,1)*1440,0))</f>
        <v/>
      </c>
      <c r="L77" s="32">
        <f>IF(NOT(ISNUMBER($K77)),0,IF(OR($K77&lt;=0,$J77="Cancelada",$J77="Suspensa"),0,$K77+Setup_Min))</f>
        <v/>
      </c>
      <c r="M77" s="17">
        <f>IF($B77="","",IF($N77="","OK",LEFT($N77,LEN($N77)-3)))</f>
        <v/>
      </c>
      <c r="N77" s="10">
        <f>IF($B77="","",IF(COUNTIF(Salas_Cod,$B77)=0,"Sala não cadastrada | ","")&amp;IF(AND(COUNTIF(Salas_Cod,$B77)&gt;0,IFERROR(INDEX(Salas_Status,MATCH($B77,Salas_Cod,0)),"")&lt;&gt;"Ativa"),"Sala bloqueada | ","")&amp;IF(COUNTIF(Turnos_Nome,$C77)=0,"Turno inválido | ","")&amp;IF(COUNTIF(Esp_Nome,$F77)=0,"Especialidade não cadastrada | ","")&amp;IF(COUNTIF(Lista_StatusCirurgia,$J77)=0,"Status inválido | ","")&amp;IF(OR(NOT(ISNUMBER($D77)),NOT(ISNUMBER($E77))),"Horário inválido | ","")&amp;IFERROR(IF(AND(ISNUMBER($D77),ISNUMBER($E77),MOD($E77-$D77,1)*1440&lt;=0),"Duração nula ou negativa | ",""),"")&amp;IFERROR(IF(AND(ISNUMBER($D77),COUNTIF(Turnos_Nome,$C77)&gt;0,MOD($D77-INDEX(Turnos_Ini,MATCH($C77,Turnos_Nome,0)),1)*1440&gt;=INDEX(Turnos_Min,MATCH($C77,Turnos_Nome,0))),"Início fora da janela do turno | ",""),"")&amp;IFERROR(IF(AND($L77&gt;0,SUMPRODUCT((Mapa_Sala=$B77)*(Mapa_Data=$A77)*(Mapa_MinOcup&gt;0)*(((MOD(Mapa_IniNum-$O77,1)&lt;MOD($P77-$O77,1))+(MOD($O77-Mapa_IniNum,1)&lt;MOD(Mapa_FimNum-Mapa_IniNum,1)))&gt;0))&gt;1),"Sobreposição de horário na sala | ",""),"")&amp;IFERROR(IF(AND(ISNUMBER($K77),$K77&gt;0,COUNTIF(Esp_Nome,$F77)&gt;0,$K77&gt;3*INDEX(Esp_Dur,MATCH($F77,Esp_Nome,0))),"Duração atípica (&gt;3x a média) | ",""),""))</f>
        <v/>
      </c>
      <c r="O77" s="10">
        <f>IF(ISNUMBER($D77),$D77,0)</f>
        <v/>
      </c>
      <c r="P77" s="10">
        <f>IF(ISNUMBER($E77),$E77,0)</f>
        <v/>
      </c>
    </row>
    <row r="78">
      <c r="A78" s="30" t="n"/>
      <c r="B78" s="24" t="n"/>
      <c r="C78" s="24" t="n"/>
      <c r="D78" s="31" t="n"/>
      <c r="E78" s="31" t="n"/>
      <c r="F78" s="25" t="n"/>
      <c r="G78" s="25" t="n"/>
      <c r="H78" s="25" t="n"/>
      <c r="I78" s="24" t="n"/>
      <c r="J78" s="24" t="n"/>
      <c r="K78" s="32">
        <f>IF(OR($B78="",NOT(ISNUMBER($D78)),NOT(ISNUMBER($E78))),"",ROUND(MOD($E78-$D78,1)*1440,0))</f>
        <v/>
      </c>
      <c r="L78" s="32">
        <f>IF(NOT(ISNUMBER($K78)),0,IF(OR($K78&lt;=0,$J78="Cancelada",$J78="Suspensa"),0,$K78+Setup_Min))</f>
        <v/>
      </c>
      <c r="M78" s="17">
        <f>IF($B78="","",IF($N78="","OK",LEFT($N78,LEN($N78)-3)))</f>
        <v/>
      </c>
      <c r="N78" s="10">
        <f>IF($B78="","",IF(COUNTIF(Salas_Cod,$B78)=0,"Sala não cadastrada | ","")&amp;IF(AND(COUNTIF(Salas_Cod,$B78)&gt;0,IFERROR(INDEX(Salas_Status,MATCH($B78,Salas_Cod,0)),"")&lt;&gt;"Ativa"),"Sala bloqueada | ","")&amp;IF(COUNTIF(Turnos_Nome,$C78)=0,"Turno inválido | ","")&amp;IF(COUNTIF(Esp_Nome,$F78)=0,"Especialidade não cadastrada | ","")&amp;IF(COUNTIF(Lista_StatusCirurgia,$J78)=0,"Status inválido | ","")&amp;IF(OR(NOT(ISNUMBER($D78)),NOT(ISNUMBER($E78))),"Horário inválido | ","")&amp;IFERROR(IF(AND(ISNUMBER($D78),ISNUMBER($E78),MOD($E78-$D78,1)*1440&lt;=0),"Duração nula ou negativa | ",""),"")&amp;IFERROR(IF(AND(ISNUMBER($D78),COUNTIF(Turnos_Nome,$C78)&gt;0,MOD($D78-INDEX(Turnos_Ini,MATCH($C78,Turnos_Nome,0)),1)*1440&gt;=INDEX(Turnos_Min,MATCH($C78,Turnos_Nome,0))),"Início fora da janela do turno | ",""),"")&amp;IFERROR(IF(AND($L78&gt;0,SUMPRODUCT((Mapa_Sala=$B78)*(Mapa_Data=$A78)*(Mapa_MinOcup&gt;0)*(((MOD(Mapa_IniNum-$O78,1)&lt;MOD($P78-$O78,1))+(MOD($O78-Mapa_IniNum,1)&lt;MOD(Mapa_FimNum-Mapa_IniNum,1)))&gt;0))&gt;1),"Sobreposição de horário na sala | ",""),"")&amp;IFERROR(IF(AND(ISNUMBER($K78),$K78&gt;0,COUNTIF(Esp_Nome,$F78)&gt;0,$K78&gt;3*INDEX(Esp_Dur,MATCH($F78,Esp_Nome,0))),"Duração atípica (&gt;3x a média) | ",""),""))</f>
        <v/>
      </c>
      <c r="O78" s="10">
        <f>IF(ISNUMBER($D78),$D78,0)</f>
        <v/>
      </c>
      <c r="P78" s="10">
        <f>IF(ISNUMBER($E78),$E78,0)</f>
        <v/>
      </c>
    </row>
    <row r="79">
      <c r="A79" s="30" t="n"/>
      <c r="B79" s="24" t="n"/>
      <c r="C79" s="24" t="n"/>
      <c r="D79" s="31" t="n"/>
      <c r="E79" s="31" t="n"/>
      <c r="F79" s="25" t="n"/>
      <c r="G79" s="25" t="n"/>
      <c r="H79" s="25" t="n"/>
      <c r="I79" s="24" t="n"/>
      <c r="J79" s="24" t="n"/>
      <c r="K79" s="32">
        <f>IF(OR($B79="",NOT(ISNUMBER($D79)),NOT(ISNUMBER($E79))),"",ROUND(MOD($E79-$D79,1)*1440,0))</f>
        <v/>
      </c>
      <c r="L79" s="32">
        <f>IF(NOT(ISNUMBER($K79)),0,IF(OR($K79&lt;=0,$J79="Cancelada",$J79="Suspensa"),0,$K79+Setup_Min))</f>
        <v/>
      </c>
      <c r="M79" s="17">
        <f>IF($B79="","",IF($N79="","OK",LEFT($N79,LEN($N79)-3)))</f>
        <v/>
      </c>
      <c r="N79" s="10">
        <f>IF($B79="","",IF(COUNTIF(Salas_Cod,$B79)=0,"Sala não cadastrada | ","")&amp;IF(AND(COUNTIF(Salas_Cod,$B79)&gt;0,IFERROR(INDEX(Salas_Status,MATCH($B79,Salas_Cod,0)),"")&lt;&gt;"Ativa"),"Sala bloqueada | ","")&amp;IF(COUNTIF(Turnos_Nome,$C79)=0,"Turno inválido | ","")&amp;IF(COUNTIF(Esp_Nome,$F79)=0,"Especialidade não cadastrada | ","")&amp;IF(COUNTIF(Lista_StatusCirurgia,$J79)=0,"Status inválido | ","")&amp;IF(OR(NOT(ISNUMBER($D79)),NOT(ISNUMBER($E79))),"Horário inválido | ","")&amp;IFERROR(IF(AND(ISNUMBER($D79),ISNUMBER($E79),MOD($E79-$D79,1)*1440&lt;=0),"Duração nula ou negativa | ",""),"")&amp;IFERROR(IF(AND(ISNUMBER($D79),COUNTIF(Turnos_Nome,$C79)&gt;0,MOD($D79-INDEX(Turnos_Ini,MATCH($C79,Turnos_Nome,0)),1)*1440&gt;=INDEX(Turnos_Min,MATCH($C79,Turnos_Nome,0))),"Início fora da janela do turno | ",""),"")&amp;IFERROR(IF(AND($L79&gt;0,SUMPRODUCT((Mapa_Sala=$B79)*(Mapa_Data=$A79)*(Mapa_MinOcup&gt;0)*(((MOD(Mapa_IniNum-$O79,1)&lt;MOD($P79-$O79,1))+(MOD($O79-Mapa_IniNum,1)&lt;MOD(Mapa_FimNum-Mapa_IniNum,1)))&gt;0))&gt;1),"Sobreposição de horário na sala | ",""),"")&amp;IFERROR(IF(AND(ISNUMBER($K79),$K79&gt;0,COUNTIF(Esp_Nome,$F79)&gt;0,$K79&gt;3*INDEX(Esp_Dur,MATCH($F79,Esp_Nome,0))),"Duração atípica (&gt;3x a média) | ",""),""))</f>
        <v/>
      </c>
      <c r="O79" s="10">
        <f>IF(ISNUMBER($D79),$D79,0)</f>
        <v/>
      </c>
      <c r="P79" s="10">
        <f>IF(ISNUMBER($E79),$E79,0)</f>
        <v/>
      </c>
    </row>
    <row r="80">
      <c r="A80" s="30" t="n"/>
      <c r="B80" s="24" t="n"/>
      <c r="C80" s="24" t="n"/>
      <c r="D80" s="31" t="n"/>
      <c r="E80" s="31" t="n"/>
      <c r="F80" s="25" t="n"/>
      <c r="G80" s="25" t="n"/>
      <c r="H80" s="25" t="n"/>
      <c r="I80" s="24" t="n"/>
      <c r="J80" s="24" t="n"/>
      <c r="K80" s="32">
        <f>IF(OR($B80="",NOT(ISNUMBER($D80)),NOT(ISNUMBER($E80))),"",ROUND(MOD($E80-$D80,1)*1440,0))</f>
        <v/>
      </c>
      <c r="L80" s="32">
        <f>IF(NOT(ISNUMBER($K80)),0,IF(OR($K80&lt;=0,$J80="Cancelada",$J80="Suspensa"),0,$K80+Setup_Min))</f>
        <v/>
      </c>
      <c r="M80" s="17">
        <f>IF($B80="","",IF($N80="","OK",LEFT($N80,LEN($N80)-3)))</f>
        <v/>
      </c>
      <c r="N80" s="10">
        <f>IF($B80="","",IF(COUNTIF(Salas_Cod,$B80)=0,"Sala não cadastrada | ","")&amp;IF(AND(COUNTIF(Salas_Cod,$B80)&gt;0,IFERROR(INDEX(Salas_Status,MATCH($B80,Salas_Cod,0)),"")&lt;&gt;"Ativa"),"Sala bloqueada | ","")&amp;IF(COUNTIF(Turnos_Nome,$C80)=0,"Turno inválido | ","")&amp;IF(COUNTIF(Esp_Nome,$F80)=0,"Especialidade não cadastrada | ","")&amp;IF(COUNTIF(Lista_StatusCirurgia,$J80)=0,"Status inválido | ","")&amp;IF(OR(NOT(ISNUMBER($D80)),NOT(ISNUMBER($E80))),"Horário inválido | ","")&amp;IFERROR(IF(AND(ISNUMBER($D80),ISNUMBER($E80),MOD($E80-$D80,1)*1440&lt;=0),"Duração nula ou negativa | ",""),"")&amp;IFERROR(IF(AND(ISNUMBER($D80),COUNTIF(Turnos_Nome,$C80)&gt;0,MOD($D80-INDEX(Turnos_Ini,MATCH($C80,Turnos_Nome,0)),1)*1440&gt;=INDEX(Turnos_Min,MATCH($C80,Turnos_Nome,0))),"Início fora da janela do turno | ",""),"")&amp;IFERROR(IF(AND($L80&gt;0,SUMPRODUCT((Mapa_Sala=$B80)*(Mapa_Data=$A80)*(Mapa_MinOcup&gt;0)*(((MOD(Mapa_IniNum-$O80,1)&lt;MOD($P80-$O80,1))+(MOD($O80-Mapa_IniNum,1)&lt;MOD(Mapa_FimNum-Mapa_IniNum,1)))&gt;0))&gt;1),"Sobreposição de horário na sala | ",""),"")&amp;IFERROR(IF(AND(ISNUMBER($K80),$K80&gt;0,COUNTIF(Esp_Nome,$F80)&gt;0,$K80&gt;3*INDEX(Esp_Dur,MATCH($F80,Esp_Nome,0))),"Duração atípica (&gt;3x a média) | ",""),""))</f>
        <v/>
      </c>
      <c r="O80" s="10">
        <f>IF(ISNUMBER($D80),$D80,0)</f>
        <v/>
      </c>
      <c r="P80" s="10">
        <f>IF(ISNUMBER($E80),$E80,0)</f>
        <v/>
      </c>
    </row>
    <row r="81">
      <c r="A81" s="30" t="n"/>
      <c r="B81" s="24" t="n"/>
      <c r="C81" s="24" t="n"/>
      <c r="D81" s="31" t="n"/>
      <c r="E81" s="31" t="n"/>
      <c r="F81" s="25" t="n"/>
      <c r="G81" s="25" t="n"/>
      <c r="H81" s="25" t="n"/>
      <c r="I81" s="24" t="n"/>
      <c r="J81" s="24" t="n"/>
      <c r="K81" s="32">
        <f>IF(OR($B81="",NOT(ISNUMBER($D81)),NOT(ISNUMBER($E81))),"",ROUND(MOD($E81-$D81,1)*1440,0))</f>
        <v/>
      </c>
      <c r="L81" s="32">
        <f>IF(NOT(ISNUMBER($K81)),0,IF(OR($K81&lt;=0,$J81="Cancelada",$J81="Suspensa"),0,$K81+Setup_Min))</f>
        <v/>
      </c>
      <c r="M81" s="17">
        <f>IF($B81="","",IF($N81="","OK",LEFT($N81,LEN($N81)-3)))</f>
        <v/>
      </c>
      <c r="N81" s="10">
        <f>IF($B81="","",IF(COUNTIF(Salas_Cod,$B81)=0,"Sala não cadastrada | ","")&amp;IF(AND(COUNTIF(Salas_Cod,$B81)&gt;0,IFERROR(INDEX(Salas_Status,MATCH($B81,Salas_Cod,0)),"")&lt;&gt;"Ativa"),"Sala bloqueada | ","")&amp;IF(COUNTIF(Turnos_Nome,$C81)=0,"Turno inválido | ","")&amp;IF(COUNTIF(Esp_Nome,$F81)=0,"Especialidade não cadastrada | ","")&amp;IF(COUNTIF(Lista_StatusCirurgia,$J81)=0,"Status inválido | ","")&amp;IF(OR(NOT(ISNUMBER($D81)),NOT(ISNUMBER($E81))),"Horário inválido | ","")&amp;IFERROR(IF(AND(ISNUMBER($D81),ISNUMBER($E81),MOD($E81-$D81,1)*1440&lt;=0),"Duração nula ou negativa | ",""),"")&amp;IFERROR(IF(AND(ISNUMBER($D81),COUNTIF(Turnos_Nome,$C81)&gt;0,MOD($D81-INDEX(Turnos_Ini,MATCH($C81,Turnos_Nome,0)),1)*1440&gt;=INDEX(Turnos_Min,MATCH($C81,Turnos_Nome,0))),"Início fora da janela do turno | ",""),"")&amp;IFERROR(IF(AND($L81&gt;0,SUMPRODUCT((Mapa_Sala=$B81)*(Mapa_Data=$A81)*(Mapa_MinOcup&gt;0)*(((MOD(Mapa_IniNum-$O81,1)&lt;MOD($P81-$O81,1))+(MOD($O81-Mapa_IniNum,1)&lt;MOD(Mapa_FimNum-Mapa_IniNum,1)))&gt;0))&gt;1),"Sobreposição de horário na sala | ",""),"")&amp;IFERROR(IF(AND(ISNUMBER($K81),$K81&gt;0,COUNTIF(Esp_Nome,$F81)&gt;0,$K81&gt;3*INDEX(Esp_Dur,MATCH($F81,Esp_Nome,0))),"Duração atípica (&gt;3x a média) | ",""),""))</f>
        <v/>
      </c>
      <c r="O81" s="10">
        <f>IF(ISNUMBER($D81),$D81,0)</f>
        <v/>
      </c>
      <c r="P81" s="10">
        <f>IF(ISNUMBER($E81),$E81,0)</f>
        <v/>
      </c>
    </row>
    <row r="82">
      <c r="A82" s="30" t="n"/>
      <c r="B82" s="24" t="n"/>
      <c r="C82" s="24" t="n"/>
      <c r="D82" s="31" t="n"/>
      <c r="E82" s="31" t="n"/>
      <c r="F82" s="25" t="n"/>
      <c r="G82" s="25" t="n"/>
      <c r="H82" s="25" t="n"/>
      <c r="I82" s="24" t="n"/>
      <c r="J82" s="24" t="n"/>
      <c r="K82" s="32">
        <f>IF(OR($B82="",NOT(ISNUMBER($D82)),NOT(ISNUMBER($E82))),"",ROUND(MOD($E82-$D82,1)*1440,0))</f>
        <v/>
      </c>
      <c r="L82" s="32">
        <f>IF(NOT(ISNUMBER($K82)),0,IF(OR($K82&lt;=0,$J82="Cancelada",$J82="Suspensa"),0,$K82+Setup_Min))</f>
        <v/>
      </c>
      <c r="M82" s="17">
        <f>IF($B82="","",IF($N82="","OK",LEFT($N82,LEN($N82)-3)))</f>
        <v/>
      </c>
      <c r="N82" s="10">
        <f>IF($B82="","",IF(COUNTIF(Salas_Cod,$B82)=0,"Sala não cadastrada | ","")&amp;IF(AND(COUNTIF(Salas_Cod,$B82)&gt;0,IFERROR(INDEX(Salas_Status,MATCH($B82,Salas_Cod,0)),"")&lt;&gt;"Ativa"),"Sala bloqueada | ","")&amp;IF(COUNTIF(Turnos_Nome,$C82)=0,"Turno inválido | ","")&amp;IF(COUNTIF(Esp_Nome,$F82)=0,"Especialidade não cadastrada | ","")&amp;IF(COUNTIF(Lista_StatusCirurgia,$J82)=0,"Status inválido | ","")&amp;IF(OR(NOT(ISNUMBER($D82)),NOT(ISNUMBER($E82))),"Horário inválido | ","")&amp;IFERROR(IF(AND(ISNUMBER($D82),ISNUMBER($E82),MOD($E82-$D82,1)*1440&lt;=0),"Duração nula ou negativa | ",""),"")&amp;IFERROR(IF(AND(ISNUMBER($D82),COUNTIF(Turnos_Nome,$C82)&gt;0,MOD($D82-INDEX(Turnos_Ini,MATCH($C82,Turnos_Nome,0)),1)*1440&gt;=INDEX(Turnos_Min,MATCH($C82,Turnos_Nome,0))),"Início fora da janela do turno | ",""),"")&amp;IFERROR(IF(AND($L82&gt;0,SUMPRODUCT((Mapa_Sala=$B82)*(Mapa_Data=$A82)*(Mapa_MinOcup&gt;0)*(((MOD(Mapa_IniNum-$O82,1)&lt;MOD($P82-$O82,1))+(MOD($O82-Mapa_IniNum,1)&lt;MOD(Mapa_FimNum-Mapa_IniNum,1)))&gt;0))&gt;1),"Sobreposição de horário na sala | ",""),"")&amp;IFERROR(IF(AND(ISNUMBER($K82),$K82&gt;0,COUNTIF(Esp_Nome,$F82)&gt;0,$K82&gt;3*INDEX(Esp_Dur,MATCH($F82,Esp_Nome,0))),"Duração atípica (&gt;3x a média) | ",""),""))</f>
        <v/>
      </c>
      <c r="O82" s="10">
        <f>IF(ISNUMBER($D82),$D82,0)</f>
        <v/>
      </c>
      <c r="P82" s="10">
        <f>IF(ISNUMBER($E82),$E82,0)</f>
        <v/>
      </c>
    </row>
    <row r="83">
      <c r="A83" s="30" t="n"/>
      <c r="B83" s="24" t="n"/>
      <c r="C83" s="24" t="n"/>
      <c r="D83" s="31" t="n"/>
      <c r="E83" s="31" t="n"/>
      <c r="F83" s="25" t="n"/>
      <c r="G83" s="25" t="n"/>
      <c r="H83" s="25" t="n"/>
      <c r="I83" s="24" t="n"/>
      <c r="J83" s="24" t="n"/>
      <c r="K83" s="32">
        <f>IF(OR($B83="",NOT(ISNUMBER($D83)),NOT(ISNUMBER($E83))),"",ROUND(MOD($E83-$D83,1)*1440,0))</f>
        <v/>
      </c>
      <c r="L83" s="32">
        <f>IF(NOT(ISNUMBER($K83)),0,IF(OR($K83&lt;=0,$J83="Cancelada",$J83="Suspensa"),0,$K83+Setup_Min))</f>
        <v/>
      </c>
      <c r="M83" s="17">
        <f>IF($B83="","",IF($N83="","OK",LEFT($N83,LEN($N83)-3)))</f>
        <v/>
      </c>
      <c r="N83" s="10">
        <f>IF($B83="","",IF(COUNTIF(Salas_Cod,$B83)=0,"Sala não cadastrada | ","")&amp;IF(AND(COUNTIF(Salas_Cod,$B83)&gt;0,IFERROR(INDEX(Salas_Status,MATCH($B83,Salas_Cod,0)),"")&lt;&gt;"Ativa"),"Sala bloqueada | ","")&amp;IF(COUNTIF(Turnos_Nome,$C83)=0,"Turno inválido | ","")&amp;IF(COUNTIF(Esp_Nome,$F83)=0,"Especialidade não cadastrada | ","")&amp;IF(COUNTIF(Lista_StatusCirurgia,$J83)=0,"Status inválido | ","")&amp;IF(OR(NOT(ISNUMBER($D83)),NOT(ISNUMBER($E83))),"Horário inválido | ","")&amp;IFERROR(IF(AND(ISNUMBER($D83),ISNUMBER($E83),MOD($E83-$D83,1)*1440&lt;=0),"Duração nula ou negativa | ",""),"")&amp;IFERROR(IF(AND(ISNUMBER($D83),COUNTIF(Turnos_Nome,$C83)&gt;0,MOD($D83-INDEX(Turnos_Ini,MATCH($C83,Turnos_Nome,0)),1)*1440&gt;=INDEX(Turnos_Min,MATCH($C83,Turnos_Nome,0))),"Início fora da janela do turno | ",""),"")&amp;IFERROR(IF(AND($L83&gt;0,SUMPRODUCT((Mapa_Sala=$B83)*(Mapa_Data=$A83)*(Mapa_MinOcup&gt;0)*(((MOD(Mapa_IniNum-$O83,1)&lt;MOD($P83-$O83,1))+(MOD($O83-Mapa_IniNum,1)&lt;MOD(Mapa_FimNum-Mapa_IniNum,1)))&gt;0))&gt;1),"Sobreposição de horário na sala | ",""),"")&amp;IFERROR(IF(AND(ISNUMBER($K83),$K83&gt;0,COUNTIF(Esp_Nome,$F83)&gt;0,$K83&gt;3*INDEX(Esp_Dur,MATCH($F83,Esp_Nome,0))),"Duração atípica (&gt;3x a média) | ",""),""))</f>
        <v/>
      </c>
      <c r="O83" s="10">
        <f>IF(ISNUMBER($D83),$D83,0)</f>
        <v/>
      </c>
      <c r="P83" s="10">
        <f>IF(ISNUMBER($E83),$E83,0)</f>
        <v/>
      </c>
    </row>
    <row r="84">
      <c r="A84" s="30" t="n"/>
      <c r="B84" s="24" t="n"/>
      <c r="C84" s="24" t="n"/>
      <c r="D84" s="31" t="n"/>
      <c r="E84" s="31" t="n"/>
      <c r="F84" s="25" t="n"/>
      <c r="G84" s="25" t="n"/>
      <c r="H84" s="25" t="n"/>
      <c r="I84" s="24" t="n"/>
      <c r="J84" s="24" t="n"/>
      <c r="K84" s="32">
        <f>IF(OR($B84="",NOT(ISNUMBER($D84)),NOT(ISNUMBER($E84))),"",ROUND(MOD($E84-$D84,1)*1440,0))</f>
        <v/>
      </c>
      <c r="L84" s="32">
        <f>IF(NOT(ISNUMBER($K84)),0,IF(OR($K84&lt;=0,$J84="Cancelada",$J84="Suspensa"),0,$K84+Setup_Min))</f>
        <v/>
      </c>
      <c r="M84" s="17">
        <f>IF($B84="","",IF($N84="","OK",LEFT($N84,LEN($N84)-3)))</f>
        <v/>
      </c>
      <c r="N84" s="10">
        <f>IF($B84="","",IF(COUNTIF(Salas_Cod,$B84)=0,"Sala não cadastrada | ","")&amp;IF(AND(COUNTIF(Salas_Cod,$B84)&gt;0,IFERROR(INDEX(Salas_Status,MATCH($B84,Salas_Cod,0)),"")&lt;&gt;"Ativa"),"Sala bloqueada | ","")&amp;IF(COUNTIF(Turnos_Nome,$C84)=0,"Turno inválido | ","")&amp;IF(COUNTIF(Esp_Nome,$F84)=0,"Especialidade não cadastrada | ","")&amp;IF(COUNTIF(Lista_StatusCirurgia,$J84)=0,"Status inválido | ","")&amp;IF(OR(NOT(ISNUMBER($D84)),NOT(ISNUMBER($E84))),"Horário inválido | ","")&amp;IFERROR(IF(AND(ISNUMBER($D84),ISNUMBER($E84),MOD($E84-$D84,1)*1440&lt;=0),"Duração nula ou negativa | ",""),"")&amp;IFERROR(IF(AND(ISNUMBER($D84),COUNTIF(Turnos_Nome,$C84)&gt;0,MOD($D84-INDEX(Turnos_Ini,MATCH($C84,Turnos_Nome,0)),1)*1440&gt;=INDEX(Turnos_Min,MATCH($C84,Turnos_Nome,0))),"Início fora da janela do turno | ",""),"")&amp;IFERROR(IF(AND($L84&gt;0,SUMPRODUCT((Mapa_Sala=$B84)*(Mapa_Data=$A84)*(Mapa_MinOcup&gt;0)*(((MOD(Mapa_IniNum-$O84,1)&lt;MOD($P84-$O84,1))+(MOD($O84-Mapa_IniNum,1)&lt;MOD(Mapa_FimNum-Mapa_IniNum,1)))&gt;0))&gt;1),"Sobreposição de horário na sala | ",""),"")&amp;IFERROR(IF(AND(ISNUMBER($K84),$K84&gt;0,COUNTIF(Esp_Nome,$F84)&gt;0,$K84&gt;3*INDEX(Esp_Dur,MATCH($F84,Esp_Nome,0))),"Duração atípica (&gt;3x a média) | ",""),""))</f>
        <v/>
      </c>
      <c r="O84" s="10">
        <f>IF(ISNUMBER($D84),$D84,0)</f>
        <v/>
      </c>
      <c r="P84" s="10">
        <f>IF(ISNUMBER($E84),$E84,0)</f>
        <v/>
      </c>
    </row>
    <row r="85">
      <c r="A85" s="30" t="n"/>
      <c r="B85" s="24" t="n"/>
      <c r="C85" s="24" t="n"/>
      <c r="D85" s="31" t="n"/>
      <c r="E85" s="31" t="n"/>
      <c r="F85" s="25" t="n"/>
      <c r="G85" s="25" t="n"/>
      <c r="H85" s="25" t="n"/>
      <c r="I85" s="24" t="n"/>
      <c r="J85" s="24" t="n"/>
      <c r="K85" s="32">
        <f>IF(OR($B85="",NOT(ISNUMBER($D85)),NOT(ISNUMBER($E85))),"",ROUND(MOD($E85-$D85,1)*1440,0))</f>
        <v/>
      </c>
      <c r="L85" s="32">
        <f>IF(NOT(ISNUMBER($K85)),0,IF(OR($K85&lt;=0,$J85="Cancelada",$J85="Suspensa"),0,$K85+Setup_Min))</f>
        <v/>
      </c>
      <c r="M85" s="17">
        <f>IF($B85="","",IF($N85="","OK",LEFT($N85,LEN($N85)-3)))</f>
        <v/>
      </c>
      <c r="N85" s="10">
        <f>IF($B85="","",IF(COUNTIF(Salas_Cod,$B85)=0,"Sala não cadastrada | ","")&amp;IF(AND(COUNTIF(Salas_Cod,$B85)&gt;0,IFERROR(INDEX(Salas_Status,MATCH($B85,Salas_Cod,0)),"")&lt;&gt;"Ativa"),"Sala bloqueada | ","")&amp;IF(COUNTIF(Turnos_Nome,$C85)=0,"Turno inválido | ","")&amp;IF(COUNTIF(Esp_Nome,$F85)=0,"Especialidade não cadastrada | ","")&amp;IF(COUNTIF(Lista_StatusCirurgia,$J85)=0,"Status inválido | ","")&amp;IF(OR(NOT(ISNUMBER($D85)),NOT(ISNUMBER($E85))),"Horário inválido | ","")&amp;IFERROR(IF(AND(ISNUMBER($D85),ISNUMBER($E85),MOD($E85-$D85,1)*1440&lt;=0),"Duração nula ou negativa | ",""),"")&amp;IFERROR(IF(AND(ISNUMBER($D85),COUNTIF(Turnos_Nome,$C85)&gt;0,MOD($D85-INDEX(Turnos_Ini,MATCH($C85,Turnos_Nome,0)),1)*1440&gt;=INDEX(Turnos_Min,MATCH($C85,Turnos_Nome,0))),"Início fora da janela do turno | ",""),"")&amp;IFERROR(IF(AND($L85&gt;0,SUMPRODUCT((Mapa_Sala=$B85)*(Mapa_Data=$A85)*(Mapa_MinOcup&gt;0)*(((MOD(Mapa_IniNum-$O85,1)&lt;MOD($P85-$O85,1))+(MOD($O85-Mapa_IniNum,1)&lt;MOD(Mapa_FimNum-Mapa_IniNum,1)))&gt;0))&gt;1),"Sobreposição de horário na sala | ",""),"")&amp;IFERROR(IF(AND(ISNUMBER($K85),$K85&gt;0,COUNTIF(Esp_Nome,$F85)&gt;0,$K85&gt;3*INDEX(Esp_Dur,MATCH($F85,Esp_Nome,0))),"Duração atípica (&gt;3x a média) | ",""),""))</f>
        <v/>
      </c>
      <c r="O85" s="10">
        <f>IF(ISNUMBER($D85),$D85,0)</f>
        <v/>
      </c>
      <c r="P85" s="10">
        <f>IF(ISNUMBER($E85),$E85,0)</f>
        <v/>
      </c>
    </row>
    <row r="86">
      <c r="A86" s="30" t="n"/>
      <c r="B86" s="24" t="n"/>
      <c r="C86" s="24" t="n"/>
      <c r="D86" s="31" t="n"/>
      <c r="E86" s="31" t="n"/>
      <c r="F86" s="25" t="n"/>
      <c r="G86" s="25" t="n"/>
      <c r="H86" s="25" t="n"/>
      <c r="I86" s="24" t="n"/>
      <c r="J86" s="24" t="n"/>
      <c r="K86" s="32">
        <f>IF(OR($B86="",NOT(ISNUMBER($D86)),NOT(ISNUMBER($E86))),"",ROUND(MOD($E86-$D86,1)*1440,0))</f>
        <v/>
      </c>
      <c r="L86" s="32">
        <f>IF(NOT(ISNUMBER($K86)),0,IF(OR($K86&lt;=0,$J86="Cancelada",$J86="Suspensa"),0,$K86+Setup_Min))</f>
        <v/>
      </c>
      <c r="M86" s="17">
        <f>IF($B86="","",IF($N86="","OK",LEFT($N86,LEN($N86)-3)))</f>
        <v/>
      </c>
      <c r="N86" s="10">
        <f>IF($B86="","",IF(COUNTIF(Salas_Cod,$B86)=0,"Sala não cadastrada | ","")&amp;IF(AND(COUNTIF(Salas_Cod,$B86)&gt;0,IFERROR(INDEX(Salas_Status,MATCH($B86,Salas_Cod,0)),"")&lt;&gt;"Ativa"),"Sala bloqueada | ","")&amp;IF(COUNTIF(Turnos_Nome,$C86)=0,"Turno inválido | ","")&amp;IF(COUNTIF(Esp_Nome,$F86)=0,"Especialidade não cadastrada | ","")&amp;IF(COUNTIF(Lista_StatusCirurgia,$J86)=0,"Status inválido | ","")&amp;IF(OR(NOT(ISNUMBER($D86)),NOT(ISNUMBER($E86))),"Horário inválido | ","")&amp;IFERROR(IF(AND(ISNUMBER($D86),ISNUMBER($E86),MOD($E86-$D86,1)*1440&lt;=0),"Duração nula ou negativa | ",""),"")&amp;IFERROR(IF(AND(ISNUMBER($D86),COUNTIF(Turnos_Nome,$C86)&gt;0,MOD($D86-INDEX(Turnos_Ini,MATCH($C86,Turnos_Nome,0)),1)*1440&gt;=INDEX(Turnos_Min,MATCH($C86,Turnos_Nome,0))),"Início fora da janela do turno | ",""),"")&amp;IFERROR(IF(AND($L86&gt;0,SUMPRODUCT((Mapa_Sala=$B86)*(Mapa_Data=$A86)*(Mapa_MinOcup&gt;0)*(((MOD(Mapa_IniNum-$O86,1)&lt;MOD($P86-$O86,1))+(MOD($O86-Mapa_IniNum,1)&lt;MOD(Mapa_FimNum-Mapa_IniNum,1)))&gt;0))&gt;1),"Sobreposição de horário na sala | ",""),"")&amp;IFERROR(IF(AND(ISNUMBER($K86),$K86&gt;0,COUNTIF(Esp_Nome,$F86)&gt;0,$K86&gt;3*INDEX(Esp_Dur,MATCH($F86,Esp_Nome,0))),"Duração atípica (&gt;3x a média) | ",""),""))</f>
        <v/>
      </c>
      <c r="O86" s="10">
        <f>IF(ISNUMBER($D86),$D86,0)</f>
        <v/>
      </c>
      <c r="P86" s="10">
        <f>IF(ISNUMBER($E86),$E86,0)</f>
        <v/>
      </c>
    </row>
    <row r="87">
      <c r="A87" s="30" t="n"/>
      <c r="B87" s="24" t="n"/>
      <c r="C87" s="24" t="n"/>
      <c r="D87" s="31" t="n"/>
      <c r="E87" s="31" t="n"/>
      <c r="F87" s="25" t="n"/>
      <c r="G87" s="25" t="n"/>
      <c r="H87" s="25" t="n"/>
      <c r="I87" s="24" t="n"/>
      <c r="J87" s="24" t="n"/>
      <c r="K87" s="32">
        <f>IF(OR($B87="",NOT(ISNUMBER($D87)),NOT(ISNUMBER($E87))),"",ROUND(MOD($E87-$D87,1)*1440,0))</f>
        <v/>
      </c>
      <c r="L87" s="32">
        <f>IF(NOT(ISNUMBER($K87)),0,IF(OR($K87&lt;=0,$J87="Cancelada",$J87="Suspensa"),0,$K87+Setup_Min))</f>
        <v/>
      </c>
      <c r="M87" s="17">
        <f>IF($B87="","",IF($N87="","OK",LEFT($N87,LEN($N87)-3)))</f>
        <v/>
      </c>
      <c r="N87" s="10">
        <f>IF($B87="","",IF(COUNTIF(Salas_Cod,$B87)=0,"Sala não cadastrada | ","")&amp;IF(AND(COUNTIF(Salas_Cod,$B87)&gt;0,IFERROR(INDEX(Salas_Status,MATCH($B87,Salas_Cod,0)),"")&lt;&gt;"Ativa"),"Sala bloqueada | ","")&amp;IF(COUNTIF(Turnos_Nome,$C87)=0,"Turno inválido | ","")&amp;IF(COUNTIF(Esp_Nome,$F87)=0,"Especialidade não cadastrada | ","")&amp;IF(COUNTIF(Lista_StatusCirurgia,$J87)=0,"Status inválido | ","")&amp;IF(OR(NOT(ISNUMBER($D87)),NOT(ISNUMBER($E87))),"Horário inválido | ","")&amp;IFERROR(IF(AND(ISNUMBER($D87),ISNUMBER($E87),MOD($E87-$D87,1)*1440&lt;=0),"Duração nula ou negativa | ",""),"")&amp;IFERROR(IF(AND(ISNUMBER($D87),COUNTIF(Turnos_Nome,$C87)&gt;0,MOD($D87-INDEX(Turnos_Ini,MATCH($C87,Turnos_Nome,0)),1)*1440&gt;=INDEX(Turnos_Min,MATCH($C87,Turnos_Nome,0))),"Início fora da janela do turno | ",""),"")&amp;IFERROR(IF(AND($L87&gt;0,SUMPRODUCT((Mapa_Sala=$B87)*(Mapa_Data=$A87)*(Mapa_MinOcup&gt;0)*(((MOD(Mapa_IniNum-$O87,1)&lt;MOD($P87-$O87,1))+(MOD($O87-Mapa_IniNum,1)&lt;MOD(Mapa_FimNum-Mapa_IniNum,1)))&gt;0))&gt;1),"Sobreposição de horário na sala | ",""),"")&amp;IFERROR(IF(AND(ISNUMBER($K87),$K87&gt;0,COUNTIF(Esp_Nome,$F87)&gt;0,$K87&gt;3*INDEX(Esp_Dur,MATCH($F87,Esp_Nome,0))),"Duração atípica (&gt;3x a média) | ",""),""))</f>
        <v/>
      </c>
      <c r="O87" s="10">
        <f>IF(ISNUMBER($D87),$D87,0)</f>
        <v/>
      </c>
      <c r="P87" s="10">
        <f>IF(ISNUMBER($E87),$E87,0)</f>
        <v/>
      </c>
    </row>
    <row r="88">
      <c r="A88" s="30" t="n"/>
      <c r="B88" s="24" t="n"/>
      <c r="C88" s="24" t="n"/>
      <c r="D88" s="31" t="n"/>
      <c r="E88" s="31" t="n"/>
      <c r="F88" s="25" t="n"/>
      <c r="G88" s="25" t="n"/>
      <c r="H88" s="25" t="n"/>
      <c r="I88" s="24" t="n"/>
      <c r="J88" s="24" t="n"/>
      <c r="K88" s="32">
        <f>IF(OR($B88="",NOT(ISNUMBER($D88)),NOT(ISNUMBER($E88))),"",ROUND(MOD($E88-$D88,1)*1440,0))</f>
        <v/>
      </c>
      <c r="L88" s="32">
        <f>IF(NOT(ISNUMBER($K88)),0,IF(OR($K88&lt;=0,$J88="Cancelada",$J88="Suspensa"),0,$K88+Setup_Min))</f>
        <v/>
      </c>
      <c r="M88" s="17">
        <f>IF($B88="","",IF($N88="","OK",LEFT($N88,LEN($N88)-3)))</f>
        <v/>
      </c>
      <c r="N88" s="10">
        <f>IF($B88="","",IF(COUNTIF(Salas_Cod,$B88)=0,"Sala não cadastrada | ","")&amp;IF(AND(COUNTIF(Salas_Cod,$B88)&gt;0,IFERROR(INDEX(Salas_Status,MATCH($B88,Salas_Cod,0)),"")&lt;&gt;"Ativa"),"Sala bloqueada | ","")&amp;IF(COUNTIF(Turnos_Nome,$C88)=0,"Turno inválido | ","")&amp;IF(COUNTIF(Esp_Nome,$F88)=0,"Especialidade não cadastrada | ","")&amp;IF(COUNTIF(Lista_StatusCirurgia,$J88)=0,"Status inválido | ","")&amp;IF(OR(NOT(ISNUMBER($D88)),NOT(ISNUMBER($E88))),"Horário inválido | ","")&amp;IFERROR(IF(AND(ISNUMBER($D88),ISNUMBER($E88),MOD($E88-$D88,1)*1440&lt;=0),"Duração nula ou negativa | ",""),"")&amp;IFERROR(IF(AND(ISNUMBER($D88),COUNTIF(Turnos_Nome,$C88)&gt;0,MOD($D88-INDEX(Turnos_Ini,MATCH($C88,Turnos_Nome,0)),1)*1440&gt;=INDEX(Turnos_Min,MATCH($C88,Turnos_Nome,0))),"Início fora da janela do turno | ",""),"")&amp;IFERROR(IF(AND($L88&gt;0,SUMPRODUCT((Mapa_Sala=$B88)*(Mapa_Data=$A88)*(Mapa_MinOcup&gt;0)*(((MOD(Mapa_IniNum-$O88,1)&lt;MOD($P88-$O88,1))+(MOD($O88-Mapa_IniNum,1)&lt;MOD(Mapa_FimNum-Mapa_IniNum,1)))&gt;0))&gt;1),"Sobreposição de horário na sala | ",""),"")&amp;IFERROR(IF(AND(ISNUMBER($K88),$K88&gt;0,COUNTIF(Esp_Nome,$F88)&gt;0,$K88&gt;3*INDEX(Esp_Dur,MATCH($F88,Esp_Nome,0))),"Duração atípica (&gt;3x a média) | ",""),""))</f>
        <v/>
      </c>
      <c r="O88" s="10">
        <f>IF(ISNUMBER($D88),$D88,0)</f>
        <v/>
      </c>
      <c r="P88" s="10">
        <f>IF(ISNUMBER($E88),$E88,0)</f>
        <v/>
      </c>
    </row>
    <row r="89">
      <c r="A89" s="30" t="n"/>
      <c r="B89" s="24" t="n"/>
      <c r="C89" s="24" t="n"/>
      <c r="D89" s="31" t="n"/>
      <c r="E89" s="31" t="n"/>
      <c r="F89" s="25" t="n"/>
      <c r="G89" s="25" t="n"/>
      <c r="H89" s="25" t="n"/>
      <c r="I89" s="24" t="n"/>
      <c r="J89" s="24" t="n"/>
      <c r="K89" s="32">
        <f>IF(OR($B89="",NOT(ISNUMBER($D89)),NOT(ISNUMBER($E89))),"",ROUND(MOD($E89-$D89,1)*1440,0))</f>
        <v/>
      </c>
      <c r="L89" s="32">
        <f>IF(NOT(ISNUMBER($K89)),0,IF(OR($K89&lt;=0,$J89="Cancelada",$J89="Suspensa"),0,$K89+Setup_Min))</f>
        <v/>
      </c>
      <c r="M89" s="17">
        <f>IF($B89="","",IF($N89="","OK",LEFT($N89,LEN($N89)-3)))</f>
        <v/>
      </c>
      <c r="N89" s="10">
        <f>IF($B89="","",IF(COUNTIF(Salas_Cod,$B89)=0,"Sala não cadastrada | ","")&amp;IF(AND(COUNTIF(Salas_Cod,$B89)&gt;0,IFERROR(INDEX(Salas_Status,MATCH($B89,Salas_Cod,0)),"")&lt;&gt;"Ativa"),"Sala bloqueada | ","")&amp;IF(COUNTIF(Turnos_Nome,$C89)=0,"Turno inválido | ","")&amp;IF(COUNTIF(Esp_Nome,$F89)=0,"Especialidade não cadastrada | ","")&amp;IF(COUNTIF(Lista_StatusCirurgia,$J89)=0,"Status inválido | ","")&amp;IF(OR(NOT(ISNUMBER($D89)),NOT(ISNUMBER($E89))),"Horário inválido | ","")&amp;IFERROR(IF(AND(ISNUMBER($D89),ISNUMBER($E89),MOD($E89-$D89,1)*1440&lt;=0),"Duração nula ou negativa | ",""),"")&amp;IFERROR(IF(AND(ISNUMBER($D89),COUNTIF(Turnos_Nome,$C89)&gt;0,MOD($D89-INDEX(Turnos_Ini,MATCH($C89,Turnos_Nome,0)),1)*1440&gt;=INDEX(Turnos_Min,MATCH($C89,Turnos_Nome,0))),"Início fora da janela do turno | ",""),"")&amp;IFERROR(IF(AND($L89&gt;0,SUMPRODUCT((Mapa_Sala=$B89)*(Mapa_Data=$A89)*(Mapa_MinOcup&gt;0)*(((MOD(Mapa_IniNum-$O89,1)&lt;MOD($P89-$O89,1))+(MOD($O89-Mapa_IniNum,1)&lt;MOD(Mapa_FimNum-Mapa_IniNum,1)))&gt;0))&gt;1),"Sobreposição de horário na sala | ",""),"")&amp;IFERROR(IF(AND(ISNUMBER($K89),$K89&gt;0,COUNTIF(Esp_Nome,$F89)&gt;0,$K89&gt;3*INDEX(Esp_Dur,MATCH($F89,Esp_Nome,0))),"Duração atípica (&gt;3x a média) | ",""),""))</f>
        <v/>
      </c>
      <c r="O89" s="10">
        <f>IF(ISNUMBER($D89),$D89,0)</f>
        <v/>
      </c>
      <c r="P89" s="10">
        <f>IF(ISNUMBER($E89),$E89,0)</f>
        <v/>
      </c>
    </row>
    <row r="90">
      <c r="A90" s="30" t="n"/>
      <c r="B90" s="24" t="n"/>
      <c r="C90" s="24" t="n"/>
      <c r="D90" s="31" t="n"/>
      <c r="E90" s="31" t="n"/>
      <c r="F90" s="25" t="n"/>
      <c r="G90" s="25" t="n"/>
      <c r="H90" s="25" t="n"/>
      <c r="I90" s="24" t="n"/>
      <c r="J90" s="24" t="n"/>
      <c r="K90" s="32">
        <f>IF(OR($B90="",NOT(ISNUMBER($D90)),NOT(ISNUMBER($E90))),"",ROUND(MOD($E90-$D90,1)*1440,0))</f>
        <v/>
      </c>
      <c r="L90" s="32">
        <f>IF(NOT(ISNUMBER($K90)),0,IF(OR($K90&lt;=0,$J90="Cancelada",$J90="Suspensa"),0,$K90+Setup_Min))</f>
        <v/>
      </c>
      <c r="M90" s="17">
        <f>IF($B90="","",IF($N90="","OK",LEFT($N90,LEN($N90)-3)))</f>
        <v/>
      </c>
      <c r="N90" s="10">
        <f>IF($B90="","",IF(COUNTIF(Salas_Cod,$B90)=0,"Sala não cadastrada | ","")&amp;IF(AND(COUNTIF(Salas_Cod,$B90)&gt;0,IFERROR(INDEX(Salas_Status,MATCH($B90,Salas_Cod,0)),"")&lt;&gt;"Ativa"),"Sala bloqueada | ","")&amp;IF(COUNTIF(Turnos_Nome,$C90)=0,"Turno inválido | ","")&amp;IF(COUNTIF(Esp_Nome,$F90)=0,"Especialidade não cadastrada | ","")&amp;IF(COUNTIF(Lista_StatusCirurgia,$J90)=0,"Status inválido | ","")&amp;IF(OR(NOT(ISNUMBER($D90)),NOT(ISNUMBER($E90))),"Horário inválido | ","")&amp;IFERROR(IF(AND(ISNUMBER($D90),ISNUMBER($E90),MOD($E90-$D90,1)*1440&lt;=0),"Duração nula ou negativa | ",""),"")&amp;IFERROR(IF(AND(ISNUMBER($D90),COUNTIF(Turnos_Nome,$C90)&gt;0,MOD($D90-INDEX(Turnos_Ini,MATCH($C90,Turnos_Nome,0)),1)*1440&gt;=INDEX(Turnos_Min,MATCH($C90,Turnos_Nome,0))),"Início fora da janela do turno | ",""),"")&amp;IFERROR(IF(AND($L90&gt;0,SUMPRODUCT((Mapa_Sala=$B90)*(Mapa_Data=$A90)*(Mapa_MinOcup&gt;0)*(((MOD(Mapa_IniNum-$O90,1)&lt;MOD($P90-$O90,1))+(MOD($O90-Mapa_IniNum,1)&lt;MOD(Mapa_FimNum-Mapa_IniNum,1)))&gt;0))&gt;1),"Sobreposição de horário na sala | ",""),"")&amp;IFERROR(IF(AND(ISNUMBER($K90),$K90&gt;0,COUNTIF(Esp_Nome,$F90)&gt;0,$K90&gt;3*INDEX(Esp_Dur,MATCH($F90,Esp_Nome,0))),"Duração atípica (&gt;3x a média) | ",""),""))</f>
        <v/>
      </c>
      <c r="O90" s="10">
        <f>IF(ISNUMBER($D90),$D90,0)</f>
        <v/>
      </c>
      <c r="P90" s="10">
        <f>IF(ISNUMBER($E90),$E90,0)</f>
        <v/>
      </c>
    </row>
    <row r="91">
      <c r="A91" s="30" t="n"/>
      <c r="B91" s="24" t="n"/>
      <c r="C91" s="24" t="n"/>
      <c r="D91" s="31" t="n"/>
      <c r="E91" s="31" t="n"/>
      <c r="F91" s="25" t="n"/>
      <c r="G91" s="25" t="n"/>
      <c r="H91" s="25" t="n"/>
      <c r="I91" s="24" t="n"/>
      <c r="J91" s="24" t="n"/>
      <c r="K91" s="32">
        <f>IF(OR($B91="",NOT(ISNUMBER($D91)),NOT(ISNUMBER($E91))),"",ROUND(MOD($E91-$D91,1)*1440,0))</f>
        <v/>
      </c>
      <c r="L91" s="32">
        <f>IF(NOT(ISNUMBER($K91)),0,IF(OR($K91&lt;=0,$J91="Cancelada",$J91="Suspensa"),0,$K91+Setup_Min))</f>
        <v/>
      </c>
      <c r="M91" s="17">
        <f>IF($B91="","",IF($N91="","OK",LEFT($N91,LEN($N91)-3)))</f>
        <v/>
      </c>
      <c r="N91" s="10">
        <f>IF($B91="","",IF(COUNTIF(Salas_Cod,$B91)=0,"Sala não cadastrada | ","")&amp;IF(AND(COUNTIF(Salas_Cod,$B91)&gt;0,IFERROR(INDEX(Salas_Status,MATCH($B91,Salas_Cod,0)),"")&lt;&gt;"Ativa"),"Sala bloqueada | ","")&amp;IF(COUNTIF(Turnos_Nome,$C91)=0,"Turno inválido | ","")&amp;IF(COUNTIF(Esp_Nome,$F91)=0,"Especialidade não cadastrada | ","")&amp;IF(COUNTIF(Lista_StatusCirurgia,$J91)=0,"Status inválido | ","")&amp;IF(OR(NOT(ISNUMBER($D91)),NOT(ISNUMBER($E91))),"Horário inválido | ","")&amp;IFERROR(IF(AND(ISNUMBER($D91),ISNUMBER($E91),MOD($E91-$D91,1)*1440&lt;=0),"Duração nula ou negativa | ",""),"")&amp;IFERROR(IF(AND(ISNUMBER($D91),COUNTIF(Turnos_Nome,$C91)&gt;0,MOD($D91-INDEX(Turnos_Ini,MATCH($C91,Turnos_Nome,0)),1)*1440&gt;=INDEX(Turnos_Min,MATCH($C91,Turnos_Nome,0))),"Início fora da janela do turno | ",""),"")&amp;IFERROR(IF(AND($L91&gt;0,SUMPRODUCT((Mapa_Sala=$B91)*(Mapa_Data=$A91)*(Mapa_MinOcup&gt;0)*(((MOD(Mapa_IniNum-$O91,1)&lt;MOD($P91-$O91,1))+(MOD($O91-Mapa_IniNum,1)&lt;MOD(Mapa_FimNum-Mapa_IniNum,1)))&gt;0))&gt;1),"Sobreposição de horário na sala | ",""),"")&amp;IFERROR(IF(AND(ISNUMBER($K91),$K91&gt;0,COUNTIF(Esp_Nome,$F91)&gt;0,$K91&gt;3*INDEX(Esp_Dur,MATCH($F91,Esp_Nome,0))),"Duração atípica (&gt;3x a média) | ",""),""))</f>
        <v/>
      </c>
      <c r="O91" s="10">
        <f>IF(ISNUMBER($D91),$D91,0)</f>
        <v/>
      </c>
      <c r="P91" s="10">
        <f>IF(ISNUMBER($E91),$E91,0)</f>
        <v/>
      </c>
    </row>
    <row r="92">
      <c r="A92" s="30" t="n"/>
      <c r="B92" s="24" t="n"/>
      <c r="C92" s="24" t="n"/>
      <c r="D92" s="31" t="n"/>
      <c r="E92" s="31" t="n"/>
      <c r="F92" s="25" t="n"/>
      <c r="G92" s="25" t="n"/>
      <c r="H92" s="25" t="n"/>
      <c r="I92" s="24" t="n"/>
      <c r="J92" s="24" t="n"/>
      <c r="K92" s="32">
        <f>IF(OR($B92="",NOT(ISNUMBER($D92)),NOT(ISNUMBER($E92))),"",ROUND(MOD($E92-$D92,1)*1440,0))</f>
        <v/>
      </c>
      <c r="L92" s="32">
        <f>IF(NOT(ISNUMBER($K92)),0,IF(OR($K92&lt;=0,$J92="Cancelada",$J92="Suspensa"),0,$K92+Setup_Min))</f>
        <v/>
      </c>
      <c r="M92" s="17">
        <f>IF($B92="","",IF($N92="","OK",LEFT($N92,LEN($N92)-3)))</f>
        <v/>
      </c>
      <c r="N92" s="10">
        <f>IF($B92="","",IF(COUNTIF(Salas_Cod,$B92)=0,"Sala não cadastrada | ","")&amp;IF(AND(COUNTIF(Salas_Cod,$B92)&gt;0,IFERROR(INDEX(Salas_Status,MATCH($B92,Salas_Cod,0)),"")&lt;&gt;"Ativa"),"Sala bloqueada | ","")&amp;IF(COUNTIF(Turnos_Nome,$C92)=0,"Turno inválido | ","")&amp;IF(COUNTIF(Esp_Nome,$F92)=0,"Especialidade não cadastrada | ","")&amp;IF(COUNTIF(Lista_StatusCirurgia,$J92)=0,"Status inválido | ","")&amp;IF(OR(NOT(ISNUMBER($D92)),NOT(ISNUMBER($E92))),"Horário inválido | ","")&amp;IFERROR(IF(AND(ISNUMBER($D92),ISNUMBER($E92),MOD($E92-$D92,1)*1440&lt;=0),"Duração nula ou negativa | ",""),"")&amp;IFERROR(IF(AND(ISNUMBER($D92),COUNTIF(Turnos_Nome,$C92)&gt;0,MOD($D92-INDEX(Turnos_Ini,MATCH($C92,Turnos_Nome,0)),1)*1440&gt;=INDEX(Turnos_Min,MATCH($C92,Turnos_Nome,0))),"Início fora da janela do turno | ",""),"")&amp;IFERROR(IF(AND($L92&gt;0,SUMPRODUCT((Mapa_Sala=$B92)*(Mapa_Data=$A92)*(Mapa_MinOcup&gt;0)*(((MOD(Mapa_IniNum-$O92,1)&lt;MOD($P92-$O92,1))+(MOD($O92-Mapa_IniNum,1)&lt;MOD(Mapa_FimNum-Mapa_IniNum,1)))&gt;0))&gt;1),"Sobreposição de horário na sala | ",""),"")&amp;IFERROR(IF(AND(ISNUMBER($K92),$K92&gt;0,COUNTIF(Esp_Nome,$F92)&gt;0,$K92&gt;3*INDEX(Esp_Dur,MATCH($F92,Esp_Nome,0))),"Duração atípica (&gt;3x a média) | ",""),""))</f>
        <v/>
      </c>
      <c r="O92" s="10">
        <f>IF(ISNUMBER($D92),$D92,0)</f>
        <v/>
      </c>
      <c r="P92" s="10">
        <f>IF(ISNUMBER($E92),$E92,0)</f>
        <v/>
      </c>
    </row>
    <row r="93">
      <c r="A93" s="30" t="n"/>
      <c r="B93" s="24" t="n"/>
      <c r="C93" s="24" t="n"/>
      <c r="D93" s="31" t="n"/>
      <c r="E93" s="31" t="n"/>
      <c r="F93" s="25" t="n"/>
      <c r="G93" s="25" t="n"/>
      <c r="H93" s="25" t="n"/>
      <c r="I93" s="24" t="n"/>
      <c r="J93" s="24" t="n"/>
      <c r="K93" s="32">
        <f>IF(OR($B93="",NOT(ISNUMBER($D93)),NOT(ISNUMBER($E93))),"",ROUND(MOD($E93-$D93,1)*1440,0))</f>
        <v/>
      </c>
      <c r="L93" s="32">
        <f>IF(NOT(ISNUMBER($K93)),0,IF(OR($K93&lt;=0,$J93="Cancelada",$J93="Suspensa"),0,$K93+Setup_Min))</f>
        <v/>
      </c>
      <c r="M93" s="17">
        <f>IF($B93="","",IF($N93="","OK",LEFT($N93,LEN($N93)-3)))</f>
        <v/>
      </c>
      <c r="N93" s="10">
        <f>IF($B93="","",IF(COUNTIF(Salas_Cod,$B93)=0,"Sala não cadastrada | ","")&amp;IF(AND(COUNTIF(Salas_Cod,$B93)&gt;0,IFERROR(INDEX(Salas_Status,MATCH($B93,Salas_Cod,0)),"")&lt;&gt;"Ativa"),"Sala bloqueada | ","")&amp;IF(COUNTIF(Turnos_Nome,$C93)=0,"Turno inválido | ","")&amp;IF(COUNTIF(Esp_Nome,$F93)=0,"Especialidade não cadastrada | ","")&amp;IF(COUNTIF(Lista_StatusCirurgia,$J93)=0,"Status inválido | ","")&amp;IF(OR(NOT(ISNUMBER($D93)),NOT(ISNUMBER($E93))),"Horário inválido | ","")&amp;IFERROR(IF(AND(ISNUMBER($D93),ISNUMBER($E93),MOD($E93-$D93,1)*1440&lt;=0),"Duração nula ou negativa | ",""),"")&amp;IFERROR(IF(AND(ISNUMBER($D93),COUNTIF(Turnos_Nome,$C93)&gt;0,MOD($D93-INDEX(Turnos_Ini,MATCH($C93,Turnos_Nome,0)),1)*1440&gt;=INDEX(Turnos_Min,MATCH($C93,Turnos_Nome,0))),"Início fora da janela do turno | ",""),"")&amp;IFERROR(IF(AND($L93&gt;0,SUMPRODUCT((Mapa_Sala=$B93)*(Mapa_Data=$A93)*(Mapa_MinOcup&gt;0)*(((MOD(Mapa_IniNum-$O93,1)&lt;MOD($P93-$O93,1))+(MOD($O93-Mapa_IniNum,1)&lt;MOD(Mapa_FimNum-Mapa_IniNum,1)))&gt;0))&gt;1),"Sobreposição de horário na sala | ",""),"")&amp;IFERROR(IF(AND(ISNUMBER($K93),$K93&gt;0,COUNTIF(Esp_Nome,$F93)&gt;0,$K93&gt;3*INDEX(Esp_Dur,MATCH($F93,Esp_Nome,0))),"Duração atípica (&gt;3x a média) | ",""),""))</f>
        <v/>
      </c>
      <c r="O93" s="10">
        <f>IF(ISNUMBER($D93),$D93,0)</f>
        <v/>
      </c>
      <c r="P93" s="10">
        <f>IF(ISNUMBER($E93),$E93,0)</f>
        <v/>
      </c>
    </row>
    <row r="94">
      <c r="A94" s="30" t="n"/>
      <c r="B94" s="24" t="n"/>
      <c r="C94" s="24" t="n"/>
      <c r="D94" s="31" t="n"/>
      <c r="E94" s="31" t="n"/>
      <c r="F94" s="25" t="n"/>
      <c r="G94" s="25" t="n"/>
      <c r="H94" s="25" t="n"/>
      <c r="I94" s="24" t="n"/>
      <c r="J94" s="24" t="n"/>
      <c r="K94" s="32">
        <f>IF(OR($B94="",NOT(ISNUMBER($D94)),NOT(ISNUMBER($E94))),"",ROUND(MOD($E94-$D94,1)*1440,0))</f>
        <v/>
      </c>
      <c r="L94" s="32">
        <f>IF(NOT(ISNUMBER($K94)),0,IF(OR($K94&lt;=0,$J94="Cancelada",$J94="Suspensa"),0,$K94+Setup_Min))</f>
        <v/>
      </c>
      <c r="M94" s="17">
        <f>IF($B94="","",IF($N94="","OK",LEFT($N94,LEN($N94)-3)))</f>
        <v/>
      </c>
      <c r="N94" s="10">
        <f>IF($B94="","",IF(COUNTIF(Salas_Cod,$B94)=0,"Sala não cadastrada | ","")&amp;IF(AND(COUNTIF(Salas_Cod,$B94)&gt;0,IFERROR(INDEX(Salas_Status,MATCH($B94,Salas_Cod,0)),"")&lt;&gt;"Ativa"),"Sala bloqueada | ","")&amp;IF(COUNTIF(Turnos_Nome,$C94)=0,"Turno inválido | ","")&amp;IF(COUNTIF(Esp_Nome,$F94)=0,"Especialidade não cadastrada | ","")&amp;IF(COUNTIF(Lista_StatusCirurgia,$J94)=0,"Status inválido | ","")&amp;IF(OR(NOT(ISNUMBER($D94)),NOT(ISNUMBER($E94))),"Horário inválido | ","")&amp;IFERROR(IF(AND(ISNUMBER($D94),ISNUMBER($E94),MOD($E94-$D94,1)*1440&lt;=0),"Duração nula ou negativa | ",""),"")&amp;IFERROR(IF(AND(ISNUMBER($D94),COUNTIF(Turnos_Nome,$C94)&gt;0,MOD($D94-INDEX(Turnos_Ini,MATCH($C94,Turnos_Nome,0)),1)*1440&gt;=INDEX(Turnos_Min,MATCH($C94,Turnos_Nome,0))),"Início fora da janela do turno | ",""),"")&amp;IFERROR(IF(AND($L94&gt;0,SUMPRODUCT((Mapa_Sala=$B94)*(Mapa_Data=$A94)*(Mapa_MinOcup&gt;0)*(((MOD(Mapa_IniNum-$O94,1)&lt;MOD($P94-$O94,1))+(MOD($O94-Mapa_IniNum,1)&lt;MOD(Mapa_FimNum-Mapa_IniNum,1)))&gt;0))&gt;1),"Sobreposição de horário na sala | ",""),"")&amp;IFERROR(IF(AND(ISNUMBER($K94),$K94&gt;0,COUNTIF(Esp_Nome,$F94)&gt;0,$K94&gt;3*INDEX(Esp_Dur,MATCH($F94,Esp_Nome,0))),"Duração atípica (&gt;3x a média) | ",""),""))</f>
        <v/>
      </c>
      <c r="O94" s="10">
        <f>IF(ISNUMBER($D94),$D94,0)</f>
        <v/>
      </c>
      <c r="P94" s="10">
        <f>IF(ISNUMBER($E94),$E94,0)</f>
        <v/>
      </c>
    </row>
    <row r="95">
      <c r="A95" s="30" t="n"/>
      <c r="B95" s="24" t="n"/>
      <c r="C95" s="24" t="n"/>
      <c r="D95" s="31" t="n"/>
      <c r="E95" s="31" t="n"/>
      <c r="F95" s="25" t="n"/>
      <c r="G95" s="25" t="n"/>
      <c r="H95" s="25" t="n"/>
      <c r="I95" s="24" t="n"/>
      <c r="J95" s="24" t="n"/>
      <c r="K95" s="32">
        <f>IF(OR($B95="",NOT(ISNUMBER($D95)),NOT(ISNUMBER($E95))),"",ROUND(MOD($E95-$D95,1)*1440,0))</f>
        <v/>
      </c>
      <c r="L95" s="32">
        <f>IF(NOT(ISNUMBER($K95)),0,IF(OR($K95&lt;=0,$J95="Cancelada",$J95="Suspensa"),0,$K95+Setup_Min))</f>
        <v/>
      </c>
      <c r="M95" s="17">
        <f>IF($B95="","",IF($N95="","OK",LEFT($N95,LEN($N95)-3)))</f>
        <v/>
      </c>
      <c r="N95" s="10">
        <f>IF($B95="","",IF(COUNTIF(Salas_Cod,$B95)=0,"Sala não cadastrada | ","")&amp;IF(AND(COUNTIF(Salas_Cod,$B95)&gt;0,IFERROR(INDEX(Salas_Status,MATCH($B95,Salas_Cod,0)),"")&lt;&gt;"Ativa"),"Sala bloqueada | ","")&amp;IF(COUNTIF(Turnos_Nome,$C95)=0,"Turno inválido | ","")&amp;IF(COUNTIF(Esp_Nome,$F95)=0,"Especialidade não cadastrada | ","")&amp;IF(COUNTIF(Lista_StatusCirurgia,$J95)=0,"Status inválido | ","")&amp;IF(OR(NOT(ISNUMBER($D95)),NOT(ISNUMBER($E95))),"Horário inválido | ","")&amp;IFERROR(IF(AND(ISNUMBER($D95),ISNUMBER($E95),MOD($E95-$D95,1)*1440&lt;=0),"Duração nula ou negativa | ",""),"")&amp;IFERROR(IF(AND(ISNUMBER($D95),COUNTIF(Turnos_Nome,$C95)&gt;0,MOD($D95-INDEX(Turnos_Ini,MATCH($C95,Turnos_Nome,0)),1)*1440&gt;=INDEX(Turnos_Min,MATCH($C95,Turnos_Nome,0))),"Início fora da janela do turno | ",""),"")&amp;IFERROR(IF(AND($L95&gt;0,SUMPRODUCT((Mapa_Sala=$B95)*(Mapa_Data=$A95)*(Mapa_MinOcup&gt;0)*(((MOD(Mapa_IniNum-$O95,1)&lt;MOD($P95-$O95,1))+(MOD($O95-Mapa_IniNum,1)&lt;MOD(Mapa_FimNum-Mapa_IniNum,1)))&gt;0))&gt;1),"Sobreposição de horário na sala | ",""),"")&amp;IFERROR(IF(AND(ISNUMBER($K95),$K95&gt;0,COUNTIF(Esp_Nome,$F95)&gt;0,$K95&gt;3*INDEX(Esp_Dur,MATCH($F95,Esp_Nome,0))),"Duração atípica (&gt;3x a média) | ",""),""))</f>
        <v/>
      </c>
      <c r="O95" s="10">
        <f>IF(ISNUMBER($D95),$D95,0)</f>
        <v/>
      </c>
      <c r="P95" s="10">
        <f>IF(ISNUMBER($E95),$E95,0)</f>
        <v/>
      </c>
    </row>
    <row r="96">
      <c r="A96" s="30" t="n"/>
      <c r="B96" s="24" t="n"/>
      <c r="C96" s="24" t="n"/>
      <c r="D96" s="31" t="n"/>
      <c r="E96" s="31" t="n"/>
      <c r="F96" s="25" t="n"/>
      <c r="G96" s="25" t="n"/>
      <c r="H96" s="25" t="n"/>
      <c r="I96" s="24" t="n"/>
      <c r="J96" s="24" t="n"/>
      <c r="K96" s="32">
        <f>IF(OR($B96="",NOT(ISNUMBER($D96)),NOT(ISNUMBER($E96))),"",ROUND(MOD($E96-$D96,1)*1440,0))</f>
        <v/>
      </c>
      <c r="L96" s="32">
        <f>IF(NOT(ISNUMBER($K96)),0,IF(OR($K96&lt;=0,$J96="Cancelada",$J96="Suspensa"),0,$K96+Setup_Min))</f>
        <v/>
      </c>
      <c r="M96" s="17">
        <f>IF($B96="","",IF($N96="","OK",LEFT($N96,LEN($N96)-3)))</f>
        <v/>
      </c>
      <c r="N96" s="10">
        <f>IF($B96="","",IF(COUNTIF(Salas_Cod,$B96)=0,"Sala não cadastrada | ","")&amp;IF(AND(COUNTIF(Salas_Cod,$B96)&gt;0,IFERROR(INDEX(Salas_Status,MATCH($B96,Salas_Cod,0)),"")&lt;&gt;"Ativa"),"Sala bloqueada | ","")&amp;IF(COUNTIF(Turnos_Nome,$C96)=0,"Turno inválido | ","")&amp;IF(COUNTIF(Esp_Nome,$F96)=0,"Especialidade não cadastrada | ","")&amp;IF(COUNTIF(Lista_StatusCirurgia,$J96)=0,"Status inválido | ","")&amp;IF(OR(NOT(ISNUMBER($D96)),NOT(ISNUMBER($E96))),"Horário inválido | ","")&amp;IFERROR(IF(AND(ISNUMBER($D96),ISNUMBER($E96),MOD($E96-$D96,1)*1440&lt;=0),"Duração nula ou negativa | ",""),"")&amp;IFERROR(IF(AND(ISNUMBER($D96),COUNTIF(Turnos_Nome,$C96)&gt;0,MOD($D96-INDEX(Turnos_Ini,MATCH($C96,Turnos_Nome,0)),1)*1440&gt;=INDEX(Turnos_Min,MATCH($C96,Turnos_Nome,0))),"Início fora da janela do turno | ",""),"")&amp;IFERROR(IF(AND($L96&gt;0,SUMPRODUCT((Mapa_Sala=$B96)*(Mapa_Data=$A96)*(Mapa_MinOcup&gt;0)*(((MOD(Mapa_IniNum-$O96,1)&lt;MOD($P96-$O96,1))+(MOD($O96-Mapa_IniNum,1)&lt;MOD(Mapa_FimNum-Mapa_IniNum,1)))&gt;0))&gt;1),"Sobreposição de horário na sala | ",""),"")&amp;IFERROR(IF(AND(ISNUMBER($K96),$K96&gt;0,COUNTIF(Esp_Nome,$F96)&gt;0,$K96&gt;3*INDEX(Esp_Dur,MATCH($F96,Esp_Nome,0))),"Duração atípica (&gt;3x a média) | ",""),""))</f>
        <v/>
      </c>
      <c r="O96" s="10">
        <f>IF(ISNUMBER($D96),$D96,0)</f>
        <v/>
      </c>
      <c r="P96" s="10">
        <f>IF(ISNUMBER($E96),$E96,0)</f>
        <v/>
      </c>
    </row>
    <row r="97">
      <c r="A97" s="30" t="n"/>
      <c r="B97" s="24" t="n"/>
      <c r="C97" s="24" t="n"/>
      <c r="D97" s="31" t="n"/>
      <c r="E97" s="31" t="n"/>
      <c r="F97" s="25" t="n"/>
      <c r="G97" s="25" t="n"/>
      <c r="H97" s="25" t="n"/>
      <c r="I97" s="24" t="n"/>
      <c r="J97" s="24" t="n"/>
      <c r="K97" s="32">
        <f>IF(OR($B97="",NOT(ISNUMBER($D97)),NOT(ISNUMBER($E97))),"",ROUND(MOD($E97-$D97,1)*1440,0))</f>
        <v/>
      </c>
      <c r="L97" s="32">
        <f>IF(NOT(ISNUMBER($K97)),0,IF(OR($K97&lt;=0,$J97="Cancelada",$J97="Suspensa"),0,$K97+Setup_Min))</f>
        <v/>
      </c>
      <c r="M97" s="17">
        <f>IF($B97="","",IF($N97="","OK",LEFT($N97,LEN($N97)-3)))</f>
        <v/>
      </c>
      <c r="N97" s="10">
        <f>IF($B97="","",IF(COUNTIF(Salas_Cod,$B97)=0,"Sala não cadastrada | ","")&amp;IF(AND(COUNTIF(Salas_Cod,$B97)&gt;0,IFERROR(INDEX(Salas_Status,MATCH($B97,Salas_Cod,0)),"")&lt;&gt;"Ativa"),"Sala bloqueada | ","")&amp;IF(COUNTIF(Turnos_Nome,$C97)=0,"Turno inválido | ","")&amp;IF(COUNTIF(Esp_Nome,$F97)=0,"Especialidade não cadastrada | ","")&amp;IF(COUNTIF(Lista_StatusCirurgia,$J97)=0,"Status inválido | ","")&amp;IF(OR(NOT(ISNUMBER($D97)),NOT(ISNUMBER($E97))),"Horário inválido | ","")&amp;IFERROR(IF(AND(ISNUMBER($D97),ISNUMBER($E97),MOD($E97-$D97,1)*1440&lt;=0),"Duração nula ou negativa | ",""),"")&amp;IFERROR(IF(AND(ISNUMBER($D97),COUNTIF(Turnos_Nome,$C97)&gt;0,MOD($D97-INDEX(Turnos_Ini,MATCH($C97,Turnos_Nome,0)),1)*1440&gt;=INDEX(Turnos_Min,MATCH($C97,Turnos_Nome,0))),"Início fora da janela do turno | ",""),"")&amp;IFERROR(IF(AND($L97&gt;0,SUMPRODUCT((Mapa_Sala=$B97)*(Mapa_Data=$A97)*(Mapa_MinOcup&gt;0)*(((MOD(Mapa_IniNum-$O97,1)&lt;MOD($P97-$O97,1))+(MOD($O97-Mapa_IniNum,1)&lt;MOD(Mapa_FimNum-Mapa_IniNum,1)))&gt;0))&gt;1),"Sobreposição de horário na sala | ",""),"")&amp;IFERROR(IF(AND(ISNUMBER($K97),$K97&gt;0,COUNTIF(Esp_Nome,$F97)&gt;0,$K97&gt;3*INDEX(Esp_Dur,MATCH($F97,Esp_Nome,0))),"Duração atípica (&gt;3x a média) | ",""),""))</f>
        <v/>
      </c>
      <c r="O97" s="10">
        <f>IF(ISNUMBER($D97),$D97,0)</f>
        <v/>
      </c>
      <c r="P97" s="10">
        <f>IF(ISNUMBER($E97),$E97,0)</f>
        <v/>
      </c>
    </row>
    <row r="98">
      <c r="A98" s="30" t="n"/>
      <c r="B98" s="24" t="n"/>
      <c r="C98" s="24" t="n"/>
      <c r="D98" s="31" t="n"/>
      <c r="E98" s="31" t="n"/>
      <c r="F98" s="25" t="n"/>
      <c r="G98" s="25" t="n"/>
      <c r="H98" s="25" t="n"/>
      <c r="I98" s="24" t="n"/>
      <c r="J98" s="24" t="n"/>
      <c r="K98" s="32">
        <f>IF(OR($B98="",NOT(ISNUMBER($D98)),NOT(ISNUMBER($E98))),"",ROUND(MOD($E98-$D98,1)*1440,0))</f>
        <v/>
      </c>
      <c r="L98" s="32">
        <f>IF(NOT(ISNUMBER($K98)),0,IF(OR($K98&lt;=0,$J98="Cancelada",$J98="Suspensa"),0,$K98+Setup_Min))</f>
        <v/>
      </c>
      <c r="M98" s="17">
        <f>IF($B98="","",IF($N98="","OK",LEFT($N98,LEN($N98)-3)))</f>
        <v/>
      </c>
      <c r="N98" s="10">
        <f>IF($B98="","",IF(COUNTIF(Salas_Cod,$B98)=0,"Sala não cadastrada | ","")&amp;IF(AND(COUNTIF(Salas_Cod,$B98)&gt;0,IFERROR(INDEX(Salas_Status,MATCH($B98,Salas_Cod,0)),"")&lt;&gt;"Ativa"),"Sala bloqueada | ","")&amp;IF(COUNTIF(Turnos_Nome,$C98)=0,"Turno inválido | ","")&amp;IF(COUNTIF(Esp_Nome,$F98)=0,"Especialidade não cadastrada | ","")&amp;IF(COUNTIF(Lista_StatusCirurgia,$J98)=0,"Status inválido | ","")&amp;IF(OR(NOT(ISNUMBER($D98)),NOT(ISNUMBER($E98))),"Horário inválido | ","")&amp;IFERROR(IF(AND(ISNUMBER($D98),ISNUMBER($E98),MOD($E98-$D98,1)*1440&lt;=0),"Duração nula ou negativa | ",""),"")&amp;IFERROR(IF(AND(ISNUMBER($D98),COUNTIF(Turnos_Nome,$C98)&gt;0,MOD($D98-INDEX(Turnos_Ini,MATCH($C98,Turnos_Nome,0)),1)*1440&gt;=INDEX(Turnos_Min,MATCH($C98,Turnos_Nome,0))),"Início fora da janela do turno | ",""),"")&amp;IFERROR(IF(AND($L98&gt;0,SUMPRODUCT((Mapa_Sala=$B98)*(Mapa_Data=$A98)*(Mapa_MinOcup&gt;0)*(((MOD(Mapa_IniNum-$O98,1)&lt;MOD($P98-$O98,1))+(MOD($O98-Mapa_IniNum,1)&lt;MOD(Mapa_FimNum-Mapa_IniNum,1)))&gt;0))&gt;1),"Sobreposição de horário na sala | ",""),"")&amp;IFERROR(IF(AND(ISNUMBER($K98),$K98&gt;0,COUNTIF(Esp_Nome,$F98)&gt;0,$K98&gt;3*INDEX(Esp_Dur,MATCH($F98,Esp_Nome,0))),"Duração atípica (&gt;3x a média) | ",""),""))</f>
        <v/>
      </c>
      <c r="O98" s="10">
        <f>IF(ISNUMBER($D98),$D98,0)</f>
        <v/>
      </c>
      <c r="P98" s="10">
        <f>IF(ISNUMBER($E98),$E98,0)</f>
        <v/>
      </c>
    </row>
    <row r="99">
      <c r="A99" s="30" t="n"/>
      <c r="B99" s="24" t="n"/>
      <c r="C99" s="24" t="n"/>
      <c r="D99" s="31" t="n"/>
      <c r="E99" s="31" t="n"/>
      <c r="F99" s="25" t="n"/>
      <c r="G99" s="25" t="n"/>
      <c r="H99" s="25" t="n"/>
      <c r="I99" s="24" t="n"/>
      <c r="J99" s="24" t="n"/>
      <c r="K99" s="32">
        <f>IF(OR($B99="",NOT(ISNUMBER($D99)),NOT(ISNUMBER($E99))),"",ROUND(MOD($E99-$D99,1)*1440,0))</f>
        <v/>
      </c>
      <c r="L99" s="32">
        <f>IF(NOT(ISNUMBER($K99)),0,IF(OR($K99&lt;=0,$J99="Cancelada",$J99="Suspensa"),0,$K99+Setup_Min))</f>
        <v/>
      </c>
      <c r="M99" s="17">
        <f>IF($B99="","",IF($N99="","OK",LEFT($N99,LEN($N99)-3)))</f>
        <v/>
      </c>
      <c r="N99" s="10">
        <f>IF($B99="","",IF(COUNTIF(Salas_Cod,$B99)=0,"Sala não cadastrada | ","")&amp;IF(AND(COUNTIF(Salas_Cod,$B99)&gt;0,IFERROR(INDEX(Salas_Status,MATCH($B99,Salas_Cod,0)),"")&lt;&gt;"Ativa"),"Sala bloqueada | ","")&amp;IF(COUNTIF(Turnos_Nome,$C99)=0,"Turno inválido | ","")&amp;IF(COUNTIF(Esp_Nome,$F99)=0,"Especialidade não cadastrada | ","")&amp;IF(COUNTIF(Lista_StatusCirurgia,$J99)=0,"Status inválido | ","")&amp;IF(OR(NOT(ISNUMBER($D99)),NOT(ISNUMBER($E99))),"Horário inválido | ","")&amp;IFERROR(IF(AND(ISNUMBER($D99),ISNUMBER($E99),MOD($E99-$D99,1)*1440&lt;=0),"Duração nula ou negativa | ",""),"")&amp;IFERROR(IF(AND(ISNUMBER($D99),COUNTIF(Turnos_Nome,$C99)&gt;0,MOD($D99-INDEX(Turnos_Ini,MATCH($C99,Turnos_Nome,0)),1)*1440&gt;=INDEX(Turnos_Min,MATCH($C99,Turnos_Nome,0))),"Início fora da janela do turno | ",""),"")&amp;IFERROR(IF(AND($L99&gt;0,SUMPRODUCT((Mapa_Sala=$B99)*(Mapa_Data=$A99)*(Mapa_MinOcup&gt;0)*(((MOD(Mapa_IniNum-$O99,1)&lt;MOD($P99-$O99,1))+(MOD($O99-Mapa_IniNum,1)&lt;MOD(Mapa_FimNum-Mapa_IniNum,1)))&gt;0))&gt;1),"Sobreposição de horário na sala | ",""),"")&amp;IFERROR(IF(AND(ISNUMBER($K99),$K99&gt;0,COUNTIF(Esp_Nome,$F99)&gt;0,$K99&gt;3*INDEX(Esp_Dur,MATCH($F99,Esp_Nome,0))),"Duração atípica (&gt;3x a média) | ",""),""))</f>
        <v/>
      </c>
      <c r="O99" s="10">
        <f>IF(ISNUMBER($D99),$D99,0)</f>
        <v/>
      </c>
      <c r="P99" s="10">
        <f>IF(ISNUMBER($E99),$E99,0)</f>
        <v/>
      </c>
    </row>
    <row r="100">
      <c r="A100" s="30" t="n"/>
      <c r="B100" s="24" t="n"/>
      <c r="C100" s="24" t="n"/>
      <c r="D100" s="31" t="n"/>
      <c r="E100" s="31" t="n"/>
      <c r="F100" s="25" t="n"/>
      <c r="G100" s="25" t="n"/>
      <c r="H100" s="25" t="n"/>
      <c r="I100" s="24" t="n"/>
      <c r="J100" s="24" t="n"/>
      <c r="K100" s="32">
        <f>IF(OR($B100="",NOT(ISNUMBER($D100)),NOT(ISNUMBER($E100))),"",ROUND(MOD($E100-$D100,1)*1440,0))</f>
        <v/>
      </c>
      <c r="L100" s="32">
        <f>IF(NOT(ISNUMBER($K100)),0,IF(OR($K100&lt;=0,$J100="Cancelada",$J100="Suspensa"),0,$K100+Setup_Min))</f>
        <v/>
      </c>
      <c r="M100" s="17">
        <f>IF($B100="","",IF($N100="","OK",LEFT($N100,LEN($N100)-3)))</f>
        <v/>
      </c>
      <c r="N100" s="10">
        <f>IF($B100="","",IF(COUNTIF(Salas_Cod,$B100)=0,"Sala não cadastrada | ","")&amp;IF(AND(COUNTIF(Salas_Cod,$B100)&gt;0,IFERROR(INDEX(Salas_Status,MATCH($B100,Salas_Cod,0)),"")&lt;&gt;"Ativa"),"Sala bloqueada | ","")&amp;IF(COUNTIF(Turnos_Nome,$C100)=0,"Turno inválido | ","")&amp;IF(COUNTIF(Esp_Nome,$F100)=0,"Especialidade não cadastrada | ","")&amp;IF(COUNTIF(Lista_StatusCirurgia,$J100)=0,"Status inválido | ","")&amp;IF(OR(NOT(ISNUMBER($D100)),NOT(ISNUMBER($E100))),"Horário inválido | ","")&amp;IFERROR(IF(AND(ISNUMBER($D100),ISNUMBER($E100),MOD($E100-$D100,1)*1440&lt;=0),"Duração nula ou negativa | ",""),"")&amp;IFERROR(IF(AND(ISNUMBER($D100),COUNTIF(Turnos_Nome,$C100)&gt;0,MOD($D100-INDEX(Turnos_Ini,MATCH($C100,Turnos_Nome,0)),1)*1440&gt;=INDEX(Turnos_Min,MATCH($C100,Turnos_Nome,0))),"Início fora da janela do turno | ",""),"")&amp;IFERROR(IF(AND($L100&gt;0,SUMPRODUCT((Mapa_Sala=$B100)*(Mapa_Data=$A100)*(Mapa_MinOcup&gt;0)*(((MOD(Mapa_IniNum-$O100,1)&lt;MOD($P100-$O100,1))+(MOD($O100-Mapa_IniNum,1)&lt;MOD(Mapa_FimNum-Mapa_IniNum,1)))&gt;0))&gt;1),"Sobreposição de horário na sala | ",""),"")&amp;IFERROR(IF(AND(ISNUMBER($K100),$K100&gt;0,COUNTIF(Esp_Nome,$F100)&gt;0,$K100&gt;3*INDEX(Esp_Dur,MATCH($F100,Esp_Nome,0))),"Duração atípica (&gt;3x a média) | ",""),""))</f>
        <v/>
      </c>
      <c r="O100" s="10">
        <f>IF(ISNUMBER($D100),$D100,0)</f>
        <v/>
      </c>
      <c r="P100" s="10">
        <f>IF(ISNUMBER($E100),$E100,0)</f>
        <v/>
      </c>
    </row>
    <row r="101">
      <c r="A101" s="30" t="n"/>
      <c r="B101" s="24" t="n"/>
      <c r="C101" s="24" t="n"/>
      <c r="D101" s="31" t="n"/>
      <c r="E101" s="31" t="n"/>
      <c r="F101" s="25" t="n"/>
      <c r="G101" s="25" t="n"/>
      <c r="H101" s="25" t="n"/>
      <c r="I101" s="24" t="n"/>
      <c r="J101" s="24" t="n"/>
      <c r="K101" s="32">
        <f>IF(OR($B101="",NOT(ISNUMBER($D101)),NOT(ISNUMBER($E101))),"",ROUND(MOD($E101-$D101,1)*1440,0))</f>
        <v/>
      </c>
      <c r="L101" s="32">
        <f>IF(NOT(ISNUMBER($K101)),0,IF(OR($K101&lt;=0,$J101="Cancelada",$J101="Suspensa"),0,$K101+Setup_Min))</f>
        <v/>
      </c>
      <c r="M101" s="17">
        <f>IF($B101="","",IF($N101="","OK",LEFT($N101,LEN($N101)-3)))</f>
        <v/>
      </c>
      <c r="N101" s="10">
        <f>IF($B101="","",IF(COUNTIF(Salas_Cod,$B101)=0,"Sala não cadastrada | ","")&amp;IF(AND(COUNTIF(Salas_Cod,$B101)&gt;0,IFERROR(INDEX(Salas_Status,MATCH($B101,Salas_Cod,0)),"")&lt;&gt;"Ativa"),"Sala bloqueada | ","")&amp;IF(COUNTIF(Turnos_Nome,$C101)=0,"Turno inválido | ","")&amp;IF(COUNTIF(Esp_Nome,$F101)=0,"Especialidade não cadastrada | ","")&amp;IF(COUNTIF(Lista_StatusCirurgia,$J101)=0,"Status inválido | ","")&amp;IF(OR(NOT(ISNUMBER($D101)),NOT(ISNUMBER($E101))),"Horário inválido | ","")&amp;IFERROR(IF(AND(ISNUMBER($D101),ISNUMBER($E101),MOD($E101-$D101,1)*1440&lt;=0),"Duração nula ou negativa | ",""),"")&amp;IFERROR(IF(AND(ISNUMBER($D101),COUNTIF(Turnos_Nome,$C101)&gt;0,MOD($D101-INDEX(Turnos_Ini,MATCH($C101,Turnos_Nome,0)),1)*1440&gt;=INDEX(Turnos_Min,MATCH($C101,Turnos_Nome,0))),"Início fora da janela do turno | ",""),"")&amp;IFERROR(IF(AND($L101&gt;0,SUMPRODUCT((Mapa_Sala=$B101)*(Mapa_Data=$A101)*(Mapa_MinOcup&gt;0)*(((MOD(Mapa_IniNum-$O101,1)&lt;MOD($P101-$O101,1))+(MOD($O101-Mapa_IniNum,1)&lt;MOD(Mapa_FimNum-Mapa_IniNum,1)))&gt;0))&gt;1),"Sobreposição de horário na sala | ",""),"")&amp;IFERROR(IF(AND(ISNUMBER($K101),$K101&gt;0,COUNTIF(Esp_Nome,$F101)&gt;0,$K101&gt;3*INDEX(Esp_Dur,MATCH($F101,Esp_Nome,0))),"Duração atípica (&gt;3x a média) | ",""),""))</f>
        <v/>
      </c>
      <c r="O101" s="10">
        <f>IF(ISNUMBER($D101),$D101,0)</f>
        <v/>
      </c>
      <c r="P101" s="10">
        <f>IF(ISNUMBER($E101),$E101,0)</f>
        <v/>
      </c>
    </row>
    <row r="102">
      <c r="A102" s="30" t="n"/>
      <c r="B102" s="24" t="n"/>
      <c r="C102" s="24" t="n"/>
      <c r="D102" s="31" t="n"/>
      <c r="E102" s="31" t="n"/>
      <c r="F102" s="25" t="n"/>
      <c r="G102" s="25" t="n"/>
      <c r="H102" s="25" t="n"/>
      <c r="I102" s="24" t="n"/>
      <c r="J102" s="24" t="n"/>
      <c r="K102" s="32">
        <f>IF(OR($B102="",NOT(ISNUMBER($D102)),NOT(ISNUMBER($E102))),"",ROUND(MOD($E102-$D102,1)*1440,0))</f>
        <v/>
      </c>
      <c r="L102" s="32">
        <f>IF(NOT(ISNUMBER($K102)),0,IF(OR($K102&lt;=0,$J102="Cancelada",$J102="Suspensa"),0,$K102+Setup_Min))</f>
        <v/>
      </c>
      <c r="M102" s="17">
        <f>IF($B102="","",IF($N102="","OK",LEFT($N102,LEN($N102)-3)))</f>
        <v/>
      </c>
      <c r="N102" s="10">
        <f>IF($B102="","",IF(COUNTIF(Salas_Cod,$B102)=0,"Sala não cadastrada | ","")&amp;IF(AND(COUNTIF(Salas_Cod,$B102)&gt;0,IFERROR(INDEX(Salas_Status,MATCH($B102,Salas_Cod,0)),"")&lt;&gt;"Ativa"),"Sala bloqueada | ","")&amp;IF(COUNTIF(Turnos_Nome,$C102)=0,"Turno inválido | ","")&amp;IF(COUNTIF(Esp_Nome,$F102)=0,"Especialidade não cadastrada | ","")&amp;IF(COUNTIF(Lista_StatusCirurgia,$J102)=0,"Status inválido | ","")&amp;IF(OR(NOT(ISNUMBER($D102)),NOT(ISNUMBER($E102))),"Horário inválido | ","")&amp;IFERROR(IF(AND(ISNUMBER($D102),ISNUMBER($E102),MOD($E102-$D102,1)*1440&lt;=0),"Duração nula ou negativa | ",""),"")&amp;IFERROR(IF(AND(ISNUMBER($D102),COUNTIF(Turnos_Nome,$C102)&gt;0,MOD($D102-INDEX(Turnos_Ini,MATCH($C102,Turnos_Nome,0)),1)*1440&gt;=INDEX(Turnos_Min,MATCH($C102,Turnos_Nome,0))),"Início fora da janela do turno | ",""),"")&amp;IFERROR(IF(AND($L102&gt;0,SUMPRODUCT((Mapa_Sala=$B102)*(Mapa_Data=$A102)*(Mapa_MinOcup&gt;0)*(((MOD(Mapa_IniNum-$O102,1)&lt;MOD($P102-$O102,1))+(MOD($O102-Mapa_IniNum,1)&lt;MOD(Mapa_FimNum-Mapa_IniNum,1)))&gt;0))&gt;1),"Sobreposição de horário na sala | ",""),"")&amp;IFERROR(IF(AND(ISNUMBER($K102),$K102&gt;0,COUNTIF(Esp_Nome,$F102)&gt;0,$K102&gt;3*INDEX(Esp_Dur,MATCH($F102,Esp_Nome,0))),"Duração atípica (&gt;3x a média) | ",""),""))</f>
        <v/>
      </c>
      <c r="O102" s="10">
        <f>IF(ISNUMBER($D102),$D102,0)</f>
        <v/>
      </c>
      <c r="P102" s="10">
        <f>IF(ISNUMBER($E102),$E102,0)</f>
        <v/>
      </c>
    </row>
    <row r="103">
      <c r="A103" s="30" t="n"/>
      <c r="B103" s="24" t="n"/>
      <c r="C103" s="24" t="n"/>
      <c r="D103" s="31" t="n"/>
      <c r="E103" s="31" t="n"/>
      <c r="F103" s="25" t="n"/>
      <c r="G103" s="25" t="n"/>
      <c r="H103" s="25" t="n"/>
      <c r="I103" s="24" t="n"/>
      <c r="J103" s="24" t="n"/>
      <c r="K103" s="32">
        <f>IF(OR($B103="",NOT(ISNUMBER($D103)),NOT(ISNUMBER($E103))),"",ROUND(MOD($E103-$D103,1)*1440,0))</f>
        <v/>
      </c>
      <c r="L103" s="32">
        <f>IF(NOT(ISNUMBER($K103)),0,IF(OR($K103&lt;=0,$J103="Cancelada",$J103="Suspensa"),0,$K103+Setup_Min))</f>
        <v/>
      </c>
      <c r="M103" s="17">
        <f>IF($B103="","",IF($N103="","OK",LEFT($N103,LEN($N103)-3)))</f>
        <v/>
      </c>
      <c r="N103" s="10">
        <f>IF($B103="","",IF(COUNTIF(Salas_Cod,$B103)=0,"Sala não cadastrada | ","")&amp;IF(AND(COUNTIF(Salas_Cod,$B103)&gt;0,IFERROR(INDEX(Salas_Status,MATCH($B103,Salas_Cod,0)),"")&lt;&gt;"Ativa"),"Sala bloqueada | ","")&amp;IF(COUNTIF(Turnos_Nome,$C103)=0,"Turno inválido | ","")&amp;IF(COUNTIF(Esp_Nome,$F103)=0,"Especialidade não cadastrada | ","")&amp;IF(COUNTIF(Lista_StatusCirurgia,$J103)=0,"Status inválido | ","")&amp;IF(OR(NOT(ISNUMBER($D103)),NOT(ISNUMBER($E103))),"Horário inválido | ","")&amp;IFERROR(IF(AND(ISNUMBER($D103),ISNUMBER($E103),MOD($E103-$D103,1)*1440&lt;=0),"Duração nula ou negativa | ",""),"")&amp;IFERROR(IF(AND(ISNUMBER($D103),COUNTIF(Turnos_Nome,$C103)&gt;0,MOD($D103-INDEX(Turnos_Ini,MATCH($C103,Turnos_Nome,0)),1)*1440&gt;=INDEX(Turnos_Min,MATCH($C103,Turnos_Nome,0))),"Início fora da janela do turno | ",""),"")&amp;IFERROR(IF(AND($L103&gt;0,SUMPRODUCT((Mapa_Sala=$B103)*(Mapa_Data=$A103)*(Mapa_MinOcup&gt;0)*(((MOD(Mapa_IniNum-$O103,1)&lt;MOD($P103-$O103,1))+(MOD($O103-Mapa_IniNum,1)&lt;MOD(Mapa_FimNum-Mapa_IniNum,1)))&gt;0))&gt;1),"Sobreposição de horário na sala | ",""),"")&amp;IFERROR(IF(AND(ISNUMBER($K103),$K103&gt;0,COUNTIF(Esp_Nome,$F103)&gt;0,$K103&gt;3*INDEX(Esp_Dur,MATCH($F103,Esp_Nome,0))),"Duração atípica (&gt;3x a média) | ",""),""))</f>
        <v/>
      </c>
      <c r="O103" s="10">
        <f>IF(ISNUMBER($D103),$D103,0)</f>
        <v/>
      </c>
      <c r="P103" s="10">
        <f>IF(ISNUMBER($E103),$E103,0)</f>
        <v/>
      </c>
    </row>
    <row r="104">
      <c r="A104" s="30" t="n"/>
      <c r="B104" s="24" t="n"/>
      <c r="C104" s="24" t="n"/>
      <c r="D104" s="31" t="n"/>
      <c r="E104" s="31" t="n"/>
      <c r="F104" s="25" t="n"/>
      <c r="G104" s="25" t="n"/>
      <c r="H104" s="25" t="n"/>
      <c r="I104" s="24" t="n"/>
      <c r="J104" s="24" t="n"/>
      <c r="K104" s="32">
        <f>IF(OR($B104="",NOT(ISNUMBER($D104)),NOT(ISNUMBER($E104))),"",ROUND(MOD($E104-$D104,1)*1440,0))</f>
        <v/>
      </c>
      <c r="L104" s="32">
        <f>IF(NOT(ISNUMBER($K104)),0,IF(OR($K104&lt;=0,$J104="Cancelada",$J104="Suspensa"),0,$K104+Setup_Min))</f>
        <v/>
      </c>
      <c r="M104" s="17">
        <f>IF($B104="","",IF($N104="","OK",LEFT($N104,LEN($N104)-3)))</f>
        <v/>
      </c>
      <c r="N104" s="10">
        <f>IF($B104="","",IF(COUNTIF(Salas_Cod,$B104)=0,"Sala não cadastrada | ","")&amp;IF(AND(COUNTIF(Salas_Cod,$B104)&gt;0,IFERROR(INDEX(Salas_Status,MATCH($B104,Salas_Cod,0)),"")&lt;&gt;"Ativa"),"Sala bloqueada | ","")&amp;IF(COUNTIF(Turnos_Nome,$C104)=0,"Turno inválido | ","")&amp;IF(COUNTIF(Esp_Nome,$F104)=0,"Especialidade não cadastrada | ","")&amp;IF(COUNTIF(Lista_StatusCirurgia,$J104)=0,"Status inválido | ","")&amp;IF(OR(NOT(ISNUMBER($D104)),NOT(ISNUMBER($E104))),"Horário inválido | ","")&amp;IFERROR(IF(AND(ISNUMBER($D104),ISNUMBER($E104),MOD($E104-$D104,1)*1440&lt;=0),"Duração nula ou negativa | ",""),"")&amp;IFERROR(IF(AND(ISNUMBER($D104),COUNTIF(Turnos_Nome,$C104)&gt;0,MOD($D104-INDEX(Turnos_Ini,MATCH($C104,Turnos_Nome,0)),1)*1440&gt;=INDEX(Turnos_Min,MATCH($C104,Turnos_Nome,0))),"Início fora da janela do turno | ",""),"")&amp;IFERROR(IF(AND($L104&gt;0,SUMPRODUCT((Mapa_Sala=$B104)*(Mapa_Data=$A104)*(Mapa_MinOcup&gt;0)*(((MOD(Mapa_IniNum-$O104,1)&lt;MOD($P104-$O104,1))+(MOD($O104-Mapa_IniNum,1)&lt;MOD(Mapa_FimNum-Mapa_IniNum,1)))&gt;0))&gt;1),"Sobreposição de horário na sala | ",""),"")&amp;IFERROR(IF(AND(ISNUMBER($K104),$K104&gt;0,COUNTIF(Esp_Nome,$F104)&gt;0,$K104&gt;3*INDEX(Esp_Dur,MATCH($F104,Esp_Nome,0))),"Duração atípica (&gt;3x a média) | ",""),""))</f>
        <v/>
      </c>
      <c r="O104" s="10">
        <f>IF(ISNUMBER($D104),$D104,0)</f>
        <v/>
      </c>
      <c r="P104" s="10">
        <f>IF(ISNUMBER($E104),$E104,0)</f>
        <v/>
      </c>
    </row>
    <row r="105">
      <c r="A105" s="30" t="n"/>
      <c r="B105" s="24" t="n"/>
      <c r="C105" s="24" t="n"/>
      <c r="D105" s="31" t="n"/>
      <c r="E105" s="31" t="n"/>
      <c r="F105" s="25" t="n"/>
      <c r="G105" s="25" t="n"/>
      <c r="H105" s="25" t="n"/>
      <c r="I105" s="24" t="n"/>
      <c r="J105" s="24" t="n"/>
      <c r="K105" s="32">
        <f>IF(OR($B105="",NOT(ISNUMBER($D105)),NOT(ISNUMBER($E105))),"",ROUND(MOD($E105-$D105,1)*1440,0))</f>
        <v/>
      </c>
      <c r="L105" s="32">
        <f>IF(NOT(ISNUMBER($K105)),0,IF(OR($K105&lt;=0,$J105="Cancelada",$J105="Suspensa"),0,$K105+Setup_Min))</f>
        <v/>
      </c>
      <c r="M105" s="17">
        <f>IF($B105="","",IF($N105="","OK",LEFT($N105,LEN($N105)-3)))</f>
        <v/>
      </c>
      <c r="N105" s="10">
        <f>IF($B105="","",IF(COUNTIF(Salas_Cod,$B105)=0,"Sala não cadastrada | ","")&amp;IF(AND(COUNTIF(Salas_Cod,$B105)&gt;0,IFERROR(INDEX(Salas_Status,MATCH($B105,Salas_Cod,0)),"")&lt;&gt;"Ativa"),"Sala bloqueada | ","")&amp;IF(COUNTIF(Turnos_Nome,$C105)=0,"Turno inválido | ","")&amp;IF(COUNTIF(Esp_Nome,$F105)=0,"Especialidade não cadastrada | ","")&amp;IF(COUNTIF(Lista_StatusCirurgia,$J105)=0,"Status inválido | ","")&amp;IF(OR(NOT(ISNUMBER($D105)),NOT(ISNUMBER($E105))),"Horário inválido | ","")&amp;IFERROR(IF(AND(ISNUMBER($D105),ISNUMBER($E105),MOD($E105-$D105,1)*1440&lt;=0),"Duração nula ou negativa | ",""),"")&amp;IFERROR(IF(AND(ISNUMBER($D105),COUNTIF(Turnos_Nome,$C105)&gt;0,MOD($D105-INDEX(Turnos_Ini,MATCH($C105,Turnos_Nome,0)),1)*1440&gt;=INDEX(Turnos_Min,MATCH($C105,Turnos_Nome,0))),"Início fora da janela do turno | ",""),"")&amp;IFERROR(IF(AND($L105&gt;0,SUMPRODUCT((Mapa_Sala=$B105)*(Mapa_Data=$A105)*(Mapa_MinOcup&gt;0)*(((MOD(Mapa_IniNum-$O105,1)&lt;MOD($P105-$O105,1))+(MOD($O105-Mapa_IniNum,1)&lt;MOD(Mapa_FimNum-Mapa_IniNum,1)))&gt;0))&gt;1),"Sobreposição de horário na sala | ",""),"")&amp;IFERROR(IF(AND(ISNUMBER($K105),$K105&gt;0,COUNTIF(Esp_Nome,$F105)&gt;0,$K105&gt;3*INDEX(Esp_Dur,MATCH($F105,Esp_Nome,0))),"Duração atípica (&gt;3x a média) | ",""),""))</f>
        <v/>
      </c>
      <c r="O105" s="10">
        <f>IF(ISNUMBER($D105),$D105,0)</f>
        <v/>
      </c>
      <c r="P105" s="10">
        <f>IF(ISNUMBER($E105),$E105,0)</f>
        <v/>
      </c>
    </row>
    <row r="106">
      <c r="A106" s="30" t="n"/>
      <c r="B106" s="24" t="n"/>
      <c r="C106" s="24" t="n"/>
      <c r="D106" s="31" t="n"/>
      <c r="E106" s="31" t="n"/>
      <c r="F106" s="25" t="n"/>
      <c r="G106" s="25" t="n"/>
      <c r="H106" s="25" t="n"/>
      <c r="I106" s="24" t="n"/>
      <c r="J106" s="24" t="n"/>
      <c r="K106" s="32">
        <f>IF(OR($B106="",NOT(ISNUMBER($D106)),NOT(ISNUMBER($E106))),"",ROUND(MOD($E106-$D106,1)*1440,0))</f>
        <v/>
      </c>
      <c r="L106" s="32">
        <f>IF(NOT(ISNUMBER($K106)),0,IF(OR($K106&lt;=0,$J106="Cancelada",$J106="Suspensa"),0,$K106+Setup_Min))</f>
        <v/>
      </c>
      <c r="M106" s="17">
        <f>IF($B106="","",IF($N106="","OK",LEFT($N106,LEN($N106)-3)))</f>
        <v/>
      </c>
      <c r="N106" s="10">
        <f>IF($B106="","",IF(COUNTIF(Salas_Cod,$B106)=0,"Sala não cadastrada | ","")&amp;IF(AND(COUNTIF(Salas_Cod,$B106)&gt;0,IFERROR(INDEX(Salas_Status,MATCH($B106,Salas_Cod,0)),"")&lt;&gt;"Ativa"),"Sala bloqueada | ","")&amp;IF(COUNTIF(Turnos_Nome,$C106)=0,"Turno inválido | ","")&amp;IF(COUNTIF(Esp_Nome,$F106)=0,"Especialidade não cadastrada | ","")&amp;IF(COUNTIF(Lista_StatusCirurgia,$J106)=0,"Status inválido | ","")&amp;IF(OR(NOT(ISNUMBER($D106)),NOT(ISNUMBER($E106))),"Horário inválido | ","")&amp;IFERROR(IF(AND(ISNUMBER($D106),ISNUMBER($E106),MOD($E106-$D106,1)*1440&lt;=0),"Duração nula ou negativa | ",""),"")&amp;IFERROR(IF(AND(ISNUMBER($D106),COUNTIF(Turnos_Nome,$C106)&gt;0,MOD($D106-INDEX(Turnos_Ini,MATCH($C106,Turnos_Nome,0)),1)*1440&gt;=INDEX(Turnos_Min,MATCH($C106,Turnos_Nome,0))),"Início fora da janela do turno | ",""),"")&amp;IFERROR(IF(AND($L106&gt;0,SUMPRODUCT((Mapa_Sala=$B106)*(Mapa_Data=$A106)*(Mapa_MinOcup&gt;0)*(((MOD(Mapa_IniNum-$O106,1)&lt;MOD($P106-$O106,1))+(MOD($O106-Mapa_IniNum,1)&lt;MOD(Mapa_FimNum-Mapa_IniNum,1)))&gt;0))&gt;1),"Sobreposição de horário na sala | ",""),"")&amp;IFERROR(IF(AND(ISNUMBER($K106),$K106&gt;0,COUNTIF(Esp_Nome,$F106)&gt;0,$K106&gt;3*INDEX(Esp_Dur,MATCH($F106,Esp_Nome,0))),"Duração atípica (&gt;3x a média) | ",""),""))</f>
        <v/>
      </c>
      <c r="O106" s="10">
        <f>IF(ISNUMBER($D106),$D106,0)</f>
        <v/>
      </c>
      <c r="P106" s="10">
        <f>IF(ISNUMBER($E106),$E106,0)</f>
        <v/>
      </c>
    </row>
    <row r="107">
      <c r="A107" s="30" t="n"/>
      <c r="B107" s="24" t="n"/>
      <c r="C107" s="24" t="n"/>
      <c r="D107" s="31" t="n"/>
      <c r="E107" s="31" t="n"/>
      <c r="F107" s="25" t="n"/>
      <c r="G107" s="25" t="n"/>
      <c r="H107" s="25" t="n"/>
      <c r="I107" s="24" t="n"/>
      <c r="J107" s="24" t="n"/>
      <c r="K107" s="32">
        <f>IF(OR($B107="",NOT(ISNUMBER($D107)),NOT(ISNUMBER($E107))),"",ROUND(MOD($E107-$D107,1)*1440,0))</f>
        <v/>
      </c>
      <c r="L107" s="32">
        <f>IF(NOT(ISNUMBER($K107)),0,IF(OR($K107&lt;=0,$J107="Cancelada",$J107="Suspensa"),0,$K107+Setup_Min))</f>
        <v/>
      </c>
      <c r="M107" s="17">
        <f>IF($B107="","",IF($N107="","OK",LEFT($N107,LEN($N107)-3)))</f>
        <v/>
      </c>
      <c r="N107" s="10">
        <f>IF($B107="","",IF(COUNTIF(Salas_Cod,$B107)=0,"Sala não cadastrada | ","")&amp;IF(AND(COUNTIF(Salas_Cod,$B107)&gt;0,IFERROR(INDEX(Salas_Status,MATCH($B107,Salas_Cod,0)),"")&lt;&gt;"Ativa"),"Sala bloqueada | ","")&amp;IF(COUNTIF(Turnos_Nome,$C107)=0,"Turno inválido | ","")&amp;IF(COUNTIF(Esp_Nome,$F107)=0,"Especialidade não cadastrada | ","")&amp;IF(COUNTIF(Lista_StatusCirurgia,$J107)=0,"Status inválido | ","")&amp;IF(OR(NOT(ISNUMBER($D107)),NOT(ISNUMBER($E107))),"Horário inválido | ","")&amp;IFERROR(IF(AND(ISNUMBER($D107),ISNUMBER($E107),MOD($E107-$D107,1)*1440&lt;=0),"Duração nula ou negativa | ",""),"")&amp;IFERROR(IF(AND(ISNUMBER($D107),COUNTIF(Turnos_Nome,$C107)&gt;0,MOD($D107-INDEX(Turnos_Ini,MATCH($C107,Turnos_Nome,0)),1)*1440&gt;=INDEX(Turnos_Min,MATCH($C107,Turnos_Nome,0))),"Início fora da janela do turno | ",""),"")&amp;IFERROR(IF(AND($L107&gt;0,SUMPRODUCT((Mapa_Sala=$B107)*(Mapa_Data=$A107)*(Mapa_MinOcup&gt;0)*(((MOD(Mapa_IniNum-$O107,1)&lt;MOD($P107-$O107,1))+(MOD($O107-Mapa_IniNum,1)&lt;MOD(Mapa_FimNum-Mapa_IniNum,1)))&gt;0))&gt;1),"Sobreposição de horário na sala | ",""),"")&amp;IFERROR(IF(AND(ISNUMBER($K107),$K107&gt;0,COUNTIF(Esp_Nome,$F107)&gt;0,$K107&gt;3*INDEX(Esp_Dur,MATCH($F107,Esp_Nome,0))),"Duração atípica (&gt;3x a média) | ",""),""))</f>
        <v/>
      </c>
      <c r="O107" s="10">
        <f>IF(ISNUMBER($D107),$D107,0)</f>
        <v/>
      </c>
      <c r="P107" s="10">
        <f>IF(ISNUMBER($E107),$E107,0)</f>
        <v/>
      </c>
    </row>
    <row r="108">
      <c r="A108" s="30" t="n"/>
      <c r="B108" s="24" t="n"/>
      <c r="C108" s="24" t="n"/>
      <c r="D108" s="31" t="n"/>
      <c r="E108" s="31" t="n"/>
      <c r="F108" s="25" t="n"/>
      <c r="G108" s="25" t="n"/>
      <c r="H108" s="25" t="n"/>
      <c r="I108" s="24" t="n"/>
      <c r="J108" s="24" t="n"/>
      <c r="K108" s="32">
        <f>IF(OR($B108="",NOT(ISNUMBER($D108)),NOT(ISNUMBER($E108))),"",ROUND(MOD($E108-$D108,1)*1440,0))</f>
        <v/>
      </c>
      <c r="L108" s="32">
        <f>IF(NOT(ISNUMBER($K108)),0,IF(OR($K108&lt;=0,$J108="Cancelada",$J108="Suspensa"),0,$K108+Setup_Min))</f>
        <v/>
      </c>
      <c r="M108" s="17">
        <f>IF($B108="","",IF($N108="","OK",LEFT($N108,LEN($N108)-3)))</f>
        <v/>
      </c>
      <c r="N108" s="10">
        <f>IF($B108="","",IF(COUNTIF(Salas_Cod,$B108)=0,"Sala não cadastrada | ","")&amp;IF(AND(COUNTIF(Salas_Cod,$B108)&gt;0,IFERROR(INDEX(Salas_Status,MATCH($B108,Salas_Cod,0)),"")&lt;&gt;"Ativa"),"Sala bloqueada | ","")&amp;IF(COUNTIF(Turnos_Nome,$C108)=0,"Turno inválido | ","")&amp;IF(COUNTIF(Esp_Nome,$F108)=0,"Especialidade não cadastrada | ","")&amp;IF(COUNTIF(Lista_StatusCirurgia,$J108)=0,"Status inválido | ","")&amp;IF(OR(NOT(ISNUMBER($D108)),NOT(ISNUMBER($E108))),"Horário inválido | ","")&amp;IFERROR(IF(AND(ISNUMBER($D108),ISNUMBER($E108),MOD($E108-$D108,1)*1440&lt;=0),"Duração nula ou negativa | ",""),"")&amp;IFERROR(IF(AND(ISNUMBER($D108),COUNTIF(Turnos_Nome,$C108)&gt;0,MOD($D108-INDEX(Turnos_Ini,MATCH($C108,Turnos_Nome,0)),1)*1440&gt;=INDEX(Turnos_Min,MATCH($C108,Turnos_Nome,0))),"Início fora da janela do turno | ",""),"")&amp;IFERROR(IF(AND($L108&gt;0,SUMPRODUCT((Mapa_Sala=$B108)*(Mapa_Data=$A108)*(Mapa_MinOcup&gt;0)*(((MOD(Mapa_IniNum-$O108,1)&lt;MOD($P108-$O108,1))+(MOD($O108-Mapa_IniNum,1)&lt;MOD(Mapa_FimNum-Mapa_IniNum,1)))&gt;0))&gt;1),"Sobreposição de horário na sala | ",""),"")&amp;IFERROR(IF(AND(ISNUMBER($K108),$K108&gt;0,COUNTIF(Esp_Nome,$F108)&gt;0,$K108&gt;3*INDEX(Esp_Dur,MATCH($F108,Esp_Nome,0))),"Duração atípica (&gt;3x a média) | ",""),""))</f>
        <v/>
      </c>
      <c r="O108" s="10">
        <f>IF(ISNUMBER($D108),$D108,0)</f>
        <v/>
      </c>
      <c r="P108" s="10">
        <f>IF(ISNUMBER($E108),$E108,0)</f>
        <v/>
      </c>
    </row>
    <row r="109">
      <c r="A109" s="30" t="n"/>
      <c r="B109" s="24" t="n"/>
      <c r="C109" s="24" t="n"/>
      <c r="D109" s="31" t="n"/>
      <c r="E109" s="31" t="n"/>
      <c r="F109" s="25" t="n"/>
      <c r="G109" s="25" t="n"/>
      <c r="H109" s="25" t="n"/>
      <c r="I109" s="24" t="n"/>
      <c r="J109" s="24" t="n"/>
      <c r="K109" s="32">
        <f>IF(OR($B109="",NOT(ISNUMBER($D109)),NOT(ISNUMBER($E109))),"",ROUND(MOD($E109-$D109,1)*1440,0))</f>
        <v/>
      </c>
      <c r="L109" s="32">
        <f>IF(NOT(ISNUMBER($K109)),0,IF(OR($K109&lt;=0,$J109="Cancelada",$J109="Suspensa"),0,$K109+Setup_Min))</f>
        <v/>
      </c>
      <c r="M109" s="17">
        <f>IF($B109="","",IF($N109="","OK",LEFT($N109,LEN($N109)-3)))</f>
        <v/>
      </c>
      <c r="N109" s="10">
        <f>IF($B109="","",IF(COUNTIF(Salas_Cod,$B109)=0,"Sala não cadastrada | ","")&amp;IF(AND(COUNTIF(Salas_Cod,$B109)&gt;0,IFERROR(INDEX(Salas_Status,MATCH($B109,Salas_Cod,0)),"")&lt;&gt;"Ativa"),"Sala bloqueada | ","")&amp;IF(COUNTIF(Turnos_Nome,$C109)=0,"Turno inválido | ","")&amp;IF(COUNTIF(Esp_Nome,$F109)=0,"Especialidade não cadastrada | ","")&amp;IF(COUNTIF(Lista_StatusCirurgia,$J109)=0,"Status inválido | ","")&amp;IF(OR(NOT(ISNUMBER($D109)),NOT(ISNUMBER($E109))),"Horário inválido | ","")&amp;IFERROR(IF(AND(ISNUMBER($D109),ISNUMBER($E109),MOD($E109-$D109,1)*1440&lt;=0),"Duração nula ou negativa | ",""),"")&amp;IFERROR(IF(AND(ISNUMBER($D109),COUNTIF(Turnos_Nome,$C109)&gt;0,MOD($D109-INDEX(Turnos_Ini,MATCH($C109,Turnos_Nome,0)),1)*1440&gt;=INDEX(Turnos_Min,MATCH($C109,Turnos_Nome,0))),"Início fora da janela do turno | ",""),"")&amp;IFERROR(IF(AND($L109&gt;0,SUMPRODUCT((Mapa_Sala=$B109)*(Mapa_Data=$A109)*(Mapa_MinOcup&gt;0)*(((MOD(Mapa_IniNum-$O109,1)&lt;MOD($P109-$O109,1))+(MOD($O109-Mapa_IniNum,1)&lt;MOD(Mapa_FimNum-Mapa_IniNum,1)))&gt;0))&gt;1),"Sobreposição de horário na sala | ",""),"")&amp;IFERROR(IF(AND(ISNUMBER($K109),$K109&gt;0,COUNTIF(Esp_Nome,$F109)&gt;0,$K109&gt;3*INDEX(Esp_Dur,MATCH($F109,Esp_Nome,0))),"Duração atípica (&gt;3x a média) | ",""),""))</f>
        <v/>
      </c>
      <c r="O109" s="10">
        <f>IF(ISNUMBER($D109),$D109,0)</f>
        <v/>
      </c>
      <c r="P109" s="10">
        <f>IF(ISNUMBER($E109),$E109,0)</f>
        <v/>
      </c>
    </row>
    <row r="110">
      <c r="A110" s="30" t="n"/>
      <c r="B110" s="24" t="n"/>
      <c r="C110" s="24" t="n"/>
      <c r="D110" s="31" t="n"/>
      <c r="E110" s="31" t="n"/>
      <c r="F110" s="25" t="n"/>
      <c r="G110" s="25" t="n"/>
      <c r="H110" s="25" t="n"/>
      <c r="I110" s="24" t="n"/>
      <c r="J110" s="24" t="n"/>
      <c r="K110" s="32">
        <f>IF(OR($B110="",NOT(ISNUMBER($D110)),NOT(ISNUMBER($E110))),"",ROUND(MOD($E110-$D110,1)*1440,0))</f>
        <v/>
      </c>
      <c r="L110" s="32">
        <f>IF(NOT(ISNUMBER($K110)),0,IF(OR($K110&lt;=0,$J110="Cancelada",$J110="Suspensa"),0,$K110+Setup_Min))</f>
        <v/>
      </c>
      <c r="M110" s="17">
        <f>IF($B110="","",IF($N110="","OK",LEFT($N110,LEN($N110)-3)))</f>
        <v/>
      </c>
      <c r="N110" s="10">
        <f>IF($B110="","",IF(COUNTIF(Salas_Cod,$B110)=0,"Sala não cadastrada | ","")&amp;IF(AND(COUNTIF(Salas_Cod,$B110)&gt;0,IFERROR(INDEX(Salas_Status,MATCH($B110,Salas_Cod,0)),"")&lt;&gt;"Ativa"),"Sala bloqueada | ","")&amp;IF(COUNTIF(Turnos_Nome,$C110)=0,"Turno inválido | ","")&amp;IF(COUNTIF(Esp_Nome,$F110)=0,"Especialidade não cadastrada | ","")&amp;IF(COUNTIF(Lista_StatusCirurgia,$J110)=0,"Status inválido | ","")&amp;IF(OR(NOT(ISNUMBER($D110)),NOT(ISNUMBER($E110))),"Horário inválido | ","")&amp;IFERROR(IF(AND(ISNUMBER($D110),ISNUMBER($E110),MOD($E110-$D110,1)*1440&lt;=0),"Duração nula ou negativa | ",""),"")&amp;IFERROR(IF(AND(ISNUMBER($D110),COUNTIF(Turnos_Nome,$C110)&gt;0,MOD($D110-INDEX(Turnos_Ini,MATCH($C110,Turnos_Nome,0)),1)*1440&gt;=INDEX(Turnos_Min,MATCH($C110,Turnos_Nome,0))),"Início fora da janela do turno | ",""),"")&amp;IFERROR(IF(AND($L110&gt;0,SUMPRODUCT((Mapa_Sala=$B110)*(Mapa_Data=$A110)*(Mapa_MinOcup&gt;0)*(((MOD(Mapa_IniNum-$O110,1)&lt;MOD($P110-$O110,1))+(MOD($O110-Mapa_IniNum,1)&lt;MOD(Mapa_FimNum-Mapa_IniNum,1)))&gt;0))&gt;1),"Sobreposição de horário na sala | ",""),"")&amp;IFERROR(IF(AND(ISNUMBER($K110),$K110&gt;0,COUNTIF(Esp_Nome,$F110)&gt;0,$K110&gt;3*INDEX(Esp_Dur,MATCH($F110,Esp_Nome,0))),"Duração atípica (&gt;3x a média) | ",""),""))</f>
        <v/>
      </c>
      <c r="O110" s="10">
        <f>IF(ISNUMBER($D110),$D110,0)</f>
        <v/>
      </c>
      <c r="P110" s="10">
        <f>IF(ISNUMBER($E110),$E110,0)</f>
        <v/>
      </c>
    </row>
    <row r="111">
      <c r="A111" s="30" t="n"/>
      <c r="B111" s="24" t="n"/>
      <c r="C111" s="24" t="n"/>
      <c r="D111" s="31" t="n"/>
      <c r="E111" s="31" t="n"/>
      <c r="F111" s="25" t="n"/>
      <c r="G111" s="25" t="n"/>
      <c r="H111" s="25" t="n"/>
      <c r="I111" s="24" t="n"/>
      <c r="J111" s="24" t="n"/>
      <c r="K111" s="32">
        <f>IF(OR($B111="",NOT(ISNUMBER($D111)),NOT(ISNUMBER($E111))),"",ROUND(MOD($E111-$D111,1)*1440,0))</f>
        <v/>
      </c>
      <c r="L111" s="32">
        <f>IF(NOT(ISNUMBER($K111)),0,IF(OR($K111&lt;=0,$J111="Cancelada",$J111="Suspensa"),0,$K111+Setup_Min))</f>
        <v/>
      </c>
      <c r="M111" s="17">
        <f>IF($B111="","",IF($N111="","OK",LEFT($N111,LEN($N111)-3)))</f>
        <v/>
      </c>
      <c r="N111" s="10">
        <f>IF($B111="","",IF(COUNTIF(Salas_Cod,$B111)=0,"Sala não cadastrada | ","")&amp;IF(AND(COUNTIF(Salas_Cod,$B111)&gt;0,IFERROR(INDEX(Salas_Status,MATCH($B111,Salas_Cod,0)),"")&lt;&gt;"Ativa"),"Sala bloqueada | ","")&amp;IF(COUNTIF(Turnos_Nome,$C111)=0,"Turno inválido | ","")&amp;IF(COUNTIF(Esp_Nome,$F111)=0,"Especialidade não cadastrada | ","")&amp;IF(COUNTIF(Lista_StatusCirurgia,$J111)=0,"Status inválido | ","")&amp;IF(OR(NOT(ISNUMBER($D111)),NOT(ISNUMBER($E111))),"Horário inválido | ","")&amp;IFERROR(IF(AND(ISNUMBER($D111),ISNUMBER($E111),MOD($E111-$D111,1)*1440&lt;=0),"Duração nula ou negativa | ",""),"")&amp;IFERROR(IF(AND(ISNUMBER($D111),COUNTIF(Turnos_Nome,$C111)&gt;0,MOD($D111-INDEX(Turnos_Ini,MATCH($C111,Turnos_Nome,0)),1)*1440&gt;=INDEX(Turnos_Min,MATCH($C111,Turnos_Nome,0))),"Início fora da janela do turno | ",""),"")&amp;IFERROR(IF(AND($L111&gt;0,SUMPRODUCT((Mapa_Sala=$B111)*(Mapa_Data=$A111)*(Mapa_MinOcup&gt;0)*(((MOD(Mapa_IniNum-$O111,1)&lt;MOD($P111-$O111,1))+(MOD($O111-Mapa_IniNum,1)&lt;MOD(Mapa_FimNum-Mapa_IniNum,1)))&gt;0))&gt;1),"Sobreposição de horário na sala | ",""),"")&amp;IFERROR(IF(AND(ISNUMBER($K111),$K111&gt;0,COUNTIF(Esp_Nome,$F111)&gt;0,$K111&gt;3*INDEX(Esp_Dur,MATCH($F111,Esp_Nome,0))),"Duração atípica (&gt;3x a média) | ",""),""))</f>
        <v/>
      </c>
      <c r="O111" s="10">
        <f>IF(ISNUMBER($D111),$D111,0)</f>
        <v/>
      </c>
      <c r="P111" s="10">
        <f>IF(ISNUMBER($E111),$E111,0)</f>
        <v/>
      </c>
    </row>
    <row r="112">
      <c r="A112" s="30" t="n"/>
      <c r="B112" s="24" t="n"/>
      <c r="C112" s="24" t="n"/>
      <c r="D112" s="31" t="n"/>
      <c r="E112" s="31" t="n"/>
      <c r="F112" s="25" t="n"/>
      <c r="G112" s="25" t="n"/>
      <c r="H112" s="25" t="n"/>
      <c r="I112" s="24" t="n"/>
      <c r="J112" s="24" t="n"/>
      <c r="K112" s="32">
        <f>IF(OR($B112="",NOT(ISNUMBER($D112)),NOT(ISNUMBER($E112))),"",ROUND(MOD($E112-$D112,1)*1440,0))</f>
        <v/>
      </c>
      <c r="L112" s="32">
        <f>IF(NOT(ISNUMBER($K112)),0,IF(OR($K112&lt;=0,$J112="Cancelada",$J112="Suspensa"),0,$K112+Setup_Min))</f>
        <v/>
      </c>
      <c r="M112" s="17">
        <f>IF($B112="","",IF($N112="","OK",LEFT($N112,LEN($N112)-3)))</f>
        <v/>
      </c>
      <c r="N112" s="10">
        <f>IF($B112="","",IF(COUNTIF(Salas_Cod,$B112)=0,"Sala não cadastrada | ","")&amp;IF(AND(COUNTIF(Salas_Cod,$B112)&gt;0,IFERROR(INDEX(Salas_Status,MATCH($B112,Salas_Cod,0)),"")&lt;&gt;"Ativa"),"Sala bloqueada | ","")&amp;IF(COUNTIF(Turnos_Nome,$C112)=0,"Turno inválido | ","")&amp;IF(COUNTIF(Esp_Nome,$F112)=0,"Especialidade não cadastrada | ","")&amp;IF(COUNTIF(Lista_StatusCirurgia,$J112)=0,"Status inválido | ","")&amp;IF(OR(NOT(ISNUMBER($D112)),NOT(ISNUMBER($E112))),"Horário inválido | ","")&amp;IFERROR(IF(AND(ISNUMBER($D112),ISNUMBER($E112),MOD($E112-$D112,1)*1440&lt;=0),"Duração nula ou negativa | ",""),"")&amp;IFERROR(IF(AND(ISNUMBER($D112),COUNTIF(Turnos_Nome,$C112)&gt;0,MOD($D112-INDEX(Turnos_Ini,MATCH($C112,Turnos_Nome,0)),1)*1440&gt;=INDEX(Turnos_Min,MATCH($C112,Turnos_Nome,0))),"Início fora da janela do turno | ",""),"")&amp;IFERROR(IF(AND($L112&gt;0,SUMPRODUCT((Mapa_Sala=$B112)*(Mapa_Data=$A112)*(Mapa_MinOcup&gt;0)*(((MOD(Mapa_IniNum-$O112,1)&lt;MOD($P112-$O112,1))+(MOD($O112-Mapa_IniNum,1)&lt;MOD(Mapa_FimNum-Mapa_IniNum,1)))&gt;0))&gt;1),"Sobreposição de horário na sala | ",""),"")&amp;IFERROR(IF(AND(ISNUMBER($K112),$K112&gt;0,COUNTIF(Esp_Nome,$F112)&gt;0,$K112&gt;3*INDEX(Esp_Dur,MATCH($F112,Esp_Nome,0))),"Duração atípica (&gt;3x a média) | ",""),""))</f>
        <v/>
      </c>
      <c r="O112" s="10">
        <f>IF(ISNUMBER($D112),$D112,0)</f>
        <v/>
      </c>
      <c r="P112" s="10">
        <f>IF(ISNUMBER($E112),$E112,0)</f>
        <v/>
      </c>
    </row>
    <row r="113">
      <c r="A113" s="30" t="n"/>
      <c r="B113" s="24" t="n"/>
      <c r="C113" s="24" t="n"/>
      <c r="D113" s="31" t="n"/>
      <c r="E113" s="31" t="n"/>
      <c r="F113" s="25" t="n"/>
      <c r="G113" s="25" t="n"/>
      <c r="H113" s="25" t="n"/>
      <c r="I113" s="24" t="n"/>
      <c r="J113" s="24" t="n"/>
      <c r="K113" s="32">
        <f>IF(OR($B113="",NOT(ISNUMBER($D113)),NOT(ISNUMBER($E113))),"",ROUND(MOD($E113-$D113,1)*1440,0))</f>
        <v/>
      </c>
      <c r="L113" s="32">
        <f>IF(NOT(ISNUMBER($K113)),0,IF(OR($K113&lt;=0,$J113="Cancelada",$J113="Suspensa"),0,$K113+Setup_Min))</f>
        <v/>
      </c>
      <c r="M113" s="17">
        <f>IF($B113="","",IF($N113="","OK",LEFT($N113,LEN($N113)-3)))</f>
        <v/>
      </c>
      <c r="N113" s="10">
        <f>IF($B113="","",IF(COUNTIF(Salas_Cod,$B113)=0,"Sala não cadastrada | ","")&amp;IF(AND(COUNTIF(Salas_Cod,$B113)&gt;0,IFERROR(INDEX(Salas_Status,MATCH($B113,Salas_Cod,0)),"")&lt;&gt;"Ativa"),"Sala bloqueada | ","")&amp;IF(COUNTIF(Turnos_Nome,$C113)=0,"Turno inválido | ","")&amp;IF(COUNTIF(Esp_Nome,$F113)=0,"Especialidade não cadastrada | ","")&amp;IF(COUNTIF(Lista_StatusCirurgia,$J113)=0,"Status inválido | ","")&amp;IF(OR(NOT(ISNUMBER($D113)),NOT(ISNUMBER($E113))),"Horário inválido | ","")&amp;IFERROR(IF(AND(ISNUMBER($D113),ISNUMBER($E113),MOD($E113-$D113,1)*1440&lt;=0),"Duração nula ou negativa | ",""),"")&amp;IFERROR(IF(AND(ISNUMBER($D113),COUNTIF(Turnos_Nome,$C113)&gt;0,MOD($D113-INDEX(Turnos_Ini,MATCH($C113,Turnos_Nome,0)),1)*1440&gt;=INDEX(Turnos_Min,MATCH($C113,Turnos_Nome,0))),"Início fora da janela do turno | ",""),"")&amp;IFERROR(IF(AND($L113&gt;0,SUMPRODUCT((Mapa_Sala=$B113)*(Mapa_Data=$A113)*(Mapa_MinOcup&gt;0)*(((MOD(Mapa_IniNum-$O113,1)&lt;MOD($P113-$O113,1))+(MOD($O113-Mapa_IniNum,1)&lt;MOD(Mapa_FimNum-Mapa_IniNum,1)))&gt;0))&gt;1),"Sobreposição de horário na sala | ",""),"")&amp;IFERROR(IF(AND(ISNUMBER($K113),$K113&gt;0,COUNTIF(Esp_Nome,$F113)&gt;0,$K113&gt;3*INDEX(Esp_Dur,MATCH($F113,Esp_Nome,0))),"Duração atípica (&gt;3x a média) | ",""),""))</f>
        <v/>
      </c>
      <c r="O113" s="10">
        <f>IF(ISNUMBER($D113),$D113,0)</f>
        <v/>
      </c>
      <c r="P113" s="10">
        <f>IF(ISNUMBER($E113),$E113,0)</f>
        <v/>
      </c>
    </row>
    <row r="114">
      <c r="A114" s="30" t="n"/>
      <c r="B114" s="24" t="n"/>
      <c r="C114" s="24" t="n"/>
      <c r="D114" s="31" t="n"/>
      <c r="E114" s="31" t="n"/>
      <c r="F114" s="25" t="n"/>
      <c r="G114" s="25" t="n"/>
      <c r="H114" s="25" t="n"/>
      <c r="I114" s="24" t="n"/>
      <c r="J114" s="24" t="n"/>
      <c r="K114" s="32">
        <f>IF(OR($B114="",NOT(ISNUMBER($D114)),NOT(ISNUMBER($E114))),"",ROUND(MOD($E114-$D114,1)*1440,0))</f>
        <v/>
      </c>
      <c r="L114" s="32">
        <f>IF(NOT(ISNUMBER($K114)),0,IF(OR($K114&lt;=0,$J114="Cancelada",$J114="Suspensa"),0,$K114+Setup_Min))</f>
        <v/>
      </c>
      <c r="M114" s="17">
        <f>IF($B114="","",IF($N114="","OK",LEFT($N114,LEN($N114)-3)))</f>
        <v/>
      </c>
      <c r="N114" s="10">
        <f>IF($B114="","",IF(COUNTIF(Salas_Cod,$B114)=0,"Sala não cadastrada | ","")&amp;IF(AND(COUNTIF(Salas_Cod,$B114)&gt;0,IFERROR(INDEX(Salas_Status,MATCH($B114,Salas_Cod,0)),"")&lt;&gt;"Ativa"),"Sala bloqueada | ","")&amp;IF(COUNTIF(Turnos_Nome,$C114)=0,"Turno inválido | ","")&amp;IF(COUNTIF(Esp_Nome,$F114)=0,"Especialidade não cadastrada | ","")&amp;IF(COUNTIF(Lista_StatusCirurgia,$J114)=0,"Status inválido | ","")&amp;IF(OR(NOT(ISNUMBER($D114)),NOT(ISNUMBER($E114))),"Horário inválido | ","")&amp;IFERROR(IF(AND(ISNUMBER($D114),ISNUMBER($E114),MOD($E114-$D114,1)*1440&lt;=0),"Duração nula ou negativa | ",""),"")&amp;IFERROR(IF(AND(ISNUMBER($D114),COUNTIF(Turnos_Nome,$C114)&gt;0,MOD($D114-INDEX(Turnos_Ini,MATCH($C114,Turnos_Nome,0)),1)*1440&gt;=INDEX(Turnos_Min,MATCH($C114,Turnos_Nome,0))),"Início fora da janela do turno | ",""),"")&amp;IFERROR(IF(AND($L114&gt;0,SUMPRODUCT((Mapa_Sala=$B114)*(Mapa_Data=$A114)*(Mapa_MinOcup&gt;0)*(((MOD(Mapa_IniNum-$O114,1)&lt;MOD($P114-$O114,1))+(MOD($O114-Mapa_IniNum,1)&lt;MOD(Mapa_FimNum-Mapa_IniNum,1)))&gt;0))&gt;1),"Sobreposição de horário na sala | ",""),"")&amp;IFERROR(IF(AND(ISNUMBER($K114),$K114&gt;0,COUNTIF(Esp_Nome,$F114)&gt;0,$K114&gt;3*INDEX(Esp_Dur,MATCH($F114,Esp_Nome,0))),"Duração atípica (&gt;3x a média) | ",""),""))</f>
        <v/>
      </c>
      <c r="O114" s="10">
        <f>IF(ISNUMBER($D114),$D114,0)</f>
        <v/>
      </c>
      <c r="P114" s="10">
        <f>IF(ISNUMBER($E114),$E114,0)</f>
        <v/>
      </c>
    </row>
    <row r="115">
      <c r="A115" s="30" t="n"/>
      <c r="B115" s="24" t="n"/>
      <c r="C115" s="24" t="n"/>
      <c r="D115" s="31" t="n"/>
      <c r="E115" s="31" t="n"/>
      <c r="F115" s="25" t="n"/>
      <c r="G115" s="25" t="n"/>
      <c r="H115" s="25" t="n"/>
      <c r="I115" s="24" t="n"/>
      <c r="J115" s="24" t="n"/>
      <c r="K115" s="32">
        <f>IF(OR($B115="",NOT(ISNUMBER($D115)),NOT(ISNUMBER($E115))),"",ROUND(MOD($E115-$D115,1)*1440,0))</f>
        <v/>
      </c>
      <c r="L115" s="32">
        <f>IF(NOT(ISNUMBER($K115)),0,IF(OR($K115&lt;=0,$J115="Cancelada",$J115="Suspensa"),0,$K115+Setup_Min))</f>
        <v/>
      </c>
      <c r="M115" s="17">
        <f>IF($B115="","",IF($N115="","OK",LEFT($N115,LEN($N115)-3)))</f>
        <v/>
      </c>
      <c r="N115" s="10">
        <f>IF($B115="","",IF(COUNTIF(Salas_Cod,$B115)=0,"Sala não cadastrada | ","")&amp;IF(AND(COUNTIF(Salas_Cod,$B115)&gt;0,IFERROR(INDEX(Salas_Status,MATCH($B115,Salas_Cod,0)),"")&lt;&gt;"Ativa"),"Sala bloqueada | ","")&amp;IF(COUNTIF(Turnos_Nome,$C115)=0,"Turno inválido | ","")&amp;IF(COUNTIF(Esp_Nome,$F115)=0,"Especialidade não cadastrada | ","")&amp;IF(COUNTIF(Lista_StatusCirurgia,$J115)=0,"Status inválido | ","")&amp;IF(OR(NOT(ISNUMBER($D115)),NOT(ISNUMBER($E115))),"Horário inválido | ","")&amp;IFERROR(IF(AND(ISNUMBER($D115),ISNUMBER($E115),MOD($E115-$D115,1)*1440&lt;=0),"Duração nula ou negativa | ",""),"")&amp;IFERROR(IF(AND(ISNUMBER($D115),COUNTIF(Turnos_Nome,$C115)&gt;0,MOD($D115-INDEX(Turnos_Ini,MATCH($C115,Turnos_Nome,0)),1)*1440&gt;=INDEX(Turnos_Min,MATCH($C115,Turnos_Nome,0))),"Início fora da janela do turno | ",""),"")&amp;IFERROR(IF(AND($L115&gt;0,SUMPRODUCT((Mapa_Sala=$B115)*(Mapa_Data=$A115)*(Mapa_MinOcup&gt;0)*(((MOD(Mapa_IniNum-$O115,1)&lt;MOD($P115-$O115,1))+(MOD($O115-Mapa_IniNum,1)&lt;MOD(Mapa_FimNum-Mapa_IniNum,1)))&gt;0))&gt;1),"Sobreposição de horário na sala | ",""),"")&amp;IFERROR(IF(AND(ISNUMBER($K115),$K115&gt;0,COUNTIF(Esp_Nome,$F115)&gt;0,$K115&gt;3*INDEX(Esp_Dur,MATCH($F115,Esp_Nome,0))),"Duração atípica (&gt;3x a média) | ",""),""))</f>
        <v/>
      </c>
      <c r="O115" s="10">
        <f>IF(ISNUMBER($D115),$D115,0)</f>
        <v/>
      </c>
      <c r="P115" s="10">
        <f>IF(ISNUMBER($E115),$E115,0)</f>
        <v/>
      </c>
    </row>
    <row r="116">
      <c r="A116" s="30" t="n"/>
      <c r="B116" s="24" t="n"/>
      <c r="C116" s="24" t="n"/>
      <c r="D116" s="31" t="n"/>
      <c r="E116" s="31" t="n"/>
      <c r="F116" s="25" t="n"/>
      <c r="G116" s="25" t="n"/>
      <c r="H116" s="25" t="n"/>
      <c r="I116" s="24" t="n"/>
      <c r="J116" s="24" t="n"/>
      <c r="K116" s="32">
        <f>IF(OR($B116="",NOT(ISNUMBER($D116)),NOT(ISNUMBER($E116))),"",ROUND(MOD($E116-$D116,1)*1440,0))</f>
        <v/>
      </c>
      <c r="L116" s="32">
        <f>IF(NOT(ISNUMBER($K116)),0,IF(OR($K116&lt;=0,$J116="Cancelada",$J116="Suspensa"),0,$K116+Setup_Min))</f>
        <v/>
      </c>
      <c r="M116" s="17">
        <f>IF($B116="","",IF($N116="","OK",LEFT($N116,LEN($N116)-3)))</f>
        <v/>
      </c>
      <c r="N116" s="10">
        <f>IF($B116="","",IF(COUNTIF(Salas_Cod,$B116)=0,"Sala não cadastrada | ","")&amp;IF(AND(COUNTIF(Salas_Cod,$B116)&gt;0,IFERROR(INDEX(Salas_Status,MATCH($B116,Salas_Cod,0)),"")&lt;&gt;"Ativa"),"Sala bloqueada | ","")&amp;IF(COUNTIF(Turnos_Nome,$C116)=0,"Turno inválido | ","")&amp;IF(COUNTIF(Esp_Nome,$F116)=0,"Especialidade não cadastrada | ","")&amp;IF(COUNTIF(Lista_StatusCirurgia,$J116)=0,"Status inválido | ","")&amp;IF(OR(NOT(ISNUMBER($D116)),NOT(ISNUMBER($E116))),"Horário inválido | ","")&amp;IFERROR(IF(AND(ISNUMBER($D116),ISNUMBER($E116),MOD($E116-$D116,1)*1440&lt;=0),"Duração nula ou negativa | ",""),"")&amp;IFERROR(IF(AND(ISNUMBER($D116),COUNTIF(Turnos_Nome,$C116)&gt;0,MOD($D116-INDEX(Turnos_Ini,MATCH($C116,Turnos_Nome,0)),1)*1440&gt;=INDEX(Turnos_Min,MATCH($C116,Turnos_Nome,0))),"Início fora da janela do turno | ",""),"")&amp;IFERROR(IF(AND($L116&gt;0,SUMPRODUCT((Mapa_Sala=$B116)*(Mapa_Data=$A116)*(Mapa_MinOcup&gt;0)*(((MOD(Mapa_IniNum-$O116,1)&lt;MOD($P116-$O116,1))+(MOD($O116-Mapa_IniNum,1)&lt;MOD(Mapa_FimNum-Mapa_IniNum,1)))&gt;0))&gt;1),"Sobreposição de horário na sala | ",""),"")&amp;IFERROR(IF(AND(ISNUMBER($K116),$K116&gt;0,COUNTIF(Esp_Nome,$F116)&gt;0,$K116&gt;3*INDEX(Esp_Dur,MATCH($F116,Esp_Nome,0))),"Duração atípica (&gt;3x a média) | ",""),""))</f>
        <v/>
      </c>
      <c r="O116" s="10">
        <f>IF(ISNUMBER($D116),$D116,0)</f>
        <v/>
      </c>
      <c r="P116" s="10">
        <f>IF(ISNUMBER($E116),$E116,0)</f>
        <v/>
      </c>
    </row>
    <row r="117">
      <c r="A117" s="30" t="n"/>
      <c r="B117" s="24" t="n"/>
      <c r="C117" s="24" t="n"/>
      <c r="D117" s="31" t="n"/>
      <c r="E117" s="31" t="n"/>
      <c r="F117" s="25" t="n"/>
      <c r="G117" s="25" t="n"/>
      <c r="H117" s="25" t="n"/>
      <c r="I117" s="24" t="n"/>
      <c r="J117" s="24" t="n"/>
      <c r="K117" s="32">
        <f>IF(OR($B117="",NOT(ISNUMBER($D117)),NOT(ISNUMBER($E117))),"",ROUND(MOD($E117-$D117,1)*1440,0))</f>
        <v/>
      </c>
      <c r="L117" s="32">
        <f>IF(NOT(ISNUMBER($K117)),0,IF(OR($K117&lt;=0,$J117="Cancelada",$J117="Suspensa"),0,$K117+Setup_Min))</f>
        <v/>
      </c>
      <c r="M117" s="17">
        <f>IF($B117="","",IF($N117="","OK",LEFT($N117,LEN($N117)-3)))</f>
        <v/>
      </c>
      <c r="N117" s="10">
        <f>IF($B117="","",IF(COUNTIF(Salas_Cod,$B117)=0,"Sala não cadastrada | ","")&amp;IF(AND(COUNTIF(Salas_Cod,$B117)&gt;0,IFERROR(INDEX(Salas_Status,MATCH($B117,Salas_Cod,0)),"")&lt;&gt;"Ativa"),"Sala bloqueada | ","")&amp;IF(COUNTIF(Turnos_Nome,$C117)=0,"Turno inválido | ","")&amp;IF(COUNTIF(Esp_Nome,$F117)=0,"Especialidade não cadastrada | ","")&amp;IF(COUNTIF(Lista_StatusCirurgia,$J117)=0,"Status inválido | ","")&amp;IF(OR(NOT(ISNUMBER($D117)),NOT(ISNUMBER($E117))),"Horário inválido | ","")&amp;IFERROR(IF(AND(ISNUMBER($D117),ISNUMBER($E117),MOD($E117-$D117,1)*1440&lt;=0),"Duração nula ou negativa | ",""),"")&amp;IFERROR(IF(AND(ISNUMBER($D117),COUNTIF(Turnos_Nome,$C117)&gt;0,MOD($D117-INDEX(Turnos_Ini,MATCH($C117,Turnos_Nome,0)),1)*1440&gt;=INDEX(Turnos_Min,MATCH($C117,Turnos_Nome,0))),"Início fora da janela do turno | ",""),"")&amp;IFERROR(IF(AND($L117&gt;0,SUMPRODUCT((Mapa_Sala=$B117)*(Mapa_Data=$A117)*(Mapa_MinOcup&gt;0)*(((MOD(Mapa_IniNum-$O117,1)&lt;MOD($P117-$O117,1))+(MOD($O117-Mapa_IniNum,1)&lt;MOD(Mapa_FimNum-Mapa_IniNum,1)))&gt;0))&gt;1),"Sobreposição de horário na sala | ",""),"")&amp;IFERROR(IF(AND(ISNUMBER($K117),$K117&gt;0,COUNTIF(Esp_Nome,$F117)&gt;0,$K117&gt;3*INDEX(Esp_Dur,MATCH($F117,Esp_Nome,0))),"Duração atípica (&gt;3x a média) | ",""),""))</f>
        <v/>
      </c>
      <c r="O117" s="10">
        <f>IF(ISNUMBER($D117),$D117,0)</f>
        <v/>
      </c>
      <c r="P117" s="10">
        <f>IF(ISNUMBER($E117),$E117,0)</f>
        <v/>
      </c>
    </row>
    <row r="118">
      <c r="A118" s="30" t="n"/>
      <c r="B118" s="24" t="n"/>
      <c r="C118" s="24" t="n"/>
      <c r="D118" s="31" t="n"/>
      <c r="E118" s="31" t="n"/>
      <c r="F118" s="25" t="n"/>
      <c r="G118" s="25" t="n"/>
      <c r="H118" s="25" t="n"/>
      <c r="I118" s="24" t="n"/>
      <c r="J118" s="24" t="n"/>
      <c r="K118" s="32">
        <f>IF(OR($B118="",NOT(ISNUMBER($D118)),NOT(ISNUMBER($E118))),"",ROUND(MOD($E118-$D118,1)*1440,0))</f>
        <v/>
      </c>
      <c r="L118" s="32">
        <f>IF(NOT(ISNUMBER($K118)),0,IF(OR($K118&lt;=0,$J118="Cancelada",$J118="Suspensa"),0,$K118+Setup_Min))</f>
        <v/>
      </c>
      <c r="M118" s="17">
        <f>IF($B118="","",IF($N118="","OK",LEFT($N118,LEN($N118)-3)))</f>
        <v/>
      </c>
      <c r="N118" s="10">
        <f>IF($B118="","",IF(COUNTIF(Salas_Cod,$B118)=0,"Sala não cadastrada | ","")&amp;IF(AND(COUNTIF(Salas_Cod,$B118)&gt;0,IFERROR(INDEX(Salas_Status,MATCH($B118,Salas_Cod,0)),"")&lt;&gt;"Ativa"),"Sala bloqueada | ","")&amp;IF(COUNTIF(Turnos_Nome,$C118)=0,"Turno inválido | ","")&amp;IF(COUNTIF(Esp_Nome,$F118)=0,"Especialidade não cadastrada | ","")&amp;IF(COUNTIF(Lista_StatusCirurgia,$J118)=0,"Status inválido | ","")&amp;IF(OR(NOT(ISNUMBER($D118)),NOT(ISNUMBER($E118))),"Horário inválido | ","")&amp;IFERROR(IF(AND(ISNUMBER($D118),ISNUMBER($E118),MOD($E118-$D118,1)*1440&lt;=0),"Duração nula ou negativa | ",""),"")&amp;IFERROR(IF(AND(ISNUMBER($D118),COUNTIF(Turnos_Nome,$C118)&gt;0,MOD($D118-INDEX(Turnos_Ini,MATCH($C118,Turnos_Nome,0)),1)*1440&gt;=INDEX(Turnos_Min,MATCH($C118,Turnos_Nome,0))),"Início fora da janela do turno | ",""),"")&amp;IFERROR(IF(AND($L118&gt;0,SUMPRODUCT((Mapa_Sala=$B118)*(Mapa_Data=$A118)*(Mapa_MinOcup&gt;0)*(((MOD(Mapa_IniNum-$O118,1)&lt;MOD($P118-$O118,1))+(MOD($O118-Mapa_IniNum,1)&lt;MOD(Mapa_FimNum-Mapa_IniNum,1)))&gt;0))&gt;1),"Sobreposição de horário na sala | ",""),"")&amp;IFERROR(IF(AND(ISNUMBER($K118),$K118&gt;0,COUNTIF(Esp_Nome,$F118)&gt;0,$K118&gt;3*INDEX(Esp_Dur,MATCH($F118,Esp_Nome,0))),"Duração atípica (&gt;3x a média) | ",""),""))</f>
        <v/>
      </c>
      <c r="O118" s="10">
        <f>IF(ISNUMBER($D118),$D118,0)</f>
        <v/>
      </c>
      <c r="P118" s="10">
        <f>IF(ISNUMBER($E118),$E118,0)</f>
        <v/>
      </c>
    </row>
    <row r="119">
      <c r="A119" s="30" t="n"/>
      <c r="B119" s="24" t="n"/>
      <c r="C119" s="24" t="n"/>
      <c r="D119" s="31" t="n"/>
      <c r="E119" s="31" t="n"/>
      <c r="F119" s="25" t="n"/>
      <c r="G119" s="25" t="n"/>
      <c r="H119" s="25" t="n"/>
      <c r="I119" s="24" t="n"/>
      <c r="J119" s="24" t="n"/>
      <c r="K119" s="32">
        <f>IF(OR($B119="",NOT(ISNUMBER($D119)),NOT(ISNUMBER($E119))),"",ROUND(MOD($E119-$D119,1)*1440,0))</f>
        <v/>
      </c>
      <c r="L119" s="32">
        <f>IF(NOT(ISNUMBER($K119)),0,IF(OR($K119&lt;=0,$J119="Cancelada",$J119="Suspensa"),0,$K119+Setup_Min))</f>
        <v/>
      </c>
      <c r="M119" s="17">
        <f>IF($B119="","",IF($N119="","OK",LEFT($N119,LEN($N119)-3)))</f>
        <v/>
      </c>
      <c r="N119" s="10">
        <f>IF($B119="","",IF(COUNTIF(Salas_Cod,$B119)=0,"Sala não cadastrada | ","")&amp;IF(AND(COUNTIF(Salas_Cod,$B119)&gt;0,IFERROR(INDEX(Salas_Status,MATCH($B119,Salas_Cod,0)),"")&lt;&gt;"Ativa"),"Sala bloqueada | ","")&amp;IF(COUNTIF(Turnos_Nome,$C119)=0,"Turno inválido | ","")&amp;IF(COUNTIF(Esp_Nome,$F119)=0,"Especialidade não cadastrada | ","")&amp;IF(COUNTIF(Lista_StatusCirurgia,$J119)=0,"Status inválido | ","")&amp;IF(OR(NOT(ISNUMBER($D119)),NOT(ISNUMBER($E119))),"Horário inválido | ","")&amp;IFERROR(IF(AND(ISNUMBER($D119),ISNUMBER($E119),MOD($E119-$D119,1)*1440&lt;=0),"Duração nula ou negativa | ",""),"")&amp;IFERROR(IF(AND(ISNUMBER($D119),COUNTIF(Turnos_Nome,$C119)&gt;0,MOD($D119-INDEX(Turnos_Ini,MATCH($C119,Turnos_Nome,0)),1)*1440&gt;=INDEX(Turnos_Min,MATCH($C119,Turnos_Nome,0))),"Início fora da janela do turno | ",""),"")&amp;IFERROR(IF(AND($L119&gt;0,SUMPRODUCT((Mapa_Sala=$B119)*(Mapa_Data=$A119)*(Mapa_MinOcup&gt;0)*(((MOD(Mapa_IniNum-$O119,1)&lt;MOD($P119-$O119,1))+(MOD($O119-Mapa_IniNum,1)&lt;MOD(Mapa_FimNum-Mapa_IniNum,1)))&gt;0))&gt;1),"Sobreposição de horário na sala | ",""),"")&amp;IFERROR(IF(AND(ISNUMBER($K119),$K119&gt;0,COUNTIF(Esp_Nome,$F119)&gt;0,$K119&gt;3*INDEX(Esp_Dur,MATCH($F119,Esp_Nome,0))),"Duração atípica (&gt;3x a média) | ",""),""))</f>
        <v/>
      </c>
      <c r="O119" s="10">
        <f>IF(ISNUMBER($D119),$D119,0)</f>
        <v/>
      </c>
      <c r="P119" s="10">
        <f>IF(ISNUMBER($E119),$E119,0)</f>
        <v/>
      </c>
    </row>
    <row r="120">
      <c r="A120" s="30" t="n"/>
      <c r="B120" s="24" t="n"/>
      <c r="C120" s="24" t="n"/>
      <c r="D120" s="31" t="n"/>
      <c r="E120" s="31" t="n"/>
      <c r="F120" s="25" t="n"/>
      <c r="G120" s="25" t="n"/>
      <c r="H120" s="25" t="n"/>
      <c r="I120" s="24" t="n"/>
      <c r="J120" s="24" t="n"/>
      <c r="K120" s="32">
        <f>IF(OR($B120="",NOT(ISNUMBER($D120)),NOT(ISNUMBER($E120))),"",ROUND(MOD($E120-$D120,1)*1440,0))</f>
        <v/>
      </c>
      <c r="L120" s="32">
        <f>IF(NOT(ISNUMBER($K120)),0,IF(OR($K120&lt;=0,$J120="Cancelada",$J120="Suspensa"),0,$K120+Setup_Min))</f>
        <v/>
      </c>
      <c r="M120" s="17">
        <f>IF($B120="","",IF($N120="","OK",LEFT($N120,LEN($N120)-3)))</f>
        <v/>
      </c>
      <c r="N120" s="10">
        <f>IF($B120="","",IF(COUNTIF(Salas_Cod,$B120)=0,"Sala não cadastrada | ","")&amp;IF(AND(COUNTIF(Salas_Cod,$B120)&gt;0,IFERROR(INDEX(Salas_Status,MATCH($B120,Salas_Cod,0)),"")&lt;&gt;"Ativa"),"Sala bloqueada | ","")&amp;IF(COUNTIF(Turnos_Nome,$C120)=0,"Turno inválido | ","")&amp;IF(COUNTIF(Esp_Nome,$F120)=0,"Especialidade não cadastrada | ","")&amp;IF(COUNTIF(Lista_StatusCirurgia,$J120)=0,"Status inválido | ","")&amp;IF(OR(NOT(ISNUMBER($D120)),NOT(ISNUMBER($E120))),"Horário inválido | ","")&amp;IFERROR(IF(AND(ISNUMBER($D120),ISNUMBER($E120),MOD($E120-$D120,1)*1440&lt;=0),"Duração nula ou negativa | ",""),"")&amp;IFERROR(IF(AND(ISNUMBER($D120),COUNTIF(Turnos_Nome,$C120)&gt;0,MOD($D120-INDEX(Turnos_Ini,MATCH($C120,Turnos_Nome,0)),1)*1440&gt;=INDEX(Turnos_Min,MATCH($C120,Turnos_Nome,0))),"Início fora da janela do turno | ",""),"")&amp;IFERROR(IF(AND($L120&gt;0,SUMPRODUCT((Mapa_Sala=$B120)*(Mapa_Data=$A120)*(Mapa_MinOcup&gt;0)*(((MOD(Mapa_IniNum-$O120,1)&lt;MOD($P120-$O120,1))+(MOD($O120-Mapa_IniNum,1)&lt;MOD(Mapa_FimNum-Mapa_IniNum,1)))&gt;0))&gt;1),"Sobreposição de horário na sala | ",""),"")&amp;IFERROR(IF(AND(ISNUMBER($K120),$K120&gt;0,COUNTIF(Esp_Nome,$F120)&gt;0,$K120&gt;3*INDEX(Esp_Dur,MATCH($F120,Esp_Nome,0))),"Duração atípica (&gt;3x a média) | ",""),""))</f>
        <v/>
      </c>
      <c r="O120" s="10">
        <f>IF(ISNUMBER($D120),$D120,0)</f>
        <v/>
      </c>
      <c r="P120" s="10">
        <f>IF(ISNUMBER($E120),$E120,0)</f>
        <v/>
      </c>
    </row>
    <row r="121">
      <c r="A121" s="30" t="n"/>
      <c r="B121" s="24" t="n"/>
      <c r="C121" s="24" t="n"/>
      <c r="D121" s="31" t="n"/>
      <c r="E121" s="31" t="n"/>
      <c r="F121" s="25" t="n"/>
      <c r="G121" s="25" t="n"/>
      <c r="H121" s="25" t="n"/>
      <c r="I121" s="24" t="n"/>
      <c r="J121" s="24" t="n"/>
      <c r="K121" s="32">
        <f>IF(OR($B121="",NOT(ISNUMBER($D121)),NOT(ISNUMBER($E121))),"",ROUND(MOD($E121-$D121,1)*1440,0))</f>
        <v/>
      </c>
      <c r="L121" s="32">
        <f>IF(NOT(ISNUMBER($K121)),0,IF(OR($K121&lt;=0,$J121="Cancelada",$J121="Suspensa"),0,$K121+Setup_Min))</f>
        <v/>
      </c>
      <c r="M121" s="17">
        <f>IF($B121="","",IF($N121="","OK",LEFT($N121,LEN($N121)-3)))</f>
        <v/>
      </c>
      <c r="N121" s="10">
        <f>IF($B121="","",IF(COUNTIF(Salas_Cod,$B121)=0,"Sala não cadastrada | ","")&amp;IF(AND(COUNTIF(Salas_Cod,$B121)&gt;0,IFERROR(INDEX(Salas_Status,MATCH($B121,Salas_Cod,0)),"")&lt;&gt;"Ativa"),"Sala bloqueada | ","")&amp;IF(COUNTIF(Turnos_Nome,$C121)=0,"Turno inválido | ","")&amp;IF(COUNTIF(Esp_Nome,$F121)=0,"Especialidade não cadastrada | ","")&amp;IF(COUNTIF(Lista_StatusCirurgia,$J121)=0,"Status inválido | ","")&amp;IF(OR(NOT(ISNUMBER($D121)),NOT(ISNUMBER($E121))),"Horário inválido | ","")&amp;IFERROR(IF(AND(ISNUMBER($D121),ISNUMBER($E121),MOD($E121-$D121,1)*1440&lt;=0),"Duração nula ou negativa | ",""),"")&amp;IFERROR(IF(AND(ISNUMBER($D121),COUNTIF(Turnos_Nome,$C121)&gt;0,MOD($D121-INDEX(Turnos_Ini,MATCH($C121,Turnos_Nome,0)),1)*1440&gt;=INDEX(Turnos_Min,MATCH($C121,Turnos_Nome,0))),"Início fora da janela do turno | ",""),"")&amp;IFERROR(IF(AND($L121&gt;0,SUMPRODUCT((Mapa_Sala=$B121)*(Mapa_Data=$A121)*(Mapa_MinOcup&gt;0)*(((MOD(Mapa_IniNum-$O121,1)&lt;MOD($P121-$O121,1))+(MOD($O121-Mapa_IniNum,1)&lt;MOD(Mapa_FimNum-Mapa_IniNum,1)))&gt;0))&gt;1),"Sobreposição de horário na sala | ",""),"")&amp;IFERROR(IF(AND(ISNUMBER($K121),$K121&gt;0,COUNTIF(Esp_Nome,$F121)&gt;0,$K121&gt;3*INDEX(Esp_Dur,MATCH($F121,Esp_Nome,0))),"Duração atípica (&gt;3x a média) | ",""),""))</f>
        <v/>
      </c>
      <c r="O121" s="10">
        <f>IF(ISNUMBER($D121),$D121,0)</f>
        <v/>
      </c>
      <c r="P121" s="10">
        <f>IF(ISNUMBER($E121),$E121,0)</f>
        <v/>
      </c>
    </row>
    <row r="122">
      <c r="A122" s="30" t="n"/>
      <c r="B122" s="24" t="n"/>
      <c r="C122" s="24" t="n"/>
      <c r="D122" s="31" t="n"/>
      <c r="E122" s="31" t="n"/>
      <c r="F122" s="25" t="n"/>
      <c r="G122" s="25" t="n"/>
      <c r="H122" s="25" t="n"/>
      <c r="I122" s="24" t="n"/>
      <c r="J122" s="24" t="n"/>
      <c r="K122" s="32">
        <f>IF(OR($B122="",NOT(ISNUMBER($D122)),NOT(ISNUMBER($E122))),"",ROUND(MOD($E122-$D122,1)*1440,0))</f>
        <v/>
      </c>
      <c r="L122" s="32">
        <f>IF(NOT(ISNUMBER($K122)),0,IF(OR($K122&lt;=0,$J122="Cancelada",$J122="Suspensa"),0,$K122+Setup_Min))</f>
        <v/>
      </c>
      <c r="M122" s="17">
        <f>IF($B122="","",IF($N122="","OK",LEFT($N122,LEN($N122)-3)))</f>
        <v/>
      </c>
      <c r="N122" s="10">
        <f>IF($B122="","",IF(COUNTIF(Salas_Cod,$B122)=0,"Sala não cadastrada | ","")&amp;IF(AND(COUNTIF(Salas_Cod,$B122)&gt;0,IFERROR(INDEX(Salas_Status,MATCH($B122,Salas_Cod,0)),"")&lt;&gt;"Ativa"),"Sala bloqueada | ","")&amp;IF(COUNTIF(Turnos_Nome,$C122)=0,"Turno inválido | ","")&amp;IF(COUNTIF(Esp_Nome,$F122)=0,"Especialidade não cadastrada | ","")&amp;IF(COUNTIF(Lista_StatusCirurgia,$J122)=0,"Status inválido | ","")&amp;IF(OR(NOT(ISNUMBER($D122)),NOT(ISNUMBER($E122))),"Horário inválido | ","")&amp;IFERROR(IF(AND(ISNUMBER($D122),ISNUMBER($E122),MOD($E122-$D122,1)*1440&lt;=0),"Duração nula ou negativa | ",""),"")&amp;IFERROR(IF(AND(ISNUMBER($D122),COUNTIF(Turnos_Nome,$C122)&gt;0,MOD($D122-INDEX(Turnos_Ini,MATCH($C122,Turnos_Nome,0)),1)*1440&gt;=INDEX(Turnos_Min,MATCH($C122,Turnos_Nome,0))),"Início fora da janela do turno | ",""),"")&amp;IFERROR(IF(AND($L122&gt;0,SUMPRODUCT((Mapa_Sala=$B122)*(Mapa_Data=$A122)*(Mapa_MinOcup&gt;0)*(((MOD(Mapa_IniNum-$O122,1)&lt;MOD($P122-$O122,1))+(MOD($O122-Mapa_IniNum,1)&lt;MOD(Mapa_FimNum-Mapa_IniNum,1)))&gt;0))&gt;1),"Sobreposição de horário na sala | ",""),"")&amp;IFERROR(IF(AND(ISNUMBER($K122),$K122&gt;0,COUNTIF(Esp_Nome,$F122)&gt;0,$K122&gt;3*INDEX(Esp_Dur,MATCH($F122,Esp_Nome,0))),"Duração atípica (&gt;3x a média) | ",""),""))</f>
        <v/>
      </c>
      <c r="O122" s="10">
        <f>IF(ISNUMBER($D122),$D122,0)</f>
        <v/>
      </c>
      <c r="P122" s="10">
        <f>IF(ISNUMBER($E122),$E122,0)</f>
        <v/>
      </c>
    </row>
    <row r="123">
      <c r="A123" s="30" t="n"/>
      <c r="B123" s="24" t="n"/>
      <c r="C123" s="24" t="n"/>
      <c r="D123" s="31" t="n"/>
      <c r="E123" s="31" t="n"/>
      <c r="F123" s="25" t="n"/>
      <c r="G123" s="25" t="n"/>
      <c r="H123" s="25" t="n"/>
      <c r="I123" s="24" t="n"/>
      <c r="J123" s="24" t="n"/>
      <c r="K123" s="32">
        <f>IF(OR($B123="",NOT(ISNUMBER($D123)),NOT(ISNUMBER($E123))),"",ROUND(MOD($E123-$D123,1)*1440,0))</f>
        <v/>
      </c>
      <c r="L123" s="32">
        <f>IF(NOT(ISNUMBER($K123)),0,IF(OR($K123&lt;=0,$J123="Cancelada",$J123="Suspensa"),0,$K123+Setup_Min))</f>
        <v/>
      </c>
      <c r="M123" s="17">
        <f>IF($B123="","",IF($N123="","OK",LEFT($N123,LEN($N123)-3)))</f>
        <v/>
      </c>
      <c r="N123" s="10">
        <f>IF($B123="","",IF(COUNTIF(Salas_Cod,$B123)=0,"Sala não cadastrada | ","")&amp;IF(AND(COUNTIF(Salas_Cod,$B123)&gt;0,IFERROR(INDEX(Salas_Status,MATCH($B123,Salas_Cod,0)),"")&lt;&gt;"Ativa"),"Sala bloqueada | ","")&amp;IF(COUNTIF(Turnos_Nome,$C123)=0,"Turno inválido | ","")&amp;IF(COUNTIF(Esp_Nome,$F123)=0,"Especialidade não cadastrada | ","")&amp;IF(COUNTIF(Lista_StatusCirurgia,$J123)=0,"Status inválido | ","")&amp;IF(OR(NOT(ISNUMBER($D123)),NOT(ISNUMBER($E123))),"Horário inválido | ","")&amp;IFERROR(IF(AND(ISNUMBER($D123),ISNUMBER($E123),MOD($E123-$D123,1)*1440&lt;=0),"Duração nula ou negativa | ",""),"")&amp;IFERROR(IF(AND(ISNUMBER($D123),COUNTIF(Turnos_Nome,$C123)&gt;0,MOD($D123-INDEX(Turnos_Ini,MATCH($C123,Turnos_Nome,0)),1)*1440&gt;=INDEX(Turnos_Min,MATCH($C123,Turnos_Nome,0))),"Início fora da janela do turno | ",""),"")&amp;IFERROR(IF(AND($L123&gt;0,SUMPRODUCT((Mapa_Sala=$B123)*(Mapa_Data=$A123)*(Mapa_MinOcup&gt;0)*(((MOD(Mapa_IniNum-$O123,1)&lt;MOD($P123-$O123,1))+(MOD($O123-Mapa_IniNum,1)&lt;MOD(Mapa_FimNum-Mapa_IniNum,1)))&gt;0))&gt;1),"Sobreposição de horário na sala | ",""),"")&amp;IFERROR(IF(AND(ISNUMBER($K123),$K123&gt;0,COUNTIF(Esp_Nome,$F123)&gt;0,$K123&gt;3*INDEX(Esp_Dur,MATCH($F123,Esp_Nome,0))),"Duração atípica (&gt;3x a média) | ",""),""))</f>
        <v/>
      </c>
      <c r="O123" s="10">
        <f>IF(ISNUMBER($D123),$D123,0)</f>
        <v/>
      </c>
      <c r="P123" s="10">
        <f>IF(ISNUMBER($E123),$E123,0)</f>
        <v/>
      </c>
    </row>
    <row r="124">
      <c r="A124" s="30" t="n"/>
      <c r="B124" s="24" t="n"/>
      <c r="C124" s="24" t="n"/>
      <c r="D124" s="31" t="n"/>
      <c r="E124" s="31" t="n"/>
      <c r="F124" s="25" t="n"/>
      <c r="G124" s="25" t="n"/>
      <c r="H124" s="25" t="n"/>
      <c r="I124" s="24" t="n"/>
      <c r="J124" s="24" t="n"/>
      <c r="K124" s="32">
        <f>IF(OR($B124="",NOT(ISNUMBER($D124)),NOT(ISNUMBER($E124))),"",ROUND(MOD($E124-$D124,1)*1440,0))</f>
        <v/>
      </c>
      <c r="L124" s="32">
        <f>IF(NOT(ISNUMBER($K124)),0,IF(OR($K124&lt;=0,$J124="Cancelada",$J124="Suspensa"),0,$K124+Setup_Min))</f>
        <v/>
      </c>
      <c r="M124" s="17">
        <f>IF($B124="","",IF($N124="","OK",LEFT($N124,LEN($N124)-3)))</f>
        <v/>
      </c>
      <c r="N124" s="10">
        <f>IF($B124="","",IF(COUNTIF(Salas_Cod,$B124)=0,"Sala não cadastrada | ","")&amp;IF(AND(COUNTIF(Salas_Cod,$B124)&gt;0,IFERROR(INDEX(Salas_Status,MATCH($B124,Salas_Cod,0)),"")&lt;&gt;"Ativa"),"Sala bloqueada | ","")&amp;IF(COUNTIF(Turnos_Nome,$C124)=0,"Turno inválido | ","")&amp;IF(COUNTIF(Esp_Nome,$F124)=0,"Especialidade não cadastrada | ","")&amp;IF(COUNTIF(Lista_StatusCirurgia,$J124)=0,"Status inválido | ","")&amp;IF(OR(NOT(ISNUMBER($D124)),NOT(ISNUMBER($E124))),"Horário inválido | ","")&amp;IFERROR(IF(AND(ISNUMBER($D124),ISNUMBER($E124),MOD($E124-$D124,1)*1440&lt;=0),"Duração nula ou negativa | ",""),"")&amp;IFERROR(IF(AND(ISNUMBER($D124),COUNTIF(Turnos_Nome,$C124)&gt;0,MOD($D124-INDEX(Turnos_Ini,MATCH($C124,Turnos_Nome,0)),1)*1440&gt;=INDEX(Turnos_Min,MATCH($C124,Turnos_Nome,0))),"Início fora da janela do turno | ",""),"")&amp;IFERROR(IF(AND($L124&gt;0,SUMPRODUCT((Mapa_Sala=$B124)*(Mapa_Data=$A124)*(Mapa_MinOcup&gt;0)*(((MOD(Mapa_IniNum-$O124,1)&lt;MOD($P124-$O124,1))+(MOD($O124-Mapa_IniNum,1)&lt;MOD(Mapa_FimNum-Mapa_IniNum,1)))&gt;0))&gt;1),"Sobreposição de horário na sala | ",""),"")&amp;IFERROR(IF(AND(ISNUMBER($K124),$K124&gt;0,COUNTIF(Esp_Nome,$F124)&gt;0,$K124&gt;3*INDEX(Esp_Dur,MATCH($F124,Esp_Nome,0))),"Duração atípica (&gt;3x a média) | ",""),""))</f>
        <v/>
      </c>
      <c r="O124" s="10">
        <f>IF(ISNUMBER($D124),$D124,0)</f>
        <v/>
      </c>
      <c r="P124" s="10">
        <f>IF(ISNUMBER($E124),$E124,0)</f>
        <v/>
      </c>
    </row>
    <row r="125">
      <c r="A125" s="30" t="n"/>
      <c r="B125" s="24" t="n"/>
      <c r="C125" s="24" t="n"/>
      <c r="D125" s="31" t="n"/>
      <c r="E125" s="31" t="n"/>
      <c r="F125" s="25" t="n"/>
      <c r="G125" s="25" t="n"/>
      <c r="H125" s="25" t="n"/>
      <c r="I125" s="24" t="n"/>
      <c r="J125" s="24" t="n"/>
      <c r="K125" s="32">
        <f>IF(OR($B125="",NOT(ISNUMBER($D125)),NOT(ISNUMBER($E125))),"",ROUND(MOD($E125-$D125,1)*1440,0))</f>
        <v/>
      </c>
      <c r="L125" s="32">
        <f>IF(NOT(ISNUMBER($K125)),0,IF(OR($K125&lt;=0,$J125="Cancelada",$J125="Suspensa"),0,$K125+Setup_Min))</f>
        <v/>
      </c>
      <c r="M125" s="17">
        <f>IF($B125="","",IF($N125="","OK",LEFT($N125,LEN($N125)-3)))</f>
        <v/>
      </c>
      <c r="N125" s="10">
        <f>IF($B125="","",IF(COUNTIF(Salas_Cod,$B125)=0,"Sala não cadastrada | ","")&amp;IF(AND(COUNTIF(Salas_Cod,$B125)&gt;0,IFERROR(INDEX(Salas_Status,MATCH($B125,Salas_Cod,0)),"")&lt;&gt;"Ativa"),"Sala bloqueada | ","")&amp;IF(COUNTIF(Turnos_Nome,$C125)=0,"Turno inválido | ","")&amp;IF(COUNTIF(Esp_Nome,$F125)=0,"Especialidade não cadastrada | ","")&amp;IF(COUNTIF(Lista_StatusCirurgia,$J125)=0,"Status inválido | ","")&amp;IF(OR(NOT(ISNUMBER($D125)),NOT(ISNUMBER($E125))),"Horário inválido | ","")&amp;IFERROR(IF(AND(ISNUMBER($D125),ISNUMBER($E125),MOD($E125-$D125,1)*1440&lt;=0),"Duração nula ou negativa | ",""),"")&amp;IFERROR(IF(AND(ISNUMBER($D125),COUNTIF(Turnos_Nome,$C125)&gt;0,MOD($D125-INDEX(Turnos_Ini,MATCH($C125,Turnos_Nome,0)),1)*1440&gt;=INDEX(Turnos_Min,MATCH($C125,Turnos_Nome,0))),"Início fora da janela do turno | ",""),"")&amp;IFERROR(IF(AND($L125&gt;0,SUMPRODUCT((Mapa_Sala=$B125)*(Mapa_Data=$A125)*(Mapa_MinOcup&gt;0)*(((MOD(Mapa_IniNum-$O125,1)&lt;MOD($P125-$O125,1))+(MOD($O125-Mapa_IniNum,1)&lt;MOD(Mapa_FimNum-Mapa_IniNum,1)))&gt;0))&gt;1),"Sobreposição de horário na sala | ",""),"")&amp;IFERROR(IF(AND(ISNUMBER($K125),$K125&gt;0,COUNTIF(Esp_Nome,$F125)&gt;0,$K125&gt;3*INDEX(Esp_Dur,MATCH($F125,Esp_Nome,0))),"Duração atípica (&gt;3x a média) | ",""),""))</f>
        <v/>
      </c>
      <c r="O125" s="10">
        <f>IF(ISNUMBER($D125),$D125,0)</f>
        <v/>
      </c>
      <c r="P125" s="10">
        <f>IF(ISNUMBER($E125),$E125,0)</f>
        <v/>
      </c>
    </row>
    <row r="126">
      <c r="A126" s="30" t="n"/>
      <c r="B126" s="24" t="n"/>
      <c r="C126" s="24" t="n"/>
      <c r="D126" s="31" t="n"/>
      <c r="E126" s="31" t="n"/>
      <c r="F126" s="25" t="n"/>
      <c r="G126" s="25" t="n"/>
      <c r="H126" s="25" t="n"/>
      <c r="I126" s="24" t="n"/>
      <c r="J126" s="24" t="n"/>
      <c r="K126" s="32">
        <f>IF(OR($B126="",NOT(ISNUMBER($D126)),NOT(ISNUMBER($E126))),"",ROUND(MOD($E126-$D126,1)*1440,0))</f>
        <v/>
      </c>
      <c r="L126" s="32">
        <f>IF(NOT(ISNUMBER($K126)),0,IF(OR($K126&lt;=0,$J126="Cancelada",$J126="Suspensa"),0,$K126+Setup_Min))</f>
        <v/>
      </c>
      <c r="M126" s="17">
        <f>IF($B126="","",IF($N126="","OK",LEFT($N126,LEN($N126)-3)))</f>
        <v/>
      </c>
      <c r="N126" s="10">
        <f>IF($B126="","",IF(COUNTIF(Salas_Cod,$B126)=0,"Sala não cadastrada | ","")&amp;IF(AND(COUNTIF(Salas_Cod,$B126)&gt;0,IFERROR(INDEX(Salas_Status,MATCH($B126,Salas_Cod,0)),"")&lt;&gt;"Ativa"),"Sala bloqueada | ","")&amp;IF(COUNTIF(Turnos_Nome,$C126)=0,"Turno inválido | ","")&amp;IF(COUNTIF(Esp_Nome,$F126)=0,"Especialidade não cadastrada | ","")&amp;IF(COUNTIF(Lista_StatusCirurgia,$J126)=0,"Status inválido | ","")&amp;IF(OR(NOT(ISNUMBER($D126)),NOT(ISNUMBER($E126))),"Horário inválido | ","")&amp;IFERROR(IF(AND(ISNUMBER($D126),ISNUMBER($E126),MOD($E126-$D126,1)*1440&lt;=0),"Duração nula ou negativa | ",""),"")&amp;IFERROR(IF(AND(ISNUMBER($D126),COUNTIF(Turnos_Nome,$C126)&gt;0,MOD($D126-INDEX(Turnos_Ini,MATCH($C126,Turnos_Nome,0)),1)*1440&gt;=INDEX(Turnos_Min,MATCH($C126,Turnos_Nome,0))),"Início fora da janela do turno | ",""),"")&amp;IFERROR(IF(AND($L126&gt;0,SUMPRODUCT((Mapa_Sala=$B126)*(Mapa_Data=$A126)*(Mapa_MinOcup&gt;0)*(((MOD(Mapa_IniNum-$O126,1)&lt;MOD($P126-$O126,1))+(MOD($O126-Mapa_IniNum,1)&lt;MOD(Mapa_FimNum-Mapa_IniNum,1)))&gt;0))&gt;1),"Sobreposição de horário na sala | ",""),"")&amp;IFERROR(IF(AND(ISNUMBER($K126),$K126&gt;0,COUNTIF(Esp_Nome,$F126)&gt;0,$K126&gt;3*INDEX(Esp_Dur,MATCH($F126,Esp_Nome,0))),"Duração atípica (&gt;3x a média) | ",""),""))</f>
        <v/>
      </c>
      <c r="O126" s="10">
        <f>IF(ISNUMBER($D126),$D126,0)</f>
        <v/>
      </c>
      <c r="P126" s="10">
        <f>IF(ISNUMBER($E126),$E126,0)</f>
        <v/>
      </c>
    </row>
    <row r="127">
      <c r="A127" s="30" t="n"/>
      <c r="B127" s="24" t="n"/>
      <c r="C127" s="24" t="n"/>
      <c r="D127" s="31" t="n"/>
      <c r="E127" s="31" t="n"/>
      <c r="F127" s="25" t="n"/>
      <c r="G127" s="25" t="n"/>
      <c r="H127" s="25" t="n"/>
      <c r="I127" s="24" t="n"/>
      <c r="J127" s="24" t="n"/>
      <c r="K127" s="32">
        <f>IF(OR($B127="",NOT(ISNUMBER($D127)),NOT(ISNUMBER($E127))),"",ROUND(MOD($E127-$D127,1)*1440,0))</f>
        <v/>
      </c>
      <c r="L127" s="32">
        <f>IF(NOT(ISNUMBER($K127)),0,IF(OR($K127&lt;=0,$J127="Cancelada",$J127="Suspensa"),0,$K127+Setup_Min))</f>
        <v/>
      </c>
      <c r="M127" s="17">
        <f>IF($B127="","",IF($N127="","OK",LEFT($N127,LEN($N127)-3)))</f>
        <v/>
      </c>
      <c r="N127" s="10">
        <f>IF($B127="","",IF(COUNTIF(Salas_Cod,$B127)=0,"Sala não cadastrada | ","")&amp;IF(AND(COUNTIF(Salas_Cod,$B127)&gt;0,IFERROR(INDEX(Salas_Status,MATCH($B127,Salas_Cod,0)),"")&lt;&gt;"Ativa"),"Sala bloqueada | ","")&amp;IF(COUNTIF(Turnos_Nome,$C127)=0,"Turno inválido | ","")&amp;IF(COUNTIF(Esp_Nome,$F127)=0,"Especialidade não cadastrada | ","")&amp;IF(COUNTIF(Lista_StatusCirurgia,$J127)=0,"Status inválido | ","")&amp;IF(OR(NOT(ISNUMBER($D127)),NOT(ISNUMBER($E127))),"Horário inválido | ","")&amp;IFERROR(IF(AND(ISNUMBER($D127),ISNUMBER($E127),MOD($E127-$D127,1)*1440&lt;=0),"Duração nula ou negativa | ",""),"")&amp;IFERROR(IF(AND(ISNUMBER($D127),COUNTIF(Turnos_Nome,$C127)&gt;0,MOD($D127-INDEX(Turnos_Ini,MATCH($C127,Turnos_Nome,0)),1)*1440&gt;=INDEX(Turnos_Min,MATCH($C127,Turnos_Nome,0))),"Início fora da janela do turno | ",""),"")&amp;IFERROR(IF(AND($L127&gt;0,SUMPRODUCT((Mapa_Sala=$B127)*(Mapa_Data=$A127)*(Mapa_MinOcup&gt;0)*(((MOD(Mapa_IniNum-$O127,1)&lt;MOD($P127-$O127,1))+(MOD($O127-Mapa_IniNum,1)&lt;MOD(Mapa_FimNum-Mapa_IniNum,1)))&gt;0))&gt;1),"Sobreposição de horário na sala | ",""),"")&amp;IFERROR(IF(AND(ISNUMBER($K127),$K127&gt;0,COUNTIF(Esp_Nome,$F127)&gt;0,$K127&gt;3*INDEX(Esp_Dur,MATCH($F127,Esp_Nome,0))),"Duração atípica (&gt;3x a média) | ",""),""))</f>
        <v/>
      </c>
      <c r="O127" s="10">
        <f>IF(ISNUMBER($D127),$D127,0)</f>
        <v/>
      </c>
      <c r="P127" s="10">
        <f>IF(ISNUMBER($E127),$E127,0)</f>
        <v/>
      </c>
    </row>
    <row r="128">
      <c r="A128" s="30" t="n"/>
      <c r="B128" s="24" t="n"/>
      <c r="C128" s="24" t="n"/>
      <c r="D128" s="31" t="n"/>
      <c r="E128" s="31" t="n"/>
      <c r="F128" s="25" t="n"/>
      <c r="G128" s="25" t="n"/>
      <c r="H128" s="25" t="n"/>
      <c r="I128" s="24" t="n"/>
      <c r="J128" s="24" t="n"/>
      <c r="K128" s="32">
        <f>IF(OR($B128="",NOT(ISNUMBER($D128)),NOT(ISNUMBER($E128))),"",ROUND(MOD($E128-$D128,1)*1440,0))</f>
        <v/>
      </c>
      <c r="L128" s="32">
        <f>IF(NOT(ISNUMBER($K128)),0,IF(OR($K128&lt;=0,$J128="Cancelada",$J128="Suspensa"),0,$K128+Setup_Min))</f>
        <v/>
      </c>
      <c r="M128" s="17">
        <f>IF($B128="","",IF($N128="","OK",LEFT($N128,LEN($N128)-3)))</f>
        <v/>
      </c>
      <c r="N128" s="10">
        <f>IF($B128="","",IF(COUNTIF(Salas_Cod,$B128)=0,"Sala não cadastrada | ","")&amp;IF(AND(COUNTIF(Salas_Cod,$B128)&gt;0,IFERROR(INDEX(Salas_Status,MATCH($B128,Salas_Cod,0)),"")&lt;&gt;"Ativa"),"Sala bloqueada | ","")&amp;IF(COUNTIF(Turnos_Nome,$C128)=0,"Turno inválido | ","")&amp;IF(COUNTIF(Esp_Nome,$F128)=0,"Especialidade não cadastrada | ","")&amp;IF(COUNTIF(Lista_StatusCirurgia,$J128)=0,"Status inválido | ","")&amp;IF(OR(NOT(ISNUMBER($D128)),NOT(ISNUMBER($E128))),"Horário inválido | ","")&amp;IFERROR(IF(AND(ISNUMBER($D128),ISNUMBER($E128),MOD($E128-$D128,1)*1440&lt;=0),"Duração nula ou negativa | ",""),"")&amp;IFERROR(IF(AND(ISNUMBER($D128),COUNTIF(Turnos_Nome,$C128)&gt;0,MOD($D128-INDEX(Turnos_Ini,MATCH($C128,Turnos_Nome,0)),1)*1440&gt;=INDEX(Turnos_Min,MATCH($C128,Turnos_Nome,0))),"Início fora da janela do turno | ",""),"")&amp;IFERROR(IF(AND($L128&gt;0,SUMPRODUCT((Mapa_Sala=$B128)*(Mapa_Data=$A128)*(Mapa_MinOcup&gt;0)*(((MOD(Mapa_IniNum-$O128,1)&lt;MOD($P128-$O128,1))+(MOD($O128-Mapa_IniNum,1)&lt;MOD(Mapa_FimNum-Mapa_IniNum,1)))&gt;0))&gt;1),"Sobreposição de horário na sala | ",""),"")&amp;IFERROR(IF(AND(ISNUMBER($K128),$K128&gt;0,COUNTIF(Esp_Nome,$F128)&gt;0,$K128&gt;3*INDEX(Esp_Dur,MATCH($F128,Esp_Nome,0))),"Duração atípica (&gt;3x a média) | ",""),""))</f>
        <v/>
      </c>
      <c r="O128" s="10">
        <f>IF(ISNUMBER($D128),$D128,0)</f>
        <v/>
      </c>
      <c r="P128" s="10">
        <f>IF(ISNUMBER($E128),$E128,0)</f>
        <v/>
      </c>
    </row>
    <row r="129">
      <c r="A129" s="30" t="n"/>
      <c r="B129" s="24" t="n"/>
      <c r="C129" s="24" t="n"/>
      <c r="D129" s="31" t="n"/>
      <c r="E129" s="31" t="n"/>
      <c r="F129" s="25" t="n"/>
      <c r="G129" s="25" t="n"/>
      <c r="H129" s="25" t="n"/>
      <c r="I129" s="24" t="n"/>
      <c r="J129" s="24" t="n"/>
      <c r="K129" s="32">
        <f>IF(OR($B129="",NOT(ISNUMBER($D129)),NOT(ISNUMBER($E129))),"",ROUND(MOD($E129-$D129,1)*1440,0))</f>
        <v/>
      </c>
      <c r="L129" s="32">
        <f>IF(NOT(ISNUMBER($K129)),0,IF(OR($K129&lt;=0,$J129="Cancelada",$J129="Suspensa"),0,$K129+Setup_Min))</f>
        <v/>
      </c>
      <c r="M129" s="17">
        <f>IF($B129="","",IF($N129="","OK",LEFT($N129,LEN($N129)-3)))</f>
        <v/>
      </c>
      <c r="N129" s="10">
        <f>IF($B129="","",IF(COUNTIF(Salas_Cod,$B129)=0,"Sala não cadastrada | ","")&amp;IF(AND(COUNTIF(Salas_Cod,$B129)&gt;0,IFERROR(INDEX(Salas_Status,MATCH($B129,Salas_Cod,0)),"")&lt;&gt;"Ativa"),"Sala bloqueada | ","")&amp;IF(COUNTIF(Turnos_Nome,$C129)=0,"Turno inválido | ","")&amp;IF(COUNTIF(Esp_Nome,$F129)=0,"Especialidade não cadastrada | ","")&amp;IF(COUNTIF(Lista_StatusCirurgia,$J129)=0,"Status inválido | ","")&amp;IF(OR(NOT(ISNUMBER($D129)),NOT(ISNUMBER($E129))),"Horário inválido | ","")&amp;IFERROR(IF(AND(ISNUMBER($D129),ISNUMBER($E129),MOD($E129-$D129,1)*1440&lt;=0),"Duração nula ou negativa | ",""),"")&amp;IFERROR(IF(AND(ISNUMBER($D129),COUNTIF(Turnos_Nome,$C129)&gt;0,MOD($D129-INDEX(Turnos_Ini,MATCH($C129,Turnos_Nome,0)),1)*1440&gt;=INDEX(Turnos_Min,MATCH($C129,Turnos_Nome,0))),"Início fora da janela do turno | ",""),"")&amp;IFERROR(IF(AND($L129&gt;0,SUMPRODUCT((Mapa_Sala=$B129)*(Mapa_Data=$A129)*(Mapa_MinOcup&gt;0)*(((MOD(Mapa_IniNum-$O129,1)&lt;MOD($P129-$O129,1))+(MOD($O129-Mapa_IniNum,1)&lt;MOD(Mapa_FimNum-Mapa_IniNum,1)))&gt;0))&gt;1),"Sobreposição de horário na sala | ",""),"")&amp;IFERROR(IF(AND(ISNUMBER($K129),$K129&gt;0,COUNTIF(Esp_Nome,$F129)&gt;0,$K129&gt;3*INDEX(Esp_Dur,MATCH($F129,Esp_Nome,0))),"Duração atípica (&gt;3x a média) | ",""),""))</f>
        <v/>
      </c>
      <c r="O129" s="10">
        <f>IF(ISNUMBER($D129),$D129,0)</f>
        <v/>
      </c>
      <c r="P129" s="10">
        <f>IF(ISNUMBER($E129),$E129,0)</f>
        <v/>
      </c>
    </row>
    <row r="130">
      <c r="A130" s="30" t="n"/>
      <c r="B130" s="24" t="n"/>
      <c r="C130" s="24" t="n"/>
      <c r="D130" s="31" t="n"/>
      <c r="E130" s="31" t="n"/>
      <c r="F130" s="25" t="n"/>
      <c r="G130" s="25" t="n"/>
      <c r="H130" s="25" t="n"/>
      <c r="I130" s="24" t="n"/>
      <c r="J130" s="24" t="n"/>
      <c r="K130" s="32">
        <f>IF(OR($B130="",NOT(ISNUMBER($D130)),NOT(ISNUMBER($E130))),"",ROUND(MOD($E130-$D130,1)*1440,0))</f>
        <v/>
      </c>
      <c r="L130" s="32">
        <f>IF(NOT(ISNUMBER($K130)),0,IF(OR($K130&lt;=0,$J130="Cancelada",$J130="Suspensa"),0,$K130+Setup_Min))</f>
        <v/>
      </c>
      <c r="M130" s="17">
        <f>IF($B130="","",IF($N130="","OK",LEFT($N130,LEN($N130)-3)))</f>
        <v/>
      </c>
      <c r="N130" s="10">
        <f>IF($B130="","",IF(COUNTIF(Salas_Cod,$B130)=0,"Sala não cadastrada | ","")&amp;IF(AND(COUNTIF(Salas_Cod,$B130)&gt;0,IFERROR(INDEX(Salas_Status,MATCH($B130,Salas_Cod,0)),"")&lt;&gt;"Ativa"),"Sala bloqueada | ","")&amp;IF(COUNTIF(Turnos_Nome,$C130)=0,"Turno inválido | ","")&amp;IF(COUNTIF(Esp_Nome,$F130)=0,"Especialidade não cadastrada | ","")&amp;IF(COUNTIF(Lista_StatusCirurgia,$J130)=0,"Status inválido | ","")&amp;IF(OR(NOT(ISNUMBER($D130)),NOT(ISNUMBER($E130))),"Horário inválido | ","")&amp;IFERROR(IF(AND(ISNUMBER($D130),ISNUMBER($E130),MOD($E130-$D130,1)*1440&lt;=0),"Duração nula ou negativa | ",""),"")&amp;IFERROR(IF(AND(ISNUMBER($D130),COUNTIF(Turnos_Nome,$C130)&gt;0,MOD($D130-INDEX(Turnos_Ini,MATCH($C130,Turnos_Nome,0)),1)*1440&gt;=INDEX(Turnos_Min,MATCH($C130,Turnos_Nome,0))),"Início fora da janela do turno | ",""),"")&amp;IFERROR(IF(AND($L130&gt;0,SUMPRODUCT((Mapa_Sala=$B130)*(Mapa_Data=$A130)*(Mapa_MinOcup&gt;0)*(((MOD(Mapa_IniNum-$O130,1)&lt;MOD($P130-$O130,1))+(MOD($O130-Mapa_IniNum,1)&lt;MOD(Mapa_FimNum-Mapa_IniNum,1)))&gt;0))&gt;1),"Sobreposição de horário na sala | ",""),"")&amp;IFERROR(IF(AND(ISNUMBER($K130),$K130&gt;0,COUNTIF(Esp_Nome,$F130)&gt;0,$K130&gt;3*INDEX(Esp_Dur,MATCH($F130,Esp_Nome,0))),"Duração atípica (&gt;3x a média) | ",""),""))</f>
        <v/>
      </c>
      <c r="O130" s="10">
        <f>IF(ISNUMBER($D130),$D130,0)</f>
        <v/>
      </c>
      <c r="P130" s="10">
        <f>IF(ISNUMBER($E130),$E130,0)</f>
        <v/>
      </c>
    </row>
    <row r="131">
      <c r="A131" s="30" t="n"/>
      <c r="B131" s="24" t="n"/>
      <c r="C131" s="24" t="n"/>
      <c r="D131" s="31" t="n"/>
      <c r="E131" s="31" t="n"/>
      <c r="F131" s="25" t="n"/>
      <c r="G131" s="25" t="n"/>
      <c r="H131" s="25" t="n"/>
      <c r="I131" s="24" t="n"/>
      <c r="J131" s="24" t="n"/>
      <c r="K131" s="32">
        <f>IF(OR($B131="",NOT(ISNUMBER($D131)),NOT(ISNUMBER($E131))),"",ROUND(MOD($E131-$D131,1)*1440,0))</f>
        <v/>
      </c>
      <c r="L131" s="32">
        <f>IF(NOT(ISNUMBER($K131)),0,IF(OR($K131&lt;=0,$J131="Cancelada",$J131="Suspensa"),0,$K131+Setup_Min))</f>
        <v/>
      </c>
      <c r="M131" s="17">
        <f>IF($B131="","",IF($N131="","OK",LEFT($N131,LEN($N131)-3)))</f>
        <v/>
      </c>
      <c r="N131" s="10">
        <f>IF($B131="","",IF(COUNTIF(Salas_Cod,$B131)=0,"Sala não cadastrada | ","")&amp;IF(AND(COUNTIF(Salas_Cod,$B131)&gt;0,IFERROR(INDEX(Salas_Status,MATCH($B131,Salas_Cod,0)),"")&lt;&gt;"Ativa"),"Sala bloqueada | ","")&amp;IF(COUNTIF(Turnos_Nome,$C131)=0,"Turno inválido | ","")&amp;IF(COUNTIF(Esp_Nome,$F131)=0,"Especialidade não cadastrada | ","")&amp;IF(COUNTIF(Lista_StatusCirurgia,$J131)=0,"Status inválido | ","")&amp;IF(OR(NOT(ISNUMBER($D131)),NOT(ISNUMBER($E131))),"Horário inválido | ","")&amp;IFERROR(IF(AND(ISNUMBER($D131),ISNUMBER($E131),MOD($E131-$D131,1)*1440&lt;=0),"Duração nula ou negativa | ",""),"")&amp;IFERROR(IF(AND(ISNUMBER($D131),COUNTIF(Turnos_Nome,$C131)&gt;0,MOD($D131-INDEX(Turnos_Ini,MATCH($C131,Turnos_Nome,0)),1)*1440&gt;=INDEX(Turnos_Min,MATCH($C131,Turnos_Nome,0))),"Início fora da janela do turno | ",""),"")&amp;IFERROR(IF(AND($L131&gt;0,SUMPRODUCT((Mapa_Sala=$B131)*(Mapa_Data=$A131)*(Mapa_MinOcup&gt;0)*(((MOD(Mapa_IniNum-$O131,1)&lt;MOD($P131-$O131,1))+(MOD($O131-Mapa_IniNum,1)&lt;MOD(Mapa_FimNum-Mapa_IniNum,1)))&gt;0))&gt;1),"Sobreposição de horário na sala | ",""),"")&amp;IFERROR(IF(AND(ISNUMBER($K131),$K131&gt;0,COUNTIF(Esp_Nome,$F131)&gt;0,$K131&gt;3*INDEX(Esp_Dur,MATCH($F131,Esp_Nome,0))),"Duração atípica (&gt;3x a média) | ",""),""))</f>
        <v/>
      </c>
      <c r="O131" s="10">
        <f>IF(ISNUMBER($D131),$D131,0)</f>
        <v/>
      </c>
      <c r="P131" s="10">
        <f>IF(ISNUMBER($E131),$E131,0)</f>
        <v/>
      </c>
    </row>
    <row r="132">
      <c r="A132" s="30" t="n"/>
      <c r="B132" s="24" t="n"/>
      <c r="C132" s="24" t="n"/>
      <c r="D132" s="31" t="n"/>
      <c r="E132" s="31" t="n"/>
      <c r="F132" s="25" t="n"/>
      <c r="G132" s="25" t="n"/>
      <c r="H132" s="25" t="n"/>
      <c r="I132" s="24" t="n"/>
      <c r="J132" s="24" t="n"/>
      <c r="K132" s="32">
        <f>IF(OR($B132="",NOT(ISNUMBER($D132)),NOT(ISNUMBER($E132))),"",ROUND(MOD($E132-$D132,1)*1440,0))</f>
        <v/>
      </c>
      <c r="L132" s="32">
        <f>IF(NOT(ISNUMBER($K132)),0,IF(OR($K132&lt;=0,$J132="Cancelada",$J132="Suspensa"),0,$K132+Setup_Min))</f>
        <v/>
      </c>
      <c r="M132" s="17">
        <f>IF($B132="","",IF($N132="","OK",LEFT($N132,LEN($N132)-3)))</f>
        <v/>
      </c>
      <c r="N132" s="10">
        <f>IF($B132="","",IF(COUNTIF(Salas_Cod,$B132)=0,"Sala não cadastrada | ","")&amp;IF(AND(COUNTIF(Salas_Cod,$B132)&gt;0,IFERROR(INDEX(Salas_Status,MATCH($B132,Salas_Cod,0)),"")&lt;&gt;"Ativa"),"Sala bloqueada | ","")&amp;IF(COUNTIF(Turnos_Nome,$C132)=0,"Turno inválido | ","")&amp;IF(COUNTIF(Esp_Nome,$F132)=0,"Especialidade não cadastrada | ","")&amp;IF(COUNTIF(Lista_StatusCirurgia,$J132)=0,"Status inválido | ","")&amp;IF(OR(NOT(ISNUMBER($D132)),NOT(ISNUMBER($E132))),"Horário inválido | ","")&amp;IFERROR(IF(AND(ISNUMBER($D132),ISNUMBER($E132),MOD($E132-$D132,1)*1440&lt;=0),"Duração nula ou negativa | ",""),"")&amp;IFERROR(IF(AND(ISNUMBER($D132),COUNTIF(Turnos_Nome,$C132)&gt;0,MOD($D132-INDEX(Turnos_Ini,MATCH($C132,Turnos_Nome,0)),1)*1440&gt;=INDEX(Turnos_Min,MATCH($C132,Turnos_Nome,0))),"Início fora da janela do turno | ",""),"")&amp;IFERROR(IF(AND($L132&gt;0,SUMPRODUCT((Mapa_Sala=$B132)*(Mapa_Data=$A132)*(Mapa_MinOcup&gt;0)*(((MOD(Mapa_IniNum-$O132,1)&lt;MOD($P132-$O132,1))+(MOD($O132-Mapa_IniNum,1)&lt;MOD(Mapa_FimNum-Mapa_IniNum,1)))&gt;0))&gt;1),"Sobreposição de horário na sala | ",""),"")&amp;IFERROR(IF(AND(ISNUMBER($K132),$K132&gt;0,COUNTIF(Esp_Nome,$F132)&gt;0,$K132&gt;3*INDEX(Esp_Dur,MATCH($F132,Esp_Nome,0))),"Duração atípica (&gt;3x a média) | ",""),""))</f>
        <v/>
      </c>
      <c r="O132" s="10">
        <f>IF(ISNUMBER($D132),$D132,0)</f>
        <v/>
      </c>
      <c r="P132" s="10">
        <f>IF(ISNUMBER($E132),$E132,0)</f>
        <v/>
      </c>
    </row>
    <row r="133">
      <c r="A133" s="30" t="n"/>
      <c r="B133" s="24" t="n"/>
      <c r="C133" s="24" t="n"/>
      <c r="D133" s="31" t="n"/>
      <c r="E133" s="31" t="n"/>
      <c r="F133" s="25" t="n"/>
      <c r="G133" s="25" t="n"/>
      <c r="H133" s="25" t="n"/>
      <c r="I133" s="24" t="n"/>
      <c r="J133" s="24" t="n"/>
      <c r="K133" s="32">
        <f>IF(OR($B133="",NOT(ISNUMBER($D133)),NOT(ISNUMBER($E133))),"",ROUND(MOD($E133-$D133,1)*1440,0))</f>
        <v/>
      </c>
      <c r="L133" s="32">
        <f>IF(NOT(ISNUMBER($K133)),0,IF(OR($K133&lt;=0,$J133="Cancelada",$J133="Suspensa"),0,$K133+Setup_Min))</f>
        <v/>
      </c>
      <c r="M133" s="17">
        <f>IF($B133="","",IF($N133="","OK",LEFT($N133,LEN($N133)-3)))</f>
        <v/>
      </c>
      <c r="N133" s="10">
        <f>IF($B133="","",IF(COUNTIF(Salas_Cod,$B133)=0,"Sala não cadastrada | ","")&amp;IF(AND(COUNTIF(Salas_Cod,$B133)&gt;0,IFERROR(INDEX(Salas_Status,MATCH($B133,Salas_Cod,0)),"")&lt;&gt;"Ativa"),"Sala bloqueada | ","")&amp;IF(COUNTIF(Turnos_Nome,$C133)=0,"Turno inválido | ","")&amp;IF(COUNTIF(Esp_Nome,$F133)=0,"Especialidade não cadastrada | ","")&amp;IF(COUNTIF(Lista_StatusCirurgia,$J133)=0,"Status inválido | ","")&amp;IF(OR(NOT(ISNUMBER($D133)),NOT(ISNUMBER($E133))),"Horário inválido | ","")&amp;IFERROR(IF(AND(ISNUMBER($D133),ISNUMBER($E133),MOD($E133-$D133,1)*1440&lt;=0),"Duração nula ou negativa | ",""),"")&amp;IFERROR(IF(AND(ISNUMBER($D133),COUNTIF(Turnos_Nome,$C133)&gt;0,MOD($D133-INDEX(Turnos_Ini,MATCH($C133,Turnos_Nome,0)),1)*1440&gt;=INDEX(Turnos_Min,MATCH($C133,Turnos_Nome,0))),"Início fora da janela do turno | ",""),"")&amp;IFERROR(IF(AND($L133&gt;0,SUMPRODUCT((Mapa_Sala=$B133)*(Mapa_Data=$A133)*(Mapa_MinOcup&gt;0)*(((MOD(Mapa_IniNum-$O133,1)&lt;MOD($P133-$O133,1))+(MOD($O133-Mapa_IniNum,1)&lt;MOD(Mapa_FimNum-Mapa_IniNum,1)))&gt;0))&gt;1),"Sobreposição de horário na sala | ",""),"")&amp;IFERROR(IF(AND(ISNUMBER($K133),$K133&gt;0,COUNTIF(Esp_Nome,$F133)&gt;0,$K133&gt;3*INDEX(Esp_Dur,MATCH($F133,Esp_Nome,0))),"Duração atípica (&gt;3x a média) | ",""),""))</f>
        <v/>
      </c>
      <c r="O133" s="10">
        <f>IF(ISNUMBER($D133),$D133,0)</f>
        <v/>
      </c>
      <c r="P133" s="10">
        <f>IF(ISNUMBER($E133),$E133,0)</f>
        <v/>
      </c>
    </row>
    <row r="134">
      <c r="A134" s="30" t="n"/>
      <c r="B134" s="24" t="n"/>
      <c r="C134" s="24" t="n"/>
      <c r="D134" s="31" t="n"/>
      <c r="E134" s="31" t="n"/>
      <c r="F134" s="25" t="n"/>
      <c r="G134" s="25" t="n"/>
      <c r="H134" s="25" t="n"/>
      <c r="I134" s="24" t="n"/>
      <c r="J134" s="24" t="n"/>
      <c r="K134" s="32">
        <f>IF(OR($B134="",NOT(ISNUMBER($D134)),NOT(ISNUMBER($E134))),"",ROUND(MOD($E134-$D134,1)*1440,0))</f>
        <v/>
      </c>
      <c r="L134" s="32">
        <f>IF(NOT(ISNUMBER($K134)),0,IF(OR($K134&lt;=0,$J134="Cancelada",$J134="Suspensa"),0,$K134+Setup_Min))</f>
        <v/>
      </c>
      <c r="M134" s="17">
        <f>IF($B134="","",IF($N134="","OK",LEFT($N134,LEN($N134)-3)))</f>
        <v/>
      </c>
      <c r="N134" s="10">
        <f>IF($B134="","",IF(COUNTIF(Salas_Cod,$B134)=0,"Sala não cadastrada | ","")&amp;IF(AND(COUNTIF(Salas_Cod,$B134)&gt;0,IFERROR(INDEX(Salas_Status,MATCH($B134,Salas_Cod,0)),"")&lt;&gt;"Ativa"),"Sala bloqueada | ","")&amp;IF(COUNTIF(Turnos_Nome,$C134)=0,"Turno inválido | ","")&amp;IF(COUNTIF(Esp_Nome,$F134)=0,"Especialidade não cadastrada | ","")&amp;IF(COUNTIF(Lista_StatusCirurgia,$J134)=0,"Status inválido | ","")&amp;IF(OR(NOT(ISNUMBER($D134)),NOT(ISNUMBER($E134))),"Horário inválido | ","")&amp;IFERROR(IF(AND(ISNUMBER($D134),ISNUMBER($E134),MOD($E134-$D134,1)*1440&lt;=0),"Duração nula ou negativa | ",""),"")&amp;IFERROR(IF(AND(ISNUMBER($D134),COUNTIF(Turnos_Nome,$C134)&gt;0,MOD($D134-INDEX(Turnos_Ini,MATCH($C134,Turnos_Nome,0)),1)*1440&gt;=INDEX(Turnos_Min,MATCH($C134,Turnos_Nome,0))),"Início fora da janela do turno | ",""),"")&amp;IFERROR(IF(AND($L134&gt;0,SUMPRODUCT((Mapa_Sala=$B134)*(Mapa_Data=$A134)*(Mapa_MinOcup&gt;0)*(((MOD(Mapa_IniNum-$O134,1)&lt;MOD($P134-$O134,1))+(MOD($O134-Mapa_IniNum,1)&lt;MOD(Mapa_FimNum-Mapa_IniNum,1)))&gt;0))&gt;1),"Sobreposição de horário na sala | ",""),"")&amp;IFERROR(IF(AND(ISNUMBER($K134),$K134&gt;0,COUNTIF(Esp_Nome,$F134)&gt;0,$K134&gt;3*INDEX(Esp_Dur,MATCH($F134,Esp_Nome,0))),"Duração atípica (&gt;3x a média) | ",""),""))</f>
        <v/>
      </c>
      <c r="O134" s="10">
        <f>IF(ISNUMBER($D134),$D134,0)</f>
        <v/>
      </c>
      <c r="P134" s="10">
        <f>IF(ISNUMBER($E134),$E134,0)</f>
        <v/>
      </c>
    </row>
    <row r="135">
      <c r="A135" s="30" t="n"/>
      <c r="B135" s="24" t="n"/>
      <c r="C135" s="24" t="n"/>
      <c r="D135" s="31" t="n"/>
      <c r="E135" s="31" t="n"/>
      <c r="F135" s="25" t="n"/>
      <c r="G135" s="25" t="n"/>
      <c r="H135" s="25" t="n"/>
      <c r="I135" s="24" t="n"/>
      <c r="J135" s="24" t="n"/>
      <c r="K135" s="32">
        <f>IF(OR($B135="",NOT(ISNUMBER($D135)),NOT(ISNUMBER($E135))),"",ROUND(MOD($E135-$D135,1)*1440,0))</f>
        <v/>
      </c>
      <c r="L135" s="32">
        <f>IF(NOT(ISNUMBER($K135)),0,IF(OR($K135&lt;=0,$J135="Cancelada",$J135="Suspensa"),0,$K135+Setup_Min))</f>
        <v/>
      </c>
      <c r="M135" s="17">
        <f>IF($B135="","",IF($N135="","OK",LEFT($N135,LEN($N135)-3)))</f>
        <v/>
      </c>
      <c r="N135" s="10">
        <f>IF($B135="","",IF(COUNTIF(Salas_Cod,$B135)=0,"Sala não cadastrada | ","")&amp;IF(AND(COUNTIF(Salas_Cod,$B135)&gt;0,IFERROR(INDEX(Salas_Status,MATCH($B135,Salas_Cod,0)),"")&lt;&gt;"Ativa"),"Sala bloqueada | ","")&amp;IF(COUNTIF(Turnos_Nome,$C135)=0,"Turno inválido | ","")&amp;IF(COUNTIF(Esp_Nome,$F135)=0,"Especialidade não cadastrada | ","")&amp;IF(COUNTIF(Lista_StatusCirurgia,$J135)=0,"Status inválido | ","")&amp;IF(OR(NOT(ISNUMBER($D135)),NOT(ISNUMBER($E135))),"Horário inválido | ","")&amp;IFERROR(IF(AND(ISNUMBER($D135),ISNUMBER($E135),MOD($E135-$D135,1)*1440&lt;=0),"Duração nula ou negativa | ",""),"")&amp;IFERROR(IF(AND(ISNUMBER($D135),COUNTIF(Turnos_Nome,$C135)&gt;0,MOD($D135-INDEX(Turnos_Ini,MATCH($C135,Turnos_Nome,0)),1)*1440&gt;=INDEX(Turnos_Min,MATCH($C135,Turnos_Nome,0))),"Início fora da janela do turno | ",""),"")&amp;IFERROR(IF(AND($L135&gt;0,SUMPRODUCT((Mapa_Sala=$B135)*(Mapa_Data=$A135)*(Mapa_MinOcup&gt;0)*(((MOD(Mapa_IniNum-$O135,1)&lt;MOD($P135-$O135,1))+(MOD($O135-Mapa_IniNum,1)&lt;MOD(Mapa_FimNum-Mapa_IniNum,1)))&gt;0))&gt;1),"Sobreposição de horário na sala | ",""),"")&amp;IFERROR(IF(AND(ISNUMBER($K135),$K135&gt;0,COUNTIF(Esp_Nome,$F135)&gt;0,$K135&gt;3*INDEX(Esp_Dur,MATCH($F135,Esp_Nome,0))),"Duração atípica (&gt;3x a média) | ",""),""))</f>
        <v/>
      </c>
      <c r="O135" s="10">
        <f>IF(ISNUMBER($D135),$D135,0)</f>
        <v/>
      </c>
      <c r="P135" s="10">
        <f>IF(ISNUMBER($E135),$E135,0)</f>
        <v/>
      </c>
    </row>
    <row r="136">
      <c r="A136" s="30" t="n"/>
      <c r="B136" s="24" t="n"/>
      <c r="C136" s="24" t="n"/>
      <c r="D136" s="31" t="n"/>
      <c r="E136" s="31" t="n"/>
      <c r="F136" s="25" t="n"/>
      <c r="G136" s="25" t="n"/>
      <c r="H136" s="25" t="n"/>
      <c r="I136" s="24" t="n"/>
      <c r="J136" s="24" t="n"/>
      <c r="K136" s="32">
        <f>IF(OR($B136="",NOT(ISNUMBER($D136)),NOT(ISNUMBER($E136))),"",ROUND(MOD($E136-$D136,1)*1440,0))</f>
        <v/>
      </c>
      <c r="L136" s="32">
        <f>IF(NOT(ISNUMBER($K136)),0,IF(OR($K136&lt;=0,$J136="Cancelada",$J136="Suspensa"),0,$K136+Setup_Min))</f>
        <v/>
      </c>
      <c r="M136" s="17">
        <f>IF($B136="","",IF($N136="","OK",LEFT($N136,LEN($N136)-3)))</f>
        <v/>
      </c>
      <c r="N136" s="10">
        <f>IF($B136="","",IF(COUNTIF(Salas_Cod,$B136)=0,"Sala não cadastrada | ","")&amp;IF(AND(COUNTIF(Salas_Cod,$B136)&gt;0,IFERROR(INDEX(Salas_Status,MATCH($B136,Salas_Cod,0)),"")&lt;&gt;"Ativa"),"Sala bloqueada | ","")&amp;IF(COUNTIF(Turnos_Nome,$C136)=0,"Turno inválido | ","")&amp;IF(COUNTIF(Esp_Nome,$F136)=0,"Especialidade não cadastrada | ","")&amp;IF(COUNTIF(Lista_StatusCirurgia,$J136)=0,"Status inválido | ","")&amp;IF(OR(NOT(ISNUMBER($D136)),NOT(ISNUMBER($E136))),"Horário inválido | ","")&amp;IFERROR(IF(AND(ISNUMBER($D136),ISNUMBER($E136),MOD($E136-$D136,1)*1440&lt;=0),"Duração nula ou negativa | ",""),"")&amp;IFERROR(IF(AND(ISNUMBER($D136),COUNTIF(Turnos_Nome,$C136)&gt;0,MOD($D136-INDEX(Turnos_Ini,MATCH($C136,Turnos_Nome,0)),1)*1440&gt;=INDEX(Turnos_Min,MATCH($C136,Turnos_Nome,0))),"Início fora da janela do turno | ",""),"")&amp;IFERROR(IF(AND($L136&gt;0,SUMPRODUCT((Mapa_Sala=$B136)*(Mapa_Data=$A136)*(Mapa_MinOcup&gt;0)*(((MOD(Mapa_IniNum-$O136,1)&lt;MOD($P136-$O136,1))+(MOD($O136-Mapa_IniNum,1)&lt;MOD(Mapa_FimNum-Mapa_IniNum,1)))&gt;0))&gt;1),"Sobreposição de horário na sala | ",""),"")&amp;IFERROR(IF(AND(ISNUMBER($K136),$K136&gt;0,COUNTIF(Esp_Nome,$F136)&gt;0,$K136&gt;3*INDEX(Esp_Dur,MATCH($F136,Esp_Nome,0))),"Duração atípica (&gt;3x a média) | ",""),""))</f>
        <v/>
      </c>
      <c r="O136" s="10">
        <f>IF(ISNUMBER($D136),$D136,0)</f>
        <v/>
      </c>
      <c r="P136" s="10">
        <f>IF(ISNUMBER($E136),$E136,0)</f>
        <v/>
      </c>
    </row>
    <row r="137">
      <c r="A137" s="30" t="n"/>
      <c r="B137" s="24" t="n"/>
      <c r="C137" s="24" t="n"/>
      <c r="D137" s="31" t="n"/>
      <c r="E137" s="31" t="n"/>
      <c r="F137" s="25" t="n"/>
      <c r="G137" s="25" t="n"/>
      <c r="H137" s="25" t="n"/>
      <c r="I137" s="24" t="n"/>
      <c r="J137" s="24" t="n"/>
      <c r="K137" s="32">
        <f>IF(OR($B137="",NOT(ISNUMBER($D137)),NOT(ISNUMBER($E137))),"",ROUND(MOD($E137-$D137,1)*1440,0))</f>
        <v/>
      </c>
      <c r="L137" s="32">
        <f>IF(NOT(ISNUMBER($K137)),0,IF(OR($K137&lt;=0,$J137="Cancelada",$J137="Suspensa"),0,$K137+Setup_Min))</f>
        <v/>
      </c>
      <c r="M137" s="17">
        <f>IF($B137="","",IF($N137="","OK",LEFT($N137,LEN($N137)-3)))</f>
        <v/>
      </c>
      <c r="N137" s="10">
        <f>IF($B137="","",IF(COUNTIF(Salas_Cod,$B137)=0,"Sala não cadastrada | ","")&amp;IF(AND(COUNTIF(Salas_Cod,$B137)&gt;0,IFERROR(INDEX(Salas_Status,MATCH($B137,Salas_Cod,0)),"")&lt;&gt;"Ativa"),"Sala bloqueada | ","")&amp;IF(COUNTIF(Turnos_Nome,$C137)=0,"Turno inválido | ","")&amp;IF(COUNTIF(Esp_Nome,$F137)=0,"Especialidade não cadastrada | ","")&amp;IF(COUNTIF(Lista_StatusCirurgia,$J137)=0,"Status inválido | ","")&amp;IF(OR(NOT(ISNUMBER($D137)),NOT(ISNUMBER($E137))),"Horário inválido | ","")&amp;IFERROR(IF(AND(ISNUMBER($D137),ISNUMBER($E137),MOD($E137-$D137,1)*1440&lt;=0),"Duração nula ou negativa | ",""),"")&amp;IFERROR(IF(AND(ISNUMBER($D137),COUNTIF(Turnos_Nome,$C137)&gt;0,MOD($D137-INDEX(Turnos_Ini,MATCH($C137,Turnos_Nome,0)),1)*1440&gt;=INDEX(Turnos_Min,MATCH($C137,Turnos_Nome,0))),"Início fora da janela do turno | ",""),"")&amp;IFERROR(IF(AND($L137&gt;0,SUMPRODUCT((Mapa_Sala=$B137)*(Mapa_Data=$A137)*(Mapa_MinOcup&gt;0)*(((MOD(Mapa_IniNum-$O137,1)&lt;MOD($P137-$O137,1))+(MOD($O137-Mapa_IniNum,1)&lt;MOD(Mapa_FimNum-Mapa_IniNum,1)))&gt;0))&gt;1),"Sobreposição de horário na sala | ",""),"")&amp;IFERROR(IF(AND(ISNUMBER($K137),$K137&gt;0,COUNTIF(Esp_Nome,$F137)&gt;0,$K137&gt;3*INDEX(Esp_Dur,MATCH($F137,Esp_Nome,0))),"Duração atípica (&gt;3x a média) | ",""),""))</f>
        <v/>
      </c>
      <c r="O137" s="10">
        <f>IF(ISNUMBER($D137),$D137,0)</f>
        <v/>
      </c>
      <c r="P137" s="10">
        <f>IF(ISNUMBER($E137),$E137,0)</f>
        <v/>
      </c>
    </row>
    <row r="138">
      <c r="A138" s="30" t="n"/>
      <c r="B138" s="24" t="n"/>
      <c r="C138" s="24" t="n"/>
      <c r="D138" s="31" t="n"/>
      <c r="E138" s="31" t="n"/>
      <c r="F138" s="25" t="n"/>
      <c r="G138" s="25" t="n"/>
      <c r="H138" s="25" t="n"/>
      <c r="I138" s="24" t="n"/>
      <c r="J138" s="24" t="n"/>
      <c r="K138" s="32">
        <f>IF(OR($B138="",NOT(ISNUMBER($D138)),NOT(ISNUMBER($E138))),"",ROUND(MOD($E138-$D138,1)*1440,0))</f>
        <v/>
      </c>
      <c r="L138" s="32">
        <f>IF(NOT(ISNUMBER($K138)),0,IF(OR($K138&lt;=0,$J138="Cancelada",$J138="Suspensa"),0,$K138+Setup_Min))</f>
        <v/>
      </c>
      <c r="M138" s="17">
        <f>IF($B138="","",IF($N138="","OK",LEFT($N138,LEN($N138)-3)))</f>
        <v/>
      </c>
      <c r="N138" s="10">
        <f>IF($B138="","",IF(COUNTIF(Salas_Cod,$B138)=0,"Sala não cadastrada | ","")&amp;IF(AND(COUNTIF(Salas_Cod,$B138)&gt;0,IFERROR(INDEX(Salas_Status,MATCH($B138,Salas_Cod,0)),"")&lt;&gt;"Ativa"),"Sala bloqueada | ","")&amp;IF(COUNTIF(Turnos_Nome,$C138)=0,"Turno inválido | ","")&amp;IF(COUNTIF(Esp_Nome,$F138)=0,"Especialidade não cadastrada | ","")&amp;IF(COUNTIF(Lista_StatusCirurgia,$J138)=0,"Status inválido | ","")&amp;IF(OR(NOT(ISNUMBER($D138)),NOT(ISNUMBER($E138))),"Horário inválido | ","")&amp;IFERROR(IF(AND(ISNUMBER($D138),ISNUMBER($E138),MOD($E138-$D138,1)*1440&lt;=0),"Duração nula ou negativa | ",""),"")&amp;IFERROR(IF(AND(ISNUMBER($D138),COUNTIF(Turnos_Nome,$C138)&gt;0,MOD($D138-INDEX(Turnos_Ini,MATCH($C138,Turnos_Nome,0)),1)*1440&gt;=INDEX(Turnos_Min,MATCH($C138,Turnos_Nome,0))),"Início fora da janela do turno | ",""),"")&amp;IFERROR(IF(AND($L138&gt;0,SUMPRODUCT((Mapa_Sala=$B138)*(Mapa_Data=$A138)*(Mapa_MinOcup&gt;0)*(((MOD(Mapa_IniNum-$O138,1)&lt;MOD($P138-$O138,1))+(MOD($O138-Mapa_IniNum,1)&lt;MOD(Mapa_FimNum-Mapa_IniNum,1)))&gt;0))&gt;1),"Sobreposição de horário na sala | ",""),"")&amp;IFERROR(IF(AND(ISNUMBER($K138),$K138&gt;0,COUNTIF(Esp_Nome,$F138)&gt;0,$K138&gt;3*INDEX(Esp_Dur,MATCH($F138,Esp_Nome,0))),"Duração atípica (&gt;3x a média) | ",""),""))</f>
        <v/>
      </c>
      <c r="O138" s="10">
        <f>IF(ISNUMBER($D138),$D138,0)</f>
        <v/>
      </c>
      <c r="P138" s="10">
        <f>IF(ISNUMBER($E138),$E138,0)</f>
        <v/>
      </c>
    </row>
    <row r="139">
      <c r="A139" s="30" t="n"/>
      <c r="B139" s="24" t="n"/>
      <c r="C139" s="24" t="n"/>
      <c r="D139" s="31" t="n"/>
      <c r="E139" s="31" t="n"/>
      <c r="F139" s="25" t="n"/>
      <c r="G139" s="25" t="n"/>
      <c r="H139" s="25" t="n"/>
      <c r="I139" s="24" t="n"/>
      <c r="J139" s="24" t="n"/>
      <c r="K139" s="32">
        <f>IF(OR($B139="",NOT(ISNUMBER($D139)),NOT(ISNUMBER($E139))),"",ROUND(MOD($E139-$D139,1)*1440,0))</f>
        <v/>
      </c>
      <c r="L139" s="32">
        <f>IF(NOT(ISNUMBER($K139)),0,IF(OR($K139&lt;=0,$J139="Cancelada",$J139="Suspensa"),0,$K139+Setup_Min))</f>
        <v/>
      </c>
      <c r="M139" s="17">
        <f>IF($B139="","",IF($N139="","OK",LEFT($N139,LEN($N139)-3)))</f>
        <v/>
      </c>
      <c r="N139" s="10">
        <f>IF($B139="","",IF(COUNTIF(Salas_Cod,$B139)=0,"Sala não cadastrada | ","")&amp;IF(AND(COUNTIF(Salas_Cod,$B139)&gt;0,IFERROR(INDEX(Salas_Status,MATCH($B139,Salas_Cod,0)),"")&lt;&gt;"Ativa"),"Sala bloqueada | ","")&amp;IF(COUNTIF(Turnos_Nome,$C139)=0,"Turno inválido | ","")&amp;IF(COUNTIF(Esp_Nome,$F139)=0,"Especialidade não cadastrada | ","")&amp;IF(COUNTIF(Lista_StatusCirurgia,$J139)=0,"Status inválido | ","")&amp;IF(OR(NOT(ISNUMBER($D139)),NOT(ISNUMBER($E139))),"Horário inválido | ","")&amp;IFERROR(IF(AND(ISNUMBER($D139),ISNUMBER($E139),MOD($E139-$D139,1)*1440&lt;=0),"Duração nula ou negativa | ",""),"")&amp;IFERROR(IF(AND(ISNUMBER($D139),COUNTIF(Turnos_Nome,$C139)&gt;0,MOD($D139-INDEX(Turnos_Ini,MATCH($C139,Turnos_Nome,0)),1)*1440&gt;=INDEX(Turnos_Min,MATCH($C139,Turnos_Nome,0))),"Início fora da janela do turno | ",""),"")&amp;IFERROR(IF(AND($L139&gt;0,SUMPRODUCT((Mapa_Sala=$B139)*(Mapa_Data=$A139)*(Mapa_MinOcup&gt;0)*(((MOD(Mapa_IniNum-$O139,1)&lt;MOD($P139-$O139,1))+(MOD($O139-Mapa_IniNum,1)&lt;MOD(Mapa_FimNum-Mapa_IniNum,1)))&gt;0))&gt;1),"Sobreposição de horário na sala | ",""),"")&amp;IFERROR(IF(AND(ISNUMBER($K139),$K139&gt;0,COUNTIF(Esp_Nome,$F139)&gt;0,$K139&gt;3*INDEX(Esp_Dur,MATCH($F139,Esp_Nome,0))),"Duração atípica (&gt;3x a média) | ",""),""))</f>
        <v/>
      </c>
      <c r="O139" s="10">
        <f>IF(ISNUMBER($D139),$D139,0)</f>
        <v/>
      </c>
      <c r="P139" s="10">
        <f>IF(ISNUMBER($E139),$E139,0)</f>
        <v/>
      </c>
    </row>
    <row r="140">
      <c r="A140" s="30" t="n"/>
      <c r="B140" s="24" t="n"/>
      <c r="C140" s="24" t="n"/>
      <c r="D140" s="31" t="n"/>
      <c r="E140" s="31" t="n"/>
      <c r="F140" s="25" t="n"/>
      <c r="G140" s="25" t="n"/>
      <c r="H140" s="25" t="n"/>
      <c r="I140" s="24" t="n"/>
      <c r="J140" s="24" t="n"/>
      <c r="K140" s="32">
        <f>IF(OR($B140="",NOT(ISNUMBER($D140)),NOT(ISNUMBER($E140))),"",ROUND(MOD($E140-$D140,1)*1440,0))</f>
        <v/>
      </c>
      <c r="L140" s="32">
        <f>IF(NOT(ISNUMBER($K140)),0,IF(OR($K140&lt;=0,$J140="Cancelada",$J140="Suspensa"),0,$K140+Setup_Min))</f>
        <v/>
      </c>
      <c r="M140" s="17">
        <f>IF($B140="","",IF($N140="","OK",LEFT($N140,LEN($N140)-3)))</f>
        <v/>
      </c>
      <c r="N140" s="10">
        <f>IF($B140="","",IF(COUNTIF(Salas_Cod,$B140)=0,"Sala não cadastrada | ","")&amp;IF(AND(COUNTIF(Salas_Cod,$B140)&gt;0,IFERROR(INDEX(Salas_Status,MATCH($B140,Salas_Cod,0)),"")&lt;&gt;"Ativa"),"Sala bloqueada | ","")&amp;IF(COUNTIF(Turnos_Nome,$C140)=0,"Turno inválido | ","")&amp;IF(COUNTIF(Esp_Nome,$F140)=0,"Especialidade não cadastrada | ","")&amp;IF(COUNTIF(Lista_StatusCirurgia,$J140)=0,"Status inválido | ","")&amp;IF(OR(NOT(ISNUMBER($D140)),NOT(ISNUMBER($E140))),"Horário inválido | ","")&amp;IFERROR(IF(AND(ISNUMBER($D140),ISNUMBER($E140),MOD($E140-$D140,1)*1440&lt;=0),"Duração nula ou negativa | ",""),"")&amp;IFERROR(IF(AND(ISNUMBER($D140),COUNTIF(Turnos_Nome,$C140)&gt;0,MOD($D140-INDEX(Turnos_Ini,MATCH($C140,Turnos_Nome,0)),1)*1440&gt;=INDEX(Turnos_Min,MATCH($C140,Turnos_Nome,0))),"Início fora da janela do turno | ",""),"")&amp;IFERROR(IF(AND($L140&gt;0,SUMPRODUCT((Mapa_Sala=$B140)*(Mapa_Data=$A140)*(Mapa_MinOcup&gt;0)*(((MOD(Mapa_IniNum-$O140,1)&lt;MOD($P140-$O140,1))+(MOD($O140-Mapa_IniNum,1)&lt;MOD(Mapa_FimNum-Mapa_IniNum,1)))&gt;0))&gt;1),"Sobreposição de horário na sala | ",""),"")&amp;IFERROR(IF(AND(ISNUMBER($K140),$K140&gt;0,COUNTIF(Esp_Nome,$F140)&gt;0,$K140&gt;3*INDEX(Esp_Dur,MATCH($F140,Esp_Nome,0))),"Duração atípica (&gt;3x a média) | ",""),""))</f>
        <v/>
      </c>
      <c r="O140" s="10">
        <f>IF(ISNUMBER($D140),$D140,0)</f>
        <v/>
      </c>
      <c r="P140" s="10">
        <f>IF(ISNUMBER($E140),$E140,0)</f>
        <v/>
      </c>
    </row>
    <row r="141">
      <c r="A141" s="30" t="n"/>
      <c r="B141" s="24" t="n"/>
      <c r="C141" s="24" t="n"/>
      <c r="D141" s="31" t="n"/>
      <c r="E141" s="31" t="n"/>
      <c r="F141" s="25" t="n"/>
      <c r="G141" s="25" t="n"/>
      <c r="H141" s="25" t="n"/>
      <c r="I141" s="24" t="n"/>
      <c r="J141" s="24" t="n"/>
      <c r="K141" s="32">
        <f>IF(OR($B141="",NOT(ISNUMBER($D141)),NOT(ISNUMBER($E141))),"",ROUND(MOD($E141-$D141,1)*1440,0))</f>
        <v/>
      </c>
      <c r="L141" s="32">
        <f>IF(NOT(ISNUMBER($K141)),0,IF(OR($K141&lt;=0,$J141="Cancelada",$J141="Suspensa"),0,$K141+Setup_Min))</f>
        <v/>
      </c>
      <c r="M141" s="17">
        <f>IF($B141="","",IF($N141="","OK",LEFT($N141,LEN($N141)-3)))</f>
        <v/>
      </c>
      <c r="N141" s="10">
        <f>IF($B141="","",IF(COUNTIF(Salas_Cod,$B141)=0,"Sala não cadastrada | ","")&amp;IF(AND(COUNTIF(Salas_Cod,$B141)&gt;0,IFERROR(INDEX(Salas_Status,MATCH($B141,Salas_Cod,0)),"")&lt;&gt;"Ativa"),"Sala bloqueada | ","")&amp;IF(COUNTIF(Turnos_Nome,$C141)=0,"Turno inválido | ","")&amp;IF(COUNTIF(Esp_Nome,$F141)=0,"Especialidade não cadastrada | ","")&amp;IF(COUNTIF(Lista_StatusCirurgia,$J141)=0,"Status inválido | ","")&amp;IF(OR(NOT(ISNUMBER($D141)),NOT(ISNUMBER($E141))),"Horário inválido | ","")&amp;IFERROR(IF(AND(ISNUMBER($D141),ISNUMBER($E141),MOD($E141-$D141,1)*1440&lt;=0),"Duração nula ou negativa | ",""),"")&amp;IFERROR(IF(AND(ISNUMBER($D141),COUNTIF(Turnos_Nome,$C141)&gt;0,MOD($D141-INDEX(Turnos_Ini,MATCH($C141,Turnos_Nome,0)),1)*1440&gt;=INDEX(Turnos_Min,MATCH($C141,Turnos_Nome,0))),"Início fora da janela do turno | ",""),"")&amp;IFERROR(IF(AND($L141&gt;0,SUMPRODUCT((Mapa_Sala=$B141)*(Mapa_Data=$A141)*(Mapa_MinOcup&gt;0)*(((MOD(Mapa_IniNum-$O141,1)&lt;MOD($P141-$O141,1))+(MOD($O141-Mapa_IniNum,1)&lt;MOD(Mapa_FimNum-Mapa_IniNum,1)))&gt;0))&gt;1),"Sobreposição de horário na sala | ",""),"")&amp;IFERROR(IF(AND(ISNUMBER($K141),$K141&gt;0,COUNTIF(Esp_Nome,$F141)&gt;0,$K141&gt;3*INDEX(Esp_Dur,MATCH($F141,Esp_Nome,0))),"Duração atípica (&gt;3x a média) | ",""),""))</f>
        <v/>
      </c>
      <c r="O141" s="10">
        <f>IF(ISNUMBER($D141),$D141,0)</f>
        <v/>
      </c>
      <c r="P141" s="10">
        <f>IF(ISNUMBER($E141),$E141,0)</f>
        <v/>
      </c>
    </row>
    <row r="142">
      <c r="A142" s="30" t="n"/>
      <c r="B142" s="24" t="n"/>
      <c r="C142" s="24" t="n"/>
      <c r="D142" s="31" t="n"/>
      <c r="E142" s="31" t="n"/>
      <c r="F142" s="25" t="n"/>
      <c r="G142" s="25" t="n"/>
      <c r="H142" s="25" t="n"/>
      <c r="I142" s="24" t="n"/>
      <c r="J142" s="24" t="n"/>
      <c r="K142" s="32">
        <f>IF(OR($B142="",NOT(ISNUMBER($D142)),NOT(ISNUMBER($E142))),"",ROUND(MOD($E142-$D142,1)*1440,0))</f>
        <v/>
      </c>
      <c r="L142" s="32">
        <f>IF(NOT(ISNUMBER($K142)),0,IF(OR($K142&lt;=0,$J142="Cancelada",$J142="Suspensa"),0,$K142+Setup_Min))</f>
        <v/>
      </c>
      <c r="M142" s="17">
        <f>IF($B142="","",IF($N142="","OK",LEFT($N142,LEN($N142)-3)))</f>
        <v/>
      </c>
      <c r="N142" s="10">
        <f>IF($B142="","",IF(COUNTIF(Salas_Cod,$B142)=0,"Sala não cadastrada | ","")&amp;IF(AND(COUNTIF(Salas_Cod,$B142)&gt;0,IFERROR(INDEX(Salas_Status,MATCH($B142,Salas_Cod,0)),"")&lt;&gt;"Ativa"),"Sala bloqueada | ","")&amp;IF(COUNTIF(Turnos_Nome,$C142)=0,"Turno inválido | ","")&amp;IF(COUNTIF(Esp_Nome,$F142)=0,"Especialidade não cadastrada | ","")&amp;IF(COUNTIF(Lista_StatusCirurgia,$J142)=0,"Status inválido | ","")&amp;IF(OR(NOT(ISNUMBER($D142)),NOT(ISNUMBER($E142))),"Horário inválido | ","")&amp;IFERROR(IF(AND(ISNUMBER($D142),ISNUMBER($E142),MOD($E142-$D142,1)*1440&lt;=0),"Duração nula ou negativa | ",""),"")&amp;IFERROR(IF(AND(ISNUMBER($D142),COUNTIF(Turnos_Nome,$C142)&gt;0,MOD($D142-INDEX(Turnos_Ini,MATCH($C142,Turnos_Nome,0)),1)*1440&gt;=INDEX(Turnos_Min,MATCH($C142,Turnos_Nome,0))),"Início fora da janela do turno | ",""),"")&amp;IFERROR(IF(AND($L142&gt;0,SUMPRODUCT((Mapa_Sala=$B142)*(Mapa_Data=$A142)*(Mapa_MinOcup&gt;0)*(((MOD(Mapa_IniNum-$O142,1)&lt;MOD($P142-$O142,1))+(MOD($O142-Mapa_IniNum,1)&lt;MOD(Mapa_FimNum-Mapa_IniNum,1)))&gt;0))&gt;1),"Sobreposição de horário na sala | ",""),"")&amp;IFERROR(IF(AND(ISNUMBER($K142),$K142&gt;0,COUNTIF(Esp_Nome,$F142)&gt;0,$K142&gt;3*INDEX(Esp_Dur,MATCH($F142,Esp_Nome,0))),"Duração atípica (&gt;3x a média) | ",""),""))</f>
        <v/>
      </c>
      <c r="O142" s="10">
        <f>IF(ISNUMBER($D142),$D142,0)</f>
        <v/>
      </c>
      <c r="P142" s="10">
        <f>IF(ISNUMBER($E142),$E142,0)</f>
        <v/>
      </c>
    </row>
    <row r="143">
      <c r="A143" s="30" t="n"/>
      <c r="B143" s="24" t="n"/>
      <c r="C143" s="24" t="n"/>
      <c r="D143" s="31" t="n"/>
      <c r="E143" s="31" t="n"/>
      <c r="F143" s="25" t="n"/>
      <c r="G143" s="25" t="n"/>
      <c r="H143" s="25" t="n"/>
      <c r="I143" s="24" t="n"/>
      <c r="J143" s="24" t="n"/>
      <c r="K143" s="32">
        <f>IF(OR($B143="",NOT(ISNUMBER($D143)),NOT(ISNUMBER($E143))),"",ROUND(MOD($E143-$D143,1)*1440,0))</f>
        <v/>
      </c>
      <c r="L143" s="32">
        <f>IF(NOT(ISNUMBER($K143)),0,IF(OR($K143&lt;=0,$J143="Cancelada",$J143="Suspensa"),0,$K143+Setup_Min))</f>
        <v/>
      </c>
      <c r="M143" s="17">
        <f>IF($B143="","",IF($N143="","OK",LEFT($N143,LEN($N143)-3)))</f>
        <v/>
      </c>
      <c r="N143" s="10">
        <f>IF($B143="","",IF(COUNTIF(Salas_Cod,$B143)=0,"Sala não cadastrada | ","")&amp;IF(AND(COUNTIF(Salas_Cod,$B143)&gt;0,IFERROR(INDEX(Salas_Status,MATCH($B143,Salas_Cod,0)),"")&lt;&gt;"Ativa"),"Sala bloqueada | ","")&amp;IF(COUNTIF(Turnos_Nome,$C143)=0,"Turno inválido | ","")&amp;IF(COUNTIF(Esp_Nome,$F143)=0,"Especialidade não cadastrada | ","")&amp;IF(COUNTIF(Lista_StatusCirurgia,$J143)=0,"Status inválido | ","")&amp;IF(OR(NOT(ISNUMBER($D143)),NOT(ISNUMBER($E143))),"Horário inválido | ","")&amp;IFERROR(IF(AND(ISNUMBER($D143),ISNUMBER($E143),MOD($E143-$D143,1)*1440&lt;=0),"Duração nula ou negativa | ",""),"")&amp;IFERROR(IF(AND(ISNUMBER($D143),COUNTIF(Turnos_Nome,$C143)&gt;0,MOD($D143-INDEX(Turnos_Ini,MATCH($C143,Turnos_Nome,0)),1)*1440&gt;=INDEX(Turnos_Min,MATCH($C143,Turnos_Nome,0))),"Início fora da janela do turno | ",""),"")&amp;IFERROR(IF(AND($L143&gt;0,SUMPRODUCT((Mapa_Sala=$B143)*(Mapa_Data=$A143)*(Mapa_MinOcup&gt;0)*(((MOD(Mapa_IniNum-$O143,1)&lt;MOD($P143-$O143,1))+(MOD($O143-Mapa_IniNum,1)&lt;MOD(Mapa_FimNum-Mapa_IniNum,1)))&gt;0))&gt;1),"Sobreposição de horário na sala | ",""),"")&amp;IFERROR(IF(AND(ISNUMBER($K143),$K143&gt;0,COUNTIF(Esp_Nome,$F143)&gt;0,$K143&gt;3*INDEX(Esp_Dur,MATCH($F143,Esp_Nome,0))),"Duração atípica (&gt;3x a média) | ",""),""))</f>
        <v/>
      </c>
      <c r="O143" s="10">
        <f>IF(ISNUMBER($D143),$D143,0)</f>
        <v/>
      </c>
      <c r="P143" s="10">
        <f>IF(ISNUMBER($E143),$E143,0)</f>
        <v/>
      </c>
    </row>
    <row r="144">
      <c r="A144" s="30" t="n"/>
      <c r="B144" s="24" t="n"/>
      <c r="C144" s="24" t="n"/>
      <c r="D144" s="31" t="n"/>
      <c r="E144" s="31" t="n"/>
      <c r="F144" s="25" t="n"/>
      <c r="G144" s="25" t="n"/>
      <c r="H144" s="25" t="n"/>
      <c r="I144" s="24" t="n"/>
      <c r="J144" s="24" t="n"/>
      <c r="K144" s="32">
        <f>IF(OR($B144="",NOT(ISNUMBER($D144)),NOT(ISNUMBER($E144))),"",ROUND(MOD($E144-$D144,1)*1440,0))</f>
        <v/>
      </c>
      <c r="L144" s="32">
        <f>IF(NOT(ISNUMBER($K144)),0,IF(OR($K144&lt;=0,$J144="Cancelada",$J144="Suspensa"),0,$K144+Setup_Min))</f>
        <v/>
      </c>
      <c r="M144" s="17">
        <f>IF($B144="","",IF($N144="","OK",LEFT($N144,LEN($N144)-3)))</f>
        <v/>
      </c>
      <c r="N144" s="10">
        <f>IF($B144="","",IF(COUNTIF(Salas_Cod,$B144)=0,"Sala não cadastrada | ","")&amp;IF(AND(COUNTIF(Salas_Cod,$B144)&gt;0,IFERROR(INDEX(Salas_Status,MATCH($B144,Salas_Cod,0)),"")&lt;&gt;"Ativa"),"Sala bloqueada | ","")&amp;IF(COUNTIF(Turnos_Nome,$C144)=0,"Turno inválido | ","")&amp;IF(COUNTIF(Esp_Nome,$F144)=0,"Especialidade não cadastrada | ","")&amp;IF(COUNTIF(Lista_StatusCirurgia,$J144)=0,"Status inválido | ","")&amp;IF(OR(NOT(ISNUMBER($D144)),NOT(ISNUMBER($E144))),"Horário inválido | ","")&amp;IFERROR(IF(AND(ISNUMBER($D144),ISNUMBER($E144),MOD($E144-$D144,1)*1440&lt;=0),"Duração nula ou negativa | ",""),"")&amp;IFERROR(IF(AND(ISNUMBER($D144),COUNTIF(Turnos_Nome,$C144)&gt;0,MOD($D144-INDEX(Turnos_Ini,MATCH($C144,Turnos_Nome,0)),1)*1440&gt;=INDEX(Turnos_Min,MATCH($C144,Turnos_Nome,0))),"Início fora da janela do turno | ",""),"")&amp;IFERROR(IF(AND($L144&gt;0,SUMPRODUCT((Mapa_Sala=$B144)*(Mapa_Data=$A144)*(Mapa_MinOcup&gt;0)*(((MOD(Mapa_IniNum-$O144,1)&lt;MOD($P144-$O144,1))+(MOD($O144-Mapa_IniNum,1)&lt;MOD(Mapa_FimNum-Mapa_IniNum,1)))&gt;0))&gt;1),"Sobreposição de horário na sala | ",""),"")&amp;IFERROR(IF(AND(ISNUMBER($K144),$K144&gt;0,COUNTIF(Esp_Nome,$F144)&gt;0,$K144&gt;3*INDEX(Esp_Dur,MATCH($F144,Esp_Nome,0))),"Duração atípica (&gt;3x a média) | ",""),""))</f>
        <v/>
      </c>
      <c r="O144" s="10">
        <f>IF(ISNUMBER($D144),$D144,0)</f>
        <v/>
      </c>
      <c r="P144" s="10">
        <f>IF(ISNUMBER($E144),$E144,0)</f>
        <v/>
      </c>
    </row>
    <row r="145">
      <c r="A145" s="30" t="n"/>
      <c r="B145" s="24" t="n"/>
      <c r="C145" s="24" t="n"/>
      <c r="D145" s="31" t="n"/>
      <c r="E145" s="31" t="n"/>
      <c r="F145" s="25" t="n"/>
      <c r="G145" s="25" t="n"/>
      <c r="H145" s="25" t="n"/>
      <c r="I145" s="24" t="n"/>
      <c r="J145" s="24" t="n"/>
      <c r="K145" s="32">
        <f>IF(OR($B145="",NOT(ISNUMBER($D145)),NOT(ISNUMBER($E145))),"",ROUND(MOD($E145-$D145,1)*1440,0))</f>
        <v/>
      </c>
      <c r="L145" s="32">
        <f>IF(NOT(ISNUMBER($K145)),0,IF(OR($K145&lt;=0,$J145="Cancelada",$J145="Suspensa"),0,$K145+Setup_Min))</f>
        <v/>
      </c>
      <c r="M145" s="17">
        <f>IF($B145="","",IF($N145="","OK",LEFT($N145,LEN($N145)-3)))</f>
        <v/>
      </c>
      <c r="N145" s="10">
        <f>IF($B145="","",IF(COUNTIF(Salas_Cod,$B145)=0,"Sala não cadastrada | ","")&amp;IF(AND(COUNTIF(Salas_Cod,$B145)&gt;0,IFERROR(INDEX(Salas_Status,MATCH($B145,Salas_Cod,0)),"")&lt;&gt;"Ativa"),"Sala bloqueada | ","")&amp;IF(COUNTIF(Turnos_Nome,$C145)=0,"Turno inválido | ","")&amp;IF(COUNTIF(Esp_Nome,$F145)=0,"Especialidade não cadastrada | ","")&amp;IF(COUNTIF(Lista_StatusCirurgia,$J145)=0,"Status inválido | ","")&amp;IF(OR(NOT(ISNUMBER($D145)),NOT(ISNUMBER($E145))),"Horário inválido | ","")&amp;IFERROR(IF(AND(ISNUMBER($D145),ISNUMBER($E145),MOD($E145-$D145,1)*1440&lt;=0),"Duração nula ou negativa | ",""),"")&amp;IFERROR(IF(AND(ISNUMBER($D145),COUNTIF(Turnos_Nome,$C145)&gt;0,MOD($D145-INDEX(Turnos_Ini,MATCH($C145,Turnos_Nome,0)),1)*1440&gt;=INDEX(Turnos_Min,MATCH($C145,Turnos_Nome,0))),"Início fora da janela do turno | ",""),"")&amp;IFERROR(IF(AND($L145&gt;0,SUMPRODUCT((Mapa_Sala=$B145)*(Mapa_Data=$A145)*(Mapa_MinOcup&gt;0)*(((MOD(Mapa_IniNum-$O145,1)&lt;MOD($P145-$O145,1))+(MOD($O145-Mapa_IniNum,1)&lt;MOD(Mapa_FimNum-Mapa_IniNum,1)))&gt;0))&gt;1),"Sobreposição de horário na sala | ",""),"")&amp;IFERROR(IF(AND(ISNUMBER($K145),$K145&gt;0,COUNTIF(Esp_Nome,$F145)&gt;0,$K145&gt;3*INDEX(Esp_Dur,MATCH($F145,Esp_Nome,0))),"Duração atípica (&gt;3x a média) | ",""),""))</f>
        <v/>
      </c>
      <c r="O145" s="10">
        <f>IF(ISNUMBER($D145),$D145,0)</f>
        <v/>
      </c>
      <c r="P145" s="10">
        <f>IF(ISNUMBER($E145),$E145,0)</f>
        <v/>
      </c>
    </row>
    <row r="146">
      <c r="A146" s="30" t="n"/>
      <c r="B146" s="24" t="n"/>
      <c r="C146" s="24" t="n"/>
      <c r="D146" s="31" t="n"/>
      <c r="E146" s="31" t="n"/>
      <c r="F146" s="25" t="n"/>
      <c r="G146" s="25" t="n"/>
      <c r="H146" s="25" t="n"/>
      <c r="I146" s="24" t="n"/>
      <c r="J146" s="24" t="n"/>
      <c r="K146" s="32">
        <f>IF(OR($B146="",NOT(ISNUMBER($D146)),NOT(ISNUMBER($E146))),"",ROUND(MOD($E146-$D146,1)*1440,0))</f>
        <v/>
      </c>
      <c r="L146" s="32">
        <f>IF(NOT(ISNUMBER($K146)),0,IF(OR($K146&lt;=0,$J146="Cancelada",$J146="Suspensa"),0,$K146+Setup_Min))</f>
        <v/>
      </c>
      <c r="M146" s="17">
        <f>IF($B146="","",IF($N146="","OK",LEFT($N146,LEN($N146)-3)))</f>
        <v/>
      </c>
      <c r="N146" s="10">
        <f>IF($B146="","",IF(COUNTIF(Salas_Cod,$B146)=0,"Sala não cadastrada | ","")&amp;IF(AND(COUNTIF(Salas_Cod,$B146)&gt;0,IFERROR(INDEX(Salas_Status,MATCH($B146,Salas_Cod,0)),"")&lt;&gt;"Ativa"),"Sala bloqueada | ","")&amp;IF(COUNTIF(Turnos_Nome,$C146)=0,"Turno inválido | ","")&amp;IF(COUNTIF(Esp_Nome,$F146)=0,"Especialidade não cadastrada | ","")&amp;IF(COUNTIF(Lista_StatusCirurgia,$J146)=0,"Status inválido | ","")&amp;IF(OR(NOT(ISNUMBER($D146)),NOT(ISNUMBER($E146))),"Horário inválido | ","")&amp;IFERROR(IF(AND(ISNUMBER($D146),ISNUMBER($E146),MOD($E146-$D146,1)*1440&lt;=0),"Duração nula ou negativa | ",""),"")&amp;IFERROR(IF(AND(ISNUMBER($D146),COUNTIF(Turnos_Nome,$C146)&gt;0,MOD($D146-INDEX(Turnos_Ini,MATCH($C146,Turnos_Nome,0)),1)*1440&gt;=INDEX(Turnos_Min,MATCH($C146,Turnos_Nome,0))),"Início fora da janela do turno | ",""),"")&amp;IFERROR(IF(AND($L146&gt;0,SUMPRODUCT((Mapa_Sala=$B146)*(Mapa_Data=$A146)*(Mapa_MinOcup&gt;0)*(((MOD(Mapa_IniNum-$O146,1)&lt;MOD($P146-$O146,1))+(MOD($O146-Mapa_IniNum,1)&lt;MOD(Mapa_FimNum-Mapa_IniNum,1)))&gt;0))&gt;1),"Sobreposição de horário na sala | ",""),"")&amp;IFERROR(IF(AND(ISNUMBER($K146),$K146&gt;0,COUNTIF(Esp_Nome,$F146)&gt;0,$K146&gt;3*INDEX(Esp_Dur,MATCH($F146,Esp_Nome,0))),"Duração atípica (&gt;3x a média) | ",""),""))</f>
        <v/>
      </c>
      <c r="O146" s="10">
        <f>IF(ISNUMBER($D146),$D146,0)</f>
        <v/>
      </c>
      <c r="P146" s="10">
        <f>IF(ISNUMBER($E146),$E146,0)</f>
        <v/>
      </c>
    </row>
    <row r="147">
      <c r="A147" s="30" t="n"/>
      <c r="B147" s="24" t="n"/>
      <c r="C147" s="24" t="n"/>
      <c r="D147" s="31" t="n"/>
      <c r="E147" s="31" t="n"/>
      <c r="F147" s="25" t="n"/>
      <c r="G147" s="25" t="n"/>
      <c r="H147" s="25" t="n"/>
      <c r="I147" s="24" t="n"/>
      <c r="J147" s="24" t="n"/>
      <c r="K147" s="32">
        <f>IF(OR($B147="",NOT(ISNUMBER($D147)),NOT(ISNUMBER($E147))),"",ROUND(MOD($E147-$D147,1)*1440,0))</f>
        <v/>
      </c>
      <c r="L147" s="32">
        <f>IF(NOT(ISNUMBER($K147)),0,IF(OR($K147&lt;=0,$J147="Cancelada",$J147="Suspensa"),0,$K147+Setup_Min))</f>
        <v/>
      </c>
      <c r="M147" s="17">
        <f>IF($B147="","",IF($N147="","OK",LEFT($N147,LEN($N147)-3)))</f>
        <v/>
      </c>
      <c r="N147" s="10">
        <f>IF($B147="","",IF(COUNTIF(Salas_Cod,$B147)=0,"Sala não cadastrada | ","")&amp;IF(AND(COUNTIF(Salas_Cod,$B147)&gt;0,IFERROR(INDEX(Salas_Status,MATCH($B147,Salas_Cod,0)),"")&lt;&gt;"Ativa"),"Sala bloqueada | ","")&amp;IF(COUNTIF(Turnos_Nome,$C147)=0,"Turno inválido | ","")&amp;IF(COUNTIF(Esp_Nome,$F147)=0,"Especialidade não cadastrada | ","")&amp;IF(COUNTIF(Lista_StatusCirurgia,$J147)=0,"Status inválido | ","")&amp;IF(OR(NOT(ISNUMBER($D147)),NOT(ISNUMBER($E147))),"Horário inválido | ","")&amp;IFERROR(IF(AND(ISNUMBER($D147),ISNUMBER($E147),MOD($E147-$D147,1)*1440&lt;=0),"Duração nula ou negativa | ",""),"")&amp;IFERROR(IF(AND(ISNUMBER($D147),COUNTIF(Turnos_Nome,$C147)&gt;0,MOD($D147-INDEX(Turnos_Ini,MATCH($C147,Turnos_Nome,0)),1)*1440&gt;=INDEX(Turnos_Min,MATCH($C147,Turnos_Nome,0))),"Início fora da janela do turno | ",""),"")&amp;IFERROR(IF(AND($L147&gt;0,SUMPRODUCT((Mapa_Sala=$B147)*(Mapa_Data=$A147)*(Mapa_MinOcup&gt;0)*(((MOD(Mapa_IniNum-$O147,1)&lt;MOD($P147-$O147,1))+(MOD($O147-Mapa_IniNum,1)&lt;MOD(Mapa_FimNum-Mapa_IniNum,1)))&gt;0))&gt;1),"Sobreposição de horário na sala | ",""),"")&amp;IFERROR(IF(AND(ISNUMBER($K147),$K147&gt;0,COUNTIF(Esp_Nome,$F147)&gt;0,$K147&gt;3*INDEX(Esp_Dur,MATCH($F147,Esp_Nome,0))),"Duração atípica (&gt;3x a média) | ",""),""))</f>
        <v/>
      </c>
      <c r="O147" s="10">
        <f>IF(ISNUMBER($D147),$D147,0)</f>
        <v/>
      </c>
      <c r="P147" s="10">
        <f>IF(ISNUMBER($E147),$E147,0)</f>
        <v/>
      </c>
    </row>
    <row r="148">
      <c r="A148" s="30" t="n"/>
      <c r="B148" s="24" t="n"/>
      <c r="C148" s="24" t="n"/>
      <c r="D148" s="31" t="n"/>
      <c r="E148" s="31" t="n"/>
      <c r="F148" s="25" t="n"/>
      <c r="G148" s="25" t="n"/>
      <c r="H148" s="25" t="n"/>
      <c r="I148" s="24" t="n"/>
      <c r="J148" s="24" t="n"/>
      <c r="K148" s="32">
        <f>IF(OR($B148="",NOT(ISNUMBER($D148)),NOT(ISNUMBER($E148))),"",ROUND(MOD($E148-$D148,1)*1440,0))</f>
        <v/>
      </c>
      <c r="L148" s="32">
        <f>IF(NOT(ISNUMBER($K148)),0,IF(OR($K148&lt;=0,$J148="Cancelada",$J148="Suspensa"),0,$K148+Setup_Min))</f>
        <v/>
      </c>
      <c r="M148" s="17">
        <f>IF($B148="","",IF($N148="","OK",LEFT($N148,LEN($N148)-3)))</f>
        <v/>
      </c>
      <c r="N148" s="10">
        <f>IF($B148="","",IF(COUNTIF(Salas_Cod,$B148)=0,"Sala não cadastrada | ","")&amp;IF(AND(COUNTIF(Salas_Cod,$B148)&gt;0,IFERROR(INDEX(Salas_Status,MATCH($B148,Salas_Cod,0)),"")&lt;&gt;"Ativa"),"Sala bloqueada | ","")&amp;IF(COUNTIF(Turnos_Nome,$C148)=0,"Turno inválido | ","")&amp;IF(COUNTIF(Esp_Nome,$F148)=0,"Especialidade não cadastrada | ","")&amp;IF(COUNTIF(Lista_StatusCirurgia,$J148)=0,"Status inválido | ","")&amp;IF(OR(NOT(ISNUMBER($D148)),NOT(ISNUMBER($E148))),"Horário inválido | ","")&amp;IFERROR(IF(AND(ISNUMBER($D148),ISNUMBER($E148),MOD($E148-$D148,1)*1440&lt;=0),"Duração nula ou negativa | ",""),"")&amp;IFERROR(IF(AND(ISNUMBER($D148),COUNTIF(Turnos_Nome,$C148)&gt;0,MOD($D148-INDEX(Turnos_Ini,MATCH($C148,Turnos_Nome,0)),1)*1440&gt;=INDEX(Turnos_Min,MATCH($C148,Turnos_Nome,0))),"Início fora da janela do turno | ",""),"")&amp;IFERROR(IF(AND($L148&gt;0,SUMPRODUCT((Mapa_Sala=$B148)*(Mapa_Data=$A148)*(Mapa_MinOcup&gt;0)*(((MOD(Mapa_IniNum-$O148,1)&lt;MOD($P148-$O148,1))+(MOD($O148-Mapa_IniNum,1)&lt;MOD(Mapa_FimNum-Mapa_IniNum,1)))&gt;0))&gt;1),"Sobreposição de horário na sala | ",""),"")&amp;IFERROR(IF(AND(ISNUMBER($K148),$K148&gt;0,COUNTIF(Esp_Nome,$F148)&gt;0,$K148&gt;3*INDEX(Esp_Dur,MATCH($F148,Esp_Nome,0))),"Duração atípica (&gt;3x a média) | ",""),""))</f>
        <v/>
      </c>
      <c r="O148" s="10">
        <f>IF(ISNUMBER($D148),$D148,0)</f>
        <v/>
      </c>
      <c r="P148" s="10">
        <f>IF(ISNUMBER($E148),$E148,0)</f>
        <v/>
      </c>
    </row>
    <row r="149">
      <c r="A149" s="30" t="n"/>
      <c r="B149" s="24" t="n"/>
      <c r="C149" s="24" t="n"/>
      <c r="D149" s="31" t="n"/>
      <c r="E149" s="31" t="n"/>
      <c r="F149" s="25" t="n"/>
      <c r="G149" s="25" t="n"/>
      <c r="H149" s="25" t="n"/>
      <c r="I149" s="24" t="n"/>
      <c r="J149" s="24" t="n"/>
      <c r="K149" s="32">
        <f>IF(OR($B149="",NOT(ISNUMBER($D149)),NOT(ISNUMBER($E149))),"",ROUND(MOD($E149-$D149,1)*1440,0))</f>
        <v/>
      </c>
      <c r="L149" s="32">
        <f>IF(NOT(ISNUMBER($K149)),0,IF(OR($K149&lt;=0,$J149="Cancelada",$J149="Suspensa"),0,$K149+Setup_Min))</f>
        <v/>
      </c>
      <c r="M149" s="17">
        <f>IF($B149="","",IF($N149="","OK",LEFT($N149,LEN($N149)-3)))</f>
        <v/>
      </c>
      <c r="N149" s="10">
        <f>IF($B149="","",IF(COUNTIF(Salas_Cod,$B149)=0,"Sala não cadastrada | ","")&amp;IF(AND(COUNTIF(Salas_Cod,$B149)&gt;0,IFERROR(INDEX(Salas_Status,MATCH($B149,Salas_Cod,0)),"")&lt;&gt;"Ativa"),"Sala bloqueada | ","")&amp;IF(COUNTIF(Turnos_Nome,$C149)=0,"Turno inválido | ","")&amp;IF(COUNTIF(Esp_Nome,$F149)=0,"Especialidade não cadastrada | ","")&amp;IF(COUNTIF(Lista_StatusCirurgia,$J149)=0,"Status inválido | ","")&amp;IF(OR(NOT(ISNUMBER($D149)),NOT(ISNUMBER($E149))),"Horário inválido | ","")&amp;IFERROR(IF(AND(ISNUMBER($D149),ISNUMBER($E149),MOD($E149-$D149,1)*1440&lt;=0),"Duração nula ou negativa | ",""),"")&amp;IFERROR(IF(AND(ISNUMBER($D149),COUNTIF(Turnos_Nome,$C149)&gt;0,MOD($D149-INDEX(Turnos_Ini,MATCH($C149,Turnos_Nome,0)),1)*1440&gt;=INDEX(Turnos_Min,MATCH($C149,Turnos_Nome,0))),"Início fora da janela do turno | ",""),"")&amp;IFERROR(IF(AND($L149&gt;0,SUMPRODUCT((Mapa_Sala=$B149)*(Mapa_Data=$A149)*(Mapa_MinOcup&gt;0)*(((MOD(Mapa_IniNum-$O149,1)&lt;MOD($P149-$O149,1))+(MOD($O149-Mapa_IniNum,1)&lt;MOD(Mapa_FimNum-Mapa_IniNum,1)))&gt;0))&gt;1),"Sobreposição de horário na sala | ",""),"")&amp;IFERROR(IF(AND(ISNUMBER($K149),$K149&gt;0,COUNTIF(Esp_Nome,$F149)&gt;0,$K149&gt;3*INDEX(Esp_Dur,MATCH($F149,Esp_Nome,0))),"Duração atípica (&gt;3x a média) | ",""),""))</f>
        <v/>
      </c>
      <c r="O149" s="10">
        <f>IF(ISNUMBER($D149),$D149,0)</f>
        <v/>
      </c>
      <c r="P149" s="10">
        <f>IF(ISNUMBER($E149),$E149,0)</f>
        <v/>
      </c>
    </row>
    <row r="150">
      <c r="A150" s="30" t="n"/>
      <c r="B150" s="24" t="n"/>
      <c r="C150" s="24" t="n"/>
      <c r="D150" s="31" t="n"/>
      <c r="E150" s="31" t="n"/>
      <c r="F150" s="25" t="n"/>
      <c r="G150" s="25" t="n"/>
      <c r="H150" s="25" t="n"/>
      <c r="I150" s="24" t="n"/>
      <c r="J150" s="24" t="n"/>
      <c r="K150" s="32">
        <f>IF(OR($B150="",NOT(ISNUMBER($D150)),NOT(ISNUMBER($E150))),"",ROUND(MOD($E150-$D150,1)*1440,0))</f>
        <v/>
      </c>
      <c r="L150" s="32">
        <f>IF(NOT(ISNUMBER($K150)),0,IF(OR($K150&lt;=0,$J150="Cancelada",$J150="Suspensa"),0,$K150+Setup_Min))</f>
        <v/>
      </c>
      <c r="M150" s="17">
        <f>IF($B150="","",IF($N150="","OK",LEFT($N150,LEN($N150)-3)))</f>
        <v/>
      </c>
      <c r="N150" s="10">
        <f>IF($B150="","",IF(COUNTIF(Salas_Cod,$B150)=0,"Sala não cadastrada | ","")&amp;IF(AND(COUNTIF(Salas_Cod,$B150)&gt;0,IFERROR(INDEX(Salas_Status,MATCH($B150,Salas_Cod,0)),"")&lt;&gt;"Ativa"),"Sala bloqueada | ","")&amp;IF(COUNTIF(Turnos_Nome,$C150)=0,"Turno inválido | ","")&amp;IF(COUNTIF(Esp_Nome,$F150)=0,"Especialidade não cadastrada | ","")&amp;IF(COUNTIF(Lista_StatusCirurgia,$J150)=0,"Status inválido | ","")&amp;IF(OR(NOT(ISNUMBER($D150)),NOT(ISNUMBER($E150))),"Horário inválido | ","")&amp;IFERROR(IF(AND(ISNUMBER($D150),ISNUMBER($E150),MOD($E150-$D150,1)*1440&lt;=0),"Duração nula ou negativa | ",""),"")&amp;IFERROR(IF(AND(ISNUMBER($D150),COUNTIF(Turnos_Nome,$C150)&gt;0,MOD($D150-INDEX(Turnos_Ini,MATCH($C150,Turnos_Nome,0)),1)*1440&gt;=INDEX(Turnos_Min,MATCH($C150,Turnos_Nome,0))),"Início fora da janela do turno | ",""),"")&amp;IFERROR(IF(AND($L150&gt;0,SUMPRODUCT((Mapa_Sala=$B150)*(Mapa_Data=$A150)*(Mapa_MinOcup&gt;0)*(((MOD(Mapa_IniNum-$O150,1)&lt;MOD($P150-$O150,1))+(MOD($O150-Mapa_IniNum,1)&lt;MOD(Mapa_FimNum-Mapa_IniNum,1)))&gt;0))&gt;1),"Sobreposição de horário na sala | ",""),"")&amp;IFERROR(IF(AND(ISNUMBER($K150),$K150&gt;0,COUNTIF(Esp_Nome,$F150)&gt;0,$K150&gt;3*INDEX(Esp_Dur,MATCH($F150,Esp_Nome,0))),"Duração atípica (&gt;3x a média) | ",""),""))</f>
        <v/>
      </c>
      <c r="O150" s="10">
        <f>IF(ISNUMBER($D150),$D150,0)</f>
        <v/>
      </c>
      <c r="P150" s="10">
        <f>IF(ISNUMBER($E150),$E150,0)</f>
        <v/>
      </c>
    </row>
    <row r="151">
      <c r="A151" s="30" t="n"/>
      <c r="B151" s="24" t="n"/>
      <c r="C151" s="24" t="n"/>
      <c r="D151" s="31" t="n"/>
      <c r="E151" s="31" t="n"/>
      <c r="F151" s="25" t="n"/>
      <c r="G151" s="25" t="n"/>
      <c r="H151" s="25" t="n"/>
      <c r="I151" s="24" t="n"/>
      <c r="J151" s="24" t="n"/>
      <c r="K151" s="32">
        <f>IF(OR($B151="",NOT(ISNUMBER($D151)),NOT(ISNUMBER($E151))),"",ROUND(MOD($E151-$D151,1)*1440,0))</f>
        <v/>
      </c>
      <c r="L151" s="32">
        <f>IF(NOT(ISNUMBER($K151)),0,IF(OR($K151&lt;=0,$J151="Cancelada",$J151="Suspensa"),0,$K151+Setup_Min))</f>
        <v/>
      </c>
      <c r="M151" s="17">
        <f>IF($B151="","",IF($N151="","OK",LEFT($N151,LEN($N151)-3)))</f>
        <v/>
      </c>
      <c r="N151" s="10">
        <f>IF($B151="","",IF(COUNTIF(Salas_Cod,$B151)=0,"Sala não cadastrada | ","")&amp;IF(AND(COUNTIF(Salas_Cod,$B151)&gt;0,IFERROR(INDEX(Salas_Status,MATCH($B151,Salas_Cod,0)),"")&lt;&gt;"Ativa"),"Sala bloqueada | ","")&amp;IF(COUNTIF(Turnos_Nome,$C151)=0,"Turno inválido | ","")&amp;IF(COUNTIF(Esp_Nome,$F151)=0,"Especialidade não cadastrada | ","")&amp;IF(COUNTIF(Lista_StatusCirurgia,$J151)=0,"Status inválido | ","")&amp;IF(OR(NOT(ISNUMBER($D151)),NOT(ISNUMBER($E151))),"Horário inválido | ","")&amp;IFERROR(IF(AND(ISNUMBER($D151),ISNUMBER($E151),MOD($E151-$D151,1)*1440&lt;=0),"Duração nula ou negativa | ",""),"")&amp;IFERROR(IF(AND(ISNUMBER($D151),COUNTIF(Turnos_Nome,$C151)&gt;0,MOD($D151-INDEX(Turnos_Ini,MATCH($C151,Turnos_Nome,0)),1)*1440&gt;=INDEX(Turnos_Min,MATCH($C151,Turnos_Nome,0))),"Início fora da janela do turno | ",""),"")&amp;IFERROR(IF(AND($L151&gt;0,SUMPRODUCT((Mapa_Sala=$B151)*(Mapa_Data=$A151)*(Mapa_MinOcup&gt;0)*(((MOD(Mapa_IniNum-$O151,1)&lt;MOD($P151-$O151,1))+(MOD($O151-Mapa_IniNum,1)&lt;MOD(Mapa_FimNum-Mapa_IniNum,1)))&gt;0))&gt;1),"Sobreposição de horário na sala | ",""),"")&amp;IFERROR(IF(AND(ISNUMBER($K151),$K151&gt;0,COUNTIF(Esp_Nome,$F151)&gt;0,$K151&gt;3*INDEX(Esp_Dur,MATCH($F151,Esp_Nome,0))),"Duração atípica (&gt;3x a média) | ",""),""))</f>
        <v/>
      </c>
      <c r="O151" s="10">
        <f>IF(ISNUMBER($D151),$D151,0)</f>
        <v/>
      </c>
      <c r="P151" s="10">
        <f>IF(ISNUMBER($E151),$E151,0)</f>
        <v/>
      </c>
    </row>
    <row r="152">
      <c r="A152" s="30" t="n"/>
      <c r="B152" s="24" t="n"/>
      <c r="C152" s="24" t="n"/>
      <c r="D152" s="31" t="n"/>
      <c r="E152" s="31" t="n"/>
      <c r="F152" s="25" t="n"/>
      <c r="G152" s="25" t="n"/>
      <c r="H152" s="25" t="n"/>
      <c r="I152" s="24" t="n"/>
      <c r="J152" s="24" t="n"/>
      <c r="K152" s="32">
        <f>IF(OR($B152="",NOT(ISNUMBER($D152)),NOT(ISNUMBER($E152))),"",ROUND(MOD($E152-$D152,1)*1440,0))</f>
        <v/>
      </c>
      <c r="L152" s="32">
        <f>IF(NOT(ISNUMBER($K152)),0,IF(OR($K152&lt;=0,$J152="Cancelada",$J152="Suspensa"),0,$K152+Setup_Min))</f>
        <v/>
      </c>
      <c r="M152" s="17">
        <f>IF($B152="","",IF($N152="","OK",LEFT($N152,LEN($N152)-3)))</f>
        <v/>
      </c>
      <c r="N152" s="10">
        <f>IF($B152="","",IF(COUNTIF(Salas_Cod,$B152)=0,"Sala não cadastrada | ","")&amp;IF(AND(COUNTIF(Salas_Cod,$B152)&gt;0,IFERROR(INDEX(Salas_Status,MATCH($B152,Salas_Cod,0)),"")&lt;&gt;"Ativa"),"Sala bloqueada | ","")&amp;IF(COUNTIF(Turnos_Nome,$C152)=0,"Turno inválido | ","")&amp;IF(COUNTIF(Esp_Nome,$F152)=0,"Especialidade não cadastrada | ","")&amp;IF(COUNTIF(Lista_StatusCirurgia,$J152)=0,"Status inválido | ","")&amp;IF(OR(NOT(ISNUMBER($D152)),NOT(ISNUMBER($E152))),"Horário inválido | ","")&amp;IFERROR(IF(AND(ISNUMBER($D152),ISNUMBER($E152),MOD($E152-$D152,1)*1440&lt;=0),"Duração nula ou negativa | ",""),"")&amp;IFERROR(IF(AND(ISNUMBER($D152),COUNTIF(Turnos_Nome,$C152)&gt;0,MOD($D152-INDEX(Turnos_Ini,MATCH($C152,Turnos_Nome,0)),1)*1440&gt;=INDEX(Turnos_Min,MATCH($C152,Turnos_Nome,0))),"Início fora da janela do turno | ",""),"")&amp;IFERROR(IF(AND($L152&gt;0,SUMPRODUCT((Mapa_Sala=$B152)*(Mapa_Data=$A152)*(Mapa_MinOcup&gt;0)*(((MOD(Mapa_IniNum-$O152,1)&lt;MOD($P152-$O152,1))+(MOD($O152-Mapa_IniNum,1)&lt;MOD(Mapa_FimNum-Mapa_IniNum,1)))&gt;0))&gt;1),"Sobreposição de horário na sala | ",""),"")&amp;IFERROR(IF(AND(ISNUMBER($K152),$K152&gt;0,COUNTIF(Esp_Nome,$F152)&gt;0,$K152&gt;3*INDEX(Esp_Dur,MATCH($F152,Esp_Nome,0))),"Duração atípica (&gt;3x a média) | ",""),""))</f>
        <v/>
      </c>
      <c r="O152" s="10">
        <f>IF(ISNUMBER($D152),$D152,0)</f>
        <v/>
      </c>
      <c r="P152" s="10">
        <f>IF(ISNUMBER($E152),$E152,0)</f>
        <v/>
      </c>
    </row>
    <row r="153">
      <c r="A153" s="30" t="n"/>
      <c r="B153" s="24" t="n"/>
      <c r="C153" s="24" t="n"/>
      <c r="D153" s="31" t="n"/>
      <c r="E153" s="31" t="n"/>
      <c r="F153" s="25" t="n"/>
      <c r="G153" s="25" t="n"/>
      <c r="H153" s="25" t="n"/>
      <c r="I153" s="24" t="n"/>
      <c r="J153" s="24" t="n"/>
      <c r="K153" s="32">
        <f>IF(OR($B153="",NOT(ISNUMBER($D153)),NOT(ISNUMBER($E153))),"",ROUND(MOD($E153-$D153,1)*1440,0))</f>
        <v/>
      </c>
      <c r="L153" s="32">
        <f>IF(NOT(ISNUMBER($K153)),0,IF(OR($K153&lt;=0,$J153="Cancelada",$J153="Suspensa"),0,$K153+Setup_Min))</f>
        <v/>
      </c>
      <c r="M153" s="17">
        <f>IF($B153="","",IF($N153="","OK",LEFT($N153,LEN($N153)-3)))</f>
        <v/>
      </c>
      <c r="N153" s="10">
        <f>IF($B153="","",IF(COUNTIF(Salas_Cod,$B153)=0,"Sala não cadastrada | ","")&amp;IF(AND(COUNTIF(Salas_Cod,$B153)&gt;0,IFERROR(INDEX(Salas_Status,MATCH($B153,Salas_Cod,0)),"")&lt;&gt;"Ativa"),"Sala bloqueada | ","")&amp;IF(COUNTIF(Turnos_Nome,$C153)=0,"Turno inválido | ","")&amp;IF(COUNTIF(Esp_Nome,$F153)=0,"Especialidade não cadastrada | ","")&amp;IF(COUNTIF(Lista_StatusCirurgia,$J153)=0,"Status inválido | ","")&amp;IF(OR(NOT(ISNUMBER($D153)),NOT(ISNUMBER($E153))),"Horário inválido | ","")&amp;IFERROR(IF(AND(ISNUMBER($D153),ISNUMBER($E153),MOD($E153-$D153,1)*1440&lt;=0),"Duração nula ou negativa | ",""),"")&amp;IFERROR(IF(AND(ISNUMBER($D153),COUNTIF(Turnos_Nome,$C153)&gt;0,MOD($D153-INDEX(Turnos_Ini,MATCH($C153,Turnos_Nome,0)),1)*1440&gt;=INDEX(Turnos_Min,MATCH($C153,Turnos_Nome,0))),"Início fora da janela do turno | ",""),"")&amp;IFERROR(IF(AND($L153&gt;0,SUMPRODUCT((Mapa_Sala=$B153)*(Mapa_Data=$A153)*(Mapa_MinOcup&gt;0)*(((MOD(Mapa_IniNum-$O153,1)&lt;MOD($P153-$O153,1))+(MOD($O153-Mapa_IniNum,1)&lt;MOD(Mapa_FimNum-Mapa_IniNum,1)))&gt;0))&gt;1),"Sobreposição de horário na sala | ",""),"")&amp;IFERROR(IF(AND(ISNUMBER($K153),$K153&gt;0,COUNTIF(Esp_Nome,$F153)&gt;0,$K153&gt;3*INDEX(Esp_Dur,MATCH($F153,Esp_Nome,0))),"Duração atípica (&gt;3x a média) | ",""),""))</f>
        <v/>
      </c>
      <c r="O153" s="10">
        <f>IF(ISNUMBER($D153),$D153,0)</f>
        <v/>
      </c>
      <c r="P153" s="10">
        <f>IF(ISNUMBER($E153),$E153,0)</f>
        <v/>
      </c>
    </row>
    <row r="154">
      <c r="A154" s="30" t="n"/>
      <c r="B154" s="24" t="n"/>
      <c r="C154" s="24" t="n"/>
      <c r="D154" s="31" t="n"/>
      <c r="E154" s="31" t="n"/>
      <c r="F154" s="25" t="n"/>
      <c r="G154" s="25" t="n"/>
      <c r="H154" s="25" t="n"/>
      <c r="I154" s="24" t="n"/>
      <c r="J154" s="24" t="n"/>
      <c r="K154" s="32">
        <f>IF(OR($B154="",NOT(ISNUMBER($D154)),NOT(ISNUMBER($E154))),"",ROUND(MOD($E154-$D154,1)*1440,0))</f>
        <v/>
      </c>
      <c r="L154" s="32">
        <f>IF(NOT(ISNUMBER($K154)),0,IF(OR($K154&lt;=0,$J154="Cancelada",$J154="Suspensa"),0,$K154+Setup_Min))</f>
        <v/>
      </c>
      <c r="M154" s="17">
        <f>IF($B154="","",IF($N154="","OK",LEFT($N154,LEN($N154)-3)))</f>
        <v/>
      </c>
      <c r="N154" s="10">
        <f>IF($B154="","",IF(COUNTIF(Salas_Cod,$B154)=0,"Sala não cadastrada | ","")&amp;IF(AND(COUNTIF(Salas_Cod,$B154)&gt;0,IFERROR(INDEX(Salas_Status,MATCH($B154,Salas_Cod,0)),"")&lt;&gt;"Ativa"),"Sala bloqueada | ","")&amp;IF(COUNTIF(Turnos_Nome,$C154)=0,"Turno inválido | ","")&amp;IF(COUNTIF(Esp_Nome,$F154)=0,"Especialidade não cadastrada | ","")&amp;IF(COUNTIF(Lista_StatusCirurgia,$J154)=0,"Status inválido | ","")&amp;IF(OR(NOT(ISNUMBER($D154)),NOT(ISNUMBER($E154))),"Horário inválido | ","")&amp;IFERROR(IF(AND(ISNUMBER($D154),ISNUMBER($E154),MOD($E154-$D154,1)*1440&lt;=0),"Duração nula ou negativa | ",""),"")&amp;IFERROR(IF(AND(ISNUMBER($D154),COUNTIF(Turnos_Nome,$C154)&gt;0,MOD($D154-INDEX(Turnos_Ini,MATCH($C154,Turnos_Nome,0)),1)*1440&gt;=INDEX(Turnos_Min,MATCH($C154,Turnos_Nome,0))),"Início fora da janela do turno | ",""),"")&amp;IFERROR(IF(AND($L154&gt;0,SUMPRODUCT((Mapa_Sala=$B154)*(Mapa_Data=$A154)*(Mapa_MinOcup&gt;0)*(((MOD(Mapa_IniNum-$O154,1)&lt;MOD($P154-$O154,1))+(MOD($O154-Mapa_IniNum,1)&lt;MOD(Mapa_FimNum-Mapa_IniNum,1)))&gt;0))&gt;1),"Sobreposição de horário na sala | ",""),"")&amp;IFERROR(IF(AND(ISNUMBER($K154),$K154&gt;0,COUNTIF(Esp_Nome,$F154)&gt;0,$K154&gt;3*INDEX(Esp_Dur,MATCH($F154,Esp_Nome,0))),"Duração atípica (&gt;3x a média) | ",""),""))</f>
        <v/>
      </c>
      <c r="O154" s="10">
        <f>IF(ISNUMBER($D154),$D154,0)</f>
        <v/>
      </c>
      <c r="P154" s="10">
        <f>IF(ISNUMBER($E154),$E154,0)</f>
        <v/>
      </c>
    </row>
    <row r="155">
      <c r="A155" s="30" t="n"/>
      <c r="B155" s="24" t="n"/>
      <c r="C155" s="24" t="n"/>
      <c r="D155" s="31" t="n"/>
      <c r="E155" s="31" t="n"/>
      <c r="F155" s="25" t="n"/>
      <c r="G155" s="25" t="n"/>
      <c r="H155" s="25" t="n"/>
      <c r="I155" s="24" t="n"/>
      <c r="J155" s="24" t="n"/>
      <c r="K155" s="32">
        <f>IF(OR($B155="",NOT(ISNUMBER($D155)),NOT(ISNUMBER($E155))),"",ROUND(MOD($E155-$D155,1)*1440,0))</f>
        <v/>
      </c>
      <c r="L155" s="32">
        <f>IF(NOT(ISNUMBER($K155)),0,IF(OR($K155&lt;=0,$J155="Cancelada",$J155="Suspensa"),0,$K155+Setup_Min))</f>
        <v/>
      </c>
      <c r="M155" s="17">
        <f>IF($B155="","",IF($N155="","OK",LEFT($N155,LEN($N155)-3)))</f>
        <v/>
      </c>
      <c r="N155" s="10">
        <f>IF($B155="","",IF(COUNTIF(Salas_Cod,$B155)=0,"Sala não cadastrada | ","")&amp;IF(AND(COUNTIF(Salas_Cod,$B155)&gt;0,IFERROR(INDEX(Salas_Status,MATCH($B155,Salas_Cod,0)),"")&lt;&gt;"Ativa"),"Sala bloqueada | ","")&amp;IF(COUNTIF(Turnos_Nome,$C155)=0,"Turno inválido | ","")&amp;IF(COUNTIF(Esp_Nome,$F155)=0,"Especialidade não cadastrada | ","")&amp;IF(COUNTIF(Lista_StatusCirurgia,$J155)=0,"Status inválido | ","")&amp;IF(OR(NOT(ISNUMBER($D155)),NOT(ISNUMBER($E155))),"Horário inválido | ","")&amp;IFERROR(IF(AND(ISNUMBER($D155),ISNUMBER($E155),MOD($E155-$D155,1)*1440&lt;=0),"Duração nula ou negativa | ",""),"")&amp;IFERROR(IF(AND(ISNUMBER($D155),COUNTIF(Turnos_Nome,$C155)&gt;0,MOD($D155-INDEX(Turnos_Ini,MATCH($C155,Turnos_Nome,0)),1)*1440&gt;=INDEX(Turnos_Min,MATCH($C155,Turnos_Nome,0))),"Início fora da janela do turno | ",""),"")&amp;IFERROR(IF(AND($L155&gt;0,SUMPRODUCT((Mapa_Sala=$B155)*(Mapa_Data=$A155)*(Mapa_MinOcup&gt;0)*(((MOD(Mapa_IniNum-$O155,1)&lt;MOD($P155-$O155,1))+(MOD($O155-Mapa_IniNum,1)&lt;MOD(Mapa_FimNum-Mapa_IniNum,1)))&gt;0))&gt;1),"Sobreposição de horário na sala | ",""),"")&amp;IFERROR(IF(AND(ISNUMBER($K155),$K155&gt;0,COUNTIF(Esp_Nome,$F155)&gt;0,$K155&gt;3*INDEX(Esp_Dur,MATCH($F155,Esp_Nome,0))),"Duração atípica (&gt;3x a média) | ",""),""))</f>
        <v/>
      </c>
      <c r="O155" s="10">
        <f>IF(ISNUMBER($D155),$D155,0)</f>
        <v/>
      </c>
      <c r="P155" s="10">
        <f>IF(ISNUMBER($E155),$E155,0)</f>
        <v/>
      </c>
    </row>
    <row r="156">
      <c r="A156" s="30" t="n"/>
      <c r="B156" s="24" t="n"/>
      <c r="C156" s="24" t="n"/>
      <c r="D156" s="31" t="n"/>
      <c r="E156" s="31" t="n"/>
      <c r="F156" s="25" t="n"/>
      <c r="G156" s="25" t="n"/>
      <c r="H156" s="25" t="n"/>
      <c r="I156" s="24" t="n"/>
      <c r="J156" s="24" t="n"/>
      <c r="K156" s="32">
        <f>IF(OR($B156="",NOT(ISNUMBER($D156)),NOT(ISNUMBER($E156))),"",ROUND(MOD($E156-$D156,1)*1440,0))</f>
        <v/>
      </c>
      <c r="L156" s="32">
        <f>IF(NOT(ISNUMBER($K156)),0,IF(OR($K156&lt;=0,$J156="Cancelada",$J156="Suspensa"),0,$K156+Setup_Min))</f>
        <v/>
      </c>
      <c r="M156" s="17">
        <f>IF($B156="","",IF($N156="","OK",LEFT($N156,LEN($N156)-3)))</f>
        <v/>
      </c>
      <c r="N156" s="10">
        <f>IF($B156="","",IF(COUNTIF(Salas_Cod,$B156)=0,"Sala não cadastrada | ","")&amp;IF(AND(COUNTIF(Salas_Cod,$B156)&gt;0,IFERROR(INDEX(Salas_Status,MATCH($B156,Salas_Cod,0)),"")&lt;&gt;"Ativa"),"Sala bloqueada | ","")&amp;IF(COUNTIF(Turnos_Nome,$C156)=0,"Turno inválido | ","")&amp;IF(COUNTIF(Esp_Nome,$F156)=0,"Especialidade não cadastrada | ","")&amp;IF(COUNTIF(Lista_StatusCirurgia,$J156)=0,"Status inválido | ","")&amp;IF(OR(NOT(ISNUMBER($D156)),NOT(ISNUMBER($E156))),"Horário inválido | ","")&amp;IFERROR(IF(AND(ISNUMBER($D156),ISNUMBER($E156),MOD($E156-$D156,1)*1440&lt;=0),"Duração nula ou negativa | ",""),"")&amp;IFERROR(IF(AND(ISNUMBER($D156),COUNTIF(Turnos_Nome,$C156)&gt;0,MOD($D156-INDEX(Turnos_Ini,MATCH($C156,Turnos_Nome,0)),1)*1440&gt;=INDEX(Turnos_Min,MATCH($C156,Turnos_Nome,0))),"Início fora da janela do turno | ",""),"")&amp;IFERROR(IF(AND($L156&gt;0,SUMPRODUCT((Mapa_Sala=$B156)*(Mapa_Data=$A156)*(Mapa_MinOcup&gt;0)*(((MOD(Mapa_IniNum-$O156,1)&lt;MOD($P156-$O156,1))+(MOD($O156-Mapa_IniNum,1)&lt;MOD(Mapa_FimNum-Mapa_IniNum,1)))&gt;0))&gt;1),"Sobreposição de horário na sala | ",""),"")&amp;IFERROR(IF(AND(ISNUMBER($K156),$K156&gt;0,COUNTIF(Esp_Nome,$F156)&gt;0,$K156&gt;3*INDEX(Esp_Dur,MATCH($F156,Esp_Nome,0))),"Duração atípica (&gt;3x a média) | ",""),""))</f>
        <v/>
      </c>
      <c r="O156" s="10">
        <f>IF(ISNUMBER($D156),$D156,0)</f>
        <v/>
      </c>
      <c r="P156" s="10">
        <f>IF(ISNUMBER($E156),$E156,0)</f>
        <v/>
      </c>
    </row>
    <row r="157">
      <c r="A157" s="30" t="n"/>
      <c r="B157" s="24" t="n"/>
      <c r="C157" s="24" t="n"/>
      <c r="D157" s="31" t="n"/>
      <c r="E157" s="31" t="n"/>
      <c r="F157" s="25" t="n"/>
      <c r="G157" s="25" t="n"/>
      <c r="H157" s="25" t="n"/>
      <c r="I157" s="24" t="n"/>
      <c r="J157" s="24" t="n"/>
      <c r="K157" s="32">
        <f>IF(OR($B157="",NOT(ISNUMBER($D157)),NOT(ISNUMBER($E157))),"",ROUND(MOD($E157-$D157,1)*1440,0))</f>
        <v/>
      </c>
      <c r="L157" s="32">
        <f>IF(NOT(ISNUMBER($K157)),0,IF(OR($K157&lt;=0,$J157="Cancelada",$J157="Suspensa"),0,$K157+Setup_Min))</f>
        <v/>
      </c>
      <c r="M157" s="17">
        <f>IF($B157="","",IF($N157="","OK",LEFT($N157,LEN($N157)-3)))</f>
        <v/>
      </c>
      <c r="N157" s="10">
        <f>IF($B157="","",IF(COUNTIF(Salas_Cod,$B157)=0,"Sala não cadastrada | ","")&amp;IF(AND(COUNTIF(Salas_Cod,$B157)&gt;0,IFERROR(INDEX(Salas_Status,MATCH($B157,Salas_Cod,0)),"")&lt;&gt;"Ativa"),"Sala bloqueada | ","")&amp;IF(COUNTIF(Turnos_Nome,$C157)=0,"Turno inválido | ","")&amp;IF(COUNTIF(Esp_Nome,$F157)=0,"Especialidade não cadastrada | ","")&amp;IF(COUNTIF(Lista_StatusCirurgia,$J157)=0,"Status inválido | ","")&amp;IF(OR(NOT(ISNUMBER($D157)),NOT(ISNUMBER($E157))),"Horário inválido | ","")&amp;IFERROR(IF(AND(ISNUMBER($D157),ISNUMBER($E157),MOD($E157-$D157,1)*1440&lt;=0),"Duração nula ou negativa | ",""),"")&amp;IFERROR(IF(AND(ISNUMBER($D157),COUNTIF(Turnos_Nome,$C157)&gt;0,MOD($D157-INDEX(Turnos_Ini,MATCH($C157,Turnos_Nome,0)),1)*1440&gt;=INDEX(Turnos_Min,MATCH($C157,Turnos_Nome,0))),"Início fora da janela do turno | ",""),"")&amp;IFERROR(IF(AND($L157&gt;0,SUMPRODUCT((Mapa_Sala=$B157)*(Mapa_Data=$A157)*(Mapa_MinOcup&gt;0)*(((MOD(Mapa_IniNum-$O157,1)&lt;MOD($P157-$O157,1))+(MOD($O157-Mapa_IniNum,1)&lt;MOD(Mapa_FimNum-Mapa_IniNum,1)))&gt;0))&gt;1),"Sobreposição de horário na sala | ",""),"")&amp;IFERROR(IF(AND(ISNUMBER($K157),$K157&gt;0,COUNTIF(Esp_Nome,$F157)&gt;0,$K157&gt;3*INDEX(Esp_Dur,MATCH($F157,Esp_Nome,0))),"Duração atípica (&gt;3x a média) | ",""),""))</f>
        <v/>
      </c>
      <c r="O157" s="10">
        <f>IF(ISNUMBER($D157),$D157,0)</f>
        <v/>
      </c>
      <c r="P157" s="10">
        <f>IF(ISNUMBER($E157),$E157,0)</f>
        <v/>
      </c>
    </row>
    <row r="158">
      <c r="A158" s="30" t="n"/>
      <c r="B158" s="24" t="n"/>
      <c r="C158" s="24" t="n"/>
      <c r="D158" s="31" t="n"/>
      <c r="E158" s="31" t="n"/>
      <c r="F158" s="25" t="n"/>
      <c r="G158" s="25" t="n"/>
      <c r="H158" s="25" t="n"/>
      <c r="I158" s="24" t="n"/>
      <c r="J158" s="24" t="n"/>
      <c r="K158" s="32">
        <f>IF(OR($B158="",NOT(ISNUMBER($D158)),NOT(ISNUMBER($E158))),"",ROUND(MOD($E158-$D158,1)*1440,0))</f>
        <v/>
      </c>
      <c r="L158" s="32">
        <f>IF(NOT(ISNUMBER($K158)),0,IF(OR($K158&lt;=0,$J158="Cancelada",$J158="Suspensa"),0,$K158+Setup_Min))</f>
        <v/>
      </c>
      <c r="M158" s="17">
        <f>IF($B158="","",IF($N158="","OK",LEFT($N158,LEN($N158)-3)))</f>
        <v/>
      </c>
      <c r="N158" s="10">
        <f>IF($B158="","",IF(COUNTIF(Salas_Cod,$B158)=0,"Sala não cadastrada | ","")&amp;IF(AND(COUNTIF(Salas_Cod,$B158)&gt;0,IFERROR(INDEX(Salas_Status,MATCH($B158,Salas_Cod,0)),"")&lt;&gt;"Ativa"),"Sala bloqueada | ","")&amp;IF(COUNTIF(Turnos_Nome,$C158)=0,"Turno inválido | ","")&amp;IF(COUNTIF(Esp_Nome,$F158)=0,"Especialidade não cadastrada | ","")&amp;IF(COUNTIF(Lista_StatusCirurgia,$J158)=0,"Status inválido | ","")&amp;IF(OR(NOT(ISNUMBER($D158)),NOT(ISNUMBER($E158))),"Horário inválido | ","")&amp;IFERROR(IF(AND(ISNUMBER($D158),ISNUMBER($E158),MOD($E158-$D158,1)*1440&lt;=0),"Duração nula ou negativa | ",""),"")&amp;IFERROR(IF(AND(ISNUMBER($D158),COUNTIF(Turnos_Nome,$C158)&gt;0,MOD($D158-INDEX(Turnos_Ini,MATCH($C158,Turnos_Nome,0)),1)*1440&gt;=INDEX(Turnos_Min,MATCH($C158,Turnos_Nome,0))),"Início fora da janela do turno | ",""),"")&amp;IFERROR(IF(AND($L158&gt;0,SUMPRODUCT((Mapa_Sala=$B158)*(Mapa_Data=$A158)*(Mapa_MinOcup&gt;0)*(((MOD(Mapa_IniNum-$O158,1)&lt;MOD($P158-$O158,1))+(MOD($O158-Mapa_IniNum,1)&lt;MOD(Mapa_FimNum-Mapa_IniNum,1)))&gt;0))&gt;1),"Sobreposição de horário na sala | ",""),"")&amp;IFERROR(IF(AND(ISNUMBER($K158),$K158&gt;0,COUNTIF(Esp_Nome,$F158)&gt;0,$K158&gt;3*INDEX(Esp_Dur,MATCH($F158,Esp_Nome,0))),"Duração atípica (&gt;3x a média) | ",""),""))</f>
        <v/>
      </c>
      <c r="O158" s="10">
        <f>IF(ISNUMBER($D158),$D158,0)</f>
        <v/>
      </c>
      <c r="P158" s="10">
        <f>IF(ISNUMBER($E158),$E158,0)</f>
        <v/>
      </c>
    </row>
    <row r="159">
      <c r="A159" s="30" t="n"/>
      <c r="B159" s="24" t="n"/>
      <c r="C159" s="24" t="n"/>
      <c r="D159" s="31" t="n"/>
      <c r="E159" s="31" t="n"/>
      <c r="F159" s="25" t="n"/>
      <c r="G159" s="25" t="n"/>
      <c r="H159" s="25" t="n"/>
      <c r="I159" s="24" t="n"/>
      <c r="J159" s="24" t="n"/>
      <c r="K159" s="32">
        <f>IF(OR($B159="",NOT(ISNUMBER($D159)),NOT(ISNUMBER($E159))),"",ROUND(MOD($E159-$D159,1)*1440,0))</f>
        <v/>
      </c>
      <c r="L159" s="32">
        <f>IF(NOT(ISNUMBER($K159)),0,IF(OR($K159&lt;=0,$J159="Cancelada",$J159="Suspensa"),0,$K159+Setup_Min))</f>
        <v/>
      </c>
      <c r="M159" s="17">
        <f>IF($B159="","",IF($N159="","OK",LEFT($N159,LEN($N159)-3)))</f>
        <v/>
      </c>
      <c r="N159" s="10">
        <f>IF($B159="","",IF(COUNTIF(Salas_Cod,$B159)=0,"Sala não cadastrada | ","")&amp;IF(AND(COUNTIF(Salas_Cod,$B159)&gt;0,IFERROR(INDEX(Salas_Status,MATCH($B159,Salas_Cod,0)),"")&lt;&gt;"Ativa"),"Sala bloqueada | ","")&amp;IF(COUNTIF(Turnos_Nome,$C159)=0,"Turno inválido | ","")&amp;IF(COUNTIF(Esp_Nome,$F159)=0,"Especialidade não cadastrada | ","")&amp;IF(COUNTIF(Lista_StatusCirurgia,$J159)=0,"Status inválido | ","")&amp;IF(OR(NOT(ISNUMBER($D159)),NOT(ISNUMBER($E159))),"Horário inválido | ","")&amp;IFERROR(IF(AND(ISNUMBER($D159),ISNUMBER($E159),MOD($E159-$D159,1)*1440&lt;=0),"Duração nula ou negativa | ",""),"")&amp;IFERROR(IF(AND(ISNUMBER($D159),COUNTIF(Turnos_Nome,$C159)&gt;0,MOD($D159-INDEX(Turnos_Ini,MATCH($C159,Turnos_Nome,0)),1)*1440&gt;=INDEX(Turnos_Min,MATCH($C159,Turnos_Nome,0))),"Início fora da janela do turno | ",""),"")&amp;IFERROR(IF(AND($L159&gt;0,SUMPRODUCT((Mapa_Sala=$B159)*(Mapa_Data=$A159)*(Mapa_MinOcup&gt;0)*(((MOD(Mapa_IniNum-$O159,1)&lt;MOD($P159-$O159,1))+(MOD($O159-Mapa_IniNum,1)&lt;MOD(Mapa_FimNum-Mapa_IniNum,1)))&gt;0))&gt;1),"Sobreposição de horário na sala | ",""),"")&amp;IFERROR(IF(AND(ISNUMBER($K159),$K159&gt;0,COUNTIF(Esp_Nome,$F159)&gt;0,$K159&gt;3*INDEX(Esp_Dur,MATCH($F159,Esp_Nome,0))),"Duração atípica (&gt;3x a média) | ",""),""))</f>
        <v/>
      </c>
      <c r="O159" s="10">
        <f>IF(ISNUMBER($D159),$D159,0)</f>
        <v/>
      </c>
      <c r="P159" s="10">
        <f>IF(ISNUMBER($E159),$E159,0)</f>
        <v/>
      </c>
    </row>
    <row r="160">
      <c r="A160" s="30" t="n"/>
      <c r="B160" s="24" t="n"/>
      <c r="C160" s="24" t="n"/>
      <c r="D160" s="31" t="n"/>
      <c r="E160" s="31" t="n"/>
      <c r="F160" s="25" t="n"/>
      <c r="G160" s="25" t="n"/>
      <c r="H160" s="25" t="n"/>
      <c r="I160" s="24" t="n"/>
      <c r="J160" s="24" t="n"/>
      <c r="K160" s="32">
        <f>IF(OR($B160="",NOT(ISNUMBER($D160)),NOT(ISNUMBER($E160))),"",ROUND(MOD($E160-$D160,1)*1440,0))</f>
        <v/>
      </c>
      <c r="L160" s="32">
        <f>IF(NOT(ISNUMBER($K160)),0,IF(OR($K160&lt;=0,$J160="Cancelada",$J160="Suspensa"),0,$K160+Setup_Min))</f>
        <v/>
      </c>
      <c r="M160" s="17">
        <f>IF($B160="","",IF($N160="","OK",LEFT($N160,LEN($N160)-3)))</f>
        <v/>
      </c>
      <c r="N160" s="10">
        <f>IF($B160="","",IF(COUNTIF(Salas_Cod,$B160)=0,"Sala não cadastrada | ","")&amp;IF(AND(COUNTIF(Salas_Cod,$B160)&gt;0,IFERROR(INDEX(Salas_Status,MATCH($B160,Salas_Cod,0)),"")&lt;&gt;"Ativa"),"Sala bloqueada | ","")&amp;IF(COUNTIF(Turnos_Nome,$C160)=0,"Turno inválido | ","")&amp;IF(COUNTIF(Esp_Nome,$F160)=0,"Especialidade não cadastrada | ","")&amp;IF(COUNTIF(Lista_StatusCirurgia,$J160)=0,"Status inválido | ","")&amp;IF(OR(NOT(ISNUMBER($D160)),NOT(ISNUMBER($E160))),"Horário inválido | ","")&amp;IFERROR(IF(AND(ISNUMBER($D160),ISNUMBER($E160),MOD($E160-$D160,1)*1440&lt;=0),"Duração nula ou negativa | ",""),"")&amp;IFERROR(IF(AND(ISNUMBER($D160),COUNTIF(Turnos_Nome,$C160)&gt;0,MOD($D160-INDEX(Turnos_Ini,MATCH($C160,Turnos_Nome,0)),1)*1440&gt;=INDEX(Turnos_Min,MATCH($C160,Turnos_Nome,0))),"Início fora da janela do turno | ",""),"")&amp;IFERROR(IF(AND($L160&gt;0,SUMPRODUCT((Mapa_Sala=$B160)*(Mapa_Data=$A160)*(Mapa_MinOcup&gt;0)*(((MOD(Mapa_IniNum-$O160,1)&lt;MOD($P160-$O160,1))+(MOD($O160-Mapa_IniNum,1)&lt;MOD(Mapa_FimNum-Mapa_IniNum,1)))&gt;0))&gt;1),"Sobreposição de horário na sala | ",""),"")&amp;IFERROR(IF(AND(ISNUMBER($K160),$K160&gt;0,COUNTIF(Esp_Nome,$F160)&gt;0,$K160&gt;3*INDEX(Esp_Dur,MATCH($F160,Esp_Nome,0))),"Duração atípica (&gt;3x a média) | ",""),""))</f>
        <v/>
      </c>
      <c r="O160" s="10">
        <f>IF(ISNUMBER($D160),$D160,0)</f>
        <v/>
      </c>
      <c r="P160" s="10">
        <f>IF(ISNUMBER($E160),$E160,0)</f>
        <v/>
      </c>
    </row>
    <row r="161">
      <c r="A161" s="30" t="n"/>
      <c r="B161" s="24" t="n"/>
      <c r="C161" s="24" t="n"/>
      <c r="D161" s="31" t="n"/>
      <c r="E161" s="31" t="n"/>
      <c r="F161" s="25" t="n"/>
      <c r="G161" s="25" t="n"/>
      <c r="H161" s="25" t="n"/>
      <c r="I161" s="24" t="n"/>
      <c r="J161" s="24" t="n"/>
      <c r="K161" s="32">
        <f>IF(OR($B161="",NOT(ISNUMBER($D161)),NOT(ISNUMBER($E161))),"",ROUND(MOD($E161-$D161,1)*1440,0))</f>
        <v/>
      </c>
      <c r="L161" s="32">
        <f>IF(NOT(ISNUMBER($K161)),0,IF(OR($K161&lt;=0,$J161="Cancelada",$J161="Suspensa"),0,$K161+Setup_Min))</f>
        <v/>
      </c>
      <c r="M161" s="17">
        <f>IF($B161="","",IF($N161="","OK",LEFT($N161,LEN($N161)-3)))</f>
        <v/>
      </c>
      <c r="N161" s="10">
        <f>IF($B161="","",IF(COUNTIF(Salas_Cod,$B161)=0,"Sala não cadastrada | ","")&amp;IF(AND(COUNTIF(Salas_Cod,$B161)&gt;0,IFERROR(INDEX(Salas_Status,MATCH($B161,Salas_Cod,0)),"")&lt;&gt;"Ativa"),"Sala bloqueada | ","")&amp;IF(COUNTIF(Turnos_Nome,$C161)=0,"Turno inválido | ","")&amp;IF(COUNTIF(Esp_Nome,$F161)=0,"Especialidade não cadastrada | ","")&amp;IF(COUNTIF(Lista_StatusCirurgia,$J161)=0,"Status inválido | ","")&amp;IF(OR(NOT(ISNUMBER($D161)),NOT(ISNUMBER($E161))),"Horário inválido | ","")&amp;IFERROR(IF(AND(ISNUMBER($D161),ISNUMBER($E161),MOD($E161-$D161,1)*1440&lt;=0),"Duração nula ou negativa | ",""),"")&amp;IFERROR(IF(AND(ISNUMBER($D161),COUNTIF(Turnos_Nome,$C161)&gt;0,MOD($D161-INDEX(Turnos_Ini,MATCH($C161,Turnos_Nome,0)),1)*1440&gt;=INDEX(Turnos_Min,MATCH($C161,Turnos_Nome,0))),"Início fora da janela do turno | ",""),"")&amp;IFERROR(IF(AND($L161&gt;0,SUMPRODUCT((Mapa_Sala=$B161)*(Mapa_Data=$A161)*(Mapa_MinOcup&gt;0)*(((MOD(Mapa_IniNum-$O161,1)&lt;MOD($P161-$O161,1))+(MOD($O161-Mapa_IniNum,1)&lt;MOD(Mapa_FimNum-Mapa_IniNum,1)))&gt;0))&gt;1),"Sobreposição de horário na sala | ",""),"")&amp;IFERROR(IF(AND(ISNUMBER($K161),$K161&gt;0,COUNTIF(Esp_Nome,$F161)&gt;0,$K161&gt;3*INDEX(Esp_Dur,MATCH($F161,Esp_Nome,0))),"Duração atípica (&gt;3x a média) | ",""),""))</f>
        <v/>
      </c>
      <c r="O161" s="10">
        <f>IF(ISNUMBER($D161),$D161,0)</f>
        <v/>
      </c>
      <c r="P161" s="10">
        <f>IF(ISNUMBER($E161),$E161,0)</f>
        <v/>
      </c>
    </row>
    <row r="162">
      <c r="A162" s="30" t="n"/>
      <c r="B162" s="24" t="n"/>
      <c r="C162" s="24" t="n"/>
      <c r="D162" s="31" t="n"/>
      <c r="E162" s="31" t="n"/>
      <c r="F162" s="25" t="n"/>
      <c r="G162" s="25" t="n"/>
      <c r="H162" s="25" t="n"/>
      <c r="I162" s="24" t="n"/>
      <c r="J162" s="24" t="n"/>
      <c r="K162" s="32">
        <f>IF(OR($B162="",NOT(ISNUMBER($D162)),NOT(ISNUMBER($E162))),"",ROUND(MOD($E162-$D162,1)*1440,0))</f>
        <v/>
      </c>
      <c r="L162" s="32">
        <f>IF(NOT(ISNUMBER($K162)),0,IF(OR($K162&lt;=0,$J162="Cancelada",$J162="Suspensa"),0,$K162+Setup_Min))</f>
        <v/>
      </c>
      <c r="M162" s="17">
        <f>IF($B162="","",IF($N162="","OK",LEFT($N162,LEN($N162)-3)))</f>
        <v/>
      </c>
      <c r="N162" s="10">
        <f>IF($B162="","",IF(COUNTIF(Salas_Cod,$B162)=0,"Sala não cadastrada | ","")&amp;IF(AND(COUNTIF(Salas_Cod,$B162)&gt;0,IFERROR(INDEX(Salas_Status,MATCH($B162,Salas_Cod,0)),"")&lt;&gt;"Ativa"),"Sala bloqueada | ","")&amp;IF(COUNTIF(Turnos_Nome,$C162)=0,"Turno inválido | ","")&amp;IF(COUNTIF(Esp_Nome,$F162)=0,"Especialidade não cadastrada | ","")&amp;IF(COUNTIF(Lista_StatusCirurgia,$J162)=0,"Status inválido | ","")&amp;IF(OR(NOT(ISNUMBER($D162)),NOT(ISNUMBER($E162))),"Horário inválido | ","")&amp;IFERROR(IF(AND(ISNUMBER($D162),ISNUMBER($E162),MOD($E162-$D162,1)*1440&lt;=0),"Duração nula ou negativa | ",""),"")&amp;IFERROR(IF(AND(ISNUMBER($D162),COUNTIF(Turnos_Nome,$C162)&gt;0,MOD($D162-INDEX(Turnos_Ini,MATCH($C162,Turnos_Nome,0)),1)*1440&gt;=INDEX(Turnos_Min,MATCH($C162,Turnos_Nome,0))),"Início fora da janela do turno | ",""),"")&amp;IFERROR(IF(AND($L162&gt;0,SUMPRODUCT((Mapa_Sala=$B162)*(Mapa_Data=$A162)*(Mapa_MinOcup&gt;0)*(((MOD(Mapa_IniNum-$O162,1)&lt;MOD($P162-$O162,1))+(MOD($O162-Mapa_IniNum,1)&lt;MOD(Mapa_FimNum-Mapa_IniNum,1)))&gt;0))&gt;1),"Sobreposição de horário na sala | ",""),"")&amp;IFERROR(IF(AND(ISNUMBER($K162),$K162&gt;0,COUNTIF(Esp_Nome,$F162)&gt;0,$K162&gt;3*INDEX(Esp_Dur,MATCH($F162,Esp_Nome,0))),"Duração atípica (&gt;3x a média) | ",""),""))</f>
        <v/>
      </c>
      <c r="O162" s="10">
        <f>IF(ISNUMBER($D162),$D162,0)</f>
        <v/>
      </c>
      <c r="P162" s="10">
        <f>IF(ISNUMBER($E162),$E162,0)</f>
        <v/>
      </c>
    </row>
    <row r="163">
      <c r="A163" s="30" t="n"/>
      <c r="B163" s="24" t="n"/>
      <c r="C163" s="24" t="n"/>
      <c r="D163" s="31" t="n"/>
      <c r="E163" s="31" t="n"/>
      <c r="F163" s="25" t="n"/>
      <c r="G163" s="25" t="n"/>
      <c r="H163" s="25" t="n"/>
      <c r="I163" s="24" t="n"/>
      <c r="J163" s="24" t="n"/>
      <c r="K163" s="32">
        <f>IF(OR($B163="",NOT(ISNUMBER($D163)),NOT(ISNUMBER($E163))),"",ROUND(MOD($E163-$D163,1)*1440,0))</f>
        <v/>
      </c>
      <c r="L163" s="32">
        <f>IF(NOT(ISNUMBER($K163)),0,IF(OR($K163&lt;=0,$J163="Cancelada",$J163="Suspensa"),0,$K163+Setup_Min))</f>
        <v/>
      </c>
      <c r="M163" s="17">
        <f>IF($B163="","",IF($N163="","OK",LEFT($N163,LEN($N163)-3)))</f>
        <v/>
      </c>
      <c r="N163" s="10">
        <f>IF($B163="","",IF(COUNTIF(Salas_Cod,$B163)=0,"Sala não cadastrada | ","")&amp;IF(AND(COUNTIF(Salas_Cod,$B163)&gt;0,IFERROR(INDEX(Salas_Status,MATCH($B163,Salas_Cod,0)),"")&lt;&gt;"Ativa"),"Sala bloqueada | ","")&amp;IF(COUNTIF(Turnos_Nome,$C163)=0,"Turno inválido | ","")&amp;IF(COUNTIF(Esp_Nome,$F163)=0,"Especialidade não cadastrada | ","")&amp;IF(COUNTIF(Lista_StatusCirurgia,$J163)=0,"Status inválido | ","")&amp;IF(OR(NOT(ISNUMBER($D163)),NOT(ISNUMBER($E163))),"Horário inválido | ","")&amp;IFERROR(IF(AND(ISNUMBER($D163),ISNUMBER($E163),MOD($E163-$D163,1)*1440&lt;=0),"Duração nula ou negativa | ",""),"")&amp;IFERROR(IF(AND(ISNUMBER($D163),COUNTIF(Turnos_Nome,$C163)&gt;0,MOD($D163-INDEX(Turnos_Ini,MATCH($C163,Turnos_Nome,0)),1)*1440&gt;=INDEX(Turnos_Min,MATCH($C163,Turnos_Nome,0))),"Início fora da janela do turno | ",""),"")&amp;IFERROR(IF(AND($L163&gt;0,SUMPRODUCT((Mapa_Sala=$B163)*(Mapa_Data=$A163)*(Mapa_MinOcup&gt;0)*(((MOD(Mapa_IniNum-$O163,1)&lt;MOD($P163-$O163,1))+(MOD($O163-Mapa_IniNum,1)&lt;MOD(Mapa_FimNum-Mapa_IniNum,1)))&gt;0))&gt;1),"Sobreposição de horário na sala | ",""),"")&amp;IFERROR(IF(AND(ISNUMBER($K163),$K163&gt;0,COUNTIF(Esp_Nome,$F163)&gt;0,$K163&gt;3*INDEX(Esp_Dur,MATCH($F163,Esp_Nome,0))),"Duração atípica (&gt;3x a média) | ",""),""))</f>
        <v/>
      </c>
      <c r="O163" s="10">
        <f>IF(ISNUMBER($D163),$D163,0)</f>
        <v/>
      </c>
      <c r="P163" s="10">
        <f>IF(ISNUMBER($E163),$E163,0)</f>
        <v/>
      </c>
    </row>
    <row r="164">
      <c r="A164" s="30" t="n"/>
      <c r="B164" s="24" t="n"/>
      <c r="C164" s="24" t="n"/>
      <c r="D164" s="31" t="n"/>
      <c r="E164" s="31" t="n"/>
      <c r="F164" s="25" t="n"/>
      <c r="G164" s="25" t="n"/>
      <c r="H164" s="25" t="n"/>
      <c r="I164" s="24" t="n"/>
      <c r="J164" s="24" t="n"/>
      <c r="K164" s="32">
        <f>IF(OR($B164="",NOT(ISNUMBER($D164)),NOT(ISNUMBER($E164))),"",ROUND(MOD($E164-$D164,1)*1440,0))</f>
        <v/>
      </c>
      <c r="L164" s="32">
        <f>IF(NOT(ISNUMBER($K164)),0,IF(OR($K164&lt;=0,$J164="Cancelada",$J164="Suspensa"),0,$K164+Setup_Min))</f>
        <v/>
      </c>
      <c r="M164" s="17">
        <f>IF($B164="","",IF($N164="","OK",LEFT($N164,LEN($N164)-3)))</f>
        <v/>
      </c>
      <c r="N164" s="10">
        <f>IF($B164="","",IF(COUNTIF(Salas_Cod,$B164)=0,"Sala não cadastrada | ","")&amp;IF(AND(COUNTIF(Salas_Cod,$B164)&gt;0,IFERROR(INDEX(Salas_Status,MATCH($B164,Salas_Cod,0)),"")&lt;&gt;"Ativa"),"Sala bloqueada | ","")&amp;IF(COUNTIF(Turnos_Nome,$C164)=0,"Turno inválido | ","")&amp;IF(COUNTIF(Esp_Nome,$F164)=0,"Especialidade não cadastrada | ","")&amp;IF(COUNTIF(Lista_StatusCirurgia,$J164)=0,"Status inválido | ","")&amp;IF(OR(NOT(ISNUMBER($D164)),NOT(ISNUMBER($E164))),"Horário inválido | ","")&amp;IFERROR(IF(AND(ISNUMBER($D164),ISNUMBER($E164),MOD($E164-$D164,1)*1440&lt;=0),"Duração nula ou negativa | ",""),"")&amp;IFERROR(IF(AND(ISNUMBER($D164),COUNTIF(Turnos_Nome,$C164)&gt;0,MOD($D164-INDEX(Turnos_Ini,MATCH($C164,Turnos_Nome,0)),1)*1440&gt;=INDEX(Turnos_Min,MATCH($C164,Turnos_Nome,0))),"Início fora da janela do turno | ",""),"")&amp;IFERROR(IF(AND($L164&gt;0,SUMPRODUCT((Mapa_Sala=$B164)*(Mapa_Data=$A164)*(Mapa_MinOcup&gt;0)*(((MOD(Mapa_IniNum-$O164,1)&lt;MOD($P164-$O164,1))+(MOD($O164-Mapa_IniNum,1)&lt;MOD(Mapa_FimNum-Mapa_IniNum,1)))&gt;0))&gt;1),"Sobreposição de horário na sala | ",""),"")&amp;IFERROR(IF(AND(ISNUMBER($K164),$K164&gt;0,COUNTIF(Esp_Nome,$F164)&gt;0,$K164&gt;3*INDEX(Esp_Dur,MATCH($F164,Esp_Nome,0))),"Duração atípica (&gt;3x a média) | ",""),""))</f>
        <v/>
      </c>
      <c r="O164" s="10">
        <f>IF(ISNUMBER($D164),$D164,0)</f>
        <v/>
      </c>
      <c r="P164" s="10">
        <f>IF(ISNUMBER($E164),$E164,0)</f>
        <v/>
      </c>
    </row>
    <row r="165">
      <c r="A165" s="30" t="n"/>
      <c r="B165" s="24" t="n"/>
      <c r="C165" s="24" t="n"/>
      <c r="D165" s="31" t="n"/>
      <c r="E165" s="31" t="n"/>
      <c r="F165" s="25" t="n"/>
      <c r="G165" s="25" t="n"/>
      <c r="H165" s="25" t="n"/>
      <c r="I165" s="24" t="n"/>
      <c r="J165" s="24" t="n"/>
      <c r="K165" s="32">
        <f>IF(OR($B165="",NOT(ISNUMBER($D165)),NOT(ISNUMBER($E165))),"",ROUND(MOD($E165-$D165,1)*1440,0))</f>
        <v/>
      </c>
      <c r="L165" s="32">
        <f>IF(NOT(ISNUMBER($K165)),0,IF(OR($K165&lt;=0,$J165="Cancelada",$J165="Suspensa"),0,$K165+Setup_Min))</f>
        <v/>
      </c>
      <c r="M165" s="17">
        <f>IF($B165="","",IF($N165="","OK",LEFT($N165,LEN($N165)-3)))</f>
        <v/>
      </c>
      <c r="N165" s="10">
        <f>IF($B165="","",IF(COUNTIF(Salas_Cod,$B165)=0,"Sala não cadastrada | ","")&amp;IF(AND(COUNTIF(Salas_Cod,$B165)&gt;0,IFERROR(INDEX(Salas_Status,MATCH($B165,Salas_Cod,0)),"")&lt;&gt;"Ativa"),"Sala bloqueada | ","")&amp;IF(COUNTIF(Turnos_Nome,$C165)=0,"Turno inválido | ","")&amp;IF(COUNTIF(Esp_Nome,$F165)=0,"Especialidade não cadastrada | ","")&amp;IF(COUNTIF(Lista_StatusCirurgia,$J165)=0,"Status inválido | ","")&amp;IF(OR(NOT(ISNUMBER($D165)),NOT(ISNUMBER($E165))),"Horário inválido | ","")&amp;IFERROR(IF(AND(ISNUMBER($D165),ISNUMBER($E165),MOD($E165-$D165,1)*1440&lt;=0),"Duração nula ou negativa | ",""),"")&amp;IFERROR(IF(AND(ISNUMBER($D165),COUNTIF(Turnos_Nome,$C165)&gt;0,MOD($D165-INDEX(Turnos_Ini,MATCH($C165,Turnos_Nome,0)),1)*1440&gt;=INDEX(Turnos_Min,MATCH($C165,Turnos_Nome,0))),"Início fora da janela do turno | ",""),"")&amp;IFERROR(IF(AND($L165&gt;0,SUMPRODUCT((Mapa_Sala=$B165)*(Mapa_Data=$A165)*(Mapa_MinOcup&gt;0)*(((MOD(Mapa_IniNum-$O165,1)&lt;MOD($P165-$O165,1))+(MOD($O165-Mapa_IniNum,1)&lt;MOD(Mapa_FimNum-Mapa_IniNum,1)))&gt;0))&gt;1),"Sobreposição de horário na sala | ",""),"")&amp;IFERROR(IF(AND(ISNUMBER($K165),$K165&gt;0,COUNTIF(Esp_Nome,$F165)&gt;0,$K165&gt;3*INDEX(Esp_Dur,MATCH($F165,Esp_Nome,0))),"Duração atípica (&gt;3x a média) | ",""),""))</f>
        <v/>
      </c>
      <c r="O165" s="10">
        <f>IF(ISNUMBER($D165),$D165,0)</f>
        <v/>
      </c>
      <c r="P165" s="10">
        <f>IF(ISNUMBER($E165),$E165,0)</f>
        <v/>
      </c>
    </row>
    <row r="166">
      <c r="A166" s="30" t="n"/>
      <c r="B166" s="24" t="n"/>
      <c r="C166" s="24" t="n"/>
      <c r="D166" s="31" t="n"/>
      <c r="E166" s="31" t="n"/>
      <c r="F166" s="25" t="n"/>
      <c r="G166" s="25" t="n"/>
      <c r="H166" s="25" t="n"/>
      <c r="I166" s="24" t="n"/>
      <c r="J166" s="24" t="n"/>
      <c r="K166" s="32">
        <f>IF(OR($B166="",NOT(ISNUMBER($D166)),NOT(ISNUMBER($E166))),"",ROUND(MOD($E166-$D166,1)*1440,0))</f>
        <v/>
      </c>
      <c r="L166" s="32">
        <f>IF(NOT(ISNUMBER($K166)),0,IF(OR($K166&lt;=0,$J166="Cancelada",$J166="Suspensa"),0,$K166+Setup_Min))</f>
        <v/>
      </c>
      <c r="M166" s="17">
        <f>IF($B166="","",IF($N166="","OK",LEFT($N166,LEN($N166)-3)))</f>
        <v/>
      </c>
      <c r="N166" s="10">
        <f>IF($B166="","",IF(COUNTIF(Salas_Cod,$B166)=0,"Sala não cadastrada | ","")&amp;IF(AND(COUNTIF(Salas_Cod,$B166)&gt;0,IFERROR(INDEX(Salas_Status,MATCH($B166,Salas_Cod,0)),"")&lt;&gt;"Ativa"),"Sala bloqueada | ","")&amp;IF(COUNTIF(Turnos_Nome,$C166)=0,"Turno inválido | ","")&amp;IF(COUNTIF(Esp_Nome,$F166)=0,"Especialidade não cadastrada | ","")&amp;IF(COUNTIF(Lista_StatusCirurgia,$J166)=0,"Status inválido | ","")&amp;IF(OR(NOT(ISNUMBER($D166)),NOT(ISNUMBER($E166))),"Horário inválido | ","")&amp;IFERROR(IF(AND(ISNUMBER($D166),ISNUMBER($E166),MOD($E166-$D166,1)*1440&lt;=0),"Duração nula ou negativa | ",""),"")&amp;IFERROR(IF(AND(ISNUMBER($D166),COUNTIF(Turnos_Nome,$C166)&gt;0,MOD($D166-INDEX(Turnos_Ini,MATCH($C166,Turnos_Nome,0)),1)*1440&gt;=INDEX(Turnos_Min,MATCH($C166,Turnos_Nome,0))),"Início fora da janela do turno | ",""),"")&amp;IFERROR(IF(AND($L166&gt;0,SUMPRODUCT((Mapa_Sala=$B166)*(Mapa_Data=$A166)*(Mapa_MinOcup&gt;0)*(((MOD(Mapa_IniNum-$O166,1)&lt;MOD($P166-$O166,1))+(MOD($O166-Mapa_IniNum,1)&lt;MOD(Mapa_FimNum-Mapa_IniNum,1)))&gt;0))&gt;1),"Sobreposição de horário na sala | ",""),"")&amp;IFERROR(IF(AND(ISNUMBER($K166),$K166&gt;0,COUNTIF(Esp_Nome,$F166)&gt;0,$K166&gt;3*INDEX(Esp_Dur,MATCH($F166,Esp_Nome,0))),"Duração atípica (&gt;3x a média) | ",""),""))</f>
        <v/>
      </c>
      <c r="O166" s="10">
        <f>IF(ISNUMBER($D166),$D166,0)</f>
        <v/>
      </c>
      <c r="P166" s="10">
        <f>IF(ISNUMBER($E166),$E166,0)</f>
        <v/>
      </c>
    </row>
    <row r="167">
      <c r="A167" s="30" t="n"/>
      <c r="B167" s="24" t="n"/>
      <c r="C167" s="24" t="n"/>
      <c r="D167" s="31" t="n"/>
      <c r="E167" s="31" t="n"/>
      <c r="F167" s="25" t="n"/>
      <c r="G167" s="25" t="n"/>
      <c r="H167" s="25" t="n"/>
      <c r="I167" s="24" t="n"/>
      <c r="J167" s="24" t="n"/>
      <c r="K167" s="32">
        <f>IF(OR($B167="",NOT(ISNUMBER($D167)),NOT(ISNUMBER($E167))),"",ROUND(MOD($E167-$D167,1)*1440,0))</f>
        <v/>
      </c>
      <c r="L167" s="32">
        <f>IF(NOT(ISNUMBER($K167)),0,IF(OR($K167&lt;=0,$J167="Cancelada",$J167="Suspensa"),0,$K167+Setup_Min))</f>
        <v/>
      </c>
      <c r="M167" s="17">
        <f>IF($B167="","",IF($N167="","OK",LEFT($N167,LEN($N167)-3)))</f>
        <v/>
      </c>
      <c r="N167" s="10">
        <f>IF($B167="","",IF(COUNTIF(Salas_Cod,$B167)=0,"Sala não cadastrada | ","")&amp;IF(AND(COUNTIF(Salas_Cod,$B167)&gt;0,IFERROR(INDEX(Salas_Status,MATCH($B167,Salas_Cod,0)),"")&lt;&gt;"Ativa"),"Sala bloqueada | ","")&amp;IF(COUNTIF(Turnos_Nome,$C167)=0,"Turno inválido | ","")&amp;IF(COUNTIF(Esp_Nome,$F167)=0,"Especialidade não cadastrada | ","")&amp;IF(COUNTIF(Lista_StatusCirurgia,$J167)=0,"Status inválido | ","")&amp;IF(OR(NOT(ISNUMBER($D167)),NOT(ISNUMBER($E167))),"Horário inválido | ","")&amp;IFERROR(IF(AND(ISNUMBER($D167),ISNUMBER($E167),MOD($E167-$D167,1)*1440&lt;=0),"Duração nula ou negativa | ",""),"")&amp;IFERROR(IF(AND(ISNUMBER($D167),COUNTIF(Turnos_Nome,$C167)&gt;0,MOD($D167-INDEX(Turnos_Ini,MATCH($C167,Turnos_Nome,0)),1)*1440&gt;=INDEX(Turnos_Min,MATCH($C167,Turnos_Nome,0))),"Início fora da janela do turno | ",""),"")&amp;IFERROR(IF(AND($L167&gt;0,SUMPRODUCT((Mapa_Sala=$B167)*(Mapa_Data=$A167)*(Mapa_MinOcup&gt;0)*(((MOD(Mapa_IniNum-$O167,1)&lt;MOD($P167-$O167,1))+(MOD($O167-Mapa_IniNum,1)&lt;MOD(Mapa_FimNum-Mapa_IniNum,1)))&gt;0))&gt;1),"Sobreposição de horário na sala | ",""),"")&amp;IFERROR(IF(AND(ISNUMBER($K167),$K167&gt;0,COUNTIF(Esp_Nome,$F167)&gt;0,$K167&gt;3*INDEX(Esp_Dur,MATCH($F167,Esp_Nome,0))),"Duração atípica (&gt;3x a média) | ",""),""))</f>
        <v/>
      </c>
      <c r="O167" s="10">
        <f>IF(ISNUMBER($D167),$D167,0)</f>
        <v/>
      </c>
      <c r="P167" s="10">
        <f>IF(ISNUMBER($E167),$E167,0)</f>
        <v/>
      </c>
    </row>
    <row r="168">
      <c r="A168" s="30" t="n"/>
      <c r="B168" s="24" t="n"/>
      <c r="C168" s="24" t="n"/>
      <c r="D168" s="31" t="n"/>
      <c r="E168" s="31" t="n"/>
      <c r="F168" s="25" t="n"/>
      <c r="G168" s="25" t="n"/>
      <c r="H168" s="25" t="n"/>
      <c r="I168" s="24" t="n"/>
      <c r="J168" s="24" t="n"/>
      <c r="K168" s="32">
        <f>IF(OR($B168="",NOT(ISNUMBER($D168)),NOT(ISNUMBER($E168))),"",ROUND(MOD($E168-$D168,1)*1440,0))</f>
        <v/>
      </c>
      <c r="L168" s="32">
        <f>IF(NOT(ISNUMBER($K168)),0,IF(OR($K168&lt;=0,$J168="Cancelada",$J168="Suspensa"),0,$K168+Setup_Min))</f>
        <v/>
      </c>
      <c r="M168" s="17">
        <f>IF($B168="","",IF($N168="","OK",LEFT($N168,LEN($N168)-3)))</f>
        <v/>
      </c>
      <c r="N168" s="10">
        <f>IF($B168="","",IF(COUNTIF(Salas_Cod,$B168)=0,"Sala não cadastrada | ","")&amp;IF(AND(COUNTIF(Salas_Cod,$B168)&gt;0,IFERROR(INDEX(Salas_Status,MATCH($B168,Salas_Cod,0)),"")&lt;&gt;"Ativa"),"Sala bloqueada | ","")&amp;IF(COUNTIF(Turnos_Nome,$C168)=0,"Turno inválido | ","")&amp;IF(COUNTIF(Esp_Nome,$F168)=0,"Especialidade não cadastrada | ","")&amp;IF(COUNTIF(Lista_StatusCirurgia,$J168)=0,"Status inválido | ","")&amp;IF(OR(NOT(ISNUMBER($D168)),NOT(ISNUMBER($E168))),"Horário inválido | ","")&amp;IFERROR(IF(AND(ISNUMBER($D168),ISNUMBER($E168),MOD($E168-$D168,1)*1440&lt;=0),"Duração nula ou negativa | ",""),"")&amp;IFERROR(IF(AND(ISNUMBER($D168),COUNTIF(Turnos_Nome,$C168)&gt;0,MOD($D168-INDEX(Turnos_Ini,MATCH($C168,Turnos_Nome,0)),1)*1440&gt;=INDEX(Turnos_Min,MATCH($C168,Turnos_Nome,0))),"Início fora da janela do turno | ",""),"")&amp;IFERROR(IF(AND($L168&gt;0,SUMPRODUCT((Mapa_Sala=$B168)*(Mapa_Data=$A168)*(Mapa_MinOcup&gt;0)*(((MOD(Mapa_IniNum-$O168,1)&lt;MOD($P168-$O168,1))+(MOD($O168-Mapa_IniNum,1)&lt;MOD(Mapa_FimNum-Mapa_IniNum,1)))&gt;0))&gt;1),"Sobreposição de horário na sala | ",""),"")&amp;IFERROR(IF(AND(ISNUMBER($K168),$K168&gt;0,COUNTIF(Esp_Nome,$F168)&gt;0,$K168&gt;3*INDEX(Esp_Dur,MATCH($F168,Esp_Nome,0))),"Duração atípica (&gt;3x a média) | ",""),""))</f>
        <v/>
      </c>
      <c r="O168" s="10">
        <f>IF(ISNUMBER($D168),$D168,0)</f>
        <v/>
      </c>
      <c r="P168" s="10">
        <f>IF(ISNUMBER($E168),$E168,0)</f>
        <v/>
      </c>
    </row>
    <row r="169">
      <c r="A169" s="30" t="n"/>
      <c r="B169" s="24" t="n"/>
      <c r="C169" s="24" t="n"/>
      <c r="D169" s="31" t="n"/>
      <c r="E169" s="31" t="n"/>
      <c r="F169" s="25" t="n"/>
      <c r="G169" s="25" t="n"/>
      <c r="H169" s="25" t="n"/>
      <c r="I169" s="24" t="n"/>
      <c r="J169" s="24" t="n"/>
      <c r="K169" s="32">
        <f>IF(OR($B169="",NOT(ISNUMBER($D169)),NOT(ISNUMBER($E169))),"",ROUND(MOD($E169-$D169,1)*1440,0))</f>
        <v/>
      </c>
      <c r="L169" s="32">
        <f>IF(NOT(ISNUMBER($K169)),0,IF(OR($K169&lt;=0,$J169="Cancelada",$J169="Suspensa"),0,$K169+Setup_Min))</f>
        <v/>
      </c>
      <c r="M169" s="17">
        <f>IF($B169="","",IF($N169="","OK",LEFT($N169,LEN($N169)-3)))</f>
        <v/>
      </c>
      <c r="N169" s="10">
        <f>IF($B169="","",IF(COUNTIF(Salas_Cod,$B169)=0,"Sala não cadastrada | ","")&amp;IF(AND(COUNTIF(Salas_Cod,$B169)&gt;0,IFERROR(INDEX(Salas_Status,MATCH($B169,Salas_Cod,0)),"")&lt;&gt;"Ativa"),"Sala bloqueada | ","")&amp;IF(COUNTIF(Turnos_Nome,$C169)=0,"Turno inválido | ","")&amp;IF(COUNTIF(Esp_Nome,$F169)=0,"Especialidade não cadastrada | ","")&amp;IF(COUNTIF(Lista_StatusCirurgia,$J169)=0,"Status inválido | ","")&amp;IF(OR(NOT(ISNUMBER($D169)),NOT(ISNUMBER($E169))),"Horário inválido | ","")&amp;IFERROR(IF(AND(ISNUMBER($D169),ISNUMBER($E169),MOD($E169-$D169,1)*1440&lt;=0),"Duração nula ou negativa | ",""),"")&amp;IFERROR(IF(AND(ISNUMBER($D169),COUNTIF(Turnos_Nome,$C169)&gt;0,MOD($D169-INDEX(Turnos_Ini,MATCH($C169,Turnos_Nome,0)),1)*1440&gt;=INDEX(Turnos_Min,MATCH($C169,Turnos_Nome,0))),"Início fora da janela do turno | ",""),"")&amp;IFERROR(IF(AND($L169&gt;0,SUMPRODUCT((Mapa_Sala=$B169)*(Mapa_Data=$A169)*(Mapa_MinOcup&gt;0)*(((MOD(Mapa_IniNum-$O169,1)&lt;MOD($P169-$O169,1))+(MOD($O169-Mapa_IniNum,1)&lt;MOD(Mapa_FimNum-Mapa_IniNum,1)))&gt;0))&gt;1),"Sobreposição de horário na sala | ",""),"")&amp;IFERROR(IF(AND(ISNUMBER($K169),$K169&gt;0,COUNTIF(Esp_Nome,$F169)&gt;0,$K169&gt;3*INDEX(Esp_Dur,MATCH($F169,Esp_Nome,0))),"Duração atípica (&gt;3x a média) | ",""),""))</f>
        <v/>
      </c>
      <c r="O169" s="10">
        <f>IF(ISNUMBER($D169),$D169,0)</f>
        <v/>
      </c>
      <c r="P169" s="10">
        <f>IF(ISNUMBER($E169),$E169,0)</f>
        <v/>
      </c>
    </row>
    <row r="170">
      <c r="A170" s="30" t="n"/>
      <c r="B170" s="24" t="n"/>
      <c r="C170" s="24" t="n"/>
      <c r="D170" s="31" t="n"/>
      <c r="E170" s="31" t="n"/>
      <c r="F170" s="25" t="n"/>
      <c r="G170" s="25" t="n"/>
      <c r="H170" s="25" t="n"/>
      <c r="I170" s="24" t="n"/>
      <c r="J170" s="24" t="n"/>
      <c r="K170" s="32">
        <f>IF(OR($B170="",NOT(ISNUMBER($D170)),NOT(ISNUMBER($E170))),"",ROUND(MOD($E170-$D170,1)*1440,0))</f>
        <v/>
      </c>
      <c r="L170" s="32">
        <f>IF(NOT(ISNUMBER($K170)),0,IF(OR($K170&lt;=0,$J170="Cancelada",$J170="Suspensa"),0,$K170+Setup_Min))</f>
        <v/>
      </c>
      <c r="M170" s="17">
        <f>IF($B170="","",IF($N170="","OK",LEFT($N170,LEN($N170)-3)))</f>
        <v/>
      </c>
      <c r="N170" s="10">
        <f>IF($B170="","",IF(COUNTIF(Salas_Cod,$B170)=0,"Sala não cadastrada | ","")&amp;IF(AND(COUNTIF(Salas_Cod,$B170)&gt;0,IFERROR(INDEX(Salas_Status,MATCH($B170,Salas_Cod,0)),"")&lt;&gt;"Ativa"),"Sala bloqueada | ","")&amp;IF(COUNTIF(Turnos_Nome,$C170)=0,"Turno inválido | ","")&amp;IF(COUNTIF(Esp_Nome,$F170)=0,"Especialidade não cadastrada | ","")&amp;IF(COUNTIF(Lista_StatusCirurgia,$J170)=0,"Status inválido | ","")&amp;IF(OR(NOT(ISNUMBER($D170)),NOT(ISNUMBER($E170))),"Horário inválido | ","")&amp;IFERROR(IF(AND(ISNUMBER($D170),ISNUMBER($E170),MOD($E170-$D170,1)*1440&lt;=0),"Duração nula ou negativa | ",""),"")&amp;IFERROR(IF(AND(ISNUMBER($D170),COUNTIF(Turnos_Nome,$C170)&gt;0,MOD($D170-INDEX(Turnos_Ini,MATCH($C170,Turnos_Nome,0)),1)*1440&gt;=INDEX(Turnos_Min,MATCH($C170,Turnos_Nome,0))),"Início fora da janela do turno | ",""),"")&amp;IFERROR(IF(AND($L170&gt;0,SUMPRODUCT((Mapa_Sala=$B170)*(Mapa_Data=$A170)*(Mapa_MinOcup&gt;0)*(((MOD(Mapa_IniNum-$O170,1)&lt;MOD($P170-$O170,1))+(MOD($O170-Mapa_IniNum,1)&lt;MOD(Mapa_FimNum-Mapa_IniNum,1)))&gt;0))&gt;1),"Sobreposição de horário na sala | ",""),"")&amp;IFERROR(IF(AND(ISNUMBER($K170),$K170&gt;0,COUNTIF(Esp_Nome,$F170)&gt;0,$K170&gt;3*INDEX(Esp_Dur,MATCH($F170,Esp_Nome,0))),"Duração atípica (&gt;3x a média) | ",""),""))</f>
        <v/>
      </c>
      <c r="O170" s="10">
        <f>IF(ISNUMBER($D170),$D170,0)</f>
        <v/>
      </c>
      <c r="P170" s="10">
        <f>IF(ISNUMBER($E170),$E170,0)</f>
        <v/>
      </c>
    </row>
    <row r="171">
      <c r="A171" s="30" t="n"/>
      <c r="B171" s="24" t="n"/>
      <c r="C171" s="24" t="n"/>
      <c r="D171" s="31" t="n"/>
      <c r="E171" s="31" t="n"/>
      <c r="F171" s="25" t="n"/>
      <c r="G171" s="25" t="n"/>
      <c r="H171" s="25" t="n"/>
      <c r="I171" s="24" t="n"/>
      <c r="J171" s="24" t="n"/>
      <c r="K171" s="32">
        <f>IF(OR($B171="",NOT(ISNUMBER($D171)),NOT(ISNUMBER($E171))),"",ROUND(MOD($E171-$D171,1)*1440,0))</f>
        <v/>
      </c>
      <c r="L171" s="32">
        <f>IF(NOT(ISNUMBER($K171)),0,IF(OR($K171&lt;=0,$J171="Cancelada",$J171="Suspensa"),0,$K171+Setup_Min))</f>
        <v/>
      </c>
      <c r="M171" s="17">
        <f>IF($B171="","",IF($N171="","OK",LEFT($N171,LEN($N171)-3)))</f>
        <v/>
      </c>
      <c r="N171" s="10">
        <f>IF($B171="","",IF(COUNTIF(Salas_Cod,$B171)=0,"Sala não cadastrada | ","")&amp;IF(AND(COUNTIF(Salas_Cod,$B171)&gt;0,IFERROR(INDEX(Salas_Status,MATCH($B171,Salas_Cod,0)),"")&lt;&gt;"Ativa"),"Sala bloqueada | ","")&amp;IF(COUNTIF(Turnos_Nome,$C171)=0,"Turno inválido | ","")&amp;IF(COUNTIF(Esp_Nome,$F171)=0,"Especialidade não cadastrada | ","")&amp;IF(COUNTIF(Lista_StatusCirurgia,$J171)=0,"Status inválido | ","")&amp;IF(OR(NOT(ISNUMBER($D171)),NOT(ISNUMBER($E171))),"Horário inválido | ","")&amp;IFERROR(IF(AND(ISNUMBER($D171),ISNUMBER($E171),MOD($E171-$D171,1)*1440&lt;=0),"Duração nula ou negativa | ",""),"")&amp;IFERROR(IF(AND(ISNUMBER($D171),COUNTIF(Turnos_Nome,$C171)&gt;0,MOD($D171-INDEX(Turnos_Ini,MATCH($C171,Turnos_Nome,0)),1)*1440&gt;=INDEX(Turnos_Min,MATCH($C171,Turnos_Nome,0))),"Início fora da janela do turno | ",""),"")&amp;IFERROR(IF(AND($L171&gt;0,SUMPRODUCT((Mapa_Sala=$B171)*(Mapa_Data=$A171)*(Mapa_MinOcup&gt;0)*(((MOD(Mapa_IniNum-$O171,1)&lt;MOD($P171-$O171,1))+(MOD($O171-Mapa_IniNum,1)&lt;MOD(Mapa_FimNum-Mapa_IniNum,1)))&gt;0))&gt;1),"Sobreposição de horário na sala | ",""),"")&amp;IFERROR(IF(AND(ISNUMBER($K171),$K171&gt;0,COUNTIF(Esp_Nome,$F171)&gt;0,$K171&gt;3*INDEX(Esp_Dur,MATCH($F171,Esp_Nome,0))),"Duração atípica (&gt;3x a média) | ",""),""))</f>
        <v/>
      </c>
      <c r="O171" s="10">
        <f>IF(ISNUMBER($D171),$D171,0)</f>
        <v/>
      </c>
      <c r="P171" s="10">
        <f>IF(ISNUMBER($E171),$E171,0)</f>
        <v/>
      </c>
    </row>
    <row r="172">
      <c r="A172" s="30" t="n"/>
      <c r="B172" s="24" t="n"/>
      <c r="C172" s="24" t="n"/>
      <c r="D172" s="31" t="n"/>
      <c r="E172" s="31" t="n"/>
      <c r="F172" s="25" t="n"/>
      <c r="G172" s="25" t="n"/>
      <c r="H172" s="25" t="n"/>
      <c r="I172" s="24" t="n"/>
      <c r="J172" s="24" t="n"/>
      <c r="K172" s="32">
        <f>IF(OR($B172="",NOT(ISNUMBER($D172)),NOT(ISNUMBER($E172))),"",ROUND(MOD($E172-$D172,1)*1440,0))</f>
        <v/>
      </c>
      <c r="L172" s="32">
        <f>IF(NOT(ISNUMBER($K172)),0,IF(OR($K172&lt;=0,$J172="Cancelada",$J172="Suspensa"),0,$K172+Setup_Min))</f>
        <v/>
      </c>
      <c r="M172" s="17">
        <f>IF($B172="","",IF($N172="","OK",LEFT($N172,LEN($N172)-3)))</f>
        <v/>
      </c>
      <c r="N172" s="10">
        <f>IF($B172="","",IF(COUNTIF(Salas_Cod,$B172)=0,"Sala não cadastrada | ","")&amp;IF(AND(COUNTIF(Salas_Cod,$B172)&gt;0,IFERROR(INDEX(Salas_Status,MATCH($B172,Salas_Cod,0)),"")&lt;&gt;"Ativa"),"Sala bloqueada | ","")&amp;IF(COUNTIF(Turnos_Nome,$C172)=0,"Turno inválido | ","")&amp;IF(COUNTIF(Esp_Nome,$F172)=0,"Especialidade não cadastrada | ","")&amp;IF(COUNTIF(Lista_StatusCirurgia,$J172)=0,"Status inválido | ","")&amp;IF(OR(NOT(ISNUMBER($D172)),NOT(ISNUMBER($E172))),"Horário inválido | ","")&amp;IFERROR(IF(AND(ISNUMBER($D172),ISNUMBER($E172),MOD($E172-$D172,1)*1440&lt;=0),"Duração nula ou negativa | ",""),"")&amp;IFERROR(IF(AND(ISNUMBER($D172),COUNTIF(Turnos_Nome,$C172)&gt;0,MOD($D172-INDEX(Turnos_Ini,MATCH($C172,Turnos_Nome,0)),1)*1440&gt;=INDEX(Turnos_Min,MATCH($C172,Turnos_Nome,0))),"Início fora da janela do turno | ",""),"")&amp;IFERROR(IF(AND($L172&gt;0,SUMPRODUCT((Mapa_Sala=$B172)*(Mapa_Data=$A172)*(Mapa_MinOcup&gt;0)*(((MOD(Mapa_IniNum-$O172,1)&lt;MOD($P172-$O172,1))+(MOD($O172-Mapa_IniNum,1)&lt;MOD(Mapa_FimNum-Mapa_IniNum,1)))&gt;0))&gt;1),"Sobreposição de horário na sala | ",""),"")&amp;IFERROR(IF(AND(ISNUMBER($K172),$K172&gt;0,COUNTIF(Esp_Nome,$F172)&gt;0,$K172&gt;3*INDEX(Esp_Dur,MATCH($F172,Esp_Nome,0))),"Duração atípica (&gt;3x a média) | ",""),""))</f>
        <v/>
      </c>
      <c r="O172" s="10">
        <f>IF(ISNUMBER($D172),$D172,0)</f>
        <v/>
      </c>
      <c r="P172" s="10">
        <f>IF(ISNUMBER($E172),$E172,0)</f>
        <v/>
      </c>
    </row>
    <row r="173">
      <c r="A173" s="30" t="n"/>
      <c r="B173" s="24" t="n"/>
      <c r="C173" s="24" t="n"/>
      <c r="D173" s="31" t="n"/>
      <c r="E173" s="31" t="n"/>
      <c r="F173" s="25" t="n"/>
      <c r="G173" s="25" t="n"/>
      <c r="H173" s="25" t="n"/>
      <c r="I173" s="24" t="n"/>
      <c r="J173" s="24" t="n"/>
      <c r="K173" s="32">
        <f>IF(OR($B173="",NOT(ISNUMBER($D173)),NOT(ISNUMBER($E173))),"",ROUND(MOD($E173-$D173,1)*1440,0))</f>
        <v/>
      </c>
      <c r="L173" s="32">
        <f>IF(NOT(ISNUMBER($K173)),0,IF(OR($K173&lt;=0,$J173="Cancelada",$J173="Suspensa"),0,$K173+Setup_Min))</f>
        <v/>
      </c>
      <c r="M173" s="17">
        <f>IF($B173="","",IF($N173="","OK",LEFT($N173,LEN($N173)-3)))</f>
        <v/>
      </c>
      <c r="N173" s="10">
        <f>IF($B173="","",IF(COUNTIF(Salas_Cod,$B173)=0,"Sala não cadastrada | ","")&amp;IF(AND(COUNTIF(Salas_Cod,$B173)&gt;0,IFERROR(INDEX(Salas_Status,MATCH($B173,Salas_Cod,0)),"")&lt;&gt;"Ativa"),"Sala bloqueada | ","")&amp;IF(COUNTIF(Turnos_Nome,$C173)=0,"Turno inválido | ","")&amp;IF(COUNTIF(Esp_Nome,$F173)=0,"Especialidade não cadastrada | ","")&amp;IF(COUNTIF(Lista_StatusCirurgia,$J173)=0,"Status inválido | ","")&amp;IF(OR(NOT(ISNUMBER($D173)),NOT(ISNUMBER($E173))),"Horário inválido | ","")&amp;IFERROR(IF(AND(ISNUMBER($D173),ISNUMBER($E173),MOD($E173-$D173,1)*1440&lt;=0),"Duração nula ou negativa | ",""),"")&amp;IFERROR(IF(AND(ISNUMBER($D173),COUNTIF(Turnos_Nome,$C173)&gt;0,MOD($D173-INDEX(Turnos_Ini,MATCH($C173,Turnos_Nome,0)),1)*1440&gt;=INDEX(Turnos_Min,MATCH($C173,Turnos_Nome,0))),"Início fora da janela do turno | ",""),"")&amp;IFERROR(IF(AND($L173&gt;0,SUMPRODUCT((Mapa_Sala=$B173)*(Mapa_Data=$A173)*(Mapa_MinOcup&gt;0)*(((MOD(Mapa_IniNum-$O173,1)&lt;MOD($P173-$O173,1))+(MOD($O173-Mapa_IniNum,1)&lt;MOD(Mapa_FimNum-Mapa_IniNum,1)))&gt;0))&gt;1),"Sobreposição de horário na sala | ",""),"")&amp;IFERROR(IF(AND(ISNUMBER($K173),$K173&gt;0,COUNTIF(Esp_Nome,$F173)&gt;0,$K173&gt;3*INDEX(Esp_Dur,MATCH($F173,Esp_Nome,0))),"Duração atípica (&gt;3x a média) | ",""),""))</f>
        <v/>
      </c>
      <c r="O173" s="10">
        <f>IF(ISNUMBER($D173),$D173,0)</f>
        <v/>
      </c>
      <c r="P173" s="10">
        <f>IF(ISNUMBER($E173),$E173,0)</f>
        <v/>
      </c>
    </row>
    <row r="174">
      <c r="A174" s="30" t="n"/>
      <c r="B174" s="24" t="n"/>
      <c r="C174" s="24" t="n"/>
      <c r="D174" s="31" t="n"/>
      <c r="E174" s="31" t="n"/>
      <c r="F174" s="25" t="n"/>
      <c r="G174" s="25" t="n"/>
      <c r="H174" s="25" t="n"/>
      <c r="I174" s="24" t="n"/>
      <c r="J174" s="24" t="n"/>
      <c r="K174" s="32">
        <f>IF(OR($B174="",NOT(ISNUMBER($D174)),NOT(ISNUMBER($E174))),"",ROUND(MOD($E174-$D174,1)*1440,0))</f>
        <v/>
      </c>
      <c r="L174" s="32">
        <f>IF(NOT(ISNUMBER($K174)),0,IF(OR($K174&lt;=0,$J174="Cancelada",$J174="Suspensa"),0,$K174+Setup_Min))</f>
        <v/>
      </c>
      <c r="M174" s="17">
        <f>IF($B174="","",IF($N174="","OK",LEFT($N174,LEN($N174)-3)))</f>
        <v/>
      </c>
      <c r="N174" s="10">
        <f>IF($B174="","",IF(COUNTIF(Salas_Cod,$B174)=0,"Sala não cadastrada | ","")&amp;IF(AND(COUNTIF(Salas_Cod,$B174)&gt;0,IFERROR(INDEX(Salas_Status,MATCH($B174,Salas_Cod,0)),"")&lt;&gt;"Ativa"),"Sala bloqueada | ","")&amp;IF(COUNTIF(Turnos_Nome,$C174)=0,"Turno inválido | ","")&amp;IF(COUNTIF(Esp_Nome,$F174)=0,"Especialidade não cadastrada | ","")&amp;IF(COUNTIF(Lista_StatusCirurgia,$J174)=0,"Status inválido | ","")&amp;IF(OR(NOT(ISNUMBER($D174)),NOT(ISNUMBER($E174))),"Horário inválido | ","")&amp;IFERROR(IF(AND(ISNUMBER($D174),ISNUMBER($E174),MOD($E174-$D174,1)*1440&lt;=0),"Duração nula ou negativa | ",""),"")&amp;IFERROR(IF(AND(ISNUMBER($D174),COUNTIF(Turnos_Nome,$C174)&gt;0,MOD($D174-INDEX(Turnos_Ini,MATCH($C174,Turnos_Nome,0)),1)*1440&gt;=INDEX(Turnos_Min,MATCH($C174,Turnos_Nome,0))),"Início fora da janela do turno | ",""),"")&amp;IFERROR(IF(AND($L174&gt;0,SUMPRODUCT((Mapa_Sala=$B174)*(Mapa_Data=$A174)*(Mapa_MinOcup&gt;0)*(((MOD(Mapa_IniNum-$O174,1)&lt;MOD($P174-$O174,1))+(MOD($O174-Mapa_IniNum,1)&lt;MOD(Mapa_FimNum-Mapa_IniNum,1)))&gt;0))&gt;1),"Sobreposição de horário na sala | ",""),"")&amp;IFERROR(IF(AND(ISNUMBER($K174),$K174&gt;0,COUNTIF(Esp_Nome,$F174)&gt;0,$K174&gt;3*INDEX(Esp_Dur,MATCH($F174,Esp_Nome,0))),"Duração atípica (&gt;3x a média) | ",""),""))</f>
        <v/>
      </c>
      <c r="O174" s="10">
        <f>IF(ISNUMBER($D174),$D174,0)</f>
        <v/>
      </c>
      <c r="P174" s="10">
        <f>IF(ISNUMBER($E174),$E174,0)</f>
        <v/>
      </c>
    </row>
    <row r="175">
      <c r="A175" s="30" t="n"/>
      <c r="B175" s="24" t="n"/>
      <c r="C175" s="24" t="n"/>
      <c r="D175" s="31" t="n"/>
      <c r="E175" s="31" t="n"/>
      <c r="F175" s="25" t="n"/>
      <c r="G175" s="25" t="n"/>
      <c r="H175" s="25" t="n"/>
      <c r="I175" s="24" t="n"/>
      <c r="J175" s="24" t="n"/>
      <c r="K175" s="32">
        <f>IF(OR($B175="",NOT(ISNUMBER($D175)),NOT(ISNUMBER($E175))),"",ROUND(MOD($E175-$D175,1)*1440,0))</f>
        <v/>
      </c>
      <c r="L175" s="32">
        <f>IF(NOT(ISNUMBER($K175)),0,IF(OR($K175&lt;=0,$J175="Cancelada",$J175="Suspensa"),0,$K175+Setup_Min))</f>
        <v/>
      </c>
      <c r="M175" s="17">
        <f>IF($B175="","",IF($N175="","OK",LEFT($N175,LEN($N175)-3)))</f>
        <v/>
      </c>
      <c r="N175" s="10">
        <f>IF($B175="","",IF(COUNTIF(Salas_Cod,$B175)=0,"Sala não cadastrada | ","")&amp;IF(AND(COUNTIF(Salas_Cod,$B175)&gt;0,IFERROR(INDEX(Salas_Status,MATCH($B175,Salas_Cod,0)),"")&lt;&gt;"Ativa"),"Sala bloqueada | ","")&amp;IF(COUNTIF(Turnos_Nome,$C175)=0,"Turno inválido | ","")&amp;IF(COUNTIF(Esp_Nome,$F175)=0,"Especialidade não cadastrada | ","")&amp;IF(COUNTIF(Lista_StatusCirurgia,$J175)=0,"Status inválido | ","")&amp;IF(OR(NOT(ISNUMBER($D175)),NOT(ISNUMBER($E175))),"Horário inválido | ","")&amp;IFERROR(IF(AND(ISNUMBER($D175),ISNUMBER($E175),MOD($E175-$D175,1)*1440&lt;=0),"Duração nula ou negativa | ",""),"")&amp;IFERROR(IF(AND(ISNUMBER($D175),COUNTIF(Turnos_Nome,$C175)&gt;0,MOD($D175-INDEX(Turnos_Ini,MATCH($C175,Turnos_Nome,0)),1)*1440&gt;=INDEX(Turnos_Min,MATCH($C175,Turnos_Nome,0))),"Início fora da janela do turno | ",""),"")&amp;IFERROR(IF(AND($L175&gt;0,SUMPRODUCT((Mapa_Sala=$B175)*(Mapa_Data=$A175)*(Mapa_MinOcup&gt;0)*(((MOD(Mapa_IniNum-$O175,1)&lt;MOD($P175-$O175,1))+(MOD($O175-Mapa_IniNum,1)&lt;MOD(Mapa_FimNum-Mapa_IniNum,1)))&gt;0))&gt;1),"Sobreposição de horário na sala | ",""),"")&amp;IFERROR(IF(AND(ISNUMBER($K175),$K175&gt;0,COUNTIF(Esp_Nome,$F175)&gt;0,$K175&gt;3*INDEX(Esp_Dur,MATCH($F175,Esp_Nome,0))),"Duração atípica (&gt;3x a média) | ",""),""))</f>
        <v/>
      </c>
      <c r="O175" s="10">
        <f>IF(ISNUMBER($D175),$D175,0)</f>
        <v/>
      </c>
      <c r="P175" s="10">
        <f>IF(ISNUMBER($E175),$E175,0)</f>
        <v/>
      </c>
    </row>
    <row r="176">
      <c r="A176" s="30" t="n"/>
      <c r="B176" s="24" t="n"/>
      <c r="C176" s="24" t="n"/>
      <c r="D176" s="31" t="n"/>
      <c r="E176" s="31" t="n"/>
      <c r="F176" s="25" t="n"/>
      <c r="G176" s="25" t="n"/>
      <c r="H176" s="25" t="n"/>
      <c r="I176" s="24" t="n"/>
      <c r="J176" s="24" t="n"/>
      <c r="K176" s="32">
        <f>IF(OR($B176="",NOT(ISNUMBER($D176)),NOT(ISNUMBER($E176))),"",ROUND(MOD($E176-$D176,1)*1440,0))</f>
        <v/>
      </c>
      <c r="L176" s="32">
        <f>IF(NOT(ISNUMBER($K176)),0,IF(OR($K176&lt;=0,$J176="Cancelada",$J176="Suspensa"),0,$K176+Setup_Min))</f>
        <v/>
      </c>
      <c r="M176" s="17">
        <f>IF($B176="","",IF($N176="","OK",LEFT($N176,LEN($N176)-3)))</f>
        <v/>
      </c>
      <c r="N176" s="10">
        <f>IF($B176="","",IF(COUNTIF(Salas_Cod,$B176)=0,"Sala não cadastrada | ","")&amp;IF(AND(COUNTIF(Salas_Cod,$B176)&gt;0,IFERROR(INDEX(Salas_Status,MATCH($B176,Salas_Cod,0)),"")&lt;&gt;"Ativa"),"Sala bloqueada | ","")&amp;IF(COUNTIF(Turnos_Nome,$C176)=0,"Turno inválido | ","")&amp;IF(COUNTIF(Esp_Nome,$F176)=0,"Especialidade não cadastrada | ","")&amp;IF(COUNTIF(Lista_StatusCirurgia,$J176)=0,"Status inválido | ","")&amp;IF(OR(NOT(ISNUMBER($D176)),NOT(ISNUMBER($E176))),"Horário inválido | ","")&amp;IFERROR(IF(AND(ISNUMBER($D176),ISNUMBER($E176),MOD($E176-$D176,1)*1440&lt;=0),"Duração nula ou negativa | ",""),"")&amp;IFERROR(IF(AND(ISNUMBER($D176),COUNTIF(Turnos_Nome,$C176)&gt;0,MOD($D176-INDEX(Turnos_Ini,MATCH($C176,Turnos_Nome,0)),1)*1440&gt;=INDEX(Turnos_Min,MATCH($C176,Turnos_Nome,0))),"Início fora da janela do turno | ",""),"")&amp;IFERROR(IF(AND($L176&gt;0,SUMPRODUCT((Mapa_Sala=$B176)*(Mapa_Data=$A176)*(Mapa_MinOcup&gt;0)*(((MOD(Mapa_IniNum-$O176,1)&lt;MOD($P176-$O176,1))+(MOD($O176-Mapa_IniNum,1)&lt;MOD(Mapa_FimNum-Mapa_IniNum,1)))&gt;0))&gt;1),"Sobreposição de horário na sala | ",""),"")&amp;IFERROR(IF(AND(ISNUMBER($K176),$K176&gt;0,COUNTIF(Esp_Nome,$F176)&gt;0,$K176&gt;3*INDEX(Esp_Dur,MATCH($F176,Esp_Nome,0))),"Duração atípica (&gt;3x a média) | ",""),""))</f>
        <v/>
      </c>
      <c r="O176" s="10">
        <f>IF(ISNUMBER($D176),$D176,0)</f>
        <v/>
      </c>
      <c r="P176" s="10">
        <f>IF(ISNUMBER($E176),$E176,0)</f>
        <v/>
      </c>
    </row>
    <row r="177">
      <c r="A177" s="30" t="n"/>
      <c r="B177" s="24" t="n"/>
      <c r="C177" s="24" t="n"/>
      <c r="D177" s="31" t="n"/>
      <c r="E177" s="31" t="n"/>
      <c r="F177" s="25" t="n"/>
      <c r="G177" s="25" t="n"/>
      <c r="H177" s="25" t="n"/>
      <c r="I177" s="24" t="n"/>
      <c r="J177" s="24" t="n"/>
      <c r="K177" s="32">
        <f>IF(OR($B177="",NOT(ISNUMBER($D177)),NOT(ISNUMBER($E177))),"",ROUND(MOD($E177-$D177,1)*1440,0))</f>
        <v/>
      </c>
      <c r="L177" s="32">
        <f>IF(NOT(ISNUMBER($K177)),0,IF(OR($K177&lt;=0,$J177="Cancelada",$J177="Suspensa"),0,$K177+Setup_Min))</f>
        <v/>
      </c>
      <c r="M177" s="17">
        <f>IF($B177="","",IF($N177="","OK",LEFT($N177,LEN($N177)-3)))</f>
        <v/>
      </c>
      <c r="N177" s="10">
        <f>IF($B177="","",IF(COUNTIF(Salas_Cod,$B177)=0,"Sala não cadastrada | ","")&amp;IF(AND(COUNTIF(Salas_Cod,$B177)&gt;0,IFERROR(INDEX(Salas_Status,MATCH($B177,Salas_Cod,0)),"")&lt;&gt;"Ativa"),"Sala bloqueada | ","")&amp;IF(COUNTIF(Turnos_Nome,$C177)=0,"Turno inválido | ","")&amp;IF(COUNTIF(Esp_Nome,$F177)=0,"Especialidade não cadastrada | ","")&amp;IF(COUNTIF(Lista_StatusCirurgia,$J177)=0,"Status inválido | ","")&amp;IF(OR(NOT(ISNUMBER($D177)),NOT(ISNUMBER($E177))),"Horário inválido | ","")&amp;IFERROR(IF(AND(ISNUMBER($D177),ISNUMBER($E177),MOD($E177-$D177,1)*1440&lt;=0),"Duração nula ou negativa | ",""),"")&amp;IFERROR(IF(AND(ISNUMBER($D177),COUNTIF(Turnos_Nome,$C177)&gt;0,MOD($D177-INDEX(Turnos_Ini,MATCH($C177,Turnos_Nome,0)),1)*1440&gt;=INDEX(Turnos_Min,MATCH($C177,Turnos_Nome,0))),"Início fora da janela do turno | ",""),"")&amp;IFERROR(IF(AND($L177&gt;0,SUMPRODUCT((Mapa_Sala=$B177)*(Mapa_Data=$A177)*(Mapa_MinOcup&gt;0)*(((MOD(Mapa_IniNum-$O177,1)&lt;MOD($P177-$O177,1))+(MOD($O177-Mapa_IniNum,1)&lt;MOD(Mapa_FimNum-Mapa_IniNum,1)))&gt;0))&gt;1),"Sobreposição de horário na sala | ",""),"")&amp;IFERROR(IF(AND(ISNUMBER($K177),$K177&gt;0,COUNTIF(Esp_Nome,$F177)&gt;0,$K177&gt;3*INDEX(Esp_Dur,MATCH($F177,Esp_Nome,0))),"Duração atípica (&gt;3x a média) | ",""),""))</f>
        <v/>
      </c>
      <c r="O177" s="10">
        <f>IF(ISNUMBER($D177),$D177,0)</f>
        <v/>
      </c>
      <c r="P177" s="10">
        <f>IF(ISNUMBER($E177),$E177,0)</f>
        <v/>
      </c>
    </row>
    <row r="178">
      <c r="A178" s="30" t="n"/>
      <c r="B178" s="24" t="n"/>
      <c r="C178" s="24" t="n"/>
      <c r="D178" s="31" t="n"/>
      <c r="E178" s="31" t="n"/>
      <c r="F178" s="25" t="n"/>
      <c r="G178" s="25" t="n"/>
      <c r="H178" s="25" t="n"/>
      <c r="I178" s="24" t="n"/>
      <c r="J178" s="24" t="n"/>
      <c r="K178" s="32">
        <f>IF(OR($B178="",NOT(ISNUMBER($D178)),NOT(ISNUMBER($E178))),"",ROUND(MOD($E178-$D178,1)*1440,0))</f>
        <v/>
      </c>
      <c r="L178" s="32">
        <f>IF(NOT(ISNUMBER($K178)),0,IF(OR($K178&lt;=0,$J178="Cancelada",$J178="Suspensa"),0,$K178+Setup_Min))</f>
        <v/>
      </c>
      <c r="M178" s="17">
        <f>IF($B178="","",IF($N178="","OK",LEFT($N178,LEN($N178)-3)))</f>
        <v/>
      </c>
      <c r="N178" s="10">
        <f>IF($B178="","",IF(COUNTIF(Salas_Cod,$B178)=0,"Sala não cadastrada | ","")&amp;IF(AND(COUNTIF(Salas_Cod,$B178)&gt;0,IFERROR(INDEX(Salas_Status,MATCH($B178,Salas_Cod,0)),"")&lt;&gt;"Ativa"),"Sala bloqueada | ","")&amp;IF(COUNTIF(Turnos_Nome,$C178)=0,"Turno inválido | ","")&amp;IF(COUNTIF(Esp_Nome,$F178)=0,"Especialidade não cadastrada | ","")&amp;IF(COUNTIF(Lista_StatusCirurgia,$J178)=0,"Status inválido | ","")&amp;IF(OR(NOT(ISNUMBER($D178)),NOT(ISNUMBER($E178))),"Horário inválido | ","")&amp;IFERROR(IF(AND(ISNUMBER($D178),ISNUMBER($E178),MOD($E178-$D178,1)*1440&lt;=0),"Duração nula ou negativa | ",""),"")&amp;IFERROR(IF(AND(ISNUMBER($D178),COUNTIF(Turnos_Nome,$C178)&gt;0,MOD($D178-INDEX(Turnos_Ini,MATCH($C178,Turnos_Nome,0)),1)*1440&gt;=INDEX(Turnos_Min,MATCH($C178,Turnos_Nome,0))),"Início fora da janela do turno | ",""),"")&amp;IFERROR(IF(AND($L178&gt;0,SUMPRODUCT((Mapa_Sala=$B178)*(Mapa_Data=$A178)*(Mapa_MinOcup&gt;0)*(((MOD(Mapa_IniNum-$O178,1)&lt;MOD($P178-$O178,1))+(MOD($O178-Mapa_IniNum,1)&lt;MOD(Mapa_FimNum-Mapa_IniNum,1)))&gt;0))&gt;1),"Sobreposição de horário na sala | ",""),"")&amp;IFERROR(IF(AND(ISNUMBER($K178),$K178&gt;0,COUNTIF(Esp_Nome,$F178)&gt;0,$K178&gt;3*INDEX(Esp_Dur,MATCH($F178,Esp_Nome,0))),"Duração atípica (&gt;3x a média) | ",""),""))</f>
        <v/>
      </c>
      <c r="O178" s="10">
        <f>IF(ISNUMBER($D178),$D178,0)</f>
        <v/>
      </c>
      <c r="P178" s="10">
        <f>IF(ISNUMBER($E178),$E178,0)</f>
        <v/>
      </c>
    </row>
    <row r="179">
      <c r="A179" s="30" t="n"/>
      <c r="B179" s="24" t="n"/>
      <c r="C179" s="24" t="n"/>
      <c r="D179" s="31" t="n"/>
      <c r="E179" s="31" t="n"/>
      <c r="F179" s="25" t="n"/>
      <c r="G179" s="25" t="n"/>
      <c r="H179" s="25" t="n"/>
      <c r="I179" s="24" t="n"/>
      <c r="J179" s="24" t="n"/>
      <c r="K179" s="32">
        <f>IF(OR($B179="",NOT(ISNUMBER($D179)),NOT(ISNUMBER($E179))),"",ROUND(MOD($E179-$D179,1)*1440,0))</f>
        <v/>
      </c>
      <c r="L179" s="32">
        <f>IF(NOT(ISNUMBER($K179)),0,IF(OR($K179&lt;=0,$J179="Cancelada",$J179="Suspensa"),0,$K179+Setup_Min))</f>
        <v/>
      </c>
      <c r="M179" s="17">
        <f>IF($B179="","",IF($N179="","OK",LEFT($N179,LEN($N179)-3)))</f>
        <v/>
      </c>
      <c r="N179" s="10">
        <f>IF($B179="","",IF(COUNTIF(Salas_Cod,$B179)=0,"Sala não cadastrada | ","")&amp;IF(AND(COUNTIF(Salas_Cod,$B179)&gt;0,IFERROR(INDEX(Salas_Status,MATCH($B179,Salas_Cod,0)),"")&lt;&gt;"Ativa"),"Sala bloqueada | ","")&amp;IF(COUNTIF(Turnos_Nome,$C179)=0,"Turno inválido | ","")&amp;IF(COUNTIF(Esp_Nome,$F179)=0,"Especialidade não cadastrada | ","")&amp;IF(COUNTIF(Lista_StatusCirurgia,$J179)=0,"Status inválido | ","")&amp;IF(OR(NOT(ISNUMBER($D179)),NOT(ISNUMBER($E179))),"Horário inválido | ","")&amp;IFERROR(IF(AND(ISNUMBER($D179),ISNUMBER($E179),MOD($E179-$D179,1)*1440&lt;=0),"Duração nula ou negativa | ",""),"")&amp;IFERROR(IF(AND(ISNUMBER($D179),COUNTIF(Turnos_Nome,$C179)&gt;0,MOD($D179-INDEX(Turnos_Ini,MATCH($C179,Turnos_Nome,0)),1)*1440&gt;=INDEX(Turnos_Min,MATCH($C179,Turnos_Nome,0))),"Início fora da janela do turno | ",""),"")&amp;IFERROR(IF(AND($L179&gt;0,SUMPRODUCT((Mapa_Sala=$B179)*(Mapa_Data=$A179)*(Mapa_MinOcup&gt;0)*(((MOD(Mapa_IniNum-$O179,1)&lt;MOD($P179-$O179,1))+(MOD($O179-Mapa_IniNum,1)&lt;MOD(Mapa_FimNum-Mapa_IniNum,1)))&gt;0))&gt;1),"Sobreposição de horário na sala | ",""),"")&amp;IFERROR(IF(AND(ISNUMBER($K179),$K179&gt;0,COUNTIF(Esp_Nome,$F179)&gt;0,$K179&gt;3*INDEX(Esp_Dur,MATCH($F179,Esp_Nome,0))),"Duração atípica (&gt;3x a média) | ",""),""))</f>
        <v/>
      </c>
      <c r="O179" s="10">
        <f>IF(ISNUMBER($D179),$D179,0)</f>
        <v/>
      </c>
      <c r="P179" s="10">
        <f>IF(ISNUMBER($E179),$E179,0)</f>
        <v/>
      </c>
    </row>
    <row r="180">
      <c r="A180" s="30" t="n"/>
      <c r="B180" s="24" t="n"/>
      <c r="C180" s="24" t="n"/>
      <c r="D180" s="31" t="n"/>
      <c r="E180" s="31" t="n"/>
      <c r="F180" s="25" t="n"/>
      <c r="G180" s="25" t="n"/>
      <c r="H180" s="25" t="n"/>
      <c r="I180" s="24" t="n"/>
      <c r="J180" s="24" t="n"/>
      <c r="K180" s="32">
        <f>IF(OR($B180="",NOT(ISNUMBER($D180)),NOT(ISNUMBER($E180))),"",ROUND(MOD($E180-$D180,1)*1440,0))</f>
        <v/>
      </c>
      <c r="L180" s="32">
        <f>IF(NOT(ISNUMBER($K180)),0,IF(OR($K180&lt;=0,$J180="Cancelada",$J180="Suspensa"),0,$K180+Setup_Min))</f>
        <v/>
      </c>
      <c r="M180" s="17">
        <f>IF($B180="","",IF($N180="","OK",LEFT($N180,LEN($N180)-3)))</f>
        <v/>
      </c>
      <c r="N180" s="10">
        <f>IF($B180="","",IF(COUNTIF(Salas_Cod,$B180)=0,"Sala não cadastrada | ","")&amp;IF(AND(COUNTIF(Salas_Cod,$B180)&gt;0,IFERROR(INDEX(Salas_Status,MATCH($B180,Salas_Cod,0)),"")&lt;&gt;"Ativa"),"Sala bloqueada | ","")&amp;IF(COUNTIF(Turnos_Nome,$C180)=0,"Turno inválido | ","")&amp;IF(COUNTIF(Esp_Nome,$F180)=0,"Especialidade não cadastrada | ","")&amp;IF(COUNTIF(Lista_StatusCirurgia,$J180)=0,"Status inválido | ","")&amp;IF(OR(NOT(ISNUMBER($D180)),NOT(ISNUMBER($E180))),"Horário inválido | ","")&amp;IFERROR(IF(AND(ISNUMBER($D180),ISNUMBER($E180),MOD($E180-$D180,1)*1440&lt;=0),"Duração nula ou negativa | ",""),"")&amp;IFERROR(IF(AND(ISNUMBER($D180),COUNTIF(Turnos_Nome,$C180)&gt;0,MOD($D180-INDEX(Turnos_Ini,MATCH($C180,Turnos_Nome,0)),1)*1440&gt;=INDEX(Turnos_Min,MATCH($C180,Turnos_Nome,0))),"Início fora da janela do turno | ",""),"")&amp;IFERROR(IF(AND($L180&gt;0,SUMPRODUCT((Mapa_Sala=$B180)*(Mapa_Data=$A180)*(Mapa_MinOcup&gt;0)*(((MOD(Mapa_IniNum-$O180,1)&lt;MOD($P180-$O180,1))+(MOD($O180-Mapa_IniNum,1)&lt;MOD(Mapa_FimNum-Mapa_IniNum,1)))&gt;0))&gt;1),"Sobreposição de horário na sala | ",""),"")&amp;IFERROR(IF(AND(ISNUMBER($K180),$K180&gt;0,COUNTIF(Esp_Nome,$F180)&gt;0,$K180&gt;3*INDEX(Esp_Dur,MATCH($F180,Esp_Nome,0))),"Duração atípica (&gt;3x a média) | ",""),""))</f>
        <v/>
      </c>
      <c r="O180" s="10">
        <f>IF(ISNUMBER($D180),$D180,0)</f>
        <v/>
      </c>
      <c r="P180" s="10">
        <f>IF(ISNUMBER($E180),$E180,0)</f>
        <v/>
      </c>
    </row>
    <row r="181">
      <c r="A181" s="30" t="n"/>
      <c r="B181" s="24" t="n"/>
      <c r="C181" s="24" t="n"/>
      <c r="D181" s="31" t="n"/>
      <c r="E181" s="31" t="n"/>
      <c r="F181" s="25" t="n"/>
      <c r="G181" s="25" t="n"/>
      <c r="H181" s="25" t="n"/>
      <c r="I181" s="24" t="n"/>
      <c r="J181" s="24" t="n"/>
      <c r="K181" s="32">
        <f>IF(OR($B181="",NOT(ISNUMBER($D181)),NOT(ISNUMBER($E181))),"",ROUND(MOD($E181-$D181,1)*1440,0))</f>
        <v/>
      </c>
      <c r="L181" s="32">
        <f>IF(NOT(ISNUMBER($K181)),0,IF(OR($K181&lt;=0,$J181="Cancelada",$J181="Suspensa"),0,$K181+Setup_Min))</f>
        <v/>
      </c>
      <c r="M181" s="17">
        <f>IF($B181="","",IF($N181="","OK",LEFT($N181,LEN($N181)-3)))</f>
        <v/>
      </c>
      <c r="N181" s="10">
        <f>IF($B181="","",IF(COUNTIF(Salas_Cod,$B181)=0,"Sala não cadastrada | ","")&amp;IF(AND(COUNTIF(Salas_Cod,$B181)&gt;0,IFERROR(INDEX(Salas_Status,MATCH($B181,Salas_Cod,0)),"")&lt;&gt;"Ativa"),"Sala bloqueada | ","")&amp;IF(COUNTIF(Turnos_Nome,$C181)=0,"Turno inválido | ","")&amp;IF(COUNTIF(Esp_Nome,$F181)=0,"Especialidade não cadastrada | ","")&amp;IF(COUNTIF(Lista_StatusCirurgia,$J181)=0,"Status inválido | ","")&amp;IF(OR(NOT(ISNUMBER($D181)),NOT(ISNUMBER($E181))),"Horário inválido | ","")&amp;IFERROR(IF(AND(ISNUMBER($D181),ISNUMBER($E181),MOD($E181-$D181,1)*1440&lt;=0),"Duração nula ou negativa | ",""),"")&amp;IFERROR(IF(AND(ISNUMBER($D181),COUNTIF(Turnos_Nome,$C181)&gt;0,MOD($D181-INDEX(Turnos_Ini,MATCH($C181,Turnos_Nome,0)),1)*1440&gt;=INDEX(Turnos_Min,MATCH($C181,Turnos_Nome,0))),"Início fora da janela do turno | ",""),"")&amp;IFERROR(IF(AND($L181&gt;0,SUMPRODUCT((Mapa_Sala=$B181)*(Mapa_Data=$A181)*(Mapa_MinOcup&gt;0)*(((MOD(Mapa_IniNum-$O181,1)&lt;MOD($P181-$O181,1))+(MOD($O181-Mapa_IniNum,1)&lt;MOD(Mapa_FimNum-Mapa_IniNum,1)))&gt;0))&gt;1),"Sobreposição de horário na sala | ",""),"")&amp;IFERROR(IF(AND(ISNUMBER($K181),$K181&gt;0,COUNTIF(Esp_Nome,$F181)&gt;0,$K181&gt;3*INDEX(Esp_Dur,MATCH($F181,Esp_Nome,0))),"Duração atípica (&gt;3x a média) | ",""),""))</f>
        <v/>
      </c>
      <c r="O181" s="10">
        <f>IF(ISNUMBER($D181),$D181,0)</f>
        <v/>
      </c>
      <c r="P181" s="10">
        <f>IF(ISNUMBER($E181),$E181,0)</f>
        <v/>
      </c>
    </row>
    <row r="182">
      <c r="A182" s="30" t="n"/>
      <c r="B182" s="24" t="n"/>
      <c r="C182" s="24" t="n"/>
      <c r="D182" s="31" t="n"/>
      <c r="E182" s="31" t="n"/>
      <c r="F182" s="25" t="n"/>
      <c r="G182" s="25" t="n"/>
      <c r="H182" s="25" t="n"/>
      <c r="I182" s="24" t="n"/>
      <c r="J182" s="24" t="n"/>
      <c r="K182" s="32">
        <f>IF(OR($B182="",NOT(ISNUMBER($D182)),NOT(ISNUMBER($E182))),"",ROUND(MOD($E182-$D182,1)*1440,0))</f>
        <v/>
      </c>
      <c r="L182" s="32">
        <f>IF(NOT(ISNUMBER($K182)),0,IF(OR($K182&lt;=0,$J182="Cancelada",$J182="Suspensa"),0,$K182+Setup_Min))</f>
        <v/>
      </c>
      <c r="M182" s="17">
        <f>IF($B182="","",IF($N182="","OK",LEFT($N182,LEN($N182)-3)))</f>
        <v/>
      </c>
      <c r="N182" s="10">
        <f>IF($B182="","",IF(COUNTIF(Salas_Cod,$B182)=0,"Sala não cadastrada | ","")&amp;IF(AND(COUNTIF(Salas_Cod,$B182)&gt;0,IFERROR(INDEX(Salas_Status,MATCH($B182,Salas_Cod,0)),"")&lt;&gt;"Ativa"),"Sala bloqueada | ","")&amp;IF(COUNTIF(Turnos_Nome,$C182)=0,"Turno inválido | ","")&amp;IF(COUNTIF(Esp_Nome,$F182)=0,"Especialidade não cadastrada | ","")&amp;IF(COUNTIF(Lista_StatusCirurgia,$J182)=0,"Status inválido | ","")&amp;IF(OR(NOT(ISNUMBER($D182)),NOT(ISNUMBER($E182))),"Horário inválido | ","")&amp;IFERROR(IF(AND(ISNUMBER($D182),ISNUMBER($E182),MOD($E182-$D182,1)*1440&lt;=0),"Duração nula ou negativa | ",""),"")&amp;IFERROR(IF(AND(ISNUMBER($D182),COUNTIF(Turnos_Nome,$C182)&gt;0,MOD($D182-INDEX(Turnos_Ini,MATCH($C182,Turnos_Nome,0)),1)*1440&gt;=INDEX(Turnos_Min,MATCH($C182,Turnos_Nome,0))),"Início fora da janela do turno | ",""),"")&amp;IFERROR(IF(AND($L182&gt;0,SUMPRODUCT((Mapa_Sala=$B182)*(Mapa_Data=$A182)*(Mapa_MinOcup&gt;0)*(((MOD(Mapa_IniNum-$O182,1)&lt;MOD($P182-$O182,1))+(MOD($O182-Mapa_IniNum,1)&lt;MOD(Mapa_FimNum-Mapa_IniNum,1)))&gt;0))&gt;1),"Sobreposição de horário na sala | ",""),"")&amp;IFERROR(IF(AND(ISNUMBER($K182),$K182&gt;0,COUNTIF(Esp_Nome,$F182)&gt;0,$K182&gt;3*INDEX(Esp_Dur,MATCH($F182,Esp_Nome,0))),"Duração atípica (&gt;3x a média) | ",""),""))</f>
        <v/>
      </c>
      <c r="O182" s="10">
        <f>IF(ISNUMBER($D182),$D182,0)</f>
        <v/>
      </c>
      <c r="P182" s="10">
        <f>IF(ISNUMBER($E182),$E182,0)</f>
        <v/>
      </c>
    </row>
    <row r="183">
      <c r="A183" s="30" t="n"/>
      <c r="B183" s="24" t="n"/>
      <c r="C183" s="24" t="n"/>
      <c r="D183" s="31" t="n"/>
      <c r="E183" s="31" t="n"/>
      <c r="F183" s="25" t="n"/>
      <c r="G183" s="25" t="n"/>
      <c r="H183" s="25" t="n"/>
      <c r="I183" s="24" t="n"/>
      <c r="J183" s="24" t="n"/>
      <c r="K183" s="32">
        <f>IF(OR($B183="",NOT(ISNUMBER($D183)),NOT(ISNUMBER($E183))),"",ROUND(MOD($E183-$D183,1)*1440,0))</f>
        <v/>
      </c>
      <c r="L183" s="32">
        <f>IF(NOT(ISNUMBER($K183)),0,IF(OR($K183&lt;=0,$J183="Cancelada",$J183="Suspensa"),0,$K183+Setup_Min))</f>
        <v/>
      </c>
      <c r="M183" s="17">
        <f>IF($B183="","",IF($N183="","OK",LEFT($N183,LEN($N183)-3)))</f>
        <v/>
      </c>
      <c r="N183" s="10">
        <f>IF($B183="","",IF(COUNTIF(Salas_Cod,$B183)=0,"Sala não cadastrada | ","")&amp;IF(AND(COUNTIF(Salas_Cod,$B183)&gt;0,IFERROR(INDEX(Salas_Status,MATCH($B183,Salas_Cod,0)),"")&lt;&gt;"Ativa"),"Sala bloqueada | ","")&amp;IF(COUNTIF(Turnos_Nome,$C183)=0,"Turno inválido | ","")&amp;IF(COUNTIF(Esp_Nome,$F183)=0,"Especialidade não cadastrada | ","")&amp;IF(COUNTIF(Lista_StatusCirurgia,$J183)=0,"Status inválido | ","")&amp;IF(OR(NOT(ISNUMBER($D183)),NOT(ISNUMBER($E183))),"Horário inválido | ","")&amp;IFERROR(IF(AND(ISNUMBER($D183),ISNUMBER($E183),MOD($E183-$D183,1)*1440&lt;=0),"Duração nula ou negativa | ",""),"")&amp;IFERROR(IF(AND(ISNUMBER($D183),COUNTIF(Turnos_Nome,$C183)&gt;0,MOD($D183-INDEX(Turnos_Ini,MATCH($C183,Turnos_Nome,0)),1)*1440&gt;=INDEX(Turnos_Min,MATCH($C183,Turnos_Nome,0))),"Início fora da janela do turno | ",""),"")&amp;IFERROR(IF(AND($L183&gt;0,SUMPRODUCT((Mapa_Sala=$B183)*(Mapa_Data=$A183)*(Mapa_MinOcup&gt;0)*(((MOD(Mapa_IniNum-$O183,1)&lt;MOD($P183-$O183,1))+(MOD($O183-Mapa_IniNum,1)&lt;MOD(Mapa_FimNum-Mapa_IniNum,1)))&gt;0))&gt;1),"Sobreposição de horário na sala | ",""),"")&amp;IFERROR(IF(AND(ISNUMBER($K183),$K183&gt;0,COUNTIF(Esp_Nome,$F183)&gt;0,$K183&gt;3*INDEX(Esp_Dur,MATCH($F183,Esp_Nome,0))),"Duração atípica (&gt;3x a média) | ",""),""))</f>
        <v/>
      </c>
      <c r="O183" s="10">
        <f>IF(ISNUMBER($D183),$D183,0)</f>
        <v/>
      </c>
      <c r="P183" s="10">
        <f>IF(ISNUMBER($E183),$E183,0)</f>
        <v/>
      </c>
    </row>
    <row r="184">
      <c r="A184" s="30" t="n"/>
      <c r="B184" s="24" t="n"/>
      <c r="C184" s="24" t="n"/>
      <c r="D184" s="31" t="n"/>
      <c r="E184" s="31" t="n"/>
      <c r="F184" s="25" t="n"/>
      <c r="G184" s="25" t="n"/>
      <c r="H184" s="25" t="n"/>
      <c r="I184" s="24" t="n"/>
      <c r="J184" s="24" t="n"/>
      <c r="K184" s="32">
        <f>IF(OR($B184="",NOT(ISNUMBER($D184)),NOT(ISNUMBER($E184))),"",ROUND(MOD($E184-$D184,1)*1440,0))</f>
        <v/>
      </c>
      <c r="L184" s="32">
        <f>IF(NOT(ISNUMBER($K184)),0,IF(OR($K184&lt;=0,$J184="Cancelada",$J184="Suspensa"),0,$K184+Setup_Min))</f>
        <v/>
      </c>
      <c r="M184" s="17">
        <f>IF($B184="","",IF($N184="","OK",LEFT($N184,LEN($N184)-3)))</f>
        <v/>
      </c>
      <c r="N184" s="10">
        <f>IF($B184="","",IF(COUNTIF(Salas_Cod,$B184)=0,"Sala não cadastrada | ","")&amp;IF(AND(COUNTIF(Salas_Cod,$B184)&gt;0,IFERROR(INDEX(Salas_Status,MATCH($B184,Salas_Cod,0)),"")&lt;&gt;"Ativa"),"Sala bloqueada | ","")&amp;IF(COUNTIF(Turnos_Nome,$C184)=0,"Turno inválido | ","")&amp;IF(COUNTIF(Esp_Nome,$F184)=0,"Especialidade não cadastrada | ","")&amp;IF(COUNTIF(Lista_StatusCirurgia,$J184)=0,"Status inválido | ","")&amp;IF(OR(NOT(ISNUMBER($D184)),NOT(ISNUMBER($E184))),"Horário inválido | ","")&amp;IFERROR(IF(AND(ISNUMBER($D184),ISNUMBER($E184),MOD($E184-$D184,1)*1440&lt;=0),"Duração nula ou negativa | ",""),"")&amp;IFERROR(IF(AND(ISNUMBER($D184),COUNTIF(Turnos_Nome,$C184)&gt;0,MOD($D184-INDEX(Turnos_Ini,MATCH($C184,Turnos_Nome,0)),1)*1440&gt;=INDEX(Turnos_Min,MATCH($C184,Turnos_Nome,0))),"Início fora da janela do turno | ",""),"")&amp;IFERROR(IF(AND($L184&gt;0,SUMPRODUCT((Mapa_Sala=$B184)*(Mapa_Data=$A184)*(Mapa_MinOcup&gt;0)*(((MOD(Mapa_IniNum-$O184,1)&lt;MOD($P184-$O184,1))+(MOD($O184-Mapa_IniNum,1)&lt;MOD(Mapa_FimNum-Mapa_IniNum,1)))&gt;0))&gt;1),"Sobreposição de horário na sala | ",""),"")&amp;IFERROR(IF(AND(ISNUMBER($K184),$K184&gt;0,COUNTIF(Esp_Nome,$F184)&gt;0,$K184&gt;3*INDEX(Esp_Dur,MATCH($F184,Esp_Nome,0))),"Duração atípica (&gt;3x a média) | ",""),""))</f>
        <v/>
      </c>
      <c r="O184" s="10">
        <f>IF(ISNUMBER($D184),$D184,0)</f>
        <v/>
      </c>
      <c r="P184" s="10">
        <f>IF(ISNUMBER($E184),$E184,0)</f>
        <v/>
      </c>
    </row>
    <row r="185">
      <c r="A185" s="30" t="n"/>
      <c r="B185" s="24" t="n"/>
      <c r="C185" s="24" t="n"/>
      <c r="D185" s="31" t="n"/>
      <c r="E185" s="31" t="n"/>
      <c r="F185" s="25" t="n"/>
      <c r="G185" s="25" t="n"/>
      <c r="H185" s="25" t="n"/>
      <c r="I185" s="24" t="n"/>
      <c r="J185" s="24" t="n"/>
      <c r="K185" s="32">
        <f>IF(OR($B185="",NOT(ISNUMBER($D185)),NOT(ISNUMBER($E185))),"",ROUND(MOD($E185-$D185,1)*1440,0))</f>
        <v/>
      </c>
      <c r="L185" s="32">
        <f>IF(NOT(ISNUMBER($K185)),0,IF(OR($K185&lt;=0,$J185="Cancelada",$J185="Suspensa"),0,$K185+Setup_Min))</f>
        <v/>
      </c>
      <c r="M185" s="17">
        <f>IF($B185="","",IF($N185="","OK",LEFT($N185,LEN($N185)-3)))</f>
        <v/>
      </c>
      <c r="N185" s="10">
        <f>IF($B185="","",IF(COUNTIF(Salas_Cod,$B185)=0,"Sala não cadastrada | ","")&amp;IF(AND(COUNTIF(Salas_Cod,$B185)&gt;0,IFERROR(INDEX(Salas_Status,MATCH($B185,Salas_Cod,0)),"")&lt;&gt;"Ativa"),"Sala bloqueada | ","")&amp;IF(COUNTIF(Turnos_Nome,$C185)=0,"Turno inválido | ","")&amp;IF(COUNTIF(Esp_Nome,$F185)=0,"Especialidade não cadastrada | ","")&amp;IF(COUNTIF(Lista_StatusCirurgia,$J185)=0,"Status inválido | ","")&amp;IF(OR(NOT(ISNUMBER($D185)),NOT(ISNUMBER($E185))),"Horário inválido | ","")&amp;IFERROR(IF(AND(ISNUMBER($D185),ISNUMBER($E185),MOD($E185-$D185,1)*1440&lt;=0),"Duração nula ou negativa | ",""),"")&amp;IFERROR(IF(AND(ISNUMBER($D185),COUNTIF(Turnos_Nome,$C185)&gt;0,MOD($D185-INDEX(Turnos_Ini,MATCH($C185,Turnos_Nome,0)),1)*1440&gt;=INDEX(Turnos_Min,MATCH($C185,Turnos_Nome,0))),"Início fora da janela do turno | ",""),"")&amp;IFERROR(IF(AND($L185&gt;0,SUMPRODUCT((Mapa_Sala=$B185)*(Mapa_Data=$A185)*(Mapa_MinOcup&gt;0)*(((MOD(Mapa_IniNum-$O185,1)&lt;MOD($P185-$O185,1))+(MOD($O185-Mapa_IniNum,1)&lt;MOD(Mapa_FimNum-Mapa_IniNum,1)))&gt;0))&gt;1),"Sobreposição de horário na sala | ",""),"")&amp;IFERROR(IF(AND(ISNUMBER($K185),$K185&gt;0,COUNTIF(Esp_Nome,$F185)&gt;0,$K185&gt;3*INDEX(Esp_Dur,MATCH($F185,Esp_Nome,0))),"Duração atípica (&gt;3x a média) | ",""),""))</f>
        <v/>
      </c>
      <c r="O185" s="10">
        <f>IF(ISNUMBER($D185),$D185,0)</f>
        <v/>
      </c>
      <c r="P185" s="10">
        <f>IF(ISNUMBER($E185),$E185,0)</f>
        <v/>
      </c>
    </row>
    <row r="186">
      <c r="A186" s="30" t="n"/>
      <c r="B186" s="24" t="n"/>
      <c r="C186" s="24" t="n"/>
      <c r="D186" s="31" t="n"/>
      <c r="E186" s="31" t="n"/>
      <c r="F186" s="25" t="n"/>
      <c r="G186" s="25" t="n"/>
      <c r="H186" s="25" t="n"/>
      <c r="I186" s="24" t="n"/>
      <c r="J186" s="24" t="n"/>
      <c r="K186" s="32">
        <f>IF(OR($B186="",NOT(ISNUMBER($D186)),NOT(ISNUMBER($E186))),"",ROUND(MOD($E186-$D186,1)*1440,0))</f>
        <v/>
      </c>
      <c r="L186" s="32">
        <f>IF(NOT(ISNUMBER($K186)),0,IF(OR($K186&lt;=0,$J186="Cancelada",$J186="Suspensa"),0,$K186+Setup_Min))</f>
        <v/>
      </c>
      <c r="M186" s="17">
        <f>IF($B186="","",IF($N186="","OK",LEFT($N186,LEN($N186)-3)))</f>
        <v/>
      </c>
      <c r="N186" s="10">
        <f>IF($B186="","",IF(COUNTIF(Salas_Cod,$B186)=0,"Sala não cadastrada | ","")&amp;IF(AND(COUNTIF(Salas_Cod,$B186)&gt;0,IFERROR(INDEX(Salas_Status,MATCH($B186,Salas_Cod,0)),"")&lt;&gt;"Ativa"),"Sala bloqueada | ","")&amp;IF(COUNTIF(Turnos_Nome,$C186)=0,"Turno inválido | ","")&amp;IF(COUNTIF(Esp_Nome,$F186)=0,"Especialidade não cadastrada | ","")&amp;IF(COUNTIF(Lista_StatusCirurgia,$J186)=0,"Status inválido | ","")&amp;IF(OR(NOT(ISNUMBER($D186)),NOT(ISNUMBER($E186))),"Horário inválido | ","")&amp;IFERROR(IF(AND(ISNUMBER($D186),ISNUMBER($E186),MOD($E186-$D186,1)*1440&lt;=0),"Duração nula ou negativa | ",""),"")&amp;IFERROR(IF(AND(ISNUMBER($D186),COUNTIF(Turnos_Nome,$C186)&gt;0,MOD($D186-INDEX(Turnos_Ini,MATCH($C186,Turnos_Nome,0)),1)*1440&gt;=INDEX(Turnos_Min,MATCH($C186,Turnos_Nome,0))),"Início fora da janela do turno | ",""),"")&amp;IFERROR(IF(AND($L186&gt;0,SUMPRODUCT((Mapa_Sala=$B186)*(Mapa_Data=$A186)*(Mapa_MinOcup&gt;0)*(((MOD(Mapa_IniNum-$O186,1)&lt;MOD($P186-$O186,1))+(MOD($O186-Mapa_IniNum,1)&lt;MOD(Mapa_FimNum-Mapa_IniNum,1)))&gt;0))&gt;1),"Sobreposição de horário na sala | ",""),"")&amp;IFERROR(IF(AND(ISNUMBER($K186),$K186&gt;0,COUNTIF(Esp_Nome,$F186)&gt;0,$K186&gt;3*INDEX(Esp_Dur,MATCH($F186,Esp_Nome,0))),"Duração atípica (&gt;3x a média) | ",""),""))</f>
        <v/>
      </c>
      <c r="O186" s="10">
        <f>IF(ISNUMBER($D186),$D186,0)</f>
        <v/>
      </c>
      <c r="P186" s="10">
        <f>IF(ISNUMBER($E186),$E186,0)</f>
        <v/>
      </c>
    </row>
    <row r="187">
      <c r="A187" s="30" t="n"/>
      <c r="B187" s="24" t="n"/>
      <c r="C187" s="24" t="n"/>
      <c r="D187" s="31" t="n"/>
      <c r="E187" s="31" t="n"/>
      <c r="F187" s="25" t="n"/>
      <c r="G187" s="25" t="n"/>
      <c r="H187" s="25" t="n"/>
      <c r="I187" s="24" t="n"/>
      <c r="J187" s="24" t="n"/>
      <c r="K187" s="32">
        <f>IF(OR($B187="",NOT(ISNUMBER($D187)),NOT(ISNUMBER($E187))),"",ROUND(MOD($E187-$D187,1)*1440,0))</f>
        <v/>
      </c>
      <c r="L187" s="32">
        <f>IF(NOT(ISNUMBER($K187)),0,IF(OR($K187&lt;=0,$J187="Cancelada",$J187="Suspensa"),0,$K187+Setup_Min))</f>
        <v/>
      </c>
      <c r="M187" s="17">
        <f>IF($B187="","",IF($N187="","OK",LEFT($N187,LEN($N187)-3)))</f>
        <v/>
      </c>
      <c r="N187" s="10">
        <f>IF($B187="","",IF(COUNTIF(Salas_Cod,$B187)=0,"Sala não cadastrada | ","")&amp;IF(AND(COUNTIF(Salas_Cod,$B187)&gt;0,IFERROR(INDEX(Salas_Status,MATCH($B187,Salas_Cod,0)),"")&lt;&gt;"Ativa"),"Sala bloqueada | ","")&amp;IF(COUNTIF(Turnos_Nome,$C187)=0,"Turno inválido | ","")&amp;IF(COUNTIF(Esp_Nome,$F187)=0,"Especialidade não cadastrada | ","")&amp;IF(COUNTIF(Lista_StatusCirurgia,$J187)=0,"Status inválido | ","")&amp;IF(OR(NOT(ISNUMBER($D187)),NOT(ISNUMBER($E187))),"Horário inválido | ","")&amp;IFERROR(IF(AND(ISNUMBER($D187),ISNUMBER($E187),MOD($E187-$D187,1)*1440&lt;=0),"Duração nula ou negativa | ",""),"")&amp;IFERROR(IF(AND(ISNUMBER($D187),COUNTIF(Turnos_Nome,$C187)&gt;0,MOD($D187-INDEX(Turnos_Ini,MATCH($C187,Turnos_Nome,0)),1)*1440&gt;=INDEX(Turnos_Min,MATCH($C187,Turnos_Nome,0))),"Início fora da janela do turno | ",""),"")&amp;IFERROR(IF(AND($L187&gt;0,SUMPRODUCT((Mapa_Sala=$B187)*(Mapa_Data=$A187)*(Mapa_MinOcup&gt;0)*(((MOD(Mapa_IniNum-$O187,1)&lt;MOD($P187-$O187,1))+(MOD($O187-Mapa_IniNum,1)&lt;MOD(Mapa_FimNum-Mapa_IniNum,1)))&gt;0))&gt;1),"Sobreposição de horário na sala | ",""),"")&amp;IFERROR(IF(AND(ISNUMBER($K187),$K187&gt;0,COUNTIF(Esp_Nome,$F187)&gt;0,$K187&gt;3*INDEX(Esp_Dur,MATCH($F187,Esp_Nome,0))),"Duração atípica (&gt;3x a média) | ",""),""))</f>
        <v/>
      </c>
      <c r="O187" s="10">
        <f>IF(ISNUMBER($D187),$D187,0)</f>
        <v/>
      </c>
      <c r="P187" s="10">
        <f>IF(ISNUMBER($E187),$E187,0)</f>
        <v/>
      </c>
    </row>
    <row r="188">
      <c r="A188" s="30" t="n"/>
      <c r="B188" s="24" t="n"/>
      <c r="C188" s="24" t="n"/>
      <c r="D188" s="31" t="n"/>
      <c r="E188" s="31" t="n"/>
      <c r="F188" s="25" t="n"/>
      <c r="G188" s="25" t="n"/>
      <c r="H188" s="25" t="n"/>
      <c r="I188" s="24" t="n"/>
      <c r="J188" s="24" t="n"/>
      <c r="K188" s="32">
        <f>IF(OR($B188="",NOT(ISNUMBER($D188)),NOT(ISNUMBER($E188))),"",ROUND(MOD($E188-$D188,1)*1440,0))</f>
        <v/>
      </c>
      <c r="L188" s="32">
        <f>IF(NOT(ISNUMBER($K188)),0,IF(OR($K188&lt;=0,$J188="Cancelada",$J188="Suspensa"),0,$K188+Setup_Min))</f>
        <v/>
      </c>
      <c r="M188" s="17">
        <f>IF($B188="","",IF($N188="","OK",LEFT($N188,LEN($N188)-3)))</f>
        <v/>
      </c>
      <c r="N188" s="10">
        <f>IF($B188="","",IF(COUNTIF(Salas_Cod,$B188)=0,"Sala não cadastrada | ","")&amp;IF(AND(COUNTIF(Salas_Cod,$B188)&gt;0,IFERROR(INDEX(Salas_Status,MATCH($B188,Salas_Cod,0)),"")&lt;&gt;"Ativa"),"Sala bloqueada | ","")&amp;IF(COUNTIF(Turnos_Nome,$C188)=0,"Turno inválido | ","")&amp;IF(COUNTIF(Esp_Nome,$F188)=0,"Especialidade não cadastrada | ","")&amp;IF(COUNTIF(Lista_StatusCirurgia,$J188)=0,"Status inválido | ","")&amp;IF(OR(NOT(ISNUMBER($D188)),NOT(ISNUMBER($E188))),"Horário inválido | ","")&amp;IFERROR(IF(AND(ISNUMBER($D188),ISNUMBER($E188),MOD($E188-$D188,1)*1440&lt;=0),"Duração nula ou negativa | ",""),"")&amp;IFERROR(IF(AND(ISNUMBER($D188),COUNTIF(Turnos_Nome,$C188)&gt;0,MOD($D188-INDEX(Turnos_Ini,MATCH($C188,Turnos_Nome,0)),1)*1440&gt;=INDEX(Turnos_Min,MATCH($C188,Turnos_Nome,0))),"Início fora da janela do turno | ",""),"")&amp;IFERROR(IF(AND($L188&gt;0,SUMPRODUCT((Mapa_Sala=$B188)*(Mapa_Data=$A188)*(Mapa_MinOcup&gt;0)*(((MOD(Mapa_IniNum-$O188,1)&lt;MOD($P188-$O188,1))+(MOD($O188-Mapa_IniNum,1)&lt;MOD(Mapa_FimNum-Mapa_IniNum,1)))&gt;0))&gt;1),"Sobreposição de horário na sala | ",""),"")&amp;IFERROR(IF(AND(ISNUMBER($K188),$K188&gt;0,COUNTIF(Esp_Nome,$F188)&gt;0,$K188&gt;3*INDEX(Esp_Dur,MATCH($F188,Esp_Nome,0))),"Duração atípica (&gt;3x a média) | ",""),""))</f>
        <v/>
      </c>
      <c r="O188" s="10">
        <f>IF(ISNUMBER($D188),$D188,0)</f>
        <v/>
      </c>
      <c r="P188" s="10">
        <f>IF(ISNUMBER($E188),$E188,0)</f>
        <v/>
      </c>
    </row>
    <row r="189">
      <c r="A189" s="30" t="n"/>
      <c r="B189" s="24" t="n"/>
      <c r="C189" s="24" t="n"/>
      <c r="D189" s="31" t="n"/>
      <c r="E189" s="31" t="n"/>
      <c r="F189" s="25" t="n"/>
      <c r="G189" s="25" t="n"/>
      <c r="H189" s="25" t="n"/>
      <c r="I189" s="24" t="n"/>
      <c r="J189" s="24" t="n"/>
      <c r="K189" s="32">
        <f>IF(OR($B189="",NOT(ISNUMBER($D189)),NOT(ISNUMBER($E189))),"",ROUND(MOD($E189-$D189,1)*1440,0))</f>
        <v/>
      </c>
      <c r="L189" s="32">
        <f>IF(NOT(ISNUMBER($K189)),0,IF(OR($K189&lt;=0,$J189="Cancelada",$J189="Suspensa"),0,$K189+Setup_Min))</f>
        <v/>
      </c>
      <c r="M189" s="17">
        <f>IF($B189="","",IF($N189="","OK",LEFT($N189,LEN($N189)-3)))</f>
        <v/>
      </c>
      <c r="N189" s="10">
        <f>IF($B189="","",IF(COUNTIF(Salas_Cod,$B189)=0,"Sala não cadastrada | ","")&amp;IF(AND(COUNTIF(Salas_Cod,$B189)&gt;0,IFERROR(INDEX(Salas_Status,MATCH($B189,Salas_Cod,0)),"")&lt;&gt;"Ativa"),"Sala bloqueada | ","")&amp;IF(COUNTIF(Turnos_Nome,$C189)=0,"Turno inválido | ","")&amp;IF(COUNTIF(Esp_Nome,$F189)=0,"Especialidade não cadastrada | ","")&amp;IF(COUNTIF(Lista_StatusCirurgia,$J189)=0,"Status inválido | ","")&amp;IF(OR(NOT(ISNUMBER($D189)),NOT(ISNUMBER($E189))),"Horário inválido | ","")&amp;IFERROR(IF(AND(ISNUMBER($D189),ISNUMBER($E189),MOD($E189-$D189,1)*1440&lt;=0),"Duração nula ou negativa | ",""),"")&amp;IFERROR(IF(AND(ISNUMBER($D189),COUNTIF(Turnos_Nome,$C189)&gt;0,MOD($D189-INDEX(Turnos_Ini,MATCH($C189,Turnos_Nome,0)),1)*1440&gt;=INDEX(Turnos_Min,MATCH($C189,Turnos_Nome,0))),"Início fora da janela do turno | ",""),"")&amp;IFERROR(IF(AND($L189&gt;0,SUMPRODUCT((Mapa_Sala=$B189)*(Mapa_Data=$A189)*(Mapa_MinOcup&gt;0)*(((MOD(Mapa_IniNum-$O189,1)&lt;MOD($P189-$O189,1))+(MOD($O189-Mapa_IniNum,1)&lt;MOD(Mapa_FimNum-Mapa_IniNum,1)))&gt;0))&gt;1),"Sobreposição de horário na sala | ",""),"")&amp;IFERROR(IF(AND(ISNUMBER($K189),$K189&gt;0,COUNTIF(Esp_Nome,$F189)&gt;0,$K189&gt;3*INDEX(Esp_Dur,MATCH($F189,Esp_Nome,0))),"Duração atípica (&gt;3x a média) | ",""),""))</f>
        <v/>
      </c>
      <c r="O189" s="10">
        <f>IF(ISNUMBER($D189),$D189,0)</f>
        <v/>
      </c>
      <c r="P189" s="10">
        <f>IF(ISNUMBER($E189),$E189,0)</f>
        <v/>
      </c>
    </row>
    <row r="190">
      <c r="A190" s="30" t="n"/>
      <c r="B190" s="24" t="n"/>
      <c r="C190" s="24" t="n"/>
      <c r="D190" s="31" t="n"/>
      <c r="E190" s="31" t="n"/>
      <c r="F190" s="25" t="n"/>
      <c r="G190" s="25" t="n"/>
      <c r="H190" s="25" t="n"/>
      <c r="I190" s="24" t="n"/>
      <c r="J190" s="24" t="n"/>
      <c r="K190" s="32">
        <f>IF(OR($B190="",NOT(ISNUMBER($D190)),NOT(ISNUMBER($E190))),"",ROUND(MOD($E190-$D190,1)*1440,0))</f>
        <v/>
      </c>
      <c r="L190" s="32">
        <f>IF(NOT(ISNUMBER($K190)),0,IF(OR($K190&lt;=0,$J190="Cancelada",$J190="Suspensa"),0,$K190+Setup_Min))</f>
        <v/>
      </c>
      <c r="M190" s="17">
        <f>IF($B190="","",IF($N190="","OK",LEFT($N190,LEN($N190)-3)))</f>
        <v/>
      </c>
      <c r="N190" s="10">
        <f>IF($B190="","",IF(COUNTIF(Salas_Cod,$B190)=0,"Sala não cadastrada | ","")&amp;IF(AND(COUNTIF(Salas_Cod,$B190)&gt;0,IFERROR(INDEX(Salas_Status,MATCH($B190,Salas_Cod,0)),"")&lt;&gt;"Ativa"),"Sala bloqueada | ","")&amp;IF(COUNTIF(Turnos_Nome,$C190)=0,"Turno inválido | ","")&amp;IF(COUNTIF(Esp_Nome,$F190)=0,"Especialidade não cadastrada | ","")&amp;IF(COUNTIF(Lista_StatusCirurgia,$J190)=0,"Status inválido | ","")&amp;IF(OR(NOT(ISNUMBER($D190)),NOT(ISNUMBER($E190))),"Horário inválido | ","")&amp;IFERROR(IF(AND(ISNUMBER($D190),ISNUMBER($E190),MOD($E190-$D190,1)*1440&lt;=0),"Duração nula ou negativa | ",""),"")&amp;IFERROR(IF(AND(ISNUMBER($D190),COUNTIF(Turnos_Nome,$C190)&gt;0,MOD($D190-INDEX(Turnos_Ini,MATCH($C190,Turnos_Nome,0)),1)*1440&gt;=INDEX(Turnos_Min,MATCH($C190,Turnos_Nome,0))),"Início fora da janela do turno | ",""),"")&amp;IFERROR(IF(AND($L190&gt;0,SUMPRODUCT((Mapa_Sala=$B190)*(Mapa_Data=$A190)*(Mapa_MinOcup&gt;0)*(((MOD(Mapa_IniNum-$O190,1)&lt;MOD($P190-$O190,1))+(MOD($O190-Mapa_IniNum,1)&lt;MOD(Mapa_FimNum-Mapa_IniNum,1)))&gt;0))&gt;1),"Sobreposição de horário na sala | ",""),"")&amp;IFERROR(IF(AND(ISNUMBER($K190),$K190&gt;0,COUNTIF(Esp_Nome,$F190)&gt;0,$K190&gt;3*INDEX(Esp_Dur,MATCH($F190,Esp_Nome,0))),"Duração atípica (&gt;3x a média) | ",""),""))</f>
        <v/>
      </c>
      <c r="O190" s="10">
        <f>IF(ISNUMBER($D190),$D190,0)</f>
        <v/>
      </c>
      <c r="P190" s="10">
        <f>IF(ISNUMBER($E190),$E190,0)</f>
        <v/>
      </c>
    </row>
    <row r="191">
      <c r="A191" s="30" t="n"/>
      <c r="B191" s="24" t="n"/>
      <c r="C191" s="24" t="n"/>
      <c r="D191" s="31" t="n"/>
      <c r="E191" s="31" t="n"/>
      <c r="F191" s="25" t="n"/>
      <c r="G191" s="25" t="n"/>
      <c r="H191" s="25" t="n"/>
      <c r="I191" s="24" t="n"/>
      <c r="J191" s="24" t="n"/>
      <c r="K191" s="32">
        <f>IF(OR($B191="",NOT(ISNUMBER($D191)),NOT(ISNUMBER($E191))),"",ROUND(MOD($E191-$D191,1)*1440,0))</f>
        <v/>
      </c>
      <c r="L191" s="32">
        <f>IF(NOT(ISNUMBER($K191)),0,IF(OR($K191&lt;=0,$J191="Cancelada",$J191="Suspensa"),0,$K191+Setup_Min))</f>
        <v/>
      </c>
      <c r="M191" s="17">
        <f>IF($B191="","",IF($N191="","OK",LEFT($N191,LEN($N191)-3)))</f>
        <v/>
      </c>
      <c r="N191" s="10">
        <f>IF($B191="","",IF(COUNTIF(Salas_Cod,$B191)=0,"Sala não cadastrada | ","")&amp;IF(AND(COUNTIF(Salas_Cod,$B191)&gt;0,IFERROR(INDEX(Salas_Status,MATCH($B191,Salas_Cod,0)),"")&lt;&gt;"Ativa"),"Sala bloqueada | ","")&amp;IF(COUNTIF(Turnos_Nome,$C191)=0,"Turno inválido | ","")&amp;IF(COUNTIF(Esp_Nome,$F191)=0,"Especialidade não cadastrada | ","")&amp;IF(COUNTIF(Lista_StatusCirurgia,$J191)=0,"Status inválido | ","")&amp;IF(OR(NOT(ISNUMBER($D191)),NOT(ISNUMBER($E191))),"Horário inválido | ","")&amp;IFERROR(IF(AND(ISNUMBER($D191),ISNUMBER($E191),MOD($E191-$D191,1)*1440&lt;=0),"Duração nula ou negativa | ",""),"")&amp;IFERROR(IF(AND(ISNUMBER($D191),COUNTIF(Turnos_Nome,$C191)&gt;0,MOD($D191-INDEX(Turnos_Ini,MATCH($C191,Turnos_Nome,0)),1)*1440&gt;=INDEX(Turnos_Min,MATCH($C191,Turnos_Nome,0))),"Início fora da janela do turno | ",""),"")&amp;IFERROR(IF(AND($L191&gt;0,SUMPRODUCT((Mapa_Sala=$B191)*(Mapa_Data=$A191)*(Mapa_MinOcup&gt;0)*(((MOD(Mapa_IniNum-$O191,1)&lt;MOD($P191-$O191,1))+(MOD($O191-Mapa_IniNum,1)&lt;MOD(Mapa_FimNum-Mapa_IniNum,1)))&gt;0))&gt;1),"Sobreposição de horário na sala | ",""),"")&amp;IFERROR(IF(AND(ISNUMBER($K191),$K191&gt;0,COUNTIF(Esp_Nome,$F191)&gt;0,$K191&gt;3*INDEX(Esp_Dur,MATCH($F191,Esp_Nome,0))),"Duração atípica (&gt;3x a média) | ",""),""))</f>
        <v/>
      </c>
      <c r="O191" s="10">
        <f>IF(ISNUMBER($D191),$D191,0)</f>
        <v/>
      </c>
      <c r="P191" s="10">
        <f>IF(ISNUMBER($E191),$E191,0)</f>
        <v/>
      </c>
    </row>
    <row r="192">
      <c r="A192" s="30" t="n"/>
      <c r="B192" s="24" t="n"/>
      <c r="C192" s="24" t="n"/>
      <c r="D192" s="31" t="n"/>
      <c r="E192" s="31" t="n"/>
      <c r="F192" s="25" t="n"/>
      <c r="G192" s="25" t="n"/>
      <c r="H192" s="25" t="n"/>
      <c r="I192" s="24" t="n"/>
      <c r="J192" s="24" t="n"/>
      <c r="K192" s="32">
        <f>IF(OR($B192="",NOT(ISNUMBER($D192)),NOT(ISNUMBER($E192))),"",ROUND(MOD($E192-$D192,1)*1440,0))</f>
        <v/>
      </c>
      <c r="L192" s="32">
        <f>IF(NOT(ISNUMBER($K192)),0,IF(OR($K192&lt;=0,$J192="Cancelada",$J192="Suspensa"),0,$K192+Setup_Min))</f>
        <v/>
      </c>
      <c r="M192" s="17">
        <f>IF($B192="","",IF($N192="","OK",LEFT($N192,LEN($N192)-3)))</f>
        <v/>
      </c>
      <c r="N192" s="10">
        <f>IF($B192="","",IF(COUNTIF(Salas_Cod,$B192)=0,"Sala não cadastrada | ","")&amp;IF(AND(COUNTIF(Salas_Cod,$B192)&gt;0,IFERROR(INDEX(Salas_Status,MATCH($B192,Salas_Cod,0)),"")&lt;&gt;"Ativa"),"Sala bloqueada | ","")&amp;IF(COUNTIF(Turnos_Nome,$C192)=0,"Turno inválido | ","")&amp;IF(COUNTIF(Esp_Nome,$F192)=0,"Especialidade não cadastrada | ","")&amp;IF(COUNTIF(Lista_StatusCirurgia,$J192)=0,"Status inválido | ","")&amp;IF(OR(NOT(ISNUMBER($D192)),NOT(ISNUMBER($E192))),"Horário inválido | ","")&amp;IFERROR(IF(AND(ISNUMBER($D192),ISNUMBER($E192),MOD($E192-$D192,1)*1440&lt;=0),"Duração nula ou negativa | ",""),"")&amp;IFERROR(IF(AND(ISNUMBER($D192),COUNTIF(Turnos_Nome,$C192)&gt;0,MOD($D192-INDEX(Turnos_Ini,MATCH($C192,Turnos_Nome,0)),1)*1440&gt;=INDEX(Turnos_Min,MATCH($C192,Turnos_Nome,0))),"Início fora da janela do turno | ",""),"")&amp;IFERROR(IF(AND($L192&gt;0,SUMPRODUCT((Mapa_Sala=$B192)*(Mapa_Data=$A192)*(Mapa_MinOcup&gt;0)*(((MOD(Mapa_IniNum-$O192,1)&lt;MOD($P192-$O192,1))+(MOD($O192-Mapa_IniNum,1)&lt;MOD(Mapa_FimNum-Mapa_IniNum,1)))&gt;0))&gt;1),"Sobreposição de horário na sala | ",""),"")&amp;IFERROR(IF(AND(ISNUMBER($K192),$K192&gt;0,COUNTIF(Esp_Nome,$F192)&gt;0,$K192&gt;3*INDEX(Esp_Dur,MATCH($F192,Esp_Nome,0))),"Duração atípica (&gt;3x a média) | ",""),""))</f>
        <v/>
      </c>
      <c r="O192" s="10">
        <f>IF(ISNUMBER($D192),$D192,0)</f>
        <v/>
      </c>
      <c r="P192" s="10">
        <f>IF(ISNUMBER($E192),$E192,0)</f>
        <v/>
      </c>
    </row>
    <row r="193">
      <c r="A193" s="30" t="n"/>
      <c r="B193" s="24" t="n"/>
      <c r="C193" s="24" t="n"/>
      <c r="D193" s="31" t="n"/>
      <c r="E193" s="31" t="n"/>
      <c r="F193" s="25" t="n"/>
      <c r="G193" s="25" t="n"/>
      <c r="H193" s="25" t="n"/>
      <c r="I193" s="24" t="n"/>
      <c r="J193" s="24" t="n"/>
      <c r="K193" s="32">
        <f>IF(OR($B193="",NOT(ISNUMBER($D193)),NOT(ISNUMBER($E193))),"",ROUND(MOD($E193-$D193,1)*1440,0))</f>
        <v/>
      </c>
      <c r="L193" s="32">
        <f>IF(NOT(ISNUMBER($K193)),0,IF(OR($K193&lt;=0,$J193="Cancelada",$J193="Suspensa"),0,$K193+Setup_Min))</f>
        <v/>
      </c>
      <c r="M193" s="17">
        <f>IF($B193="","",IF($N193="","OK",LEFT($N193,LEN($N193)-3)))</f>
        <v/>
      </c>
      <c r="N193" s="10">
        <f>IF($B193="","",IF(COUNTIF(Salas_Cod,$B193)=0,"Sala não cadastrada | ","")&amp;IF(AND(COUNTIF(Salas_Cod,$B193)&gt;0,IFERROR(INDEX(Salas_Status,MATCH($B193,Salas_Cod,0)),"")&lt;&gt;"Ativa"),"Sala bloqueada | ","")&amp;IF(COUNTIF(Turnos_Nome,$C193)=0,"Turno inválido | ","")&amp;IF(COUNTIF(Esp_Nome,$F193)=0,"Especialidade não cadastrada | ","")&amp;IF(COUNTIF(Lista_StatusCirurgia,$J193)=0,"Status inválido | ","")&amp;IF(OR(NOT(ISNUMBER($D193)),NOT(ISNUMBER($E193))),"Horário inválido | ","")&amp;IFERROR(IF(AND(ISNUMBER($D193),ISNUMBER($E193),MOD($E193-$D193,1)*1440&lt;=0),"Duração nula ou negativa | ",""),"")&amp;IFERROR(IF(AND(ISNUMBER($D193),COUNTIF(Turnos_Nome,$C193)&gt;0,MOD($D193-INDEX(Turnos_Ini,MATCH($C193,Turnos_Nome,0)),1)*1440&gt;=INDEX(Turnos_Min,MATCH($C193,Turnos_Nome,0))),"Início fora da janela do turno | ",""),"")&amp;IFERROR(IF(AND($L193&gt;0,SUMPRODUCT((Mapa_Sala=$B193)*(Mapa_Data=$A193)*(Mapa_MinOcup&gt;0)*(((MOD(Mapa_IniNum-$O193,1)&lt;MOD($P193-$O193,1))+(MOD($O193-Mapa_IniNum,1)&lt;MOD(Mapa_FimNum-Mapa_IniNum,1)))&gt;0))&gt;1),"Sobreposição de horário na sala | ",""),"")&amp;IFERROR(IF(AND(ISNUMBER($K193),$K193&gt;0,COUNTIF(Esp_Nome,$F193)&gt;0,$K193&gt;3*INDEX(Esp_Dur,MATCH($F193,Esp_Nome,0))),"Duração atípica (&gt;3x a média) | ",""),""))</f>
        <v/>
      </c>
      <c r="O193" s="10">
        <f>IF(ISNUMBER($D193),$D193,0)</f>
        <v/>
      </c>
      <c r="P193" s="10">
        <f>IF(ISNUMBER($E193),$E193,0)</f>
        <v/>
      </c>
    </row>
    <row r="194">
      <c r="A194" s="30" t="n"/>
      <c r="B194" s="24" t="n"/>
      <c r="C194" s="24" t="n"/>
      <c r="D194" s="31" t="n"/>
      <c r="E194" s="31" t="n"/>
      <c r="F194" s="25" t="n"/>
      <c r="G194" s="25" t="n"/>
      <c r="H194" s="25" t="n"/>
      <c r="I194" s="24" t="n"/>
      <c r="J194" s="24" t="n"/>
      <c r="K194" s="32">
        <f>IF(OR($B194="",NOT(ISNUMBER($D194)),NOT(ISNUMBER($E194))),"",ROUND(MOD($E194-$D194,1)*1440,0))</f>
        <v/>
      </c>
      <c r="L194" s="32">
        <f>IF(NOT(ISNUMBER($K194)),0,IF(OR($K194&lt;=0,$J194="Cancelada",$J194="Suspensa"),0,$K194+Setup_Min))</f>
        <v/>
      </c>
      <c r="M194" s="17">
        <f>IF($B194="","",IF($N194="","OK",LEFT($N194,LEN($N194)-3)))</f>
        <v/>
      </c>
      <c r="N194" s="10">
        <f>IF($B194="","",IF(COUNTIF(Salas_Cod,$B194)=0,"Sala não cadastrada | ","")&amp;IF(AND(COUNTIF(Salas_Cod,$B194)&gt;0,IFERROR(INDEX(Salas_Status,MATCH($B194,Salas_Cod,0)),"")&lt;&gt;"Ativa"),"Sala bloqueada | ","")&amp;IF(COUNTIF(Turnos_Nome,$C194)=0,"Turno inválido | ","")&amp;IF(COUNTIF(Esp_Nome,$F194)=0,"Especialidade não cadastrada | ","")&amp;IF(COUNTIF(Lista_StatusCirurgia,$J194)=0,"Status inválido | ","")&amp;IF(OR(NOT(ISNUMBER($D194)),NOT(ISNUMBER($E194))),"Horário inválido | ","")&amp;IFERROR(IF(AND(ISNUMBER($D194),ISNUMBER($E194),MOD($E194-$D194,1)*1440&lt;=0),"Duração nula ou negativa | ",""),"")&amp;IFERROR(IF(AND(ISNUMBER($D194),COUNTIF(Turnos_Nome,$C194)&gt;0,MOD($D194-INDEX(Turnos_Ini,MATCH($C194,Turnos_Nome,0)),1)*1440&gt;=INDEX(Turnos_Min,MATCH($C194,Turnos_Nome,0))),"Início fora da janela do turno | ",""),"")&amp;IFERROR(IF(AND($L194&gt;0,SUMPRODUCT((Mapa_Sala=$B194)*(Mapa_Data=$A194)*(Mapa_MinOcup&gt;0)*(((MOD(Mapa_IniNum-$O194,1)&lt;MOD($P194-$O194,1))+(MOD($O194-Mapa_IniNum,1)&lt;MOD(Mapa_FimNum-Mapa_IniNum,1)))&gt;0))&gt;1),"Sobreposição de horário na sala | ",""),"")&amp;IFERROR(IF(AND(ISNUMBER($K194),$K194&gt;0,COUNTIF(Esp_Nome,$F194)&gt;0,$K194&gt;3*INDEX(Esp_Dur,MATCH($F194,Esp_Nome,0))),"Duração atípica (&gt;3x a média) | ",""),""))</f>
        <v/>
      </c>
      <c r="O194" s="10">
        <f>IF(ISNUMBER($D194),$D194,0)</f>
        <v/>
      </c>
      <c r="P194" s="10">
        <f>IF(ISNUMBER($E194),$E194,0)</f>
        <v/>
      </c>
    </row>
    <row r="195">
      <c r="A195" s="30" t="n"/>
      <c r="B195" s="24" t="n"/>
      <c r="C195" s="24" t="n"/>
      <c r="D195" s="31" t="n"/>
      <c r="E195" s="31" t="n"/>
      <c r="F195" s="25" t="n"/>
      <c r="G195" s="25" t="n"/>
      <c r="H195" s="25" t="n"/>
      <c r="I195" s="24" t="n"/>
      <c r="J195" s="24" t="n"/>
      <c r="K195" s="32">
        <f>IF(OR($B195="",NOT(ISNUMBER($D195)),NOT(ISNUMBER($E195))),"",ROUND(MOD($E195-$D195,1)*1440,0))</f>
        <v/>
      </c>
      <c r="L195" s="32">
        <f>IF(NOT(ISNUMBER($K195)),0,IF(OR($K195&lt;=0,$J195="Cancelada",$J195="Suspensa"),0,$K195+Setup_Min))</f>
        <v/>
      </c>
      <c r="M195" s="17">
        <f>IF($B195="","",IF($N195="","OK",LEFT($N195,LEN($N195)-3)))</f>
        <v/>
      </c>
      <c r="N195" s="10">
        <f>IF($B195="","",IF(COUNTIF(Salas_Cod,$B195)=0,"Sala não cadastrada | ","")&amp;IF(AND(COUNTIF(Salas_Cod,$B195)&gt;0,IFERROR(INDEX(Salas_Status,MATCH($B195,Salas_Cod,0)),"")&lt;&gt;"Ativa"),"Sala bloqueada | ","")&amp;IF(COUNTIF(Turnos_Nome,$C195)=0,"Turno inválido | ","")&amp;IF(COUNTIF(Esp_Nome,$F195)=0,"Especialidade não cadastrada | ","")&amp;IF(COUNTIF(Lista_StatusCirurgia,$J195)=0,"Status inválido | ","")&amp;IF(OR(NOT(ISNUMBER($D195)),NOT(ISNUMBER($E195))),"Horário inválido | ","")&amp;IFERROR(IF(AND(ISNUMBER($D195),ISNUMBER($E195),MOD($E195-$D195,1)*1440&lt;=0),"Duração nula ou negativa | ",""),"")&amp;IFERROR(IF(AND(ISNUMBER($D195),COUNTIF(Turnos_Nome,$C195)&gt;0,MOD($D195-INDEX(Turnos_Ini,MATCH($C195,Turnos_Nome,0)),1)*1440&gt;=INDEX(Turnos_Min,MATCH($C195,Turnos_Nome,0))),"Início fora da janela do turno | ",""),"")&amp;IFERROR(IF(AND($L195&gt;0,SUMPRODUCT((Mapa_Sala=$B195)*(Mapa_Data=$A195)*(Mapa_MinOcup&gt;0)*(((MOD(Mapa_IniNum-$O195,1)&lt;MOD($P195-$O195,1))+(MOD($O195-Mapa_IniNum,1)&lt;MOD(Mapa_FimNum-Mapa_IniNum,1)))&gt;0))&gt;1),"Sobreposição de horário na sala | ",""),"")&amp;IFERROR(IF(AND(ISNUMBER($K195),$K195&gt;0,COUNTIF(Esp_Nome,$F195)&gt;0,$K195&gt;3*INDEX(Esp_Dur,MATCH($F195,Esp_Nome,0))),"Duração atípica (&gt;3x a média) | ",""),""))</f>
        <v/>
      </c>
      <c r="O195" s="10">
        <f>IF(ISNUMBER($D195),$D195,0)</f>
        <v/>
      </c>
      <c r="P195" s="10">
        <f>IF(ISNUMBER($E195),$E195,0)</f>
        <v/>
      </c>
    </row>
    <row r="196">
      <c r="A196" s="30" t="n"/>
      <c r="B196" s="24" t="n"/>
      <c r="C196" s="24" t="n"/>
      <c r="D196" s="31" t="n"/>
      <c r="E196" s="31" t="n"/>
      <c r="F196" s="25" t="n"/>
      <c r="G196" s="25" t="n"/>
      <c r="H196" s="25" t="n"/>
      <c r="I196" s="24" t="n"/>
      <c r="J196" s="24" t="n"/>
      <c r="K196" s="32">
        <f>IF(OR($B196="",NOT(ISNUMBER($D196)),NOT(ISNUMBER($E196))),"",ROUND(MOD($E196-$D196,1)*1440,0))</f>
        <v/>
      </c>
      <c r="L196" s="32">
        <f>IF(NOT(ISNUMBER($K196)),0,IF(OR($K196&lt;=0,$J196="Cancelada",$J196="Suspensa"),0,$K196+Setup_Min))</f>
        <v/>
      </c>
      <c r="M196" s="17">
        <f>IF($B196="","",IF($N196="","OK",LEFT($N196,LEN($N196)-3)))</f>
        <v/>
      </c>
      <c r="N196" s="10">
        <f>IF($B196="","",IF(COUNTIF(Salas_Cod,$B196)=0,"Sala não cadastrada | ","")&amp;IF(AND(COUNTIF(Salas_Cod,$B196)&gt;0,IFERROR(INDEX(Salas_Status,MATCH($B196,Salas_Cod,0)),"")&lt;&gt;"Ativa"),"Sala bloqueada | ","")&amp;IF(COUNTIF(Turnos_Nome,$C196)=0,"Turno inválido | ","")&amp;IF(COUNTIF(Esp_Nome,$F196)=0,"Especialidade não cadastrada | ","")&amp;IF(COUNTIF(Lista_StatusCirurgia,$J196)=0,"Status inválido | ","")&amp;IF(OR(NOT(ISNUMBER($D196)),NOT(ISNUMBER($E196))),"Horário inválido | ","")&amp;IFERROR(IF(AND(ISNUMBER($D196),ISNUMBER($E196),MOD($E196-$D196,1)*1440&lt;=0),"Duração nula ou negativa | ",""),"")&amp;IFERROR(IF(AND(ISNUMBER($D196),COUNTIF(Turnos_Nome,$C196)&gt;0,MOD($D196-INDEX(Turnos_Ini,MATCH($C196,Turnos_Nome,0)),1)*1440&gt;=INDEX(Turnos_Min,MATCH($C196,Turnos_Nome,0))),"Início fora da janela do turno | ",""),"")&amp;IFERROR(IF(AND($L196&gt;0,SUMPRODUCT((Mapa_Sala=$B196)*(Mapa_Data=$A196)*(Mapa_MinOcup&gt;0)*(((MOD(Mapa_IniNum-$O196,1)&lt;MOD($P196-$O196,1))+(MOD($O196-Mapa_IniNum,1)&lt;MOD(Mapa_FimNum-Mapa_IniNum,1)))&gt;0))&gt;1),"Sobreposição de horário na sala | ",""),"")&amp;IFERROR(IF(AND(ISNUMBER($K196),$K196&gt;0,COUNTIF(Esp_Nome,$F196)&gt;0,$K196&gt;3*INDEX(Esp_Dur,MATCH($F196,Esp_Nome,0))),"Duração atípica (&gt;3x a média) | ",""),""))</f>
        <v/>
      </c>
      <c r="O196" s="10">
        <f>IF(ISNUMBER($D196),$D196,0)</f>
        <v/>
      </c>
      <c r="P196" s="10">
        <f>IF(ISNUMBER($E196),$E196,0)</f>
        <v/>
      </c>
    </row>
    <row r="197">
      <c r="A197" s="30" t="n"/>
      <c r="B197" s="24" t="n"/>
      <c r="C197" s="24" t="n"/>
      <c r="D197" s="31" t="n"/>
      <c r="E197" s="31" t="n"/>
      <c r="F197" s="25" t="n"/>
      <c r="G197" s="25" t="n"/>
      <c r="H197" s="25" t="n"/>
      <c r="I197" s="24" t="n"/>
      <c r="J197" s="24" t="n"/>
      <c r="K197" s="32">
        <f>IF(OR($B197="",NOT(ISNUMBER($D197)),NOT(ISNUMBER($E197))),"",ROUND(MOD($E197-$D197,1)*1440,0))</f>
        <v/>
      </c>
      <c r="L197" s="32">
        <f>IF(NOT(ISNUMBER($K197)),0,IF(OR($K197&lt;=0,$J197="Cancelada",$J197="Suspensa"),0,$K197+Setup_Min))</f>
        <v/>
      </c>
      <c r="M197" s="17">
        <f>IF($B197="","",IF($N197="","OK",LEFT($N197,LEN($N197)-3)))</f>
        <v/>
      </c>
      <c r="N197" s="10">
        <f>IF($B197="","",IF(COUNTIF(Salas_Cod,$B197)=0,"Sala não cadastrada | ","")&amp;IF(AND(COUNTIF(Salas_Cod,$B197)&gt;0,IFERROR(INDEX(Salas_Status,MATCH($B197,Salas_Cod,0)),"")&lt;&gt;"Ativa"),"Sala bloqueada | ","")&amp;IF(COUNTIF(Turnos_Nome,$C197)=0,"Turno inválido | ","")&amp;IF(COUNTIF(Esp_Nome,$F197)=0,"Especialidade não cadastrada | ","")&amp;IF(COUNTIF(Lista_StatusCirurgia,$J197)=0,"Status inválido | ","")&amp;IF(OR(NOT(ISNUMBER($D197)),NOT(ISNUMBER($E197))),"Horário inválido | ","")&amp;IFERROR(IF(AND(ISNUMBER($D197),ISNUMBER($E197),MOD($E197-$D197,1)*1440&lt;=0),"Duração nula ou negativa | ",""),"")&amp;IFERROR(IF(AND(ISNUMBER($D197),COUNTIF(Turnos_Nome,$C197)&gt;0,MOD($D197-INDEX(Turnos_Ini,MATCH($C197,Turnos_Nome,0)),1)*1440&gt;=INDEX(Turnos_Min,MATCH($C197,Turnos_Nome,0))),"Início fora da janela do turno | ",""),"")&amp;IFERROR(IF(AND($L197&gt;0,SUMPRODUCT((Mapa_Sala=$B197)*(Mapa_Data=$A197)*(Mapa_MinOcup&gt;0)*(((MOD(Mapa_IniNum-$O197,1)&lt;MOD($P197-$O197,1))+(MOD($O197-Mapa_IniNum,1)&lt;MOD(Mapa_FimNum-Mapa_IniNum,1)))&gt;0))&gt;1),"Sobreposição de horário na sala | ",""),"")&amp;IFERROR(IF(AND(ISNUMBER($K197),$K197&gt;0,COUNTIF(Esp_Nome,$F197)&gt;0,$K197&gt;3*INDEX(Esp_Dur,MATCH($F197,Esp_Nome,0))),"Duração atípica (&gt;3x a média) | ",""),""))</f>
        <v/>
      </c>
      <c r="O197" s="10">
        <f>IF(ISNUMBER($D197),$D197,0)</f>
        <v/>
      </c>
      <c r="P197" s="10">
        <f>IF(ISNUMBER($E197),$E197,0)</f>
        <v/>
      </c>
    </row>
    <row r="198">
      <c r="A198" s="30" t="n"/>
      <c r="B198" s="24" t="n"/>
      <c r="C198" s="24" t="n"/>
      <c r="D198" s="31" t="n"/>
      <c r="E198" s="31" t="n"/>
      <c r="F198" s="25" t="n"/>
      <c r="G198" s="25" t="n"/>
      <c r="H198" s="25" t="n"/>
      <c r="I198" s="24" t="n"/>
      <c r="J198" s="24" t="n"/>
      <c r="K198" s="32">
        <f>IF(OR($B198="",NOT(ISNUMBER($D198)),NOT(ISNUMBER($E198))),"",ROUND(MOD($E198-$D198,1)*1440,0))</f>
        <v/>
      </c>
      <c r="L198" s="32">
        <f>IF(NOT(ISNUMBER($K198)),0,IF(OR($K198&lt;=0,$J198="Cancelada",$J198="Suspensa"),0,$K198+Setup_Min))</f>
        <v/>
      </c>
      <c r="M198" s="17">
        <f>IF($B198="","",IF($N198="","OK",LEFT($N198,LEN($N198)-3)))</f>
        <v/>
      </c>
      <c r="N198" s="10">
        <f>IF($B198="","",IF(COUNTIF(Salas_Cod,$B198)=0,"Sala não cadastrada | ","")&amp;IF(AND(COUNTIF(Salas_Cod,$B198)&gt;0,IFERROR(INDEX(Salas_Status,MATCH($B198,Salas_Cod,0)),"")&lt;&gt;"Ativa"),"Sala bloqueada | ","")&amp;IF(COUNTIF(Turnos_Nome,$C198)=0,"Turno inválido | ","")&amp;IF(COUNTIF(Esp_Nome,$F198)=0,"Especialidade não cadastrada | ","")&amp;IF(COUNTIF(Lista_StatusCirurgia,$J198)=0,"Status inválido | ","")&amp;IF(OR(NOT(ISNUMBER($D198)),NOT(ISNUMBER($E198))),"Horário inválido | ","")&amp;IFERROR(IF(AND(ISNUMBER($D198),ISNUMBER($E198),MOD($E198-$D198,1)*1440&lt;=0),"Duração nula ou negativa | ",""),"")&amp;IFERROR(IF(AND(ISNUMBER($D198),COUNTIF(Turnos_Nome,$C198)&gt;0,MOD($D198-INDEX(Turnos_Ini,MATCH($C198,Turnos_Nome,0)),1)*1440&gt;=INDEX(Turnos_Min,MATCH($C198,Turnos_Nome,0))),"Início fora da janela do turno | ",""),"")&amp;IFERROR(IF(AND($L198&gt;0,SUMPRODUCT((Mapa_Sala=$B198)*(Mapa_Data=$A198)*(Mapa_MinOcup&gt;0)*(((MOD(Mapa_IniNum-$O198,1)&lt;MOD($P198-$O198,1))+(MOD($O198-Mapa_IniNum,1)&lt;MOD(Mapa_FimNum-Mapa_IniNum,1)))&gt;0))&gt;1),"Sobreposição de horário na sala | ",""),"")&amp;IFERROR(IF(AND(ISNUMBER($K198),$K198&gt;0,COUNTIF(Esp_Nome,$F198)&gt;0,$K198&gt;3*INDEX(Esp_Dur,MATCH($F198,Esp_Nome,0))),"Duração atípica (&gt;3x a média) | ",""),""))</f>
        <v/>
      </c>
      <c r="O198" s="10">
        <f>IF(ISNUMBER($D198),$D198,0)</f>
        <v/>
      </c>
      <c r="P198" s="10">
        <f>IF(ISNUMBER($E198),$E198,0)</f>
        <v/>
      </c>
    </row>
    <row r="199">
      <c r="A199" s="30" t="n"/>
      <c r="B199" s="24" t="n"/>
      <c r="C199" s="24" t="n"/>
      <c r="D199" s="31" t="n"/>
      <c r="E199" s="31" t="n"/>
      <c r="F199" s="25" t="n"/>
      <c r="G199" s="25" t="n"/>
      <c r="H199" s="25" t="n"/>
      <c r="I199" s="24" t="n"/>
      <c r="J199" s="24" t="n"/>
      <c r="K199" s="32">
        <f>IF(OR($B199="",NOT(ISNUMBER($D199)),NOT(ISNUMBER($E199))),"",ROUND(MOD($E199-$D199,1)*1440,0))</f>
        <v/>
      </c>
      <c r="L199" s="32">
        <f>IF(NOT(ISNUMBER($K199)),0,IF(OR($K199&lt;=0,$J199="Cancelada",$J199="Suspensa"),0,$K199+Setup_Min))</f>
        <v/>
      </c>
      <c r="M199" s="17">
        <f>IF($B199="","",IF($N199="","OK",LEFT($N199,LEN($N199)-3)))</f>
        <v/>
      </c>
      <c r="N199" s="10">
        <f>IF($B199="","",IF(COUNTIF(Salas_Cod,$B199)=0,"Sala não cadastrada | ","")&amp;IF(AND(COUNTIF(Salas_Cod,$B199)&gt;0,IFERROR(INDEX(Salas_Status,MATCH($B199,Salas_Cod,0)),"")&lt;&gt;"Ativa"),"Sala bloqueada | ","")&amp;IF(COUNTIF(Turnos_Nome,$C199)=0,"Turno inválido | ","")&amp;IF(COUNTIF(Esp_Nome,$F199)=0,"Especialidade não cadastrada | ","")&amp;IF(COUNTIF(Lista_StatusCirurgia,$J199)=0,"Status inválido | ","")&amp;IF(OR(NOT(ISNUMBER($D199)),NOT(ISNUMBER($E199))),"Horário inválido | ","")&amp;IFERROR(IF(AND(ISNUMBER($D199),ISNUMBER($E199),MOD($E199-$D199,1)*1440&lt;=0),"Duração nula ou negativa | ",""),"")&amp;IFERROR(IF(AND(ISNUMBER($D199),COUNTIF(Turnos_Nome,$C199)&gt;0,MOD($D199-INDEX(Turnos_Ini,MATCH($C199,Turnos_Nome,0)),1)*1440&gt;=INDEX(Turnos_Min,MATCH($C199,Turnos_Nome,0))),"Início fora da janela do turno | ",""),"")&amp;IFERROR(IF(AND($L199&gt;0,SUMPRODUCT((Mapa_Sala=$B199)*(Mapa_Data=$A199)*(Mapa_MinOcup&gt;0)*(((MOD(Mapa_IniNum-$O199,1)&lt;MOD($P199-$O199,1))+(MOD($O199-Mapa_IniNum,1)&lt;MOD(Mapa_FimNum-Mapa_IniNum,1)))&gt;0))&gt;1),"Sobreposição de horário na sala | ",""),"")&amp;IFERROR(IF(AND(ISNUMBER($K199),$K199&gt;0,COUNTIF(Esp_Nome,$F199)&gt;0,$K199&gt;3*INDEX(Esp_Dur,MATCH($F199,Esp_Nome,0))),"Duração atípica (&gt;3x a média) | ",""),""))</f>
        <v/>
      </c>
      <c r="O199" s="10">
        <f>IF(ISNUMBER($D199),$D199,0)</f>
        <v/>
      </c>
      <c r="P199" s="10">
        <f>IF(ISNUMBER($E199),$E199,0)</f>
        <v/>
      </c>
    </row>
    <row r="200">
      <c r="A200" s="30" t="n"/>
      <c r="B200" s="24" t="n"/>
      <c r="C200" s="24" t="n"/>
      <c r="D200" s="31" t="n"/>
      <c r="E200" s="31" t="n"/>
      <c r="F200" s="25" t="n"/>
      <c r="G200" s="25" t="n"/>
      <c r="H200" s="25" t="n"/>
      <c r="I200" s="24" t="n"/>
      <c r="J200" s="24" t="n"/>
      <c r="K200" s="32">
        <f>IF(OR($B200="",NOT(ISNUMBER($D200)),NOT(ISNUMBER($E200))),"",ROUND(MOD($E200-$D200,1)*1440,0))</f>
        <v/>
      </c>
      <c r="L200" s="32">
        <f>IF(NOT(ISNUMBER($K200)),0,IF(OR($K200&lt;=0,$J200="Cancelada",$J200="Suspensa"),0,$K200+Setup_Min))</f>
        <v/>
      </c>
      <c r="M200" s="17">
        <f>IF($B200="","",IF($N200="","OK",LEFT($N200,LEN($N200)-3)))</f>
        <v/>
      </c>
      <c r="N200" s="10">
        <f>IF($B200="","",IF(COUNTIF(Salas_Cod,$B200)=0,"Sala não cadastrada | ","")&amp;IF(AND(COUNTIF(Salas_Cod,$B200)&gt;0,IFERROR(INDEX(Salas_Status,MATCH($B200,Salas_Cod,0)),"")&lt;&gt;"Ativa"),"Sala bloqueada | ","")&amp;IF(COUNTIF(Turnos_Nome,$C200)=0,"Turno inválido | ","")&amp;IF(COUNTIF(Esp_Nome,$F200)=0,"Especialidade não cadastrada | ","")&amp;IF(COUNTIF(Lista_StatusCirurgia,$J200)=0,"Status inválido | ","")&amp;IF(OR(NOT(ISNUMBER($D200)),NOT(ISNUMBER($E200))),"Horário inválido | ","")&amp;IFERROR(IF(AND(ISNUMBER($D200),ISNUMBER($E200),MOD($E200-$D200,1)*1440&lt;=0),"Duração nula ou negativa | ",""),"")&amp;IFERROR(IF(AND(ISNUMBER($D200),COUNTIF(Turnos_Nome,$C200)&gt;0,MOD($D200-INDEX(Turnos_Ini,MATCH($C200,Turnos_Nome,0)),1)*1440&gt;=INDEX(Turnos_Min,MATCH($C200,Turnos_Nome,0))),"Início fora da janela do turno | ",""),"")&amp;IFERROR(IF(AND($L200&gt;0,SUMPRODUCT((Mapa_Sala=$B200)*(Mapa_Data=$A200)*(Mapa_MinOcup&gt;0)*(((MOD(Mapa_IniNum-$O200,1)&lt;MOD($P200-$O200,1))+(MOD($O200-Mapa_IniNum,1)&lt;MOD(Mapa_FimNum-Mapa_IniNum,1)))&gt;0))&gt;1),"Sobreposição de horário na sala | ",""),"")&amp;IFERROR(IF(AND(ISNUMBER($K200),$K200&gt;0,COUNTIF(Esp_Nome,$F200)&gt;0,$K200&gt;3*INDEX(Esp_Dur,MATCH($F200,Esp_Nome,0))),"Duração atípica (&gt;3x a média) | ",""),""))</f>
        <v/>
      </c>
      <c r="O200" s="10">
        <f>IF(ISNUMBER($D200),$D200,0)</f>
        <v/>
      </c>
      <c r="P200" s="10">
        <f>IF(ISNUMBER($E200),$E200,0)</f>
        <v/>
      </c>
    </row>
    <row r="201">
      <c r="A201" s="30" t="n"/>
      <c r="B201" s="24" t="n"/>
      <c r="C201" s="24" t="n"/>
      <c r="D201" s="31" t="n"/>
      <c r="E201" s="31" t="n"/>
      <c r="F201" s="25" t="n"/>
      <c r="G201" s="25" t="n"/>
      <c r="H201" s="25" t="n"/>
      <c r="I201" s="24" t="n"/>
      <c r="J201" s="24" t="n"/>
      <c r="K201" s="32">
        <f>IF(OR($B201="",NOT(ISNUMBER($D201)),NOT(ISNUMBER($E201))),"",ROUND(MOD($E201-$D201,1)*1440,0))</f>
        <v/>
      </c>
      <c r="L201" s="32">
        <f>IF(NOT(ISNUMBER($K201)),0,IF(OR($K201&lt;=0,$J201="Cancelada",$J201="Suspensa"),0,$K201+Setup_Min))</f>
        <v/>
      </c>
      <c r="M201" s="17">
        <f>IF($B201="","",IF($N201="","OK",LEFT($N201,LEN($N201)-3)))</f>
        <v/>
      </c>
      <c r="N201" s="10">
        <f>IF($B201="","",IF(COUNTIF(Salas_Cod,$B201)=0,"Sala não cadastrada | ","")&amp;IF(AND(COUNTIF(Salas_Cod,$B201)&gt;0,IFERROR(INDEX(Salas_Status,MATCH($B201,Salas_Cod,0)),"")&lt;&gt;"Ativa"),"Sala bloqueada | ","")&amp;IF(COUNTIF(Turnos_Nome,$C201)=0,"Turno inválido | ","")&amp;IF(COUNTIF(Esp_Nome,$F201)=0,"Especialidade não cadastrada | ","")&amp;IF(COUNTIF(Lista_StatusCirurgia,$J201)=0,"Status inválido | ","")&amp;IF(OR(NOT(ISNUMBER($D201)),NOT(ISNUMBER($E201))),"Horário inválido | ","")&amp;IFERROR(IF(AND(ISNUMBER($D201),ISNUMBER($E201),MOD($E201-$D201,1)*1440&lt;=0),"Duração nula ou negativa | ",""),"")&amp;IFERROR(IF(AND(ISNUMBER($D201),COUNTIF(Turnos_Nome,$C201)&gt;0,MOD($D201-INDEX(Turnos_Ini,MATCH($C201,Turnos_Nome,0)),1)*1440&gt;=INDEX(Turnos_Min,MATCH($C201,Turnos_Nome,0))),"Início fora da janela do turno | ",""),"")&amp;IFERROR(IF(AND($L201&gt;0,SUMPRODUCT((Mapa_Sala=$B201)*(Mapa_Data=$A201)*(Mapa_MinOcup&gt;0)*(((MOD(Mapa_IniNum-$O201,1)&lt;MOD($P201-$O201,1))+(MOD($O201-Mapa_IniNum,1)&lt;MOD(Mapa_FimNum-Mapa_IniNum,1)))&gt;0))&gt;1),"Sobreposição de horário na sala | ",""),"")&amp;IFERROR(IF(AND(ISNUMBER($K201),$K201&gt;0,COUNTIF(Esp_Nome,$F201)&gt;0,$K201&gt;3*INDEX(Esp_Dur,MATCH($F201,Esp_Nome,0))),"Duração atípica (&gt;3x a média) | ",""),""))</f>
        <v/>
      </c>
      <c r="O201" s="10">
        <f>IF(ISNUMBER($D201),$D201,0)</f>
        <v/>
      </c>
      <c r="P201" s="10">
        <f>IF(ISNUMBER($E201),$E201,0)</f>
        <v/>
      </c>
    </row>
    <row r="202">
      <c r="A202" s="30" t="n"/>
      <c r="B202" s="24" t="n"/>
      <c r="C202" s="24" t="n"/>
      <c r="D202" s="31" t="n"/>
      <c r="E202" s="31" t="n"/>
      <c r="F202" s="25" t="n"/>
      <c r="G202" s="25" t="n"/>
      <c r="H202" s="25" t="n"/>
      <c r="I202" s="24" t="n"/>
      <c r="J202" s="24" t="n"/>
      <c r="K202" s="32">
        <f>IF(OR($B202="",NOT(ISNUMBER($D202)),NOT(ISNUMBER($E202))),"",ROUND(MOD($E202-$D202,1)*1440,0))</f>
        <v/>
      </c>
      <c r="L202" s="32">
        <f>IF(NOT(ISNUMBER($K202)),0,IF(OR($K202&lt;=0,$J202="Cancelada",$J202="Suspensa"),0,$K202+Setup_Min))</f>
        <v/>
      </c>
      <c r="M202" s="17">
        <f>IF($B202="","",IF($N202="","OK",LEFT($N202,LEN($N202)-3)))</f>
        <v/>
      </c>
      <c r="N202" s="10">
        <f>IF($B202="","",IF(COUNTIF(Salas_Cod,$B202)=0,"Sala não cadastrada | ","")&amp;IF(AND(COUNTIF(Salas_Cod,$B202)&gt;0,IFERROR(INDEX(Salas_Status,MATCH($B202,Salas_Cod,0)),"")&lt;&gt;"Ativa"),"Sala bloqueada | ","")&amp;IF(COUNTIF(Turnos_Nome,$C202)=0,"Turno inválido | ","")&amp;IF(COUNTIF(Esp_Nome,$F202)=0,"Especialidade não cadastrada | ","")&amp;IF(COUNTIF(Lista_StatusCirurgia,$J202)=0,"Status inválido | ","")&amp;IF(OR(NOT(ISNUMBER($D202)),NOT(ISNUMBER($E202))),"Horário inválido | ","")&amp;IFERROR(IF(AND(ISNUMBER($D202),ISNUMBER($E202),MOD($E202-$D202,1)*1440&lt;=0),"Duração nula ou negativa | ",""),"")&amp;IFERROR(IF(AND(ISNUMBER($D202),COUNTIF(Turnos_Nome,$C202)&gt;0,MOD($D202-INDEX(Turnos_Ini,MATCH($C202,Turnos_Nome,0)),1)*1440&gt;=INDEX(Turnos_Min,MATCH($C202,Turnos_Nome,0))),"Início fora da janela do turno | ",""),"")&amp;IFERROR(IF(AND($L202&gt;0,SUMPRODUCT((Mapa_Sala=$B202)*(Mapa_Data=$A202)*(Mapa_MinOcup&gt;0)*(((MOD(Mapa_IniNum-$O202,1)&lt;MOD($P202-$O202,1))+(MOD($O202-Mapa_IniNum,1)&lt;MOD(Mapa_FimNum-Mapa_IniNum,1)))&gt;0))&gt;1),"Sobreposição de horário na sala | ",""),"")&amp;IFERROR(IF(AND(ISNUMBER($K202),$K202&gt;0,COUNTIF(Esp_Nome,$F202)&gt;0,$K202&gt;3*INDEX(Esp_Dur,MATCH($F202,Esp_Nome,0))),"Duração atípica (&gt;3x a média) | ",""),""))</f>
        <v/>
      </c>
      <c r="O202" s="10">
        <f>IF(ISNUMBER($D202),$D202,0)</f>
        <v/>
      </c>
      <c r="P202" s="10">
        <f>IF(ISNUMBER($E202),$E202,0)</f>
        <v/>
      </c>
    </row>
    <row r="203">
      <c r="A203" s="30" t="n"/>
      <c r="B203" s="24" t="n"/>
      <c r="C203" s="24" t="n"/>
      <c r="D203" s="31" t="n"/>
      <c r="E203" s="31" t="n"/>
      <c r="F203" s="25" t="n"/>
      <c r="G203" s="25" t="n"/>
      <c r="H203" s="25" t="n"/>
      <c r="I203" s="24" t="n"/>
      <c r="J203" s="24" t="n"/>
      <c r="K203" s="32">
        <f>IF(OR($B203="",NOT(ISNUMBER($D203)),NOT(ISNUMBER($E203))),"",ROUND(MOD($E203-$D203,1)*1440,0))</f>
        <v/>
      </c>
      <c r="L203" s="32">
        <f>IF(NOT(ISNUMBER($K203)),0,IF(OR($K203&lt;=0,$J203="Cancelada",$J203="Suspensa"),0,$K203+Setup_Min))</f>
        <v/>
      </c>
      <c r="M203" s="17">
        <f>IF($B203="","",IF($N203="","OK",LEFT($N203,LEN($N203)-3)))</f>
        <v/>
      </c>
      <c r="N203" s="10">
        <f>IF($B203="","",IF(COUNTIF(Salas_Cod,$B203)=0,"Sala não cadastrada | ","")&amp;IF(AND(COUNTIF(Salas_Cod,$B203)&gt;0,IFERROR(INDEX(Salas_Status,MATCH($B203,Salas_Cod,0)),"")&lt;&gt;"Ativa"),"Sala bloqueada | ","")&amp;IF(COUNTIF(Turnos_Nome,$C203)=0,"Turno inválido | ","")&amp;IF(COUNTIF(Esp_Nome,$F203)=0,"Especialidade não cadastrada | ","")&amp;IF(COUNTIF(Lista_StatusCirurgia,$J203)=0,"Status inválido | ","")&amp;IF(OR(NOT(ISNUMBER($D203)),NOT(ISNUMBER($E203))),"Horário inválido | ","")&amp;IFERROR(IF(AND(ISNUMBER($D203),ISNUMBER($E203),MOD($E203-$D203,1)*1440&lt;=0),"Duração nula ou negativa | ",""),"")&amp;IFERROR(IF(AND(ISNUMBER($D203),COUNTIF(Turnos_Nome,$C203)&gt;0,MOD($D203-INDEX(Turnos_Ini,MATCH($C203,Turnos_Nome,0)),1)*1440&gt;=INDEX(Turnos_Min,MATCH($C203,Turnos_Nome,0))),"Início fora da janela do turno | ",""),"")&amp;IFERROR(IF(AND($L203&gt;0,SUMPRODUCT((Mapa_Sala=$B203)*(Mapa_Data=$A203)*(Mapa_MinOcup&gt;0)*(((MOD(Mapa_IniNum-$O203,1)&lt;MOD($P203-$O203,1))+(MOD($O203-Mapa_IniNum,1)&lt;MOD(Mapa_FimNum-Mapa_IniNum,1)))&gt;0))&gt;1),"Sobreposição de horário na sala | ",""),"")&amp;IFERROR(IF(AND(ISNUMBER($K203),$K203&gt;0,COUNTIF(Esp_Nome,$F203)&gt;0,$K203&gt;3*INDEX(Esp_Dur,MATCH($F203,Esp_Nome,0))),"Duração atípica (&gt;3x a média) | ",""),""))</f>
        <v/>
      </c>
      <c r="O203" s="10">
        <f>IF(ISNUMBER($D203),$D203,0)</f>
        <v/>
      </c>
      <c r="P203" s="10">
        <f>IF(ISNUMBER($E203),$E203,0)</f>
        <v/>
      </c>
    </row>
    <row r="204">
      <c r="A204" s="30" t="n"/>
      <c r="B204" s="24" t="n"/>
      <c r="C204" s="24" t="n"/>
      <c r="D204" s="31" t="n"/>
      <c r="E204" s="31" t="n"/>
      <c r="F204" s="25" t="n"/>
      <c r="G204" s="25" t="n"/>
      <c r="H204" s="25" t="n"/>
      <c r="I204" s="24" t="n"/>
      <c r="J204" s="24" t="n"/>
      <c r="K204" s="32">
        <f>IF(OR($B204="",NOT(ISNUMBER($D204)),NOT(ISNUMBER($E204))),"",ROUND(MOD($E204-$D204,1)*1440,0))</f>
        <v/>
      </c>
      <c r="L204" s="32">
        <f>IF(NOT(ISNUMBER($K204)),0,IF(OR($K204&lt;=0,$J204="Cancelada",$J204="Suspensa"),0,$K204+Setup_Min))</f>
        <v/>
      </c>
      <c r="M204" s="17">
        <f>IF($B204="","",IF($N204="","OK",LEFT($N204,LEN($N204)-3)))</f>
        <v/>
      </c>
      <c r="N204" s="10">
        <f>IF($B204="","",IF(COUNTIF(Salas_Cod,$B204)=0,"Sala não cadastrada | ","")&amp;IF(AND(COUNTIF(Salas_Cod,$B204)&gt;0,IFERROR(INDEX(Salas_Status,MATCH($B204,Salas_Cod,0)),"")&lt;&gt;"Ativa"),"Sala bloqueada | ","")&amp;IF(COUNTIF(Turnos_Nome,$C204)=0,"Turno inválido | ","")&amp;IF(COUNTIF(Esp_Nome,$F204)=0,"Especialidade não cadastrada | ","")&amp;IF(COUNTIF(Lista_StatusCirurgia,$J204)=0,"Status inválido | ","")&amp;IF(OR(NOT(ISNUMBER($D204)),NOT(ISNUMBER($E204))),"Horário inválido | ","")&amp;IFERROR(IF(AND(ISNUMBER($D204),ISNUMBER($E204),MOD($E204-$D204,1)*1440&lt;=0),"Duração nula ou negativa | ",""),"")&amp;IFERROR(IF(AND(ISNUMBER($D204),COUNTIF(Turnos_Nome,$C204)&gt;0,MOD($D204-INDEX(Turnos_Ini,MATCH($C204,Turnos_Nome,0)),1)*1440&gt;=INDEX(Turnos_Min,MATCH($C204,Turnos_Nome,0))),"Início fora da janela do turno | ",""),"")&amp;IFERROR(IF(AND($L204&gt;0,SUMPRODUCT((Mapa_Sala=$B204)*(Mapa_Data=$A204)*(Mapa_MinOcup&gt;0)*(((MOD(Mapa_IniNum-$O204,1)&lt;MOD($P204-$O204,1))+(MOD($O204-Mapa_IniNum,1)&lt;MOD(Mapa_FimNum-Mapa_IniNum,1)))&gt;0))&gt;1),"Sobreposição de horário na sala | ",""),"")&amp;IFERROR(IF(AND(ISNUMBER($K204),$K204&gt;0,COUNTIF(Esp_Nome,$F204)&gt;0,$K204&gt;3*INDEX(Esp_Dur,MATCH($F204,Esp_Nome,0))),"Duração atípica (&gt;3x a média) | ",""),""))</f>
        <v/>
      </c>
      <c r="O204" s="10">
        <f>IF(ISNUMBER($D204),$D204,0)</f>
        <v/>
      </c>
      <c r="P204" s="10">
        <f>IF(ISNUMBER($E204),$E204,0)</f>
        <v/>
      </c>
    </row>
    <row r="205">
      <c r="A205" s="30" t="n"/>
      <c r="B205" s="24" t="n"/>
      <c r="C205" s="24" t="n"/>
      <c r="D205" s="31" t="n"/>
      <c r="E205" s="31" t="n"/>
      <c r="F205" s="25" t="n"/>
      <c r="G205" s="25" t="n"/>
      <c r="H205" s="25" t="n"/>
      <c r="I205" s="24" t="n"/>
      <c r="J205" s="24" t="n"/>
      <c r="K205" s="32">
        <f>IF(OR($B205="",NOT(ISNUMBER($D205)),NOT(ISNUMBER($E205))),"",ROUND(MOD($E205-$D205,1)*1440,0))</f>
        <v/>
      </c>
      <c r="L205" s="32">
        <f>IF(NOT(ISNUMBER($K205)),0,IF(OR($K205&lt;=0,$J205="Cancelada",$J205="Suspensa"),0,$K205+Setup_Min))</f>
        <v/>
      </c>
      <c r="M205" s="17">
        <f>IF($B205="","",IF($N205="","OK",LEFT($N205,LEN($N205)-3)))</f>
        <v/>
      </c>
      <c r="N205" s="10">
        <f>IF($B205="","",IF(COUNTIF(Salas_Cod,$B205)=0,"Sala não cadastrada | ","")&amp;IF(AND(COUNTIF(Salas_Cod,$B205)&gt;0,IFERROR(INDEX(Salas_Status,MATCH($B205,Salas_Cod,0)),"")&lt;&gt;"Ativa"),"Sala bloqueada | ","")&amp;IF(COUNTIF(Turnos_Nome,$C205)=0,"Turno inválido | ","")&amp;IF(COUNTIF(Esp_Nome,$F205)=0,"Especialidade não cadastrada | ","")&amp;IF(COUNTIF(Lista_StatusCirurgia,$J205)=0,"Status inválido | ","")&amp;IF(OR(NOT(ISNUMBER($D205)),NOT(ISNUMBER($E205))),"Horário inválido | ","")&amp;IFERROR(IF(AND(ISNUMBER($D205),ISNUMBER($E205),MOD($E205-$D205,1)*1440&lt;=0),"Duração nula ou negativa | ",""),"")&amp;IFERROR(IF(AND(ISNUMBER($D205),COUNTIF(Turnos_Nome,$C205)&gt;0,MOD($D205-INDEX(Turnos_Ini,MATCH($C205,Turnos_Nome,0)),1)*1440&gt;=INDEX(Turnos_Min,MATCH($C205,Turnos_Nome,0))),"Início fora da janela do turno | ",""),"")&amp;IFERROR(IF(AND($L205&gt;0,SUMPRODUCT((Mapa_Sala=$B205)*(Mapa_Data=$A205)*(Mapa_MinOcup&gt;0)*(((MOD(Mapa_IniNum-$O205,1)&lt;MOD($P205-$O205,1))+(MOD($O205-Mapa_IniNum,1)&lt;MOD(Mapa_FimNum-Mapa_IniNum,1)))&gt;0))&gt;1),"Sobreposição de horário na sala | ",""),"")&amp;IFERROR(IF(AND(ISNUMBER($K205),$K205&gt;0,COUNTIF(Esp_Nome,$F205)&gt;0,$K205&gt;3*INDEX(Esp_Dur,MATCH($F205,Esp_Nome,0))),"Duração atípica (&gt;3x a média) | ",""),""))</f>
        <v/>
      </c>
      <c r="O205" s="10">
        <f>IF(ISNUMBER($D205),$D205,0)</f>
        <v/>
      </c>
      <c r="P205" s="10">
        <f>IF(ISNUMBER($E205),$E205,0)</f>
        <v/>
      </c>
    </row>
    <row r="206">
      <c r="A206" s="30" t="n"/>
      <c r="B206" s="24" t="n"/>
      <c r="C206" s="24" t="n"/>
      <c r="D206" s="31" t="n"/>
      <c r="E206" s="31" t="n"/>
      <c r="F206" s="25" t="n"/>
      <c r="G206" s="25" t="n"/>
      <c r="H206" s="25" t="n"/>
      <c r="I206" s="24" t="n"/>
      <c r="J206" s="24" t="n"/>
      <c r="K206" s="32">
        <f>IF(OR($B206="",NOT(ISNUMBER($D206)),NOT(ISNUMBER($E206))),"",ROUND(MOD($E206-$D206,1)*1440,0))</f>
        <v/>
      </c>
      <c r="L206" s="32">
        <f>IF(NOT(ISNUMBER($K206)),0,IF(OR($K206&lt;=0,$J206="Cancelada",$J206="Suspensa"),0,$K206+Setup_Min))</f>
        <v/>
      </c>
      <c r="M206" s="17">
        <f>IF($B206="","",IF($N206="","OK",LEFT($N206,LEN($N206)-3)))</f>
        <v/>
      </c>
      <c r="N206" s="10">
        <f>IF($B206="","",IF(COUNTIF(Salas_Cod,$B206)=0,"Sala não cadastrada | ","")&amp;IF(AND(COUNTIF(Salas_Cod,$B206)&gt;0,IFERROR(INDEX(Salas_Status,MATCH($B206,Salas_Cod,0)),"")&lt;&gt;"Ativa"),"Sala bloqueada | ","")&amp;IF(COUNTIF(Turnos_Nome,$C206)=0,"Turno inválido | ","")&amp;IF(COUNTIF(Esp_Nome,$F206)=0,"Especialidade não cadastrada | ","")&amp;IF(COUNTIF(Lista_StatusCirurgia,$J206)=0,"Status inválido | ","")&amp;IF(OR(NOT(ISNUMBER($D206)),NOT(ISNUMBER($E206))),"Horário inválido | ","")&amp;IFERROR(IF(AND(ISNUMBER($D206),ISNUMBER($E206),MOD($E206-$D206,1)*1440&lt;=0),"Duração nula ou negativa | ",""),"")&amp;IFERROR(IF(AND(ISNUMBER($D206),COUNTIF(Turnos_Nome,$C206)&gt;0,MOD($D206-INDEX(Turnos_Ini,MATCH($C206,Turnos_Nome,0)),1)*1440&gt;=INDEX(Turnos_Min,MATCH($C206,Turnos_Nome,0))),"Início fora da janela do turno | ",""),"")&amp;IFERROR(IF(AND($L206&gt;0,SUMPRODUCT((Mapa_Sala=$B206)*(Mapa_Data=$A206)*(Mapa_MinOcup&gt;0)*(((MOD(Mapa_IniNum-$O206,1)&lt;MOD($P206-$O206,1))+(MOD($O206-Mapa_IniNum,1)&lt;MOD(Mapa_FimNum-Mapa_IniNum,1)))&gt;0))&gt;1),"Sobreposição de horário na sala | ",""),"")&amp;IFERROR(IF(AND(ISNUMBER($K206),$K206&gt;0,COUNTIF(Esp_Nome,$F206)&gt;0,$K206&gt;3*INDEX(Esp_Dur,MATCH($F206,Esp_Nome,0))),"Duração atípica (&gt;3x a média) | ",""),""))</f>
        <v/>
      </c>
      <c r="O206" s="10">
        <f>IF(ISNUMBER($D206),$D206,0)</f>
        <v/>
      </c>
      <c r="P206" s="10">
        <f>IF(ISNUMBER($E206),$E206,0)</f>
        <v/>
      </c>
    </row>
    <row r="207">
      <c r="A207" s="30" t="n"/>
      <c r="B207" s="24" t="n"/>
      <c r="C207" s="24" t="n"/>
      <c r="D207" s="31" t="n"/>
      <c r="E207" s="31" t="n"/>
      <c r="F207" s="25" t="n"/>
      <c r="G207" s="25" t="n"/>
      <c r="H207" s="25" t="n"/>
      <c r="I207" s="24" t="n"/>
      <c r="J207" s="24" t="n"/>
      <c r="K207" s="32">
        <f>IF(OR($B207="",NOT(ISNUMBER($D207)),NOT(ISNUMBER($E207))),"",ROUND(MOD($E207-$D207,1)*1440,0))</f>
        <v/>
      </c>
      <c r="L207" s="32">
        <f>IF(NOT(ISNUMBER($K207)),0,IF(OR($K207&lt;=0,$J207="Cancelada",$J207="Suspensa"),0,$K207+Setup_Min))</f>
        <v/>
      </c>
      <c r="M207" s="17">
        <f>IF($B207="","",IF($N207="","OK",LEFT($N207,LEN($N207)-3)))</f>
        <v/>
      </c>
      <c r="N207" s="10">
        <f>IF($B207="","",IF(COUNTIF(Salas_Cod,$B207)=0,"Sala não cadastrada | ","")&amp;IF(AND(COUNTIF(Salas_Cod,$B207)&gt;0,IFERROR(INDEX(Salas_Status,MATCH($B207,Salas_Cod,0)),"")&lt;&gt;"Ativa"),"Sala bloqueada | ","")&amp;IF(COUNTIF(Turnos_Nome,$C207)=0,"Turno inválido | ","")&amp;IF(COUNTIF(Esp_Nome,$F207)=0,"Especialidade não cadastrada | ","")&amp;IF(COUNTIF(Lista_StatusCirurgia,$J207)=0,"Status inválido | ","")&amp;IF(OR(NOT(ISNUMBER($D207)),NOT(ISNUMBER($E207))),"Horário inválido | ","")&amp;IFERROR(IF(AND(ISNUMBER($D207),ISNUMBER($E207),MOD($E207-$D207,1)*1440&lt;=0),"Duração nula ou negativa | ",""),"")&amp;IFERROR(IF(AND(ISNUMBER($D207),COUNTIF(Turnos_Nome,$C207)&gt;0,MOD($D207-INDEX(Turnos_Ini,MATCH($C207,Turnos_Nome,0)),1)*1440&gt;=INDEX(Turnos_Min,MATCH($C207,Turnos_Nome,0))),"Início fora da janela do turno | ",""),"")&amp;IFERROR(IF(AND($L207&gt;0,SUMPRODUCT((Mapa_Sala=$B207)*(Mapa_Data=$A207)*(Mapa_MinOcup&gt;0)*(((MOD(Mapa_IniNum-$O207,1)&lt;MOD($P207-$O207,1))+(MOD($O207-Mapa_IniNum,1)&lt;MOD(Mapa_FimNum-Mapa_IniNum,1)))&gt;0))&gt;1),"Sobreposição de horário na sala | ",""),"")&amp;IFERROR(IF(AND(ISNUMBER($K207),$K207&gt;0,COUNTIF(Esp_Nome,$F207)&gt;0,$K207&gt;3*INDEX(Esp_Dur,MATCH($F207,Esp_Nome,0))),"Duração atípica (&gt;3x a média) | ",""),""))</f>
        <v/>
      </c>
      <c r="O207" s="10">
        <f>IF(ISNUMBER($D207),$D207,0)</f>
        <v/>
      </c>
      <c r="P207" s="10">
        <f>IF(ISNUMBER($E207),$E207,0)</f>
        <v/>
      </c>
    </row>
    <row r="208">
      <c r="A208" s="30" t="n"/>
      <c r="B208" s="24" t="n"/>
      <c r="C208" s="24" t="n"/>
      <c r="D208" s="31" t="n"/>
      <c r="E208" s="31" t="n"/>
      <c r="F208" s="25" t="n"/>
      <c r="G208" s="25" t="n"/>
      <c r="H208" s="25" t="n"/>
      <c r="I208" s="24" t="n"/>
      <c r="J208" s="24" t="n"/>
      <c r="K208" s="32">
        <f>IF(OR($B208="",NOT(ISNUMBER($D208)),NOT(ISNUMBER($E208))),"",ROUND(MOD($E208-$D208,1)*1440,0))</f>
        <v/>
      </c>
      <c r="L208" s="32">
        <f>IF(NOT(ISNUMBER($K208)),0,IF(OR($K208&lt;=0,$J208="Cancelada",$J208="Suspensa"),0,$K208+Setup_Min))</f>
        <v/>
      </c>
      <c r="M208" s="17">
        <f>IF($B208="","",IF($N208="","OK",LEFT($N208,LEN($N208)-3)))</f>
        <v/>
      </c>
      <c r="N208" s="10">
        <f>IF($B208="","",IF(COUNTIF(Salas_Cod,$B208)=0,"Sala não cadastrada | ","")&amp;IF(AND(COUNTIF(Salas_Cod,$B208)&gt;0,IFERROR(INDEX(Salas_Status,MATCH($B208,Salas_Cod,0)),"")&lt;&gt;"Ativa"),"Sala bloqueada | ","")&amp;IF(COUNTIF(Turnos_Nome,$C208)=0,"Turno inválido | ","")&amp;IF(COUNTIF(Esp_Nome,$F208)=0,"Especialidade não cadastrada | ","")&amp;IF(COUNTIF(Lista_StatusCirurgia,$J208)=0,"Status inválido | ","")&amp;IF(OR(NOT(ISNUMBER($D208)),NOT(ISNUMBER($E208))),"Horário inválido | ","")&amp;IFERROR(IF(AND(ISNUMBER($D208),ISNUMBER($E208),MOD($E208-$D208,1)*1440&lt;=0),"Duração nula ou negativa | ",""),"")&amp;IFERROR(IF(AND(ISNUMBER($D208),COUNTIF(Turnos_Nome,$C208)&gt;0,MOD($D208-INDEX(Turnos_Ini,MATCH($C208,Turnos_Nome,0)),1)*1440&gt;=INDEX(Turnos_Min,MATCH($C208,Turnos_Nome,0))),"Início fora da janela do turno | ",""),"")&amp;IFERROR(IF(AND($L208&gt;0,SUMPRODUCT((Mapa_Sala=$B208)*(Mapa_Data=$A208)*(Mapa_MinOcup&gt;0)*(((MOD(Mapa_IniNum-$O208,1)&lt;MOD($P208-$O208,1))+(MOD($O208-Mapa_IniNum,1)&lt;MOD(Mapa_FimNum-Mapa_IniNum,1)))&gt;0))&gt;1),"Sobreposição de horário na sala | ",""),"")&amp;IFERROR(IF(AND(ISNUMBER($K208),$K208&gt;0,COUNTIF(Esp_Nome,$F208)&gt;0,$K208&gt;3*INDEX(Esp_Dur,MATCH($F208,Esp_Nome,0))),"Duração atípica (&gt;3x a média) | ",""),""))</f>
        <v/>
      </c>
      <c r="O208" s="10">
        <f>IF(ISNUMBER($D208),$D208,0)</f>
        <v/>
      </c>
      <c r="P208" s="10">
        <f>IF(ISNUMBER($E208),$E208,0)</f>
        <v/>
      </c>
    </row>
    <row r="209">
      <c r="A209" s="30" t="n"/>
      <c r="B209" s="24" t="n"/>
      <c r="C209" s="24" t="n"/>
      <c r="D209" s="31" t="n"/>
      <c r="E209" s="31" t="n"/>
      <c r="F209" s="25" t="n"/>
      <c r="G209" s="25" t="n"/>
      <c r="H209" s="25" t="n"/>
      <c r="I209" s="24" t="n"/>
      <c r="J209" s="24" t="n"/>
      <c r="K209" s="32">
        <f>IF(OR($B209="",NOT(ISNUMBER($D209)),NOT(ISNUMBER($E209))),"",ROUND(MOD($E209-$D209,1)*1440,0))</f>
        <v/>
      </c>
      <c r="L209" s="32">
        <f>IF(NOT(ISNUMBER($K209)),0,IF(OR($K209&lt;=0,$J209="Cancelada",$J209="Suspensa"),0,$K209+Setup_Min))</f>
        <v/>
      </c>
      <c r="M209" s="17">
        <f>IF($B209="","",IF($N209="","OK",LEFT($N209,LEN($N209)-3)))</f>
        <v/>
      </c>
      <c r="N209" s="10">
        <f>IF($B209="","",IF(COUNTIF(Salas_Cod,$B209)=0,"Sala não cadastrada | ","")&amp;IF(AND(COUNTIF(Salas_Cod,$B209)&gt;0,IFERROR(INDEX(Salas_Status,MATCH($B209,Salas_Cod,0)),"")&lt;&gt;"Ativa"),"Sala bloqueada | ","")&amp;IF(COUNTIF(Turnos_Nome,$C209)=0,"Turno inválido | ","")&amp;IF(COUNTIF(Esp_Nome,$F209)=0,"Especialidade não cadastrada | ","")&amp;IF(COUNTIF(Lista_StatusCirurgia,$J209)=0,"Status inválido | ","")&amp;IF(OR(NOT(ISNUMBER($D209)),NOT(ISNUMBER($E209))),"Horário inválido | ","")&amp;IFERROR(IF(AND(ISNUMBER($D209),ISNUMBER($E209),MOD($E209-$D209,1)*1440&lt;=0),"Duração nula ou negativa | ",""),"")&amp;IFERROR(IF(AND(ISNUMBER($D209),COUNTIF(Turnos_Nome,$C209)&gt;0,MOD($D209-INDEX(Turnos_Ini,MATCH($C209,Turnos_Nome,0)),1)*1440&gt;=INDEX(Turnos_Min,MATCH($C209,Turnos_Nome,0))),"Início fora da janela do turno | ",""),"")&amp;IFERROR(IF(AND($L209&gt;0,SUMPRODUCT((Mapa_Sala=$B209)*(Mapa_Data=$A209)*(Mapa_MinOcup&gt;0)*(((MOD(Mapa_IniNum-$O209,1)&lt;MOD($P209-$O209,1))+(MOD($O209-Mapa_IniNum,1)&lt;MOD(Mapa_FimNum-Mapa_IniNum,1)))&gt;0))&gt;1),"Sobreposição de horário na sala | ",""),"")&amp;IFERROR(IF(AND(ISNUMBER($K209),$K209&gt;0,COUNTIF(Esp_Nome,$F209)&gt;0,$K209&gt;3*INDEX(Esp_Dur,MATCH($F209,Esp_Nome,0))),"Duração atípica (&gt;3x a média) | ",""),""))</f>
        <v/>
      </c>
      <c r="O209" s="10">
        <f>IF(ISNUMBER($D209),$D209,0)</f>
        <v/>
      </c>
      <c r="P209" s="10">
        <f>IF(ISNUMBER($E209),$E209,0)</f>
        <v/>
      </c>
    </row>
    <row r="210">
      <c r="A210" s="30" t="n"/>
      <c r="B210" s="24" t="n"/>
      <c r="C210" s="24" t="n"/>
      <c r="D210" s="31" t="n"/>
      <c r="E210" s="31" t="n"/>
      <c r="F210" s="25" t="n"/>
      <c r="G210" s="25" t="n"/>
      <c r="H210" s="25" t="n"/>
      <c r="I210" s="24" t="n"/>
      <c r="J210" s="24" t="n"/>
      <c r="K210" s="32">
        <f>IF(OR($B210="",NOT(ISNUMBER($D210)),NOT(ISNUMBER($E210))),"",ROUND(MOD($E210-$D210,1)*1440,0))</f>
        <v/>
      </c>
      <c r="L210" s="32">
        <f>IF(NOT(ISNUMBER($K210)),0,IF(OR($K210&lt;=0,$J210="Cancelada",$J210="Suspensa"),0,$K210+Setup_Min))</f>
        <v/>
      </c>
      <c r="M210" s="17">
        <f>IF($B210="","",IF($N210="","OK",LEFT($N210,LEN($N210)-3)))</f>
        <v/>
      </c>
      <c r="N210" s="10">
        <f>IF($B210="","",IF(COUNTIF(Salas_Cod,$B210)=0,"Sala não cadastrada | ","")&amp;IF(AND(COUNTIF(Salas_Cod,$B210)&gt;0,IFERROR(INDEX(Salas_Status,MATCH($B210,Salas_Cod,0)),"")&lt;&gt;"Ativa"),"Sala bloqueada | ","")&amp;IF(COUNTIF(Turnos_Nome,$C210)=0,"Turno inválido | ","")&amp;IF(COUNTIF(Esp_Nome,$F210)=0,"Especialidade não cadastrada | ","")&amp;IF(COUNTIF(Lista_StatusCirurgia,$J210)=0,"Status inválido | ","")&amp;IF(OR(NOT(ISNUMBER($D210)),NOT(ISNUMBER($E210))),"Horário inválido | ","")&amp;IFERROR(IF(AND(ISNUMBER($D210),ISNUMBER($E210),MOD($E210-$D210,1)*1440&lt;=0),"Duração nula ou negativa | ",""),"")&amp;IFERROR(IF(AND(ISNUMBER($D210),COUNTIF(Turnos_Nome,$C210)&gt;0,MOD($D210-INDEX(Turnos_Ini,MATCH($C210,Turnos_Nome,0)),1)*1440&gt;=INDEX(Turnos_Min,MATCH($C210,Turnos_Nome,0))),"Início fora da janela do turno | ",""),"")&amp;IFERROR(IF(AND($L210&gt;0,SUMPRODUCT((Mapa_Sala=$B210)*(Mapa_Data=$A210)*(Mapa_MinOcup&gt;0)*(((MOD(Mapa_IniNum-$O210,1)&lt;MOD($P210-$O210,1))+(MOD($O210-Mapa_IniNum,1)&lt;MOD(Mapa_FimNum-Mapa_IniNum,1)))&gt;0))&gt;1),"Sobreposição de horário na sala | ",""),"")&amp;IFERROR(IF(AND(ISNUMBER($K210),$K210&gt;0,COUNTIF(Esp_Nome,$F210)&gt;0,$K210&gt;3*INDEX(Esp_Dur,MATCH($F210,Esp_Nome,0))),"Duração atípica (&gt;3x a média) | ",""),""))</f>
        <v/>
      </c>
      <c r="O210" s="10">
        <f>IF(ISNUMBER($D210),$D210,0)</f>
        <v/>
      </c>
      <c r="P210" s="10">
        <f>IF(ISNUMBER($E210),$E210,0)</f>
        <v/>
      </c>
    </row>
    <row r="211">
      <c r="A211" s="30" t="n"/>
      <c r="B211" s="24" t="n"/>
      <c r="C211" s="24" t="n"/>
      <c r="D211" s="31" t="n"/>
      <c r="E211" s="31" t="n"/>
      <c r="F211" s="25" t="n"/>
      <c r="G211" s="25" t="n"/>
      <c r="H211" s="25" t="n"/>
      <c r="I211" s="24" t="n"/>
      <c r="J211" s="24" t="n"/>
      <c r="K211" s="32">
        <f>IF(OR($B211="",NOT(ISNUMBER($D211)),NOT(ISNUMBER($E211))),"",ROUND(MOD($E211-$D211,1)*1440,0))</f>
        <v/>
      </c>
      <c r="L211" s="32">
        <f>IF(NOT(ISNUMBER($K211)),0,IF(OR($K211&lt;=0,$J211="Cancelada",$J211="Suspensa"),0,$K211+Setup_Min))</f>
        <v/>
      </c>
      <c r="M211" s="17">
        <f>IF($B211="","",IF($N211="","OK",LEFT($N211,LEN($N211)-3)))</f>
        <v/>
      </c>
      <c r="N211" s="10">
        <f>IF($B211="","",IF(COUNTIF(Salas_Cod,$B211)=0,"Sala não cadastrada | ","")&amp;IF(AND(COUNTIF(Salas_Cod,$B211)&gt;0,IFERROR(INDEX(Salas_Status,MATCH($B211,Salas_Cod,0)),"")&lt;&gt;"Ativa"),"Sala bloqueada | ","")&amp;IF(COUNTIF(Turnos_Nome,$C211)=0,"Turno inválido | ","")&amp;IF(COUNTIF(Esp_Nome,$F211)=0,"Especialidade não cadastrada | ","")&amp;IF(COUNTIF(Lista_StatusCirurgia,$J211)=0,"Status inválido | ","")&amp;IF(OR(NOT(ISNUMBER($D211)),NOT(ISNUMBER($E211))),"Horário inválido | ","")&amp;IFERROR(IF(AND(ISNUMBER($D211),ISNUMBER($E211),MOD($E211-$D211,1)*1440&lt;=0),"Duração nula ou negativa | ",""),"")&amp;IFERROR(IF(AND(ISNUMBER($D211),COUNTIF(Turnos_Nome,$C211)&gt;0,MOD($D211-INDEX(Turnos_Ini,MATCH($C211,Turnos_Nome,0)),1)*1440&gt;=INDEX(Turnos_Min,MATCH($C211,Turnos_Nome,0))),"Início fora da janela do turno | ",""),"")&amp;IFERROR(IF(AND($L211&gt;0,SUMPRODUCT((Mapa_Sala=$B211)*(Mapa_Data=$A211)*(Mapa_MinOcup&gt;0)*(((MOD(Mapa_IniNum-$O211,1)&lt;MOD($P211-$O211,1))+(MOD($O211-Mapa_IniNum,1)&lt;MOD(Mapa_FimNum-Mapa_IniNum,1)))&gt;0))&gt;1),"Sobreposição de horário na sala | ",""),"")&amp;IFERROR(IF(AND(ISNUMBER($K211),$K211&gt;0,COUNTIF(Esp_Nome,$F211)&gt;0,$K211&gt;3*INDEX(Esp_Dur,MATCH($F211,Esp_Nome,0))),"Duração atípica (&gt;3x a média) | ",""),""))</f>
        <v/>
      </c>
      <c r="O211" s="10">
        <f>IF(ISNUMBER($D211),$D211,0)</f>
        <v/>
      </c>
      <c r="P211" s="10">
        <f>IF(ISNUMBER($E211),$E211,0)</f>
        <v/>
      </c>
    </row>
    <row r="212">
      <c r="A212" s="30" t="n"/>
      <c r="B212" s="24" t="n"/>
      <c r="C212" s="24" t="n"/>
      <c r="D212" s="31" t="n"/>
      <c r="E212" s="31" t="n"/>
      <c r="F212" s="25" t="n"/>
      <c r="G212" s="25" t="n"/>
      <c r="H212" s="25" t="n"/>
      <c r="I212" s="24" t="n"/>
      <c r="J212" s="24" t="n"/>
      <c r="K212" s="32">
        <f>IF(OR($B212="",NOT(ISNUMBER($D212)),NOT(ISNUMBER($E212))),"",ROUND(MOD($E212-$D212,1)*1440,0))</f>
        <v/>
      </c>
      <c r="L212" s="32">
        <f>IF(NOT(ISNUMBER($K212)),0,IF(OR($K212&lt;=0,$J212="Cancelada",$J212="Suspensa"),0,$K212+Setup_Min))</f>
        <v/>
      </c>
      <c r="M212" s="17">
        <f>IF($B212="","",IF($N212="","OK",LEFT($N212,LEN($N212)-3)))</f>
        <v/>
      </c>
      <c r="N212" s="10">
        <f>IF($B212="","",IF(COUNTIF(Salas_Cod,$B212)=0,"Sala não cadastrada | ","")&amp;IF(AND(COUNTIF(Salas_Cod,$B212)&gt;0,IFERROR(INDEX(Salas_Status,MATCH($B212,Salas_Cod,0)),"")&lt;&gt;"Ativa"),"Sala bloqueada | ","")&amp;IF(COUNTIF(Turnos_Nome,$C212)=0,"Turno inválido | ","")&amp;IF(COUNTIF(Esp_Nome,$F212)=0,"Especialidade não cadastrada | ","")&amp;IF(COUNTIF(Lista_StatusCirurgia,$J212)=0,"Status inválido | ","")&amp;IF(OR(NOT(ISNUMBER($D212)),NOT(ISNUMBER($E212))),"Horário inválido | ","")&amp;IFERROR(IF(AND(ISNUMBER($D212),ISNUMBER($E212),MOD($E212-$D212,1)*1440&lt;=0),"Duração nula ou negativa | ",""),"")&amp;IFERROR(IF(AND(ISNUMBER($D212),COUNTIF(Turnos_Nome,$C212)&gt;0,MOD($D212-INDEX(Turnos_Ini,MATCH($C212,Turnos_Nome,0)),1)*1440&gt;=INDEX(Turnos_Min,MATCH($C212,Turnos_Nome,0))),"Início fora da janela do turno | ",""),"")&amp;IFERROR(IF(AND($L212&gt;0,SUMPRODUCT((Mapa_Sala=$B212)*(Mapa_Data=$A212)*(Mapa_MinOcup&gt;0)*(((MOD(Mapa_IniNum-$O212,1)&lt;MOD($P212-$O212,1))+(MOD($O212-Mapa_IniNum,1)&lt;MOD(Mapa_FimNum-Mapa_IniNum,1)))&gt;0))&gt;1),"Sobreposição de horário na sala | ",""),"")&amp;IFERROR(IF(AND(ISNUMBER($K212),$K212&gt;0,COUNTIF(Esp_Nome,$F212)&gt;0,$K212&gt;3*INDEX(Esp_Dur,MATCH($F212,Esp_Nome,0))),"Duração atípica (&gt;3x a média) | ",""),""))</f>
        <v/>
      </c>
      <c r="O212" s="10">
        <f>IF(ISNUMBER($D212),$D212,0)</f>
        <v/>
      </c>
      <c r="P212" s="10">
        <f>IF(ISNUMBER($E212),$E212,0)</f>
        <v/>
      </c>
    </row>
    <row r="213">
      <c r="A213" s="30" t="n"/>
      <c r="B213" s="24" t="n"/>
      <c r="C213" s="24" t="n"/>
      <c r="D213" s="31" t="n"/>
      <c r="E213" s="31" t="n"/>
      <c r="F213" s="25" t="n"/>
      <c r="G213" s="25" t="n"/>
      <c r="H213" s="25" t="n"/>
      <c r="I213" s="24" t="n"/>
      <c r="J213" s="24" t="n"/>
      <c r="K213" s="32">
        <f>IF(OR($B213="",NOT(ISNUMBER($D213)),NOT(ISNUMBER($E213))),"",ROUND(MOD($E213-$D213,1)*1440,0))</f>
        <v/>
      </c>
      <c r="L213" s="32">
        <f>IF(NOT(ISNUMBER($K213)),0,IF(OR($K213&lt;=0,$J213="Cancelada",$J213="Suspensa"),0,$K213+Setup_Min))</f>
        <v/>
      </c>
      <c r="M213" s="17">
        <f>IF($B213="","",IF($N213="","OK",LEFT($N213,LEN($N213)-3)))</f>
        <v/>
      </c>
      <c r="N213" s="10">
        <f>IF($B213="","",IF(COUNTIF(Salas_Cod,$B213)=0,"Sala não cadastrada | ","")&amp;IF(AND(COUNTIF(Salas_Cod,$B213)&gt;0,IFERROR(INDEX(Salas_Status,MATCH($B213,Salas_Cod,0)),"")&lt;&gt;"Ativa"),"Sala bloqueada | ","")&amp;IF(COUNTIF(Turnos_Nome,$C213)=0,"Turno inválido | ","")&amp;IF(COUNTIF(Esp_Nome,$F213)=0,"Especialidade não cadastrada | ","")&amp;IF(COUNTIF(Lista_StatusCirurgia,$J213)=0,"Status inválido | ","")&amp;IF(OR(NOT(ISNUMBER($D213)),NOT(ISNUMBER($E213))),"Horário inválido | ","")&amp;IFERROR(IF(AND(ISNUMBER($D213),ISNUMBER($E213),MOD($E213-$D213,1)*1440&lt;=0),"Duração nula ou negativa | ",""),"")&amp;IFERROR(IF(AND(ISNUMBER($D213),COUNTIF(Turnos_Nome,$C213)&gt;0,MOD($D213-INDEX(Turnos_Ini,MATCH($C213,Turnos_Nome,0)),1)*1440&gt;=INDEX(Turnos_Min,MATCH($C213,Turnos_Nome,0))),"Início fora da janela do turno | ",""),"")&amp;IFERROR(IF(AND($L213&gt;0,SUMPRODUCT((Mapa_Sala=$B213)*(Mapa_Data=$A213)*(Mapa_MinOcup&gt;0)*(((MOD(Mapa_IniNum-$O213,1)&lt;MOD($P213-$O213,1))+(MOD($O213-Mapa_IniNum,1)&lt;MOD(Mapa_FimNum-Mapa_IniNum,1)))&gt;0))&gt;1),"Sobreposição de horário na sala | ",""),"")&amp;IFERROR(IF(AND(ISNUMBER($K213),$K213&gt;0,COUNTIF(Esp_Nome,$F213)&gt;0,$K213&gt;3*INDEX(Esp_Dur,MATCH($F213,Esp_Nome,0))),"Duração atípica (&gt;3x a média) | ",""),""))</f>
        <v/>
      </c>
      <c r="O213" s="10">
        <f>IF(ISNUMBER($D213),$D213,0)</f>
        <v/>
      </c>
      <c r="P213" s="10">
        <f>IF(ISNUMBER($E213),$E213,0)</f>
        <v/>
      </c>
    </row>
    <row r="214">
      <c r="A214" s="30" t="n"/>
      <c r="B214" s="24" t="n"/>
      <c r="C214" s="24" t="n"/>
      <c r="D214" s="31" t="n"/>
      <c r="E214" s="31" t="n"/>
      <c r="F214" s="25" t="n"/>
      <c r="G214" s="25" t="n"/>
      <c r="H214" s="25" t="n"/>
      <c r="I214" s="24" t="n"/>
      <c r="J214" s="24" t="n"/>
      <c r="K214" s="32">
        <f>IF(OR($B214="",NOT(ISNUMBER($D214)),NOT(ISNUMBER($E214))),"",ROUND(MOD($E214-$D214,1)*1440,0))</f>
        <v/>
      </c>
      <c r="L214" s="32">
        <f>IF(NOT(ISNUMBER($K214)),0,IF(OR($K214&lt;=0,$J214="Cancelada",$J214="Suspensa"),0,$K214+Setup_Min))</f>
        <v/>
      </c>
      <c r="M214" s="17">
        <f>IF($B214="","",IF($N214="","OK",LEFT($N214,LEN($N214)-3)))</f>
        <v/>
      </c>
      <c r="N214" s="10">
        <f>IF($B214="","",IF(COUNTIF(Salas_Cod,$B214)=0,"Sala não cadastrada | ","")&amp;IF(AND(COUNTIF(Salas_Cod,$B214)&gt;0,IFERROR(INDEX(Salas_Status,MATCH($B214,Salas_Cod,0)),"")&lt;&gt;"Ativa"),"Sala bloqueada | ","")&amp;IF(COUNTIF(Turnos_Nome,$C214)=0,"Turno inválido | ","")&amp;IF(COUNTIF(Esp_Nome,$F214)=0,"Especialidade não cadastrada | ","")&amp;IF(COUNTIF(Lista_StatusCirurgia,$J214)=0,"Status inválido | ","")&amp;IF(OR(NOT(ISNUMBER($D214)),NOT(ISNUMBER($E214))),"Horário inválido | ","")&amp;IFERROR(IF(AND(ISNUMBER($D214),ISNUMBER($E214),MOD($E214-$D214,1)*1440&lt;=0),"Duração nula ou negativa | ",""),"")&amp;IFERROR(IF(AND(ISNUMBER($D214),COUNTIF(Turnos_Nome,$C214)&gt;0,MOD($D214-INDEX(Turnos_Ini,MATCH($C214,Turnos_Nome,0)),1)*1440&gt;=INDEX(Turnos_Min,MATCH($C214,Turnos_Nome,0))),"Início fora da janela do turno | ",""),"")&amp;IFERROR(IF(AND($L214&gt;0,SUMPRODUCT((Mapa_Sala=$B214)*(Mapa_Data=$A214)*(Mapa_MinOcup&gt;0)*(((MOD(Mapa_IniNum-$O214,1)&lt;MOD($P214-$O214,1))+(MOD($O214-Mapa_IniNum,1)&lt;MOD(Mapa_FimNum-Mapa_IniNum,1)))&gt;0))&gt;1),"Sobreposição de horário na sala | ",""),"")&amp;IFERROR(IF(AND(ISNUMBER($K214),$K214&gt;0,COUNTIF(Esp_Nome,$F214)&gt;0,$K214&gt;3*INDEX(Esp_Dur,MATCH($F214,Esp_Nome,0))),"Duração atípica (&gt;3x a média) | ",""),""))</f>
        <v/>
      </c>
      <c r="O214" s="10">
        <f>IF(ISNUMBER($D214),$D214,0)</f>
        <v/>
      </c>
      <c r="P214" s="10">
        <f>IF(ISNUMBER($E214),$E214,0)</f>
        <v/>
      </c>
    </row>
    <row r="215">
      <c r="A215" s="30" t="n"/>
      <c r="B215" s="24" t="n"/>
      <c r="C215" s="24" t="n"/>
      <c r="D215" s="31" t="n"/>
      <c r="E215" s="31" t="n"/>
      <c r="F215" s="25" t="n"/>
      <c r="G215" s="25" t="n"/>
      <c r="H215" s="25" t="n"/>
      <c r="I215" s="24" t="n"/>
      <c r="J215" s="24" t="n"/>
      <c r="K215" s="32">
        <f>IF(OR($B215="",NOT(ISNUMBER($D215)),NOT(ISNUMBER($E215))),"",ROUND(MOD($E215-$D215,1)*1440,0))</f>
        <v/>
      </c>
      <c r="L215" s="32">
        <f>IF(NOT(ISNUMBER($K215)),0,IF(OR($K215&lt;=0,$J215="Cancelada",$J215="Suspensa"),0,$K215+Setup_Min))</f>
        <v/>
      </c>
      <c r="M215" s="17">
        <f>IF($B215="","",IF($N215="","OK",LEFT($N215,LEN($N215)-3)))</f>
        <v/>
      </c>
      <c r="N215" s="10">
        <f>IF($B215="","",IF(COUNTIF(Salas_Cod,$B215)=0,"Sala não cadastrada | ","")&amp;IF(AND(COUNTIF(Salas_Cod,$B215)&gt;0,IFERROR(INDEX(Salas_Status,MATCH($B215,Salas_Cod,0)),"")&lt;&gt;"Ativa"),"Sala bloqueada | ","")&amp;IF(COUNTIF(Turnos_Nome,$C215)=0,"Turno inválido | ","")&amp;IF(COUNTIF(Esp_Nome,$F215)=0,"Especialidade não cadastrada | ","")&amp;IF(COUNTIF(Lista_StatusCirurgia,$J215)=0,"Status inválido | ","")&amp;IF(OR(NOT(ISNUMBER($D215)),NOT(ISNUMBER($E215))),"Horário inválido | ","")&amp;IFERROR(IF(AND(ISNUMBER($D215),ISNUMBER($E215),MOD($E215-$D215,1)*1440&lt;=0),"Duração nula ou negativa | ",""),"")&amp;IFERROR(IF(AND(ISNUMBER($D215),COUNTIF(Turnos_Nome,$C215)&gt;0,MOD($D215-INDEX(Turnos_Ini,MATCH($C215,Turnos_Nome,0)),1)*1440&gt;=INDEX(Turnos_Min,MATCH($C215,Turnos_Nome,0))),"Início fora da janela do turno | ",""),"")&amp;IFERROR(IF(AND($L215&gt;0,SUMPRODUCT((Mapa_Sala=$B215)*(Mapa_Data=$A215)*(Mapa_MinOcup&gt;0)*(((MOD(Mapa_IniNum-$O215,1)&lt;MOD($P215-$O215,1))+(MOD($O215-Mapa_IniNum,1)&lt;MOD(Mapa_FimNum-Mapa_IniNum,1)))&gt;0))&gt;1),"Sobreposição de horário na sala | ",""),"")&amp;IFERROR(IF(AND(ISNUMBER($K215),$K215&gt;0,COUNTIF(Esp_Nome,$F215)&gt;0,$K215&gt;3*INDEX(Esp_Dur,MATCH($F215,Esp_Nome,0))),"Duração atípica (&gt;3x a média) | ",""),""))</f>
        <v/>
      </c>
      <c r="O215" s="10">
        <f>IF(ISNUMBER($D215),$D215,0)</f>
        <v/>
      </c>
      <c r="P215" s="10">
        <f>IF(ISNUMBER($E215),$E215,0)</f>
        <v/>
      </c>
    </row>
    <row r="216">
      <c r="A216" s="30" t="n"/>
      <c r="B216" s="24" t="n"/>
      <c r="C216" s="24" t="n"/>
      <c r="D216" s="31" t="n"/>
      <c r="E216" s="31" t="n"/>
      <c r="F216" s="25" t="n"/>
      <c r="G216" s="25" t="n"/>
      <c r="H216" s="25" t="n"/>
      <c r="I216" s="24" t="n"/>
      <c r="J216" s="24" t="n"/>
      <c r="K216" s="32">
        <f>IF(OR($B216="",NOT(ISNUMBER($D216)),NOT(ISNUMBER($E216))),"",ROUND(MOD($E216-$D216,1)*1440,0))</f>
        <v/>
      </c>
      <c r="L216" s="32">
        <f>IF(NOT(ISNUMBER($K216)),0,IF(OR($K216&lt;=0,$J216="Cancelada",$J216="Suspensa"),0,$K216+Setup_Min))</f>
        <v/>
      </c>
      <c r="M216" s="17">
        <f>IF($B216="","",IF($N216="","OK",LEFT($N216,LEN($N216)-3)))</f>
        <v/>
      </c>
      <c r="N216" s="10">
        <f>IF($B216="","",IF(COUNTIF(Salas_Cod,$B216)=0,"Sala não cadastrada | ","")&amp;IF(AND(COUNTIF(Salas_Cod,$B216)&gt;0,IFERROR(INDEX(Salas_Status,MATCH($B216,Salas_Cod,0)),"")&lt;&gt;"Ativa"),"Sala bloqueada | ","")&amp;IF(COUNTIF(Turnos_Nome,$C216)=0,"Turno inválido | ","")&amp;IF(COUNTIF(Esp_Nome,$F216)=0,"Especialidade não cadastrada | ","")&amp;IF(COUNTIF(Lista_StatusCirurgia,$J216)=0,"Status inválido | ","")&amp;IF(OR(NOT(ISNUMBER($D216)),NOT(ISNUMBER($E216))),"Horário inválido | ","")&amp;IFERROR(IF(AND(ISNUMBER($D216),ISNUMBER($E216),MOD($E216-$D216,1)*1440&lt;=0),"Duração nula ou negativa | ",""),"")&amp;IFERROR(IF(AND(ISNUMBER($D216),COUNTIF(Turnos_Nome,$C216)&gt;0,MOD($D216-INDEX(Turnos_Ini,MATCH($C216,Turnos_Nome,0)),1)*1440&gt;=INDEX(Turnos_Min,MATCH($C216,Turnos_Nome,0))),"Início fora da janela do turno | ",""),"")&amp;IFERROR(IF(AND($L216&gt;0,SUMPRODUCT((Mapa_Sala=$B216)*(Mapa_Data=$A216)*(Mapa_MinOcup&gt;0)*(((MOD(Mapa_IniNum-$O216,1)&lt;MOD($P216-$O216,1))+(MOD($O216-Mapa_IniNum,1)&lt;MOD(Mapa_FimNum-Mapa_IniNum,1)))&gt;0))&gt;1),"Sobreposição de horário na sala | ",""),"")&amp;IFERROR(IF(AND(ISNUMBER($K216),$K216&gt;0,COUNTIF(Esp_Nome,$F216)&gt;0,$K216&gt;3*INDEX(Esp_Dur,MATCH($F216,Esp_Nome,0))),"Duração atípica (&gt;3x a média) | ",""),""))</f>
        <v/>
      </c>
      <c r="O216" s="10">
        <f>IF(ISNUMBER($D216),$D216,0)</f>
        <v/>
      </c>
      <c r="P216" s="10">
        <f>IF(ISNUMBER($E216),$E216,0)</f>
        <v/>
      </c>
    </row>
    <row r="217">
      <c r="A217" s="30" t="n"/>
      <c r="B217" s="24" t="n"/>
      <c r="C217" s="24" t="n"/>
      <c r="D217" s="31" t="n"/>
      <c r="E217" s="31" t="n"/>
      <c r="F217" s="25" t="n"/>
      <c r="G217" s="25" t="n"/>
      <c r="H217" s="25" t="n"/>
      <c r="I217" s="24" t="n"/>
      <c r="J217" s="24" t="n"/>
      <c r="K217" s="32">
        <f>IF(OR($B217="",NOT(ISNUMBER($D217)),NOT(ISNUMBER($E217))),"",ROUND(MOD($E217-$D217,1)*1440,0))</f>
        <v/>
      </c>
      <c r="L217" s="32">
        <f>IF(NOT(ISNUMBER($K217)),0,IF(OR($K217&lt;=0,$J217="Cancelada",$J217="Suspensa"),0,$K217+Setup_Min))</f>
        <v/>
      </c>
      <c r="M217" s="17">
        <f>IF($B217="","",IF($N217="","OK",LEFT($N217,LEN($N217)-3)))</f>
        <v/>
      </c>
      <c r="N217" s="10">
        <f>IF($B217="","",IF(COUNTIF(Salas_Cod,$B217)=0,"Sala não cadastrada | ","")&amp;IF(AND(COUNTIF(Salas_Cod,$B217)&gt;0,IFERROR(INDEX(Salas_Status,MATCH($B217,Salas_Cod,0)),"")&lt;&gt;"Ativa"),"Sala bloqueada | ","")&amp;IF(COUNTIF(Turnos_Nome,$C217)=0,"Turno inválido | ","")&amp;IF(COUNTIF(Esp_Nome,$F217)=0,"Especialidade não cadastrada | ","")&amp;IF(COUNTIF(Lista_StatusCirurgia,$J217)=0,"Status inválido | ","")&amp;IF(OR(NOT(ISNUMBER($D217)),NOT(ISNUMBER($E217))),"Horário inválido | ","")&amp;IFERROR(IF(AND(ISNUMBER($D217),ISNUMBER($E217),MOD($E217-$D217,1)*1440&lt;=0),"Duração nula ou negativa | ",""),"")&amp;IFERROR(IF(AND(ISNUMBER($D217),COUNTIF(Turnos_Nome,$C217)&gt;0,MOD($D217-INDEX(Turnos_Ini,MATCH($C217,Turnos_Nome,0)),1)*1440&gt;=INDEX(Turnos_Min,MATCH($C217,Turnos_Nome,0))),"Início fora da janela do turno | ",""),"")&amp;IFERROR(IF(AND($L217&gt;0,SUMPRODUCT((Mapa_Sala=$B217)*(Mapa_Data=$A217)*(Mapa_MinOcup&gt;0)*(((MOD(Mapa_IniNum-$O217,1)&lt;MOD($P217-$O217,1))+(MOD($O217-Mapa_IniNum,1)&lt;MOD(Mapa_FimNum-Mapa_IniNum,1)))&gt;0))&gt;1),"Sobreposição de horário na sala | ",""),"")&amp;IFERROR(IF(AND(ISNUMBER($K217),$K217&gt;0,COUNTIF(Esp_Nome,$F217)&gt;0,$K217&gt;3*INDEX(Esp_Dur,MATCH($F217,Esp_Nome,0))),"Duração atípica (&gt;3x a média) | ",""),""))</f>
        <v/>
      </c>
      <c r="O217" s="10">
        <f>IF(ISNUMBER($D217),$D217,0)</f>
        <v/>
      </c>
      <c r="P217" s="10">
        <f>IF(ISNUMBER($E217),$E217,0)</f>
        <v/>
      </c>
    </row>
    <row r="218">
      <c r="A218" s="30" t="n"/>
      <c r="B218" s="24" t="n"/>
      <c r="C218" s="24" t="n"/>
      <c r="D218" s="31" t="n"/>
      <c r="E218" s="31" t="n"/>
      <c r="F218" s="25" t="n"/>
      <c r="G218" s="25" t="n"/>
      <c r="H218" s="25" t="n"/>
      <c r="I218" s="24" t="n"/>
      <c r="J218" s="24" t="n"/>
      <c r="K218" s="32">
        <f>IF(OR($B218="",NOT(ISNUMBER($D218)),NOT(ISNUMBER($E218))),"",ROUND(MOD($E218-$D218,1)*1440,0))</f>
        <v/>
      </c>
      <c r="L218" s="32">
        <f>IF(NOT(ISNUMBER($K218)),0,IF(OR($K218&lt;=0,$J218="Cancelada",$J218="Suspensa"),0,$K218+Setup_Min))</f>
        <v/>
      </c>
      <c r="M218" s="17">
        <f>IF($B218="","",IF($N218="","OK",LEFT($N218,LEN($N218)-3)))</f>
        <v/>
      </c>
      <c r="N218" s="10">
        <f>IF($B218="","",IF(COUNTIF(Salas_Cod,$B218)=0,"Sala não cadastrada | ","")&amp;IF(AND(COUNTIF(Salas_Cod,$B218)&gt;0,IFERROR(INDEX(Salas_Status,MATCH($B218,Salas_Cod,0)),"")&lt;&gt;"Ativa"),"Sala bloqueada | ","")&amp;IF(COUNTIF(Turnos_Nome,$C218)=0,"Turno inválido | ","")&amp;IF(COUNTIF(Esp_Nome,$F218)=0,"Especialidade não cadastrada | ","")&amp;IF(COUNTIF(Lista_StatusCirurgia,$J218)=0,"Status inválido | ","")&amp;IF(OR(NOT(ISNUMBER($D218)),NOT(ISNUMBER($E218))),"Horário inválido | ","")&amp;IFERROR(IF(AND(ISNUMBER($D218),ISNUMBER($E218),MOD($E218-$D218,1)*1440&lt;=0),"Duração nula ou negativa | ",""),"")&amp;IFERROR(IF(AND(ISNUMBER($D218),COUNTIF(Turnos_Nome,$C218)&gt;0,MOD($D218-INDEX(Turnos_Ini,MATCH($C218,Turnos_Nome,0)),1)*1440&gt;=INDEX(Turnos_Min,MATCH($C218,Turnos_Nome,0))),"Início fora da janela do turno | ",""),"")&amp;IFERROR(IF(AND($L218&gt;0,SUMPRODUCT((Mapa_Sala=$B218)*(Mapa_Data=$A218)*(Mapa_MinOcup&gt;0)*(((MOD(Mapa_IniNum-$O218,1)&lt;MOD($P218-$O218,1))+(MOD($O218-Mapa_IniNum,1)&lt;MOD(Mapa_FimNum-Mapa_IniNum,1)))&gt;0))&gt;1),"Sobreposição de horário na sala | ",""),"")&amp;IFERROR(IF(AND(ISNUMBER($K218),$K218&gt;0,COUNTIF(Esp_Nome,$F218)&gt;0,$K218&gt;3*INDEX(Esp_Dur,MATCH($F218,Esp_Nome,0))),"Duração atípica (&gt;3x a média) | ",""),""))</f>
        <v/>
      </c>
      <c r="O218" s="10">
        <f>IF(ISNUMBER($D218),$D218,0)</f>
        <v/>
      </c>
      <c r="P218" s="10">
        <f>IF(ISNUMBER($E218),$E218,0)</f>
        <v/>
      </c>
    </row>
    <row r="219">
      <c r="A219" s="30" t="n"/>
      <c r="B219" s="24" t="n"/>
      <c r="C219" s="24" t="n"/>
      <c r="D219" s="31" t="n"/>
      <c r="E219" s="31" t="n"/>
      <c r="F219" s="25" t="n"/>
      <c r="G219" s="25" t="n"/>
      <c r="H219" s="25" t="n"/>
      <c r="I219" s="24" t="n"/>
      <c r="J219" s="24" t="n"/>
      <c r="K219" s="32">
        <f>IF(OR($B219="",NOT(ISNUMBER($D219)),NOT(ISNUMBER($E219))),"",ROUND(MOD($E219-$D219,1)*1440,0))</f>
        <v/>
      </c>
      <c r="L219" s="32">
        <f>IF(NOT(ISNUMBER($K219)),0,IF(OR($K219&lt;=0,$J219="Cancelada",$J219="Suspensa"),0,$K219+Setup_Min))</f>
        <v/>
      </c>
      <c r="M219" s="17">
        <f>IF($B219="","",IF($N219="","OK",LEFT($N219,LEN($N219)-3)))</f>
        <v/>
      </c>
      <c r="N219" s="10">
        <f>IF($B219="","",IF(COUNTIF(Salas_Cod,$B219)=0,"Sala não cadastrada | ","")&amp;IF(AND(COUNTIF(Salas_Cod,$B219)&gt;0,IFERROR(INDEX(Salas_Status,MATCH($B219,Salas_Cod,0)),"")&lt;&gt;"Ativa"),"Sala bloqueada | ","")&amp;IF(COUNTIF(Turnos_Nome,$C219)=0,"Turno inválido | ","")&amp;IF(COUNTIF(Esp_Nome,$F219)=0,"Especialidade não cadastrada | ","")&amp;IF(COUNTIF(Lista_StatusCirurgia,$J219)=0,"Status inválido | ","")&amp;IF(OR(NOT(ISNUMBER($D219)),NOT(ISNUMBER($E219))),"Horário inválido | ","")&amp;IFERROR(IF(AND(ISNUMBER($D219),ISNUMBER($E219),MOD($E219-$D219,1)*1440&lt;=0),"Duração nula ou negativa | ",""),"")&amp;IFERROR(IF(AND(ISNUMBER($D219),COUNTIF(Turnos_Nome,$C219)&gt;0,MOD($D219-INDEX(Turnos_Ini,MATCH($C219,Turnos_Nome,0)),1)*1440&gt;=INDEX(Turnos_Min,MATCH($C219,Turnos_Nome,0))),"Início fora da janela do turno | ",""),"")&amp;IFERROR(IF(AND($L219&gt;0,SUMPRODUCT((Mapa_Sala=$B219)*(Mapa_Data=$A219)*(Mapa_MinOcup&gt;0)*(((MOD(Mapa_IniNum-$O219,1)&lt;MOD($P219-$O219,1))+(MOD($O219-Mapa_IniNum,1)&lt;MOD(Mapa_FimNum-Mapa_IniNum,1)))&gt;0))&gt;1),"Sobreposição de horário na sala | ",""),"")&amp;IFERROR(IF(AND(ISNUMBER($K219),$K219&gt;0,COUNTIF(Esp_Nome,$F219)&gt;0,$K219&gt;3*INDEX(Esp_Dur,MATCH($F219,Esp_Nome,0))),"Duração atípica (&gt;3x a média) | ",""),""))</f>
        <v/>
      </c>
      <c r="O219" s="10">
        <f>IF(ISNUMBER($D219),$D219,0)</f>
        <v/>
      </c>
      <c r="P219" s="10">
        <f>IF(ISNUMBER($E219),$E219,0)</f>
        <v/>
      </c>
    </row>
    <row r="220">
      <c r="A220" s="30" t="n"/>
      <c r="B220" s="24" t="n"/>
      <c r="C220" s="24" t="n"/>
      <c r="D220" s="31" t="n"/>
      <c r="E220" s="31" t="n"/>
      <c r="F220" s="25" t="n"/>
      <c r="G220" s="25" t="n"/>
      <c r="H220" s="25" t="n"/>
      <c r="I220" s="24" t="n"/>
      <c r="J220" s="24" t="n"/>
      <c r="K220" s="32">
        <f>IF(OR($B220="",NOT(ISNUMBER($D220)),NOT(ISNUMBER($E220))),"",ROUND(MOD($E220-$D220,1)*1440,0))</f>
        <v/>
      </c>
      <c r="L220" s="32">
        <f>IF(NOT(ISNUMBER($K220)),0,IF(OR($K220&lt;=0,$J220="Cancelada",$J220="Suspensa"),0,$K220+Setup_Min))</f>
        <v/>
      </c>
      <c r="M220" s="17">
        <f>IF($B220="","",IF($N220="","OK",LEFT($N220,LEN($N220)-3)))</f>
        <v/>
      </c>
      <c r="N220" s="10">
        <f>IF($B220="","",IF(COUNTIF(Salas_Cod,$B220)=0,"Sala não cadastrada | ","")&amp;IF(AND(COUNTIF(Salas_Cod,$B220)&gt;0,IFERROR(INDEX(Salas_Status,MATCH($B220,Salas_Cod,0)),"")&lt;&gt;"Ativa"),"Sala bloqueada | ","")&amp;IF(COUNTIF(Turnos_Nome,$C220)=0,"Turno inválido | ","")&amp;IF(COUNTIF(Esp_Nome,$F220)=0,"Especialidade não cadastrada | ","")&amp;IF(COUNTIF(Lista_StatusCirurgia,$J220)=0,"Status inválido | ","")&amp;IF(OR(NOT(ISNUMBER($D220)),NOT(ISNUMBER($E220))),"Horário inválido | ","")&amp;IFERROR(IF(AND(ISNUMBER($D220),ISNUMBER($E220),MOD($E220-$D220,1)*1440&lt;=0),"Duração nula ou negativa | ",""),"")&amp;IFERROR(IF(AND(ISNUMBER($D220),COUNTIF(Turnos_Nome,$C220)&gt;0,MOD($D220-INDEX(Turnos_Ini,MATCH($C220,Turnos_Nome,0)),1)*1440&gt;=INDEX(Turnos_Min,MATCH($C220,Turnos_Nome,0))),"Início fora da janela do turno | ",""),"")&amp;IFERROR(IF(AND($L220&gt;0,SUMPRODUCT((Mapa_Sala=$B220)*(Mapa_Data=$A220)*(Mapa_MinOcup&gt;0)*(((MOD(Mapa_IniNum-$O220,1)&lt;MOD($P220-$O220,1))+(MOD($O220-Mapa_IniNum,1)&lt;MOD(Mapa_FimNum-Mapa_IniNum,1)))&gt;0))&gt;1),"Sobreposição de horário na sala | ",""),"")&amp;IFERROR(IF(AND(ISNUMBER($K220),$K220&gt;0,COUNTIF(Esp_Nome,$F220)&gt;0,$K220&gt;3*INDEX(Esp_Dur,MATCH($F220,Esp_Nome,0))),"Duração atípica (&gt;3x a média) | ",""),""))</f>
        <v/>
      </c>
      <c r="O220" s="10">
        <f>IF(ISNUMBER($D220),$D220,0)</f>
        <v/>
      </c>
      <c r="P220" s="10">
        <f>IF(ISNUMBER($E220),$E220,0)</f>
        <v/>
      </c>
    </row>
    <row r="221">
      <c r="A221" s="30" t="n"/>
      <c r="B221" s="24" t="n"/>
      <c r="C221" s="24" t="n"/>
      <c r="D221" s="31" t="n"/>
      <c r="E221" s="31" t="n"/>
      <c r="F221" s="25" t="n"/>
      <c r="G221" s="25" t="n"/>
      <c r="H221" s="25" t="n"/>
      <c r="I221" s="24" t="n"/>
      <c r="J221" s="24" t="n"/>
      <c r="K221" s="32">
        <f>IF(OR($B221="",NOT(ISNUMBER($D221)),NOT(ISNUMBER($E221))),"",ROUND(MOD($E221-$D221,1)*1440,0))</f>
        <v/>
      </c>
      <c r="L221" s="32">
        <f>IF(NOT(ISNUMBER($K221)),0,IF(OR($K221&lt;=0,$J221="Cancelada",$J221="Suspensa"),0,$K221+Setup_Min))</f>
        <v/>
      </c>
      <c r="M221" s="17">
        <f>IF($B221="","",IF($N221="","OK",LEFT($N221,LEN($N221)-3)))</f>
        <v/>
      </c>
      <c r="N221" s="10">
        <f>IF($B221="","",IF(COUNTIF(Salas_Cod,$B221)=0,"Sala não cadastrada | ","")&amp;IF(AND(COUNTIF(Salas_Cod,$B221)&gt;0,IFERROR(INDEX(Salas_Status,MATCH($B221,Salas_Cod,0)),"")&lt;&gt;"Ativa"),"Sala bloqueada | ","")&amp;IF(COUNTIF(Turnos_Nome,$C221)=0,"Turno inválido | ","")&amp;IF(COUNTIF(Esp_Nome,$F221)=0,"Especialidade não cadastrada | ","")&amp;IF(COUNTIF(Lista_StatusCirurgia,$J221)=0,"Status inválido | ","")&amp;IF(OR(NOT(ISNUMBER($D221)),NOT(ISNUMBER($E221))),"Horário inválido | ","")&amp;IFERROR(IF(AND(ISNUMBER($D221),ISNUMBER($E221),MOD($E221-$D221,1)*1440&lt;=0),"Duração nula ou negativa | ",""),"")&amp;IFERROR(IF(AND(ISNUMBER($D221),COUNTIF(Turnos_Nome,$C221)&gt;0,MOD($D221-INDEX(Turnos_Ini,MATCH($C221,Turnos_Nome,0)),1)*1440&gt;=INDEX(Turnos_Min,MATCH($C221,Turnos_Nome,0))),"Início fora da janela do turno | ",""),"")&amp;IFERROR(IF(AND($L221&gt;0,SUMPRODUCT((Mapa_Sala=$B221)*(Mapa_Data=$A221)*(Mapa_MinOcup&gt;0)*(((MOD(Mapa_IniNum-$O221,1)&lt;MOD($P221-$O221,1))+(MOD($O221-Mapa_IniNum,1)&lt;MOD(Mapa_FimNum-Mapa_IniNum,1)))&gt;0))&gt;1),"Sobreposição de horário na sala | ",""),"")&amp;IFERROR(IF(AND(ISNUMBER($K221),$K221&gt;0,COUNTIF(Esp_Nome,$F221)&gt;0,$K221&gt;3*INDEX(Esp_Dur,MATCH($F221,Esp_Nome,0))),"Duração atípica (&gt;3x a média) | ",""),""))</f>
        <v/>
      </c>
      <c r="O221" s="10">
        <f>IF(ISNUMBER($D221),$D221,0)</f>
        <v/>
      </c>
      <c r="P221" s="10">
        <f>IF(ISNUMBER($E221),$E221,0)</f>
        <v/>
      </c>
    </row>
    <row r="222">
      <c r="A222" s="30" t="n"/>
      <c r="B222" s="24" t="n"/>
      <c r="C222" s="24" t="n"/>
      <c r="D222" s="31" t="n"/>
      <c r="E222" s="31" t="n"/>
      <c r="F222" s="25" t="n"/>
      <c r="G222" s="25" t="n"/>
      <c r="H222" s="25" t="n"/>
      <c r="I222" s="24" t="n"/>
      <c r="J222" s="24" t="n"/>
      <c r="K222" s="32">
        <f>IF(OR($B222="",NOT(ISNUMBER($D222)),NOT(ISNUMBER($E222))),"",ROUND(MOD($E222-$D222,1)*1440,0))</f>
        <v/>
      </c>
      <c r="L222" s="32">
        <f>IF(NOT(ISNUMBER($K222)),0,IF(OR($K222&lt;=0,$J222="Cancelada",$J222="Suspensa"),0,$K222+Setup_Min))</f>
        <v/>
      </c>
      <c r="M222" s="17">
        <f>IF($B222="","",IF($N222="","OK",LEFT($N222,LEN($N222)-3)))</f>
        <v/>
      </c>
      <c r="N222" s="10">
        <f>IF($B222="","",IF(COUNTIF(Salas_Cod,$B222)=0,"Sala não cadastrada | ","")&amp;IF(AND(COUNTIF(Salas_Cod,$B222)&gt;0,IFERROR(INDEX(Salas_Status,MATCH($B222,Salas_Cod,0)),"")&lt;&gt;"Ativa"),"Sala bloqueada | ","")&amp;IF(COUNTIF(Turnos_Nome,$C222)=0,"Turno inválido | ","")&amp;IF(COUNTIF(Esp_Nome,$F222)=0,"Especialidade não cadastrada | ","")&amp;IF(COUNTIF(Lista_StatusCirurgia,$J222)=0,"Status inválido | ","")&amp;IF(OR(NOT(ISNUMBER($D222)),NOT(ISNUMBER($E222))),"Horário inválido | ","")&amp;IFERROR(IF(AND(ISNUMBER($D222),ISNUMBER($E222),MOD($E222-$D222,1)*1440&lt;=0),"Duração nula ou negativa | ",""),"")&amp;IFERROR(IF(AND(ISNUMBER($D222),COUNTIF(Turnos_Nome,$C222)&gt;0,MOD($D222-INDEX(Turnos_Ini,MATCH($C222,Turnos_Nome,0)),1)*1440&gt;=INDEX(Turnos_Min,MATCH($C222,Turnos_Nome,0))),"Início fora da janela do turno | ",""),"")&amp;IFERROR(IF(AND($L222&gt;0,SUMPRODUCT((Mapa_Sala=$B222)*(Mapa_Data=$A222)*(Mapa_MinOcup&gt;0)*(((MOD(Mapa_IniNum-$O222,1)&lt;MOD($P222-$O222,1))+(MOD($O222-Mapa_IniNum,1)&lt;MOD(Mapa_FimNum-Mapa_IniNum,1)))&gt;0))&gt;1),"Sobreposição de horário na sala | ",""),"")&amp;IFERROR(IF(AND(ISNUMBER($K222),$K222&gt;0,COUNTIF(Esp_Nome,$F222)&gt;0,$K222&gt;3*INDEX(Esp_Dur,MATCH($F222,Esp_Nome,0))),"Duração atípica (&gt;3x a média) | ",""),""))</f>
        <v/>
      </c>
      <c r="O222" s="10">
        <f>IF(ISNUMBER($D222),$D222,0)</f>
        <v/>
      </c>
      <c r="P222" s="10">
        <f>IF(ISNUMBER($E222),$E222,0)</f>
        <v/>
      </c>
    </row>
    <row r="223">
      <c r="A223" s="30" t="n"/>
      <c r="B223" s="24" t="n"/>
      <c r="C223" s="24" t="n"/>
      <c r="D223" s="31" t="n"/>
      <c r="E223" s="31" t="n"/>
      <c r="F223" s="25" t="n"/>
      <c r="G223" s="25" t="n"/>
      <c r="H223" s="25" t="n"/>
      <c r="I223" s="24" t="n"/>
      <c r="J223" s="24" t="n"/>
      <c r="K223" s="32">
        <f>IF(OR($B223="",NOT(ISNUMBER($D223)),NOT(ISNUMBER($E223))),"",ROUND(MOD($E223-$D223,1)*1440,0))</f>
        <v/>
      </c>
      <c r="L223" s="32">
        <f>IF(NOT(ISNUMBER($K223)),0,IF(OR($K223&lt;=0,$J223="Cancelada",$J223="Suspensa"),0,$K223+Setup_Min))</f>
        <v/>
      </c>
      <c r="M223" s="17">
        <f>IF($B223="","",IF($N223="","OK",LEFT($N223,LEN($N223)-3)))</f>
        <v/>
      </c>
      <c r="N223" s="10">
        <f>IF($B223="","",IF(COUNTIF(Salas_Cod,$B223)=0,"Sala não cadastrada | ","")&amp;IF(AND(COUNTIF(Salas_Cod,$B223)&gt;0,IFERROR(INDEX(Salas_Status,MATCH($B223,Salas_Cod,0)),"")&lt;&gt;"Ativa"),"Sala bloqueada | ","")&amp;IF(COUNTIF(Turnos_Nome,$C223)=0,"Turno inválido | ","")&amp;IF(COUNTIF(Esp_Nome,$F223)=0,"Especialidade não cadastrada | ","")&amp;IF(COUNTIF(Lista_StatusCirurgia,$J223)=0,"Status inválido | ","")&amp;IF(OR(NOT(ISNUMBER($D223)),NOT(ISNUMBER($E223))),"Horário inválido | ","")&amp;IFERROR(IF(AND(ISNUMBER($D223),ISNUMBER($E223),MOD($E223-$D223,1)*1440&lt;=0),"Duração nula ou negativa | ",""),"")&amp;IFERROR(IF(AND(ISNUMBER($D223),COUNTIF(Turnos_Nome,$C223)&gt;0,MOD($D223-INDEX(Turnos_Ini,MATCH($C223,Turnos_Nome,0)),1)*1440&gt;=INDEX(Turnos_Min,MATCH($C223,Turnos_Nome,0))),"Início fora da janela do turno | ",""),"")&amp;IFERROR(IF(AND($L223&gt;0,SUMPRODUCT((Mapa_Sala=$B223)*(Mapa_Data=$A223)*(Mapa_MinOcup&gt;0)*(((MOD(Mapa_IniNum-$O223,1)&lt;MOD($P223-$O223,1))+(MOD($O223-Mapa_IniNum,1)&lt;MOD(Mapa_FimNum-Mapa_IniNum,1)))&gt;0))&gt;1),"Sobreposição de horário na sala | ",""),"")&amp;IFERROR(IF(AND(ISNUMBER($K223),$K223&gt;0,COUNTIF(Esp_Nome,$F223)&gt;0,$K223&gt;3*INDEX(Esp_Dur,MATCH($F223,Esp_Nome,0))),"Duração atípica (&gt;3x a média) | ",""),""))</f>
        <v/>
      </c>
      <c r="O223" s="10">
        <f>IF(ISNUMBER($D223),$D223,0)</f>
        <v/>
      </c>
      <c r="P223" s="10">
        <f>IF(ISNUMBER($E223),$E223,0)</f>
        <v/>
      </c>
    </row>
    <row r="224">
      <c r="A224" s="30" t="n"/>
      <c r="B224" s="24" t="n"/>
      <c r="C224" s="24" t="n"/>
      <c r="D224" s="31" t="n"/>
      <c r="E224" s="31" t="n"/>
      <c r="F224" s="25" t="n"/>
      <c r="G224" s="25" t="n"/>
      <c r="H224" s="25" t="n"/>
      <c r="I224" s="24" t="n"/>
      <c r="J224" s="24" t="n"/>
      <c r="K224" s="32">
        <f>IF(OR($B224="",NOT(ISNUMBER($D224)),NOT(ISNUMBER($E224))),"",ROUND(MOD($E224-$D224,1)*1440,0))</f>
        <v/>
      </c>
      <c r="L224" s="32">
        <f>IF(NOT(ISNUMBER($K224)),0,IF(OR($K224&lt;=0,$J224="Cancelada",$J224="Suspensa"),0,$K224+Setup_Min))</f>
        <v/>
      </c>
      <c r="M224" s="17">
        <f>IF($B224="","",IF($N224="","OK",LEFT($N224,LEN($N224)-3)))</f>
        <v/>
      </c>
      <c r="N224" s="10">
        <f>IF($B224="","",IF(COUNTIF(Salas_Cod,$B224)=0,"Sala não cadastrada | ","")&amp;IF(AND(COUNTIF(Salas_Cod,$B224)&gt;0,IFERROR(INDEX(Salas_Status,MATCH($B224,Salas_Cod,0)),"")&lt;&gt;"Ativa"),"Sala bloqueada | ","")&amp;IF(COUNTIF(Turnos_Nome,$C224)=0,"Turno inválido | ","")&amp;IF(COUNTIF(Esp_Nome,$F224)=0,"Especialidade não cadastrada | ","")&amp;IF(COUNTIF(Lista_StatusCirurgia,$J224)=0,"Status inválido | ","")&amp;IF(OR(NOT(ISNUMBER($D224)),NOT(ISNUMBER($E224))),"Horário inválido | ","")&amp;IFERROR(IF(AND(ISNUMBER($D224),ISNUMBER($E224),MOD($E224-$D224,1)*1440&lt;=0),"Duração nula ou negativa | ",""),"")&amp;IFERROR(IF(AND(ISNUMBER($D224),COUNTIF(Turnos_Nome,$C224)&gt;0,MOD($D224-INDEX(Turnos_Ini,MATCH($C224,Turnos_Nome,0)),1)*1440&gt;=INDEX(Turnos_Min,MATCH($C224,Turnos_Nome,0))),"Início fora da janela do turno | ",""),"")&amp;IFERROR(IF(AND($L224&gt;0,SUMPRODUCT((Mapa_Sala=$B224)*(Mapa_Data=$A224)*(Mapa_MinOcup&gt;0)*(((MOD(Mapa_IniNum-$O224,1)&lt;MOD($P224-$O224,1))+(MOD($O224-Mapa_IniNum,1)&lt;MOD(Mapa_FimNum-Mapa_IniNum,1)))&gt;0))&gt;1),"Sobreposição de horário na sala | ",""),"")&amp;IFERROR(IF(AND(ISNUMBER($K224),$K224&gt;0,COUNTIF(Esp_Nome,$F224)&gt;0,$K224&gt;3*INDEX(Esp_Dur,MATCH($F224,Esp_Nome,0))),"Duração atípica (&gt;3x a média) | ",""),""))</f>
        <v/>
      </c>
      <c r="O224" s="10">
        <f>IF(ISNUMBER($D224),$D224,0)</f>
        <v/>
      </c>
      <c r="P224" s="10">
        <f>IF(ISNUMBER($E224),$E224,0)</f>
        <v/>
      </c>
    </row>
    <row r="225">
      <c r="A225" s="30" t="n"/>
      <c r="B225" s="24" t="n"/>
      <c r="C225" s="24" t="n"/>
      <c r="D225" s="31" t="n"/>
      <c r="E225" s="31" t="n"/>
      <c r="F225" s="25" t="n"/>
      <c r="G225" s="25" t="n"/>
      <c r="H225" s="25" t="n"/>
      <c r="I225" s="24" t="n"/>
      <c r="J225" s="24" t="n"/>
      <c r="K225" s="32">
        <f>IF(OR($B225="",NOT(ISNUMBER($D225)),NOT(ISNUMBER($E225))),"",ROUND(MOD($E225-$D225,1)*1440,0))</f>
        <v/>
      </c>
      <c r="L225" s="32">
        <f>IF(NOT(ISNUMBER($K225)),0,IF(OR($K225&lt;=0,$J225="Cancelada",$J225="Suspensa"),0,$K225+Setup_Min))</f>
        <v/>
      </c>
      <c r="M225" s="17">
        <f>IF($B225="","",IF($N225="","OK",LEFT($N225,LEN($N225)-3)))</f>
        <v/>
      </c>
      <c r="N225" s="10">
        <f>IF($B225="","",IF(COUNTIF(Salas_Cod,$B225)=0,"Sala não cadastrada | ","")&amp;IF(AND(COUNTIF(Salas_Cod,$B225)&gt;0,IFERROR(INDEX(Salas_Status,MATCH($B225,Salas_Cod,0)),"")&lt;&gt;"Ativa"),"Sala bloqueada | ","")&amp;IF(COUNTIF(Turnos_Nome,$C225)=0,"Turno inválido | ","")&amp;IF(COUNTIF(Esp_Nome,$F225)=0,"Especialidade não cadastrada | ","")&amp;IF(COUNTIF(Lista_StatusCirurgia,$J225)=0,"Status inválido | ","")&amp;IF(OR(NOT(ISNUMBER($D225)),NOT(ISNUMBER($E225))),"Horário inválido | ","")&amp;IFERROR(IF(AND(ISNUMBER($D225),ISNUMBER($E225),MOD($E225-$D225,1)*1440&lt;=0),"Duração nula ou negativa | ",""),"")&amp;IFERROR(IF(AND(ISNUMBER($D225),COUNTIF(Turnos_Nome,$C225)&gt;0,MOD($D225-INDEX(Turnos_Ini,MATCH($C225,Turnos_Nome,0)),1)*1440&gt;=INDEX(Turnos_Min,MATCH($C225,Turnos_Nome,0))),"Início fora da janela do turno | ",""),"")&amp;IFERROR(IF(AND($L225&gt;0,SUMPRODUCT((Mapa_Sala=$B225)*(Mapa_Data=$A225)*(Mapa_MinOcup&gt;0)*(((MOD(Mapa_IniNum-$O225,1)&lt;MOD($P225-$O225,1))+(MOD($O225-Mapa_IniNum,1)&lt;MOD(Mapa_FimNum-Mapa_IniNum,1)))&gt;0))&gt;1),"Sobreposição de horário na sala | ",""),"")&amp;IFERROR(IF(AND(ISNUMBER($K225),$K225&gt;0,COUNTIF(Esp_Nome,$F225)&gt;0,$K225&gt;3*INDEX(Esp_Dur,MATCH($F225,Esp_Nome,0))),"Duração atípica (&gt;3x a média) | ",""),""))</f>
        <v/>
      </c>
      <c r="O225" s="10">
        <f>IF(ISNUMBER($D225),$D225,0)</f>
        <v/>
      </c>
      <c r="P225" s="10">
        <f>IF(ISNUMBER($E225),$E225,0)</f>
        <v/>
      </c>
    </row>
    <row r="226">
      <c r="A226" s="30" t="n"/>
      <c r="B226" s="24" t="n"/>
      <c r="C226" s="24" t="n"/>
      <c r="D226" s="31" t="n"/>
      <c r="E226" s="31" t="n"/>
      <c r="F226" s="25" t="n"/>
      <c r="G226" s="25" t="n"/>
      <c r="H226" s="25" t="n"/>
      <c r="I226" s="24" t="n"/>
      <c r="J226" s="24" t="n"/>
      <c r="K226" s="32">
        <f>IF(OR($B226="",NOT(ISNUMBER($D226)),NOT(ISNUMBER($E226))),"",ROUND(MOD($E226-$D226,1)*1440,0))</f>
        <v/>
      </c>
      <c r="L226" s="32">
        <f>IF(NOT(ISNUMBER($K226)),0,IF(OR($K226&lt;=0,$J226="Cancelada",$J226="Suspensa"),0,$K226+Setup_Min))</f>
        <v/>
      </c>
      <c r="M226" s="17">
        <f>IF($B226="","",IF($N226="","OK",LEFT($N226,LEN($N226)-3)))</f>
        <v/>
      </c>
      <c r="N226" s="10">
        <f>IF($B226="","",IF(COUNTIF(Salas_Cod,$B226)=0,"Sala não cadastrada | ","")&amp;IF(AND(COUNTIF(Salas_Cod,$B226)&gt;0,IFERROR(INDEX(Salas_Status,MATCH($B226,Salas_Cod,0)),"")&lt;&gt;"Ativa"),"Sala bloqueada | ","")&amp;IF(COUNTIF(Turnos_Nome,$C226)=0,"Turno inválido | ","")&amp;IF(COUNTIF(Esp_Nome,$F226)=0,"Especialidade não cadastrada | ","")&amp;IF(COUNTIF(Lista_StatusCirurgia,$J226)=0,"Status inválido | ","")&amp;IF(OR(NOT(ISNUMBER($D226)),NOT(ISNUMBER($E226))),"Horário inválido | ","")&amp;IFERROR(IF(AND(ISNUMBER($D226),ISNUMBER($E226),MOD($E226-$D226,1)*1440&lt;=0),"Duração nula ou negativa | ",""),"")&amp;IFERROR(IF(AND(ISNUMBER($D226),COUNTIF(Turnos_Nome,$C226)&gt;0,MOD($D226-INDEX(Turnos_Ini,MATCH($C226,Turnos_Nome,0)),1)*1440&gt;=INDEX(Turnos_Min,MATCH($C226,Turnos_Nome,0))),"Início fora da janela do turno | ",""),"")&amp;IFERROR(IF(AND($L226&gt;0,SUMPRODUCT((Mapa_Sala=$B226)*(Mapa_Data=$A226)*(Mapa_MinOcup&gt;0)*(((MOD(Mapa_IniNum-$O226,1)&lt;MOD($P226-$O226,1))+(MOD($O226-Mapa_IniNum,1)&lt;MOD(Mapa_FimNum-Mapa_IniNum,1)))&gt;0))&gt;1),"Sobreposição de horário na sala | ",""),"")&amp;IFERROR(IF(AND(ISNUMBER($K226),$K226&gt;0,COUNTIF(Esp_Nome,$F226)&gt;0,$K226&gt;3*INDEX(Esp_Dur,MATCH($F226,Esp_Nome,0))),"Duração atípica (&gt;3x a média) | ",""),""))</f>
        <v/>
      </c>
      <c r="O226" s="10">
        <f>IF(ISNUMBER($D226),$D226,0)</f>
        <v/>
      </c>
      <c r="P226" s="10">
        <f>IF(ISNUMBER($E226),$E226,0)</f>
        <v/>
      </c>
    </row>
    <row r="227">
      <c r="A227" s="30" t="n"/>
      <c r="B227" s="24" t="n"/>
      <c r="C227" s="24" t="n"/>
      <c r="D227" s="31" t="n"/>
      <c r="E227" s="31" t="n"/>
      <c r="F227" s="25" t="n"/>
      <c r="G227" s="25" t="n"/>
      <c r="H227" s="25" t="n"/>
      <c r="I227" s="24" t="n"/>
      <c r="J227" s="24" t="n"/>
      <c r="K227" s="32">
        <f>IF(OR($B227="",NOT(ISNUMBER($D227)),NOT(ISNUMBER($E227))),"",ROUND(MOD($E227-$D227,1)*1440,0))</f>
        <v/>
      </c>
      <c r="L227" s="32">
        <f>IF(NOT(ISNUMBER($K227)),0,IF(OR($K227&lt;=0,$J227="Cancelada",$J227="Suspensa"),0,$K227+Setup_Min))</f>
        <v/>
      </c>
      <c r="M227" s="17">
        <f>IF($B227="","",IF($N227="","OK",LEFT($N227,LEN($N227)-3)))</f>
        <v/>
      </c>
      <c r="N227" s="10">
        <f>IF($B227="","",IF(COUNTIF(Salas_Cod,$B227)=0,"Sala não cadastrada | ","")&amp;IF(AND(COUNTIF(Salas_Cod,$B227)&gt;0,IFERROR(INDEX(Salas_Status,MATCH($B227,Salas_Cod,0)),"")&lt;&gt;"Ativa"),"Sala bloqueada | ","")&amp;IF(COUNTIF(Turnos_Nome,$C227)=0,"Turno inválido | ","")&amp;IF(COUNTIF(Esp_Nome,$F227)=0,"Especialidade não cadastrada | ","")&amp;IF(COUNTIF(Lista_StatusCirurgia,$J227)=0,"Status inválido | ","")&amp;IF(OR(NOT(ISNUMBER($D227)),NOT(ISNUMBER($E227))),"Horário inválido | ","")&amp;IFERROR(IF(AND(ISNUMBER($D227),ISNUMBER($E227),MOD($E227-$D227,1)*1440&lt;=0),"Duração nula ou negativa | ",""),"")&amp;IFERROR(IF(AND(ISNUMBER($D227),COUNTIF(Turnos_Nome,$C227)&gt;0,MOD($D227-INDEX(Turnos_Ini,MATCH($C227,Turnos_Nome,0)),1)*1440&gt;=INDEX(Turnos_Min,MATCH($C227,Turnos_Nome,0))),"Início fora da janela do turno | ",""),"")&amp;IFERROR(IF(AND($L227&gt;0,SUMPRODUCT((Mapa_Sala=$B227)*(Mapa_Data=$A227)*(Mapa_MinOcup&gt;0)*(((MOD(Mapa_IniNum-$O227,1)&lt;MOD($P227-$O227,1))+(MOD($O227-Mapa_IniNum,1)&lt;MOD(Mapa_FimNum-Mapa_IniNum,1)))&gt;0))&gt;1),"Sobreposição de horário na sala | ",""),"")&amp;IFERROR(IF(AND(ISNUMBER($K227),$K227&gt;0,COUNTIF(Esp_Nome,$F227)&gt;0,$K227&gt;3*INDEX(Esp_Dur,MATCH($F227,Esp_Nome,0))),"Duração atípica (&gt;3x a média) | ",""),""))</f>
        <v/>
      </c>
      <c r="O227" s="10">
        <f>IF(ISNUMBER($D227),$D227,0)</f>
        <v/>
      </c>
      <c r="P227" s="10">
        <f>IF(ISNUMBER($E227),$E227,0)</f>
        <v/>
      </c>
    </row>
    <row r="228">
      <c r="A228" s="30" t="n"/>
      <c r="B228" s="24" t="n"/>
      <c r="C228" s="24" t="n"/>
      <c r="D228" s="31" t="n"/>
      <c r="E228" s="31" t="n"/>
      <c r="F228" s="25" t="n"/>
      <c r="G228" s="25" t="n"/>
      <c r="H228" s="25" t="n"/>
      <c r="I228" s="24" t="n"/>
      <c r="J228" s="24" t="n"/>
      <c r="K228" s="32">
        <f>IF(OR($B228="",NOT(ISNUMBER($D228)),NOT(ISNUMBER($E228))),"",ROUND(MOD($E228-$D228,1)*1440,0))</f>
        <v/>
      </c>
      <c r="L228" s="32">
        <f>IF(NOT(ISNUMBER($K228)),0,IF(OR($K228&lt;=0,$J228="Cancelada",$J228="Suspensa"),0,$K228+Setup_Min))</f>
        <v/>
      </c>
      <c r="M228" s="17">
        <f>IF($B228="","",IF($N228="","OK",LEFT($N228,LEN($N228)-3)))</f>
        <v/>
      </c>
      <c r="N228" s="10">
        <f>IF($B228="","",IF(COUNTIF(Salas_Cod,$B228)=0,"Sala não cadastrada | ","")&amp;IF(AND(COUNTIF(Salas_Cod,$B228)&gt;0,IFERROR(INDEX(Salas_Status,MATCH($B228,Salas_Cod,0)),"")&lt;&gt;"Ativa"),"Sala bloqueada | ","")&amp;IF(COUNTIF(Turnos_Nome,$C228)=0,"Turno inválido | ","")&amp;IF(COUNTIF(Esp_Nome,$F228)=0,"Especialidade não cadastrada | ","")&amp;IF(COUNTIF(Lista_StatusCirurgia,$J228)=0,"Status inválido | ","")&amp;IF(OR(NOT(ISNUMBER($D228)),NOT(ISNUMBER($E228))),"Horário inválido | ","")&amp;IFERROR(IF(AND(ISNUMBER($D228),ISNUMBER($E228),MOD($E228-$D228,1)*1440&lt;=0),"Duração nula ou negativa | ",""),"")&amp;IFERROR(IF(AND(ISNUMBER($D228),COUNTIF(Turnos_Nome,$C228)&gt;0,MOD($D228-INDEX(Turnos_Ini,MATCH($C228,Turnos_Nome,0)),1)*1440&gt;=INDEX(Turnos_Min,MATCH($C228,Turnos_Nome,0))),"Início fora da janela do turno | ",""),"")&amp;IFERROR(IF(AND($L228&gt;0,SUMPRODUCT((Mapa_Sala=$B228)*(Mapa_Data=$A228)*(Mapa_MinOcup&gt;0)*(((MOD(Mapa_IniNum-$O228,1)&lt;MOD($P228-$O228,1))+(MOD($O228-Mapa_IniNum,1)&lt;MOD(Mapa_FimNum-Mapa_IniNum,1)))&gt;0))&gt;1),"Sobreposição de horário na sala | ",""),"")&amp;IFERROR(IF(AND(ISNUMBER($K228),$K228&gt;0,COUNTIF(Esp_Nome,$F228)&gt;0,$K228&gt;3*INDEX(Esp_Dur,MATCH($F228,Esp_Nome,0))),"Duração atípica (&gt;3x a média) | ",""),""))</f>
        <v/>
      </c>
      <c r="O228" s="10">
        <f>IF(ISNUMBER($D228),$D228,0)</f>
        <v/>
      </c>
      <c r="P228" s="10">
        <f>IF(ISNUMBER($E228),$E228,0)</f>
        <v/>
      </c>
    </row>
    <row r="229">
      <c r="A229" s="30" t="n"/>
      <c r="B229" s="24" t="n"/>
      <c r="C229" s="24" t="n"/>
      <c r="D229" s="31" t="n"/>
      <c r="E229" s="31" t="n"/>
      <c r="F229" s="25" t="n"/>
      <c r="G229" s="25" t="n"/>
      <c r="H229" s="25" t="n"/>
      <c r="I229" s="24" t="n"/>
      <c r="J229" s="24" t="n"/>
      <c r="K229" s="32">
        <f>IF(OR($B229="",NOT(ISNUMBER($D229)),NOT(ISNUMBER($E229))),"",ROUND(MOD($E229-$D229,1)*1440,0))</f>
        <v/>
      </c>
      <c r="L229" s="32">
        <f>IF(NOT(ISNUMBER($K229)),0,IF(OR($K229&lt;=0,$J229="Cancelada",$J229="Suspensa"),0,$K229+Setup_Min))</f>
        <v/>
      </c>
      <c r="M229" s="17">
        <f>IF($B229="","",IF($N229="","OK",LEFT($N229,LEN($N229)-3)))</f>
        <v/>
      </c>
      <c r="N229" s="10">
        <f>IF($B229="","",IF(COUNTIF(Salas_Cod,$B229)=0,"Sala não cadastrada | ","")&amp;IF(AND(COUNTIF(Salas_Cod,$B229)&gt;0,IFERROR(INDEX(Salas_Status,MATCH($B229,Salas_Cod,0)),"")&lt;&gt;"Ativa"),"Sala bloqueada | ","")&amp;IF(COUNTIF(Turnos_Nome,$C229)=0,"Turno inválido | ","")&amp;IF(COUNTIF(Esp_Nome,$F229)=0,"Especialidade não cadastrada | ","")&amp;IF(COUNTIF(Lista_StatusCirurgia,$J229)=0,"Status inválido | ","")&amp;IF(OR(NOT(ISNUMBER($D229)),NOT(ISNUMBER($E229))),"Horário inválido | ","")&amp;IFERROR(IF(AND(ISNUMBER($D229),ISNUMBER($E229),MOD($E229-$D229,1)*1440&lt;=0),"Duração nula ou negativa | ",""),"")&amp;IFERROR(IF(AND(ISNUMBER($D229),COUNTIF(Turnos_Nome,$C229)&gt;0,MOD($D229-INDEX(Turnos_Ini,MATCH($C229,Turnos_Nome,0)),1)*1440&gt;=INDEX(Turnos_Min,MATCH($C229,Turnos_Nome,0))),"Início fora da janela do turno | ",""),"")&amp;IFERROR(IF(AND($L229&gt;0,SUMPRODUCT((Mapa_Sala=$B229)*(Mapa_Data=$A229)*(Mapa_MinOcup&gt;0)*(((MOD(Mapa_IniNum-$O229,1)&lt;MOD($P229-$O229,1))+(MOD($O229-Mapa_IniNum,1)&lt;MOD(Mapa_FimNum-Mapa_IniNum,1)))&gt;0))&gt;1),"Sobreposição de horário na sala | ",""),"")&amp;IFERROR(IF(AND(ISNUMBER($K229),$K229&gt;0,COUNTIF(Esp_Nome,$F229)&gt;0,$K229&gt;3*INDEX(Esp_Dur,MATCH($F229,Esp_Nome,0))),"Duração atípica (&gt;3x a média) | ",""),""))</f>
        <v/>
      </c>
      <c r="O229" s="10">
        <f>IF(ISNUMBER($D229),$D229,0)</f>
        <v/>
      </c>
      <c r="P229" s="10">
        <f>IF(ISNUMBER($E229),$E229,0)</f>
        <v/>
      </c>
    </row>
    <row r="230">
      <c r="A230" s="30" t="n"/>
      <c r="B230" s="24" t="n"/>
      <c r="C230" s="24" t="n"/>
      <c r="D230" s="31" t="n"/>
      <c r="E230" s="31" t="n"/>
      <c r="F230" s="25" t="n"/>
      <c r="G230" s="25" t="n"/>
      <c r="H230" s="25" t="n"/>
      <c r="I230" s="24" t="n"/>
      <c r="J230" s="24" t="n"/>
      <c r="K230" s="32">
        <f>IF(OR($B230="",NOT(ISNUMBER($D230)),NOT(ISNUMBER($E230))),"",ROUND(MOD($E230-$D230,1)*1440,0))</f>
        <v/>
      </c>
      <c r="L230" s="32">
        <f>IF(NOT(ISNUMBER($K230)),0,IF(OR($K230&lt;=0,$J230="Cancelada",$J230="Suspensa"),0,$K230+Setup_Min))</f>
        <v/>
      </c>
      <c r="M230" s="17">
        <f>IF($B230="","",IF($N230="","OK",LEFT($N230,LEN($N230)-3)))</f>
        <v/>
      </c>
      <c r="N230" s="10">
        <f>IF($B230="","",IF(COUNTIF(Salas_Cod,$B230)=0,"Sala não cadastrada | ","")&amp;IF(AND(COUNTIF(Salas_Cod,$B230)&gt;0,IFERROR(INDEX(Salas_Status,MATCH($B230,Salas_Cod,0)),"")&lt;&gt;"Ativa"),"Sala bloqueada | ","")&amp;IF(COUNTIF(Turnos_Nome,$C230)=0,"Turno inválido | ","")&amp;IF(COUNTIF(Esp_Nome,$F230)=0,"Especialidade não cadastrada | ","")&amp;IF(COUNTIF(Lista_StatusCirurgia,$J230)=0,"Status inválido | ","")&amp;IF(OR(NOT(ISNUMBER($D230)),NOT(ISNUMBER($E230))),"Horário inválido | ","")&amp;IFERROR(IF(AND(ISNUMBER($D230),ISNUMBER($E230),MOD($E230-$D230,1)*1440&lt;=0),"Duração nula ou negativa | ",""),"")&amp;IFERROR(IF(AND(ISNUMBER($D230),COUNTIF(Turnos_Nome,$C230)&gt;0,MOD($D230-INDEX(Turnos_Ini,MATCH($C230,Turnos_Nome,0)),1)*1440&gt;=INDEX(Turnos_Min,MATCH($C230,Turnos_Nome,0))),"Início fora da janela do turno | ",""),"")&amp;IFERROR(IF(AND($L230&gt;0,SUMPRODUCT((Mapa_Sala=$B230)*(Mapa_Data=$A230)*(Mapa_MinOcup&gt;0)*(((MOD(Mapa_IniNum-$O230,1)&lt;MOD($P230-$O230,1))+(MOD($O230-Mapa_IniNum,1)&lt;MOD(Mapa_FimNum-Mapa_IniNum,1)))&gt;0))&gt;1),"Sobreposição de horário na sala | ",""),"")&amp;IFERROR(IF(AND(ISNUMBER($K230),$K230&gt;0,COUNTIF(Esp_Nome,$F230)&gt;0,$K230&gt;3*INDEX(Esp_Dur,MATCH($F230,Esp_Nome,0))),"Duração atípica (&gt;3x a média) | ",""),""))</f>
        <v/>
      </c>
      <c r="O230" s="10">
        <f>IF(ISNUMBER($D230),$D230,0)</f>
        <v/>
      </c>
      <c r="P230" s="10">
        <f>IF(ISNUMBER($E230),$E230,0)</f>
        <v/>
      </c>
    </row>
    <row r="231">
      <c r="A231" s="30" t="n"/>
      <c r="B231" s="24" t="n"/>
      <c r="C231" s="24" t="n"/>
      <c r="D231" s="31" t="n"/>
      <c r="E231" s="31" t="n"/>
      <c r="F231" s="25" t="n"/>
      <c r="G231" s="25" t="n"/>
      <c r="H231" s="25" t="n"/>
      <c r="I231" s="24" t="n"/>
      <c r="J231" s="24" t="n"/>
      <c r="K231" s="32">
        <f>IF(OR($B231="",NOT(ISNUMBER($D231)),NOT(ISNUMBER($E231))),"",ROUND(MOD($E231-$D231,1)*1440,0))</f>
        <v/>
      </c>
      <c r="L231" s="32">
        <f>IF(NOT(ISNUMBER($K231)),0,IF(OR($K231&lt;=0,$J231="Cancelada",$J231="Suspensa"),0,$K231+Setup_Min))</f>
        <v/>
      </c>
      <c r="M231" s="17">
        <f>IF($B231="","",IF($N231="","OK",LEFT($N231,LEN($N231)-3)))</f>
        <v/>
      </c>
      <c r="N231" s="10">
        <f>IF($B231="","",IF(COUNTIF(Salas_Cod,$B231)=0,"Sala não cadastrada | ","")&amp;IF(AND(COUNTIF(Salas_Cod,$B231)&gt;0,IFERROR(INDEX(Salas_Status,MATCH($B231,Salas_Cod,0)),"")&lt;&gt;"Ativa"),"Sala bloqueada | ","")&amp;IF(COUNTIF(Turnos_Nome,$C231)=0,"Turno inválido | ","")&amp;IF(COUNTIF(Esp_Nome,$F231)=0,"Especialidade não cadastrada | ","")&amp;IF(COUNTIF(Lista_StatusCirurgia,$J231)=0,"Status inválido | ","")&amp;IF(OR(NOT(ISNUMBER($D231)),NOT(ISNUMBER($E231))),"Horário inválido | ","")&amp;IFERROR(IF(AND(ISNUMBER($D231),ISNUMBER($E231),MOD($E231-$D231,1)*1440&lt;=0),"Duração nula ou negativa | ",""),"")&amp;IFERROR(IF(AND(ISNUMBER($D231),COUNTIF(Turnos_Nome,$C231)&gt;0,MOD($D231-INDEX(Turnos_Ini,MATCH($C231,Turnos_Nome,0)),1)*1440&gt;=INDEX(Turnos_Min,MATCH($C231,Turnos_Nome,0))),"Início fora da janela do turno | ",""),"")&amp;IFERROR(IF(AND($L231&gt;0,SUMPRODUCT((Mapa_Sala=$B231)*(Mapa_Data=$A231)*(Mapa_MinOcup&gt;0)*(((MOD(Mapa_IniNum-$O231,1)&lt;MOD($P231-$O231,1))+(MOD($O231-Mapa_IniNum,1)&lt;MOD(Mapa_FimNum-Mapa_IniNum,1)))&gt;0))&gt;1),"Sobreposição de horário na sala | ",""),"")&amp;IFERROR(IF(AND(ISNUMBER($K231),$K231&gt;0,COUNTIF(Esp_Nome,$F231)&gt;0,$K231&gt;3*INDEX(Esp_Dur,MATCH($F231,Esp_Nome,0))),"Duração atípica (&gt;3x a média) | ",""),""))</f>
        <v/>
      </c>
      <c r="O231" s="10">
        <f>IF(ISNUMBER($D231),$D231,0)</f>
        <v/>
      </c>
      <c r="P231" s="10">
        <f>IF(ISNUMBER($E231),$E231,0)</f>
        <v/>
      </c>
    </row>
    <row r="232">
      <c r="A232" s="30" t="n"/>
      <c r="B232" s="24" t="n"/>
      <c r="C232" s="24" t="n"/>
      <c r="D232" s="31" t="n"/>
      <c r="E232" s="31" t="n"/>
      <c r="F232" s="25" t="n"/>
      <c r="G232" s="25" t="n"/>
      <c r="H232" s="25" t="n"/>
      <c r="I232" s="24" t="n"/>
      <c r="J232" s="24" t="n"/>
      <c r="K232" s="32">
        <f>IF(OR($B232="",NOT(ISNUMBER($D232)),NOT(ISNUMBER($E232))),"",ROUND(MOD($E232-$D232,1)*1440,0))</f>
        <v/>
      </c>
      <c r="L232" s="32">
        <f>IF(NOT(ISNUMBER($K232)),0,IF(OR($K232&lt;=0,$J232="Cancelada",$J232="Suspensa"),0,$K232+Setup_Min))</f>
        <v/>
      </c>
      <c r="M232" s="17">
        <f>IF($B232="","",IF($N232="","OK",LEFT($N232,LEN($N232)-3)))</f>
        <v/>
      </c>
      <c r="N232" s="10">
        <f>IF($B232="","",IF(COUNTIF(Salas_Cod,$B232)=0,"Sala não cadastrada | ","")&amp;IF(AND(COUNTIF(Salas_Cod,$B232)&gt;0,IFERROR(INDEX(Salas_Status,MATCH($B232,Salas_Cod,0)),"")&lt;&gt;"Ativa"),"Sala bloqueada | ","")&amp;IF(COUNTIF(Turnos_Nome,$C232)=0,"Turno inválido | ","")&amp;IF(COUNTIF(Esp_Nome,$F232)=0,"Especialidade não cadastrada | ","")&amp;IF(COUNTIF(Lista_StatusCirurgia,$J232)=0,"Status inválido | ","")&amp;IF(OR(NOT(ISNUMBER($D232)),NOT(ISNUMBER($E232))),"Horário inválido | ","")&amp;IFERROR(IF(AND(ISNUMBER($D232),ISNUMBER($E232),MOD($E232-$D232,1)*1440&lt;=0),"Duração nula ou negativa | ",""),"")&amp;IFERROR(IF(AND(ISNUMBER($D232),COUNTIF(Turnos_Nome,$C232)&gt;0,MOD($D232-INDEX(Turnos_Ini,MATCH($C232,Turnos_Nome,0)),1)*1440&gt;=INDEX(Turnos_Min,MATCH($C232,Turnos_Nome,0))),"Início fora da janela do turno | ",""),"")&amp;IFERROR(IF(AND($L232&gt;0,SUMPRODUCT((Mapa_Sala=$B232)*(Mapa_Data=$A232)*(Mapa_MinOcup&gt;0)*(((MOD(Mapa_IniNum-$O232,1)&lt;MOD($P232-$O232,1))+(MOD($O232-Mapa_IniNum,1)&lt;MOD(Mapa_FimNum-Mapa_IniNum,1)))&gt;0))&gt;1),"Sobreposição de horário na sala | ",""),"")&amp;IFERROR(IF(AND(ISNUMBER($K232),$K232&gt;0,COUNTIF(Esp_Nome,$F232)&gt;0,$K232&gt;3*INDEX(Esp_Dur,MATCH($F232,Esp_Nome,0))),"Duração atípica (&gt;3x a média) | ",""),""))</f>
        <v/>
      </c>
      <c r="O232" s="10">
        <f>IF(ISNUMBER($D232),$D232,0)</f>
        <v/>
      </c>
      <c r="P232" s="10">
        <f>IF(ISNUMBER($E232),$E232,0)</f>
        <v/>
      </c>
    </row>
    <row r="233">
      <c r="A233" s="30" t="n"/>
      <c r="B233" s="24" t="n"/>
      <c r="C233" s="24" t="n"/>
      <c r="D233" s="31" t="n"/>
      <c r="E233" s="31" t="n"/>
      <c r="F233" s="25" t="n"/>
      <c r="G233" s="25" t="n"/>
      <c r="H233" s="25" t="n"/>
      <c r="I233" s="24" t="n"/>
      <c r="J233" s="24" t="n"/>
      <c r="K233" s="32">
        <f>IF(OR($B233="",NOT(ISNUMBER($D233)),NOT(ISNUMBER($E233))),"",ROUND(MOD($E233-$D233,1)*1440,0))</f>
        <v/>
      </c>
      <c r="L233" s="32">
        <f>IF(NOT(ISNUMBER($K233)),0,IF(OR($K233&lt;=0,$J233="Cancelada",$J233="Suspensa"),0,$K233+Setup_Min))</f>
        <v/>
      </c>
      <c r="M233" s="17">
        <f>IF($B233="","",IF($N233="","OK",LEFT($N233,LEN($N233)-3)))</f>
        <v/>
      </c>
      <c r="N233" s="10">
        <f>IF($B233="","",IF(COUNTIF(Salas_Cod,$B233)=0,"Sala não cadastrada | ","")&amp;IF(AND(COUNTIF(Salas_Cod,$B233)&gt;0,IFERROR(INDEX(Salas_Status,MATCH($B233,Salas_Cod,0)),"")&lt;&gt;"Ativa"),"Sala bloqueada | ","")&amp;IF(COUNTIF(Turnos_Nome,$C233)=0,"Turno inválido | ","")&amp;IF(COUNTIF(Esp_Nome,$F233)=0,"Especialidade não cadastrada | ","")&amp;IF(COUNTIF(Lista_StatusCirurgia,$J233)=0,"Status inválido | ","")&amp;IF(OR(NOT(ISNUMBER($D233)),NOT(ISNUMBER($E233))),"Horário inválido | ","")&amp;IFERROR(IF(AND(ISNUMBER($D233),ISNUMBER($E233),MOD($E233-$D233,1)*1440&lt;=0),"Duração nula ou negativa | ",""),"")&amp;IFERROR(IF(AND(ISNUMBER($D233),COUNTIF(Turnos_Nome,$C233)&gt;0,MOD($D233-INDEX(Turnos_Ini,MATCH($C233,Turnos_Nome,0)),1)*1440&gt;=INDEX(Turnos_Min,MATCH($C233,Turnos_Nome,0))),"Início fora da janela do turno | ",""),"")&amp;IFERROR(IF(AND($L233&gt;0,SUMPRODUCT((Mapa_Sala=$B233)*(Mapa_Data=$A233)*(Mapa_MinOcup&gt;0)*(((MOD(Mapa_IniNum-$O233,1)&lt;MOD($P233-$O233,1))+(MOD($O233-Mapa_IniNum,1)&lt;MOD(Mapa_FimNum-Mapa_IniNum,1)))&gt;0))&gt;1),"Sobreposição de horário na sala | ",""),"")&amp;IFERROR(IF(AND(ISNUMBER($K233),$K233&gt;0,COUNTIF(Esp_Nome,$F233)&gt;0,$K233&gt;3*INDEX(Esp_Dur,MATCH($F233,Esp_Nome,0))),"Duração atípica (&gt;3x a média) | ",""),""))</f>
        <v/>
      </c>
      <c r="O233" s="10">
        <f>IF(ISNUMBER($D233),$D233,0)</f>
        <v/>
      </c>
      <c r="P233" s="10">
        <f>IF(ISNUMBER($E233),$E233,0)</f>
        <v/>
      </c>
    </row>
    <row r="234">
      <c r="A234" s="30" t="n"/>
      <c r="B234" s="24" t="n"/>
      <c r="C234" s="24" t="n"/>
      <c r="D234" s="31" t="n"/>
      <c r="E234" s="31" t="n"/>
      <c r="F234" s="25" t="n"/>
      <c r="G234" s="25" t="n"/>
      <c r="H234" s="25" t="n"/>
      <c r="I234" s="24" t="n"/>
      <c r="J234" s="24" t="n"/>
      <c r="K234" s="32">
        <f>IF(OR($B234="",NOT(ISNUMBER($D234)),NOT(ISNUMBER($E234))),"",ROUND(MOD($E234-$D234,1)*1440,0))</f>
        <v/>
      </c>
      <c r="L234" s="32">
        <f>IF(NOT(ISNUMBER($K234)),0,IF(OR($K234&lt;=0,$J234="Cancelada",$J234="Suspensa"),0,$K234+Setup_Min))</f>
        <v/>
      </c>
      <c r="M234" s="17">
        <f>IF($B234="","",IF($N234="","OK",LEFT($N234,LEN($N234)-3)))</f>
        <v/>
      </c>
      <c r="N234" s="10">
        <f>IF($B234="","",IF(COUNTIF(Salas_Cod,$B234)=0,"Sala não cadastrada | ","")&amp;IF(AND(COUNTIF(Salas_Cod,$B234)&gt;0,IFERROR(INDEX(Salas_Status,MATCH($B234,Salas_Cod,0)),"")&lt;&gt;"Ativa"),"Sala bloqueada | ","")&amp;IF(COUNTIF(Turnos_Nome,$C234)=0,"Turno inválido | ","")&amp;IF(COUNTIF(Esp_Nome,$F234)=0,"Especialidade não cadastrada | ","")&amp;IF(COUNTIF(Lista_StatusCirurgia,$J234)=0,"Status inválido | ","")&amp;IF(OR(NOT(ISNUMBER($D234)),NOT(ISNUMBER($E234))),"Horário inválido | ","")&amp;IFERROR(IF(AND(ISNUMBER($D234),ISNUMBER($E234),MOD($E234-$D234,1)*1440&lt;=0),"Duração nula ou negativa | ",""),"")&amp;IFERROR(IF(AND(ISNUMBER($D234),COUNTIF(Turnos_Nome,$C234)&gt;0,MOD($D234-INDEX(Turnos_Ini,MATCH($C234,Turnos_Nome,0)),1)*1440&gt;=INDEX(Turnos_Min,MATCH($C234,Turnos_Nome,0))),"Início fora da janela do turno | ",""),"")&amp;IFERROR(IF(AND($L234&gt;0,SUMPRODUCT((Mapa_Sala=$B234)*(Mapa_Data=$A234)*(Mapa_MinOcup&gt;0)*(((MOD(Mapa_IniNum-$O234,1)&lt;MOD($P234-$O234,1))+(MOD($O234-Mapa_IniNum,1)&lt;MOD(Mapa_FimNum-Mapa_IniNum,1)))&gt;0))&gt;1),"Sobreposição de horário na sala | ",""),"")&amp;IFERROR(IF(AND(ISNUMBER($K234),$K234&gt;0,COUNTIF(Esp_Nome,$F234)&gt;0,$K234&gt;3*INDEX(Esp_Dur,MATCH($F234,Esp_Nome,0))),"Duração atípica (&gt;3x a média) | ",""),""))</f>
        <v/>
      </c>
      <c r="O234" s="10">
        <f>IF(ISNUMBER($D234),$D234,0)</f>
        <v/>
      </c>
      <c r="P234" s="10">
        <f>IF(ISNUMBER($E234),$E234,0)</f>
        <v/>
      </c>
    </row>
    <row r="235">
      <c r="A235" s="30" t="n"/>
      <c r="B235" s="24" t="n"/>
      <c r="C235" s="24" t="n"/>
      <c r="D235" s="31" t="n"/>
      <c r="E235" s="31" t="n"/>
      <c r="F235" s="25" t="n"/>
      <c r="G235" s="25" t="n"/>
      <c r="H235" s="25" t="n"/>
      <c r="I235" s="24" t="n"/>
      <c r="J235" s="24" t="n"/>
      <c r="K235" s="32">
        <f>IF(OR($B235="",NOT(ISNUMBER($D235)),NOT(ISNUMBER($E235))),"",ROUND(MOD($E235-$D235,1)*1440,0))</f>
        <v/>
      </c>
      <c r="L235" s="32">
        <f>IF(NOT(ISNUMBER($K235)),0,IF(OR($K235&lt;=0,$J235="Cancelada",$J235="Suspensa"),0,$K235+Setup_Min))</f>
        <v/>
      </c>
      <c r="M235" s="17">
        <f>IF($B235="","",IF($N235="","OK",LEFT($N235,LEN($N235)-3)))</f>
        <v/>
      </c>
      <c r="N235" s="10">
        <f>IF($B235="","",IF(COUNTIF(Salas_Cod,$B235)=0,"Sala não cadastrada | ","")&amp;IF(AND(COUNTIF(Salas_Cod,$B235)&gt;0,IFERROR(INDEX(Salas_Status,MATCH($B235,Salas_Cod,0)),"")&lt;&gt;"Ativa"),"Sala bloqueada | ","")&amp;IF(COUNTIF(Turnos_Nome,$C235)=0,"Turno inválido | ","")&amp;IF(COUNTIF(Esp_Nome,$F235)=0,"Especialidade não cadastrada | ","")&amp;IF(COUNTIF(Lista_StatusCirurgia,$J235)=0,"Status inválido | ","")&amp;IF(OR(NOT(ISNUMBER($D235)),NOT(ISNUMBER($E235))),"Horário inválido | ","")&amp;IFERROR(IF(AND(ISNUMBER($D235),ISNUMBER($E235),MOD($E235-$D235,1)*1440&lt;=0),"Duração nula ou negativa | ",""),"")&amp;IFERROR(IF(AND(ISNUMBER($D235),COUNTIF(Turnos_Nome,$C235)&gt;0,MOD($D235-INDEX(Turnos_Ini,MATCH($C235,Turnos_Nome,0)),1)*1440&gt;=INDEX(Turnos_Min,MATCH($C235,Turnos_Nome,0))),"Início fora da janela do turno | ",""),"")&amp;IFERROR(IF(AND($L235&gt;0,SUMPRODUCT((Mapa_Sala=$B235)*(Mapa_Data=$A235)*(Mapa_MinOcup&gt;0)*(((MOD(Mapa_IniNum-$O235,1)&lt;MOD($P235-$O235,1))+(MOD($O235-Mapa_IniNum,1)&lt;MOD(Mapa_FimNum-Mapa_IniNum,1)))&gt;0))&gt;1),"Sobreposição de horário na sala | ",""),"")&amp;IFERROR(IF(AND(ISNUMBER($K235),$K235&gt;0,COUNTIF(Esp_Nome,$F235)&gt;0,$K235&gt;3*INDEX(Esp_Dur,MATCH($F235,Esp_Nome,0))),"Duração atípica (&gt;3x a média) | ",""),""))</f>
        <v/>
      </c>
      <c r="O235" s="10">
        <f>IF(ISNUMBER($D235),$D235,0)</f>
        <v/>
      </c>
      <c r="P235" s="10">
        <f>IF(ISNUMBER($E235),$E235,0)</f>
        <v/>
      </c>
    </row>
    <row r="236">
      <c r="A236" s="30" t="n"/>
      <c r="B236" s="24" t="n"/>
      <c r="C236" s="24" t="n"/>
      <c r="D236" s="31" t="n"/>
      <c r="E236" s="31" t="n"/>
      <c r="F236" s="25" t="n"/>
      <c r="G236" s="25" t="n"/>
      <c r="H236" s="25" t="n"/>
      <c r="I236" s="24" t="n"/>
      <c r="J236" s="24" t="n"/>
      <c r="K236" s="32">
        <f>IF(OR($B236="",NOT(ISNUMBER($D236)),NOT(ISNUMBER($E236))),"",ROUND(MOD($E236-$D236,1)*1440,0))</f>
        <v/>
      </c>
      <c r="L236" s="32">
        <f>IF(NOT(ISNUMBER($K236)),0,IF(OR($K236&lt;=0,$J236="Cancelada",$J236="Suspensa"),0,$K236+Setup_Min))</f>
        <v/>
      </c>
      <c r="M236" s="17">
        <f>IF($B236="","",IF($N236="","OK",LEFT($N236,LEN($N236)-3)))</f>
        <v/>
      </c>
      <c r="N236" s="10">
        <f>IF($B236="","",IF(COUNTIF(Salas_Cod,$B236)=0,"Sala não cadastrada | ","")&amp;IF(AND(COUNTIF(Salas_Cod,$B236)&gt;0,IFERROR(INDEX(Salas_Status,MATCH($B236,Salas_Cod,0)),"")&lt;&gt;"Ativa"),"Sala bloqueada | ","")&amp;IF(COUNTIF(Turnos_Nome,$C236)=0,"Turno inválido | ","")&amp;IF(COUNTIF(Esp_Nome,$F236)=0,"Especialidade não cadastrada | ","")&amp;IF(COUNTIF(Lista_StatusCirurgia,$J236)=0,"Status inválido | ","")&amp;IF(OR(NOT(ISNUMBER($D236)),NOT(ISNUMBER($E236))),"Horário inválido | ","")&amp;IFERROR(IF(AND(ISNUMBER($D236),ISNUMBER($E236),MOD($E236-$D236,1)*1440&lt;=0),"Duração nula ou negativa | ",""),"")&amp;IFERROR(IF(AND(ISNUMBER($D236),COUNTIF(Turnos_Nome,$C236)&gt;0,MOD($D236-INDEX(Turnos_Ini,MATCH($C236,Turnos_Nome,0)),1)*1440&gt;=INDEX(Turnos_Min,MATCH($C236,Turnos_Nome,0))),"Início fora da janela do turno | ",""),"")&amp;IFERROR(IF(AND($L236&gt;0,SUMPRODUCT((Mapa_Sala=$B236)*(Mapa_Data=$A236)*(Mapa_MinOcup&gt;0)*(((MOD(Mapa_IniNum-$O236,1)&lt;MOD($P236-$O236,1))+(MOD($O236-Mapa_IniNum,1)&lt;MOD(Mapa_FimNum-Mapa_IniNum,1)))&gt;0))&gt;1),"Sobreposição de horário na sala | ",""),"")&amp;IFERROR(IF(AND(ISNUMBER($K236),$K236&gt;0,COUNTIF(Esp_Nome,$F236)&gt;0,$K236&gt;3*INDEX(Esp_Dur,MATCH($F236,Esp_Nome,0))),"Duração atípica (&gt;3x a média) | ",""),""))</f>
        <v/>
      </c>
      <c r="O236" s="10">
        <f>IF(ISNUMBER($D236),$D236,0)</f>
        <v/>
      </c>
      <c r="P236" s="10">
        <f>IF(ISNUMBER($E236),$E236,0)</f>
        <v/>
      </c>
    </row>
    <row r="237">
      <c r="A237" s="30" t="n"/>
      <c r="B237" s="24" t="n"/>
      <c r="C237" s="24" t="n"/>
      <c r="D237" s="31" t="n"/>
      <c r="E237" s="31" t="n"/>
      <c r="F237" s="25" t="n"/>
      <c r="G237" s="25" t="n"/>
      <c r="H237" s="25" t="n"/>
      <c r="I237" s="24" t="n"/>
      <c r="J237" s="24" t="n"/>
      <c r="K237" s="32">
        <f>IF(OR($B237="",NOT(ISNUMBER($D237)),NOT(ISNUMBER($E237))),"",ROUND(MOD($E237-$D237,1)*1440,0))</f>
        <v/>
      </c>
      <c r="L237" s="32">
        <f>IF(NOT(ISNUMBER($K237)),0,IF(OR($K237&lt;=0,$J237="Cancelada",$J237="Suspensa"),0,$K237+Setup_Min))</f>
        <v/>
      </c>
      <c r="M237" s="17">
        <f>IF($B237="","",IF($N237="","OK",LEFT($N237,LEN($N237)-3)))</f>
        <v/>
      </c>
      <c r="N237" s="10">
        <f>IF($B237="","",IF(COUNTIF(Salas_Cod,$B237)=0,"Sala não cadastrada | ","")&amp;IF(AND(COUNTIF(Salas_Cod,$B237)&gt;0,IFERROR(INDEX(Salas_Status,MATCH($B237,Salas_Cod,0)),"")&lt;&gt;"Ativa"),"Sala bloqueada | ","")&amp;IF(COUNTIF(Turnos_Nome,$C237)=0,"Turno inválido | ","")&amp;IF(COUNTIF(Esp_Nome,$F237)=0,"Especialidade não cadastrada | ","")&amp;IF(COUNTIF(Lista_StatusCirurgia,$J237)=0,"Status inválido | ","")&amp;IF(OR(NOT(ISNUMBER($D237)),NOT(ISNUMBER($E237))),"Horário inválido | ","")&amp;IFERROR(IF(AND(ISNUMBER($D237),ISNUMBER($E237),MOD($E237-$D237,1)*1440&lt;=0),"Duração nula ou negativa | ",""),"")&amp;IFERROR(IF(AND(ISNUMBER($D237),COUNTIF(Turnos_Nome,$C237)&gt;0,MOD($D237-INDEX(Turnos_Ini,MATCH($C237,Turnos_Nome,0)),1)*1440&gt;=INDEX(Turnos_Min,MATCH($C237,Turnos_Nome,0))),"Início fora da janela do turno | ",""),"")&amp;IFERROR(IF(AND($L237&gt;0,SUMPRODUCT((Mapa_Sala=$B237)*(Mapa_Data=$A237)*(Mapa_MinOcup&gt;0)*(((MOD(Mapa_IniNum-$O237,1)&lt;MOD($P237-$O237,1))+(MOD($O237-Mapa_IniNum,1)&lt;MOD(Mapa_FimNum-Mapa_IniNum,1)))&gt;0))&gt;1),"Sobreposição de horário na sala | ",""),"")&amp;IFERROR(IF(AND(ISNUMBER($K237),$K237&gt;0,COUNTIF(Esp_Nome,$F237)&gt;0,$K237&gt;3*INDEX(Esp_Dur,MATCH($F237,Esp_Nome,0))),"Duração atípica (&gt;3x a média) | ",""),""))</f>
        <v/>
      </c>
      <c r="O237" s="10">
        <f>IF(ISNUMBER($D237),$D237,0)</f>
        <v/>
      </c>
      <c r="P237" s="10">
        <f>IF(ISNUMBER($E237),$E237,0)</f>
        <v/>
      </c>
    </row>
    <row r="238">
      <c r="A238" s="30" t="n"/>
      <c r="B238" s="24" t="n"/>
      <c r="C238" s="24" t="n"/>
      <c r="D238" s="31" t="n"/>
      <c r="E238" s="31" t="n"/>
      <c r="F238" s="25" t="n"/>
      <c r="G238" s="25" t="n"/>
      <c r="H238" s="25" t="n"/>
      <c r="I238" s="24" t="n"/>
      <c r="J238" s="24" t="n"/>
      <c r="K238" s="32">
        <f>IF(OR($B238="",NOT(ISNUMBER($D238)),NOT(ISNUMBER($E238))),"",ROUND(MOD($E238-$D238,1)*1440,0))</f>
        <v/>
      </c>
      <c r="L238" s="32">
        <f>IF(NOT(ISNUMBER($K238)),0,IF(OR($K238&lt;=0,$J238="Cancelada",$J238="Suspensa"),0,$K238+Setup_Min))</f>
        <v/>
      </c>
      <c r="M238" s="17">
        <f>IF($B238="","",IF($N238="","OK",LEFT($N238,LEN($N238)-3)))</f>
        <v/>
      </c>
      <c r="N238" s="10">
        <f>IF($B238="","",IF(COUNTIF(Salas_Cod,$B238)=0,"Sala não cadastrada | ","")&amp;IF(AND(COUNTIF(Salas_Cod,$B238)&gt;0,IFERROR(INDEX(Salas_Status,MATCH($B238,Salas_Cod,0)),"")&lt;&gt;"Ativa"),"Sala bloqueada | ","")&amp;IF(COUNTIF(Turnos_Nome,$C238)=0,"Turno inválido | ","")&amp;IF(COUNTIF(Esp_Nome,$F238)=0,"Especialidade não cadastrada | ","")&amp;IF(COUNTIF(Lista_StatusCirurgia,$J238)=0,"Status inválido | ","")&amp;IF(OR(NOT(ISNUMBER($D238)),NOT(ISNUMBER($E238))),"Horário inválido | ","")&amp;IFERROR(IF(AND(ISNUMBER($D238),ISNUMBER($E238),MOD($E238-$D238,1)*1440&lt;=0),"Duração nula ou negativa | ",""),"")&amp;IFERROR(IF(AND(ISNUMBER($D238),COUNTIF(Turnos_Nome,$C238)&gt;0,MOD($D238-INDEX(Turnos_Ini,MATCH($C238,Turnos_Nome,0)),1)*1440&gt;=INDEX(Turnos_Min,MATCH($C238,Turnos_Nome,0))),"Início fora da janela do turno | ",""),"")&amp;IFERROR(IF(AND($L238&gt;0,SUMPRODUCT((Mapa_Sala=$B238)*(Mapa_Data=$A238)*(Mapa_MinOcup&gt;0)*(((MOD(Mapa_IniNum-$O238,1)&lt;MOD($P238-$O238,1))+(MOD($O238-Mapa_IniNum,1)&lt;MOD(Mapa_FimNum-Mapa_IniNum,1)))&gt;0))&gt;1),"Sobreposição de horário na sala | ",""),"")&amp;IFERROR(IF(AND(ISNUMBER($K238),$K238&gt;0,COUNTIF(Esp_Nome,$F238)&gt;0,$K238&gt;3*INDEX(Esp_Dur,MATCH($F238,Esp_Nome,0))),"Duração atípica (&gt;3x a média) | ",""),""))</f>
        <v/>
      </c>
      <c r="O238" s="10">
        <f>IF(ISNUMBER($D238),$D238,0)</f>
        <v/>
      </c>
      <c r="P238" s="10">
        <f>IF(ISNUMBER($E238),$E238,0)</f>
        <v/>
      </c>
    </row>
    <row r="239">
      <c r="A239" s="30" t="n"/>
      <c r="B239" s="24" t="n"/>
      <c r="C239" s="24" t="n"/>
      <c r="D239" s="31" t="n"/>
      <c r="E239" s="31" t="n"/>
      <c r="F239" s="25" t="n"/>
      <c r="G239" s="25" t="n"/>
      <c r="H239" s="25" t="n"/>
      <c r="I239" s="24" t="n"/>
      <c r="J239" s="24" t="n"/>
      <c r="K239" s="32">
        <f>IF(OR($B239="",NOT(ISNUMBER($D239)),NOT(ISNUMBER($E239))),"",ROUND(MOD($E239-$D239,1)*1440,0))</f>
        <v/>
      </c>
      <c r="L239" s="32">
        <f>IF(NOT(ISNUMBER($K239)),0,IF(OR($K239&lt;=0,$J239="Cancelada",$J239="Suspensa"),0,$K239+Setup_Min))</f>
        <v/>
      </c>
      <c r="M239" s="17">
        <f>IF($B239="","",IF($N239="","OK",LEFT($N239,LEN($N239)-3)))</f>
        <v/>
      </c>
      <c r="N239" s="10">
        <f>IF($B239="","",IF(COUNTIF(Salas_Cod,$B239)=0,"Sala não cadastrada | ","")&amp;IF(AND(COUNTIF(Salas_Cod,$B239)&gt;0,IFERROR(INDEX(Salas_Status,MATCH($B239,Salas_Cod,0)),"")&lt;&gt;"Ativa"),"Sala bloqueada | ","")&amp;IF(COUNTIF(Turnos_Nome,$C239)=0,"Turno inválido | ","")&amp;IF(COUNTIF(Esp_Nome,$F239)=0,"Especialidade não cadastrada | ","")&amp;IF(COUNTIF(Lista_StatusCirurgia,$J239)=0,"Status inválido | ","")&amp;IF(OR(NOT(ISNUMBER($D239)),NOT(ISNUMBER($E239))),"Horário inválido | ","")&amp;IFERROR(IF(AND(ISNUMBER($D239),ISNUMBER($E239),MOD($E239-$D239,1)*1440&lt;=0),"Duração nula ou negativa | ",""),"")&amp;IFERROR(IF(AND(ISNUMBER($D239),COUNTIF(Turnos_Nome,$C239)&gt;0,MOD($D239-INDEX(Turnos_Ini,MATCH($C239,Turnos_Nome,0)),1)*1440&gt;=INDEX(Turnos_Min,MATCH($C239,Turnos_Nome,0))),"Início fora da janela do turno | ",""),"")&amp;IFERROR(IF(AND($L239&gt;0,SUMPRODUCT((Mapa_Sala=$B239)*(Mapa_Data=$A239)*(Mapa_MinOcup&gt;0)*(((MOD(Mapa_IniNum-$O239,1)&lt;MOD($P239-$O239,1))+(MOD($O239-Mapa_IniNum,1)&lt;MOD(Mapa_FimNum-Mapa_IniNum,1)))&gt;0))&gt;1),"Sobreposição de horário na sala | ",""),"")&amp;IFERROR(IF(AND(ISNUMBER($K239),$K239&gt;0,COUNTIF(Esp_Nome,$F239)&gt;0,$K239&gt;3*INDEX(Esp_Dur,MATCH($F239,Esp_Nome,0))),"Duração atípica (&gt;3x a média) | ",""),""))</f>
        <v/>
      </c>
      <c r="O239" s="10">
        <f>IF(ISNUMBER($D239),$D239,0)</f>
        <v/>
      </c>
      <c r="P239" s="10">
        <f>IF(ISNUMBER($E239),$E239,0)</f>
        <v/>
      </c>
    </row>
    <row r="240">
      <c r="A240" s="30" t="n"/>
      <c r="B240" s="24" t="n"/>
      <c r="C240" s="24" t="n"/>
      <c r="D240" s="31" t="n"/>
      <c r="E240" s="31" t="n"/>
      <c r="F240" s="25" t="n"/>
      <c r="G240" s="25" t="n"/>
      <c r="H240" s="25" t="n"/>
      <c r="I240" s="24" t="n"/>
      <c r="J240" s="24" t="n"/>
      <c r="K240" s="32">
        <f>IF(OR($B240="",NOT(ISNUMBER($D240)),NOT(ISNUMBER($E240))),"",ROUND(MOD($E240-$D240,1)*1440,0))</f>
        <v/>
      </c>
      <c r="L240" s="32">
        <f>IF(NOT(ISNUMBER($K240)),0,IF(OR($K240&lt;=0,$J240="Cancelada",$J240="Suspensa"),0,$K240+Setup_Min))</f>
        <v/>
      </c>
      <c r="M240" s="17">
        <f>IF($B240="","",IF($N240="","OK",LEFT($N240,LEN($N240)-3)))</f>
        <v/>
      </c>
      <c r="N240" s="10">
        <f>IF($B240="","",IF(COUNTIF(Salas_Cod,$B240)=0,"Sala não cadastrada | ","")&amp;IF(AND(COUNTIF(Salas_Cod,$B240)&gt;0,IFERROR(INDEX(Salas_Status,MATCH($B240,Salas_Cod,0)),"")&lt;&gt;"Ativa"),"Sala bloqueada | ","")&amp;IF(COUNTIF(Turnos_Nome,$C240)=0,"Turno inválido | ","")&amp;IF(COUNTIF(Esp_Nome,$F240)=0,"Especialidade não cadastrada | ","")&amp;IF(COUNTIF(Lista_StatusCirurgia,$J240)=0,"Status inválido | ","")&amp;IF(OR(NOT(ISNUMBER($D240)),NOT(ISNUMBER($E240))),"Horário inválido | ","")&amp;IFERROR(IF(AND(ISNUMBER($D240),ISNUMBER($E240),MOD($E240-$D240,1)*1440&lt;=0),"Duração nula ou negativa | ",""),"")&amp;IFERROR(IF(AND(ISNUMBER($D240),COUNTIF(Turnos_Nome,$C240)&gt;0,MOD($D240-INDEX(Turnos_Ini,MATCH($C240,Turnos_Nome,0)),1)*1440&gt;=INDEX(Turnos_Min,MATCH($C240,Turnos_Nome,0))),"Início fora da janela do turno | ",""),"")&amp;IFERROR(IF(AND($L240&gt;0,SUMPRODUCT((Mapa_Sala=$B240)*(Mapa_Data=$A240)*(Mapa_MinOcup&gt;0)*(((MOD(Mapa_IniNum-$O240,1)&lt;MOD($P240-$O240,1))+(MOD($O240-Mapa_IniNum,1)&lt;MOD(Mapa_FimNum-Mapa_IniNum,1)))&gt;0))&gt;1),"Sobreposição de horário na sala | ",""),"")&amp;IFERROR(IF(AND(ISNUMBER($K240),$K240&gt;0,COUNTIF(Esp_Nome,$F240)&gt;0,$K240&gt;3*INDEX(Esp_Dur,MATCH($F240,Esp_Nome,0))),"Duração atípica (&gt;3x a média) | ",""),""))</f>
        <v/>
      </c>
      <c r="O240" s="10">
        <f>IF(ISNUMBER($D240),$D240,0)</f>
        <v/>
      </c>
      <c r="P240" s="10">
        <f>IF(ISNUMBER($E240),$E240,0)</f>
        <v/>
      </c>
    </row>
    <row r="241">
      <c r="A241" s="30" t="n"/>
      <c r="B241" s="24" t="n"/>
      <c r="C241" s="24" t="n"/>
      <c r="D241" s="31" t="n"/>
      <c r="E241" s="31" t="n"/>
      <c r="F241" s="25" t="n"/>
      <c r="G241" s="25" t="n"/>
      <c r="H241" s="25" t="n"/>
      <c r="I241" s="24" t="n"/>
      <c r="J241" s="24" t="n"/>
      <c r="K241" s="32">
        <f>IF(OR($B241="",NOT(ISNUMBER($D241)),NOT(ISNUMBER($E241))),"",ROUND(MOD($E241-$D241,1)*1440,0))</f>
        <v/>
      </c>
      <c r="L241" s="32">
        <f>IF(NOT(ISNUMBER($K241)),0,IF(OR($K241&lt;=0,$J241="Cancelada",$J241="Suspensa"),0,$K241+Setup_Min))</f>
        <v/>
      </c>
      <c r="M241" s="17">
        <f>IF($B241="","",IF($N241="","OK",LEFT($N241,LEN($N241)-3)))</f>
        <v/>
      </c>
      <c r="N241" s="10">
        <f>IF($B241="","",IF(COUNTIF(Salas_Cod,$B241)=0,"Sala não cadastrada | ","")&amp;IF(AND(COUNTIF(Salas_Cod,$B241)&gt;0,IFERROR(INDEX(Salas_Status,MATCH($B241,Salas_Cod,0)),"")&lt;&gt;"Ativa"),"Sala bloqueada | ","")&amp;IF(COUNTIF(Turnos_Nome,$C241)=0,"Turno inválido | ","")&amp;IF(COUNTIF(Esp_Nome,$F241)=0,"Especialidade não cadastrada | ","")&amp;IF(COUNTIF(Lista_StatusCirurgia,$J241)=0,"Status inválido | ","")&amp;IF(OR(NOT(ISNUMBER($D241)),NOT(ISNUMBER($E241))),"Horário inválido | ","")&amp;IFERROR(IF(AND(ISNUMBER($D241),ISNUMBER($E241),MOD($E241-$D241,1)*1440&lt;=0),"Duração nula ou negativa | ",""),"")&amp;IFERROR(IF(AND(ISNUMBER($D241),COUNTIF(Turnos_Nome,$C241)&gt;0,MOD($D241-INDEX(Turnos_Ini,MATCH($C241,Turnos_Nome,0)),1)*1440&gt;=INDEX(Turnos_Min,MATCH($C241,Turnos_Nome,0))),"Início fora da janela do turno | ",""),"")&amp;IFERROR(IF(AND($L241&gt;0,SUMPRODUCT((Mapa_Sala=$B241)*(Mapa_Data=$A241)*(Mapa_MinOcup&gt;0)*(((MOD(Mapa_IniNum-$O241,1)&lt;MOD($P241-$O241,1))+(MOD($O241-Mapa_IniNum,1)&lt;MOD(Mapa_FimNum-Mapa_IniNum,1)))&gt;0))&gt;1),"Sobreposição de horário na sala | ",""),"")&amp;IFERROR(IF(AND(ISNUMBER($K241),$K241&gt;0,COUNTIF(Esp_Nome,$F241)&gt;0,$K241&gt;3*INDEX(Esp_Dur,MATCH($F241,Esp_Nome,0))),"Duração atípica (&gt;3x a média) | ",""),""))</f>
        <v/>
      </c>
      <c r="O241" s="10">
        <f>IF(ISNUMBER($D241),$D241,0)</f>
        <v/>
      </c>
      <c r="P241" s="10">
        <f>IF(ISNUMBER($E241),$E241,0)</f>
        <v/>
      </c>
    </row>
    <row r="242">
      <c r="A242" s="30" t="n"/>
      <c r="B242" s="24" t="n"/>
      <c r="C242" s="24" t="n"/>
      <c r="D242" s="31" t="n"/>
      <c r="E242" s="31" t="n"/>
      <c r="F242" s="25" t="n"/>
      <c r="G242" s="25" t="n"/>
      <c r="H242" s="25" t="n"/>
      <c r="I242" s="24" t="n"/>
      <c r="J242" s="24" t="n"/>
      <c r="K242" s="32">
        <f>IF(OR($B242="",NOT(ISNUMBER($D242)),NOT(ISNUMBER($E242))),"",ROUND(MOD($E242-$D242,1)*1440,0))</f>
        <v/>
      </c>
      <c r="L242" s="32">
        <f>IF(NOT(ISNUMBER($K242)),0,IF(OR($K242&lt;=0,$J242="Cancelada",$J242="Suspensa"),0,$K242+Setup_Min))</f>
        <v/>
      </c>
      <c r="M242" s="17">
        <f>IF($B242="","",IF($N242="","OK",LEFT($N242,LEN($N242)-3)))</f>
        <v/>
      </c>
      <c r="N242" s="10">
        <f>IF($B242="","",IF(COUNTIF(Salas_Cod,$B242)=0,"Sala não cadastrada | ","")&amp;IF(AND(COUNTIF(Salas_Cod,$B242)&gt;0,IFERROR(INDEX(Salas_Status,MATCH($B242,Salas_Cod,0)),"")&lt;&gt;"Ativa"),"Sala bloqueada | ","")&amp;IF(COUNTIF(Turnos_Nome,$C242)=0,"Turno inválido | ","")&amp;IF(COUNTIF(Esp_Nome,$F242)=0,"Especialidade não cadastrada | ","")&amp;IF(COUNTIF(Lista_StatusCirurgia,$J242)=0,"Status inválido | ","")&amp;IF(OR(NOT(ISNUMBER($D242)),NOT(ISNUMBER($E242))),"Horário inválido | ","")&amp;IFERROR(IF(AND(ISNUMBER($D242),ISNUMBER($E242),MOD($E242-$D242,1)*1440&lt;=0),"Duração nula ou negativa | ",""),"")&amp;IFERROR(IF(AND(ISNUMBER($D242),COUNTIF(Turnos_Nome,$C242)&gt;0,MOD($D242-INDEX(Turnos_Ini,MATCH($C242,Turnos_Nome,0)),1)*1440&gt;=INDEX(Turnos_Min,MATCH($C242,Turnos_Nome,0))),"Início fora da janela do turno | ",""),"")&amp;IFERROR(IF(AND($L242&gt;0,SUMPRODUCT((Mapa_Sala=$B242)*(Mapa_Data=$A242)*(Mapa_MinOcup&gt;0)*(((MOD(Mapa_IniNum-$O242,1)&lt;MOD($P242-$O242,1))+(MOD($O242-Mapa_IniNum,1)&lt;MOD(Mapa_FimNum-Mapa_IniNum,1)))&gt;0))&gt;1),"Sobreposição de horário na sala | ",""),"")&amp;IFERROR(IF(AND(ISNUMBER($K242),$K242&gt;0,COUNTIF(Esp_Nome,$F242)&gt;0,$K242&gt;3*INDEX(Esp_Dur,MATCH($F242,Esp_Nome,0))),"Duração atípica (&gt;3x a média) | ",""),""))</f>
        <v/>
      </c>
      <c r="O242" s="10">
        <f>IF(ISNUMBER($D242),$D242,0)</f>
        <v/>
      </c>
      <c r="P242" s="10">
        <f>IF(ISNUMBER($E242),$E242,0)</f>
        <v/>
      </c>
    </row>
    <row r="243">
      <c r="A243" s="30" t="n"/>
      <c r="B243" s="24" t="n"/>
      <c r="C243" s="24" t="n"/>
      <c r="D243" s="31" t="n"/>
      <c r="E243" s="31" t="n"/>
      <c r="F243" s="25" t="n"/>
      <c r="G243" s="25" t="n"/>
      <c r="H243" s="25" t="n"/>
      <c r="I243" s="24" t="n"/>
      <c r="J243" s="24" t="n"/>
      <c r="K243" s="32">
        <f>IF(OR($B243="",NOT(ISNUMBER($D243)),NOT(ISNUMBER($E243))),"",ROUND(MOD($E243-$D243,1)*1440,0))</f>
        <v/>
      </c>
      <c r="L243" s="32">
        <f>IF(NOT(ISNUMBER($K243)),0,IF(OR($K243&lt;=0,$J243="Cancelada",$J243="Suspensa"),0,$K243+Setup_Min))</f>
        <v/>
      </c>
      <c r="M243" s="17">
        <f>IF($B243="","",IF($N243="","OK",LEFT($N243,LEN($N243)-3)))</f>
        <v/>
      </c>
      <c r="N243" s="10">
        <f>IF($B243="","",IF(COUNTIF(Salas_Cod,$B243)=0,"Sala não cadastrada | ","")&amp;IF(AND(COUNTIF(Salas_Cod,$B243)&gt;0,IFERROR(INDEX(Salas_Status,MATCH($B243,Salas_Cod,0)),"")&lt;&gt;"Ativa"),"Sala bloqueada | ","")&amp;IF(COUNTIF(Turnos_Nome,$C243)=0,"Turno inválido | ","")&amp;IF(COUNTIF(Esp_Nome,$F243)=0,"Especialidade não cadastrada | ","")&amp;IF(COUNTIF(Lista_StatusCirurgia,$J243)=0,"Status inválido | ","")&amp;IF(OR(NOT(ISNUMBER($D243)),NOT(ISNUMBER($E243))),"Horário inválido | ","")&amp;IFERROR(IF(AND(ISNUMBER($D243),ISNUMBER($E243),MOD($E243-$D243,1)*1440&lt;=0),"Duração nula ou negativa | ",""),"")&amp;IFERROR(IF(AND(ISNUMBER($D243),COUNTIF(Turnos_Nome,$C243)&gt;0,MOD($D243-INDEX(Turnos_Ini,MATCH($C243,Turnos_Nome,0)),1)*1440&gt;=INDEX(Turnos_Min,MATCH($C243,Turnos_Nome,0))),"Início fora da janela do turno | ",""),"")&amp;IFERROR(IF(AND($L243&gt;0,SUMPRODUCT((Mapa_Sala=$B243)*(Mapa_Data=$A243)*(Mapa_MinOcup&gt;0)*(((MOD(Mapa_IniNum-$O243,1)&lt;MOD($P243-$O243,1))+(MOD($O243-Mapa_IniNum,1)&lt;MOD(Mapa_FimNum-Mapa_IniNum,1)))&gt;0))&gt;1),"Sobreposição de horário na sala | ",""),"")&amp;IFERROR(IF(AND(ISNUMBER($K243),$K243&gt;0,COUNTIF(Esp_Nome,$F243)&gt;0,$K243&gt;3*INDEX(Esp_Dur,MATCH($F243,Esp_Nome,0))),"Duração atípica (&gt;3x a média) | ",""),""))</f>
        <v/>
      </c>
      <c r="O243" s="10">
        <f>IF(ISNUMBER($D243),$D243,0)</f>
        <v/>
      </c>
      <c r="P243" s="10">
        <f>IF(ISNUMBER($E243),$E243,0)</f>
        <v/>
      </c>
    </row>
    <row r="244">
      <c r="A244" s="30" t="n"/>
      <c r="B244" s="24" t="n"/>
      <c r="C244" s="24" t="n"/>
      <c r="D244" s="31" t="n"/>
      <c r="E244" s="31" t="n"/>
      <c r="F244" s="25" t="n"/>
      <c r="G244" s="25" t="n"/>
      <c r="H244" s="25" t="n"/>
      <c r="I244" s="24" t="n"/>
      <c r="J244" s="24" t="n"/>
      <c r="K244" s="32">
        <f>IF(OR($B244="",NOT(ISNUMBER($D244)),NOT(ISNUMBER($E244))),"",ROUND(MOD($E244-$D244,1)*1440,0))</f>
        <v/>
      </c>
      <c r="L244" s="32">
        <f>IF(NOT(ISNUMBER($K244)),0,IF(OR($K244&lt;=0,$J244="Cancelada",$J244="Suspensa"),0,$K244+Setup_Min))</f>
        <v/>
      </c>
      <c r="M244" s="17">
        <f>IF($B244="","",IF($N244="","OK",LEFT($N244,LEN($N244)-3)))</f>
        <v/>
      </c>
      <c r="N244" s="10">
        <f>IF($B244="","",IF(COUNTIF(Salas_Cod,$B244)=0,"Sala não cadastrada | ","")&amp;IF(AND(COUNTIF(Salas_Cod,$B244)&gt;0,IFERROR(INDEX(Salas_Status,MATCH($B244,Salas_Cod,0)),"")&lt;&gt;"Ativa"),"Sala bloqueada | ","")&amp;IF(COUNTIF(Turnos_Nome,$C244)=0,"Turno inválido | ","")&amp;IF(COUNTIF(Esp_Nome,$F244)=0,"Especialidade não cadastrada | ","")&amp;IF(COUNTIF(Lista_StatusCirurgia,$J244)=0,"Status inválido | ","")&amp;IF(OR(NOT(ISNUMBER($D244)),NOT(ISNUMBER($E244))),"Horário inválido | ","")&amp;IFERROR(IF(AND(ISNUMBER($D244),ISNUMBER($E244),MOD($E244-$D244,1)*1440&lt;=0),"Duração nula ou negativa | ",""),"")&amp;IFERROR(IF(AND(ISNUMBER($D244),COUNTIF(Turnos_Nome,$C244)&gt;0,MOD($D244-INDEX(Turnos_Ini,MATCH($C244,Turnos_Nome,0)),1)*1440&gt;=INDEX(Turnos_Min,MATCH($C244,Turnos_Nome,0))),"Início fora da janela do turno | ",""),"")&amp;IFERROR(IF(AND($L244&gt;0,SUMPRODUCT((Mapa_Sala=$B244)*(Mapa_Data=$A244)*(Mapa_MinOcup&gt;0)*(((MOD(Mapa_IniNum-$O244,1)&lt;MOD($P244-$O244,1))+(MOD($O244-Mapa_IniNum,1)&lt;MOD(Mapa_FimNum-Mapa_IniNum,1)))&gt;0))&gt;1),"Sobreposição de horário na sala | ",""),"")&amp;IFERROR(IF(AND(ISNUMBER($K244),$K244&gt;0,COUNTIF(Esp_Nome,$F244)&gt;0,$K244&gt;3*INDEX(Esp_Dur,MATCH($F244,Esp_Nome,0))),"Duração atípica (&gt;3x a média) | ",""),""))</f>
        <v/>
      </c>
      <c r="O244" s="10">
        <f>IF(ISNUMBER($D244),$D244,0)</f>
        <v/>
      </c>
      <c r="P244" s="10">
        <f>IF(ISNUMBER($E244),$E244,0)</f>
        <v/>
      </c>
    </row>
    <row r="245">
      <c r="A245" s="30" t="n"/>
      <c r="B245" s="24" t="n"/>
      <c r="C245" s="24" t="n"/>
      <c r="D245" s="31" t="n"/>
      <c r="E245" s="31" t="n"/>
      <c r="F245" s="25" t="n"/>
      <c r="G245" s="25" t="n"/>
      <c r="H245" s="25" t="n"/>
      <c r="I245" s="24" t="n"/>
      <c r="J245" s="24" t="n"/>
      <c r="K245" s="32">
        <f>IF(OR($B245="",NOT(ISNUMBER($D245)),NOT(ISNUMBER($E245))),"",ROUND(MOD($E245-$D245,1)*1440,0))</f>
        <v/>
      </c>
      <c r="L245" s="32">
        <f>IF(NOT(ISNUMBER($K245)),0,IF(OR($K245&lt;=0,$J245="Cancelada",$J245="Suspensa"),0,$K245+Setup_Min))</f>
        <v/>
      </c>
      <c r="M245" s="17">
        <f>IF($B245="","",IF($N245="","OK",LEFT($N245,LEN($N245)-3)))</f>
        <v/>
      </c>
      <c r="N245" s="10">
        <f>IF($B245="","",IF(COUNTIF(Salas_Cod,$B245)=0,"Sala não cadastrada | ","")&amp;IF(AND(COUNTIF(Salas_Cod,$B245)&gt;0,IFERROR(INDEX(Salas_Status,MATCH($B245,Salas_Cod,0)),"")&lt;&gt;"Ativa"),"Sala bloqueada | ","")&amp;IF(COUNTIF(Turnos_Nome,$C245)=0,"Turno inválido | ","")&amp;IF(COUNTIF(Esp_Nome,$F245)=0,"Especialidade não cadastrada | ","")&amp;IF(COUNTIF(Lista_StatusCirurgia,$J245)=0,"Status inválido | ","")&amp;IF(OR(NOT(ISNUMBER($D245)),NOT(ISNUMBER($E245))),"Horário inválido | ","")&amp;IFERROR(IF(AND(ISNUMBER($D245),ISNUMBER($E245),MOD($E245-$D245,1)*1440&lt;=0),"Duração nula ou negativa | ",""),"")&amp;IFERROR(IF(AND(ISNUMBER($D245),COUNTIF(Turnos_Nome,$C245)&gt;0,MOD($D245-INDEX(Turnos_Ini,MATCH($C245,Turnos_Nome,0)),1)*1440&gt;=INDEX(Turnos_Min,MATCH($C245,Turnos_Nome,0))),"Início fora da janela do turno | ",""),"")&amp;IFERROR(IF(AND($L245&gt;0,SUMPRODUCT((Mapa_Sala=$B245)*(Mapa_Data=$A245)*(Mapa_MinOcup&gt;0)*(((MOD(Mapa_IniNum-$O245,1)&lt;MOD($P245-$O245,1))+(MOD($O245-Mapa_IniNum,1)&lt;MOD(Mapa_FimNum-Mapa_IniNum,1)))&gt;0))&gt;1),"Sobreposição de horário na sala | ",""),"")&amp;IFERROR(IF(AND(ISNUMBER($K245),$K245&gt;0,COUNTIF(Esp_Nome,$F245)&gt;0,$K245&gt;3*INDEX(Esp_Dur,MATCH($F245,Esp_Nome,0))),"Duração atípica (&gt;3x a média) | ",""),""))</f>
        <v/>
      </c>
      <c r="O245" s="10">
        <f>IF(ISNUMBER($D245),$D245,0)</f>
        <v/>
      </c>
      <c r="P245" s="10">
        <f>IF(ISNUMBER($E245),$E245,0)</f>
        <v/>
      </c>
    </row>
    <row r="246">
      <c r="A246" s="30" t="n"/>
      <c r="B246" s="24" t="n"/>
      <c r="C246" s="24" t="n"/>
      <c r="D246" s="31" t="n"/>
      <c r="E246" s="31" t="n"/>
      <c r="F246" s="25" t="n"/>
      <c r="G246" s="25" t="n"/>
      <c r="H246" s="25" t="n"/>
      <c r="I246" s="24" t="n"/>
      <c r="J246" s="24" t="n"/>
      <c r="K246" s="32">
        <f>IF(OR($B246="",NOT(ISNUMBER($D246)),NOT(ISNUMBER($E246))),"",ROUND(MOD($E246-$D246,1)*1440,0))</f>
        <v/>
      </c>
      <c r="L246" s="32">
        <f>IF(NOT(ISNUMBER($K246)),0,IF(OR($K246&lt;=0,$J246="Cancelada",$J246="Suspensa"),0,$K246+Setup_Min))</f>
        <v/>
      </c>
      <c r="M246" s="17">
        <f>IF($B246="","",IF($N246="","OK",LEFT($N246,LEN($N246)-3)))</f>
        <v/>
      </c>
      <c r="N246" s="10">
        <f>IF($B246="","",IF(COUNTIF(Salas_Cod,$B246)=0,"Sala não cadastrada | ","")&amp;IF(AND(COUNTIF(Salas_Cod,$B246)&gt;0,IFERROR(INDEX(Salas_Status,MATCH($B246,Salas_Cod,0)),"")&lt;&gt;"Ativa"),"Sala bloqueada | ","")&amp;IF(COUNTIF(Turnos_Nome,$C246)=0,"Turno inválido | ","")&amp;IF(COUNTIF(Esp_Nome,$F246)=0,"Especialidade não cadastrada | ","")&amp;IF(COUNTIF(Lista_StatusCirurgia,$J246)=0,"Status inválido | ","")&amp;IF(OR(NOT(ISNUMBER($D246)),NOT(ISNUMBER($E246))),"Horário inválido | ","")&amp;IFERROR(IF(AND(ISNUMBER($D246),ISNUMBER($E246),MOD($E246-$D246,1)*1440&lt;=0),"Duração nula ou negativa | ",""),"")&amp;IFERROR(IF(AND(ISNUMBER($D246),COUNTIF(Turnos_Nome,$C246)&gt;0,MOD($D246-INDEX(Turnos_Ini,MATCH($C246,Turnos_Nome,0)),1)*1440&gt;=INDEX(Turnos_Min,MATCH($C246,Turnos_Nome,0))),"Início fora da janela do turno | ",""),"")&amp;IFERROR(IF(AND($L246&gt;0,SUMPRODUCT((Mapa_Sala=$B246)*(Mapa_Data=$A246)*(Mapa_MinOcup&gt;0)*(((MOD(Mapa_IniNum-$O246,1)&lt;MOD($P246-$O246,1))+(MOD($O246-Mapa_IniNum,1)&lt;MOD(Mapa_FimNum-Mapa_IniNum,1)))&gt;0))&gt;1),"Sobreposição de horário na sala | ",""),"")&amp;IFERROR(IF(AND(ISNUMBER($K246),$K246&gt;0,COUNTIF(Esp_Nome,$F246)&gt;0,$K246&gt;3*INDEX(Esp_Dur,MATCH($F246,Esp_Nome,0))),"Duração atípica (&gt;3x a média) | ",""),""))</f>
        <v/>
      </c>
      <c r="O246" s="10">
        <f>IF(ISNUMBER($D246),$D246,0)</f>
        <v/>
      </c>
      <c r="P246" s="10">
        <f>IF(ISNUMBER($E246),$E246,0)</f>
        <v/>
      </c>
    </row>
    <row r="247">
      <c r="A247" s="30" t="n"/>
      <c r="B247" s="24" t="n"/>
      <c r="C247" s="24" t="n"/>
      <c r="D247" s="31" t="n"/>
      <c r="E247" s="31" t="n"/>
      <c r="F247" s="25" t="n"/>
      <c r="G247" s="25" t="n"/>
      <c r="H247" s="25" t="n"/>
      <c r="I247" s="24" t="n"/>
      <c r="J247" s="24" t="n"/>
      <c r="K247" s="32">
        <f>IF(OR($B247="",NOT(ISNUMBER($D247)),NOT(ISNUMBER($E247))),"",ROUND(MOD($E247-$D247,1)*1440,0))</f>
        <v/>
      </c>
      <c r="L247" s="32">
        <f>IF(NOT(ISNUMBER($K247)),0,IF(OR($K247&lt;=0,$J247="Cancelada",$J247="Suspensa"),0,$K247+Setup_Min))</f>
        <v/>
      </c>
      <c r="M247" s="17">
        <f>IF($B247="","",IF($N247="","OK",LEFT($N247,LEN($N247)-3)))</f>
        <v/>
      </c>
      <c r="N247" s="10">
        <f>IF($B247="","",IF(COUNTIF(Salas_Cod,$B247)=0,"Sala não cadastrada | ","")&amp;IF(AND(COUNTIF(Salas_Cod,$B247)&gt;0,IFERROR(INDEX(Salas_Status,MATCH($B247,Salas_Cod,0)),"")&lt;&gt;"Ativa"),"Sala bloqueada | ","")&amp;IF(COUNTIF(Turnos_Nome,$C247)=0,"Turno inválido | ","")&amp;IF(COUNTIF(Esp_Nome,$F247)=0,"Especialidade não cadastrada | ","")&amp;IF(COUNTIF(Lista_StatusCirurgia,$J247)=0,"Status inválido | ","")&amp;IF(OR(NOT(ISNUMBER($D247)),NOT(ISNUMBER($E247))),"Horário inválido | ","")&amp;IFERROR(IF(AND(ISNUMBER($D247),ISNUMBER($E247),MOD($E247-$D247,1)*1440&lt;=0),"Duração nula ou negativa | ",""),"")&amp;IFERROR(IF(AND(ISNUMBER($D247),COUNTIF(Turnos_Nome,$C247)&gt;0,MOD($D247-INDEX(Turnos_Ini,MATCH($C247,Turnos_Nome,0)),1)*1440&gt;=INDEX(Turnos_Min,MATCH($C247,Turnos_Nome,0))),"Início fora da janela do turno | ",""),"")&amp;IFERROR(IF(AND($L247&gt;0,SUMPRODUCT((Mapa_Sala=$B247)*(Mapa_Data=$A247)*(Mapa_MinOcup&gt;0)*(((MOD(Mapa_IniNum-$O247,1)&lt;MOD($P247-$O247,1))+(MOD($O247-Mapa_IniNum,1)&lt;MOD(Mapa_FimNum-Mapa_IniNum,1)))&gt;0))&gt;1),"Sobreposição de horário na sala | ",""),"")&amp;IFERROR(IF(AND(ISNUMBER($K247),$K247&gt;0,COUNTIF(Esp_Nome,$F247)&gt;0,$K247&gt;3*INDEX(Esp_Dur,MATCH($F247,Esp_Nome,0))),"Duração atípica (&gt;3x a média) | ",""),""))</f>
        <v/>
      </c>
      <c r="O247" s="10">
        <f>IF(ISNUMBER($D247),$D247,0)</f>
        <v/>
      </c>
      <c r="P247" s="10">
        <f>IF(ISNUMBER($E247),$E247,0)</f>
        <v/>
      </c>
    </row>
    <row r="248">
      <c r="A248" s="30" t="n"/>
      <c r="B248" s="24" t="n"/>
      <c r="C248" s="24" t="n"/>
      <c r="D248" s="31" t="n"/>
      <c r="E248" s="31" t="n"/>
      <c r="F248" s="25" t="n"/>
      <c r="G248" s="25" t="n"/>
      <c r="H248" s="25" t="n"/>
      <c r="I248" s="24" t="n"/>
      <c r="J248" s="24" t="n"/>
      <c r="K248" s="32">
        <f>IF(OR($B248="",NOT(ISNUMBER($D248)),NOT(ISNUMBER($E248))),"",ROUND(MOD($E248-$D248,1)*1440,0))</f>
        <v/>
      </c>
      <c r="L248" s="32">
        <f>IF(NOT(ISNUMBER($K248)),0,IF(OR($K248&lt;=0,$J248="Cancelada",$J248="Suspensa"),0,$K248+Setup_Min))</f>
        <v/>
      </c>
      <c r="M248" s="17">
        <f>IF($B248="","",IF($N248="","OK",LEFT($N248,LEN($N248)-3)))</f>
        <v/>
      </c>
      <c r="N248" s="10">
        <f>IF($B248="","",IF(COUNTIF(Salas_Cod,$B248)=0,"Sala não cadastrada | ","")&amp;IF(AND(COUNTIF(Salas_Cod,$B248)&gt;0,IFERROR(INDEX(Salas_Status,MATCH($B248,Salas_Cod,0)),"")&lt;&gt;"Ativa"),"Sala bloqueada | ","")&amp;IF(COUNTIF(Turnos_Nome,$C248)=0,"Turno inválido | ","")&amp;IF(COUNTIF(Esp_Nome,$F248)=0,"Especialidade não cadastrada | ","")&amp;IF(COUNTIF(Lista_StatusCirurgia,$J248)=0,"Status inválido | ","")&amp;IF(OR(NOT(ISNUMBER($D248)),NOT(ISNUMBER($E248))),"Horário inválido | ","")&amp;IFERROR(IF(AND(ISNUMBER($D248),ISNUMBER($E248),MOD($E248-$D248,1)*1440&lt;=0),"Duração nula ou negativa | ",""),"")&amp;IFERROR(IF(AND(ISNUMBER($D248),COUNTIF(Turnos_Nome,$C248)&gt;0,MOD($D248-INDEX(Turnos_Ini,MATCH($C248,Turnos_Nome,0)),1)*1440&gt;=INDEX(Turnos_Min,MATCH($C248,Turnos_Nome,0))),"Início fora da janela do turno | ",""),"")&amp;IFERROR(IF(AND($L248&gt;0,SUMPRODUCT((Mapa_Sala=$B248)*(Mapa_Data=$A248)*(Mapa_MinOcup&gt;0)*(((MOD(Mapa_IniNum-$O248,1)&lt;MOD($P248-$O248,1))+(MOD($O248-Mapa_IniNum,1)&lt;MOD(Mapa_FimNum-Mapa_IniNum,1)))&gt;0))&gt;1),"Sobreposição de horário na sala | ",""),"")&amp;IFERROR(IF(AND(ISNUMBER($K248),$K248&gt;0,COUNTIF(Esp_Nome,$F248)&gt;0,$K248&gt;3*INDEX(Esp_Dur,MATCH($F248,Esp_Nome,0))),"Duração atípica (&gt;3x a média) | ",""),""))</f>
        <v/>
      </c>
      <c r="O248" s="10">
        <f>IF(ISNUMBER($D248),$D248,0)</f>
        <v/>
      </c>
      <c r="P248" s="10">
        <f>IF(ISNUMBER($E248),$E248,0)</f>
        <v/>
      </c>
    </row>
    <row r="249">
      <c r="A249" s="30" t="n"/>
      <c r="B249" s="24" t="n"/>
      <c r="C249" s="24" t="n"/>
      <c r="D249" s="31" t="n"/>
      <c r="E249" s="31" t="n"/>
      <c r="F249" s="25" t="n"/>
      <c r="G249" s="25" t="n"/>
      <c r="H249" s="25" t="n"/>
      <c r="I249" s="24" t="n"/>
      <c r="J249" s="24" t="n"/>
      <c r="K249" s="32">
        <f>IF(OR($B249="",NOT(ISNUMBER($D249)),NOT(ISNUMBER($E249))),"",ROUND(MOD($E249-$D249,1)*1440,0))</f>
        <v/>
      </c>
      <c r="L249" s="32">
        <f>IF(NOT(ISNUMBER($K249)),0,IF(OR($K249&lt;=0,$J249="Cancelada",$J249="Suspensa"),0,$K249+Setup_Min))</f>
        <v/>
      </c>
      <c r="M249" s="17">
        <f>IF($B249="","",IF($N249="","OK",LEFT($N249,LEN($N249)-3)))</f>
        <v/>
      </c>
      <c r="N249" s="10">
        <f>IF($B249="","",IF(COUNTIF(Salas_Cod,$B249)=0,"Sala não cadastrada | ","")&amp;IF(AND(COUNTIF(Salas_Cod,$B249)&gt;0,IFERROR(INDEX(Salas_Status,MATCH($B249,Salas_Cod,0)),"")&lt;&gt;"Ativa"),"Sala bloqueada | ","")&amp;IF(COUNTIF(Turnos_Nome,$C249)=0,"Turno inválido | ","")&amp;IF(COUNTIF(Esp_Nome,$F249)=0,"Especialidade não cadastrada | ","")&amp;IF(COUNTIF(Lista_StatusCirurgia,$J249)=0,"Status inválido | ","")&amp;IF(OR(NOT(ISNUMBER($D249)),NOT(ISNUMBER($E249))),"Horário inválido | ","")&amp;IFERROR(IF(AND(ISNUMBER($D249),ISNUMBER($E249),MOD($E249-$D249,1)*1440&lt;=0),"Duração nula ou negativa | ",""),"")&amp;IFERROR(IF(AND(ISNUMBER($D249),COUNTIF(Turnos_Nome,$C249)&gt;0,MOD($D249-INDEX(Turnos_Ini,MATCH($C249,Turnos_Nome,0)),1)*1440&gt;=INDEX(Turnos_Min,MATCH($C249,Turnos_Nome,0))),"Início fora da janela do turno | ",""),"")&amp;IFERROR(IF(AND($L249&gt;0,SUMPRODUCT((Mapa_Sala=$B249)*(Mapa_Data=$A249)*(Mapa_MinOcup&gt;0)*(((MOD(Mapa_IniNum-$O249,1)&lt;MOD($P249-$O249,1))+(MOD($O249-Mapa_IniNum,1)&lt;MOD(Mapa_FimNum-Mapa_IniNum,1)))&gt;0))&gt;1),"Sobreposição de horário na sala | ",""),"")&amp;IFERROR(IF(AND(ISNUMBER($K249),$K249&gt;0,COUNTIF(Esp_Nome,$F249)&gt;0,$K249&gt;3*INDEX(Esp_Dur,MATCH($F249,Esp_Nome,0))),"Duração atípica (&gt;3x a média) | ",""),""))</f>
        <v/>
      </c>
      <c r="O249" s="10">
        <f>IF(ISNUMBER($D249),$D249,0)</f>
        <v/>
      </c>
      <c r="P249" s="10">
        <f>IF(ISNUMBER($E249),$E249,0)</f>
        <v/>
      </c>
    </row>
    <row r="250">
      <c r="A250" s="30" t="n"/>
      <c r="B250" s="24" t="n"/>
      <c r="C250" s="24" t="n"/>
      <c r="D250" s="31" t="n"/>
      <c r="E250" s="31" t="n"/>
      <c r="F250" s="25" t="n"/>
      <c r="G250" s="25" t="n"/>
      <c r="H250" s="25" t="n"/>
      <c r="I250" s="24" t="n"/>
      <c r="J250" s="24" t="n"/>
      <c r="K250" s="32">
        <f>IF(OR($B250="",NOT(ISNUMBER($D250)),NOT(ISNUMBER($E250))),"",ROUND(MOD($E250-$D250,1)*1440,0))</f>
        <v/>
      </c>
      <c r="L250" s="32">
        <f>IF(NOT(ISNUMBER($K250)),0,IF(OR($K250&lt;=0,$J250="Cancelada",$J250="Suspensa"),0,$K250+Setup_Min))</f>
        <v/>
      </c>
      <c r="M250" s="17">
        <f>IF($B250="","",IF($N250="","OK",LEFT($N250,LEN($N250)-3)))</f>
        <v/>
      </c>
      <c r="N250" s="10">
        <f>IF($B250="","",IF(COUNTIF(Salas_Cod,$B250)=0,"Sala não cadastrada | ","")&amp;IF(AND(COUNTIF(Salas_Cod,$B250)&gt;0,IFERROR(INDEX(Salas_Status,MATCH($B250,Salas_Cod,0)),"")&lt;&gt;"Ativa"),"Sala bloqueada | ","")&amp;IF(COUNTIF(Turnos_Nome,$C250)=0,"Turno inválido | ","")&amp;IF(COUNTIF(Esp_Nome,$F250)=0,"Especialidade não cadastrada | ","")&amp;IF(COUNTIF(Lista_StatusCirurgia,$J250)=0,"Status inválido | ","")&amp;IF(OR(NOT(ISNUMBER($D250)),NOT(ISNUMBER($E250))),"Horário inválido | ","")&amp;IFERROR(IF(AND(ISNUMBER($D250),ISNUMBER($E250),MOD($E250-$D250,1)*1440&lt;=0),"Duração nula ou negativa | ",""),"")&amp;IFERROR(IF(AND(ISNUMBER($D250),COUNTIF(Turnos_Nome,$C250)&gt;0,MOD($D250-INDEX(Turnos_Ini,MATCH($C250,Turnos_Nome,0)),1)*1440&gt;=INDEX(Turnos_Min,MATCH($C250,Turnos_Nome,0))),"Início fora da janela do turno | ",""),"")&amp;IFERROR(IF(AND($L250&gt;0,SUMPRODUCT((Mapa_Sala=$B250)*(Mapa_Data=$A250)*(Mapa_MinOcup&gt;0)*(((MOD(Mapa_IniNum-$O250,1)&lt;MOD($P250-$O250,1))+(MOD($O250-Mapa_IniNum,1)&lt;MOD(Mapa_FimNum-Mapa_IniNum,1)))&gt;0))&gt;1),"Sobreposição de horário na sala | ",""),"")&amp;IFERROR(IF(AND(ISNUMBER($K250),$K250&gt;0,COUNTIF(Esp_Nome,$F250)&gt;0,$K250&gt;3*INDEX(Esp_Dur,MATCH($F250,Esp_Nome,0))),"Duração atípica (&gt;3x a média) | ",""),""))</f>
        <v/>
      </c>
      <c r="O250" s="10">
        <f>IF(ISNUMBER($D250),$D250,0)</f>
        <v/>
      </c>
      <c r="P250" s="10">
        <f>IF(ISNUMBER($E250),$E250,0)</f>
        <v/>
      </c>
    </row>
    <row r="251">
      <c r="A251" s="30" t="n"/>
      <c r="B251" s="24" t="n"/>
      <c r="C251" s="24" t="n"/>
      <c r="D251" s="31" t="n"/>
      <c r="E251" s="31" t="n"/>
      <c r="F251" s="25" t="n"/>
      <c r="G251" s="25" t="n"/>
      <c r="H251" s="25" t="n"/>
      <c r="I251" s="24" t="n"/>
      <c r="J251" s="24" t="n"/>
      <c r="K251" s="32">
        <f>IF(OR($B251="",NOT(ISNUMBER($D251)),NOT(ISNUMBER($E251))),"",ROUND(MOD($E251-$D251,1)*1440,0))</f>
        <v/>
      </c>
      <c r="L251" s="32">
        <f>IF(NOT(ISNUMBER($K251)),0,IF(OR($K251&lt;=0,$J251="Cancelada",$J251="Suspensa"),0,$K251+Setup_Min))</f>
        <v/>
      </c>
      <c r="M251" s="17">
        <f>IF($B251="","",IF($N251="","OK",LEFT($N251,LEN($N251)-3)))</f>
        <v/>
      </c>
      <c r="N251" s="10">
        <f>IF($B251="","",IF(COUNTIF(Salas_Cod,$B251)=0,"Sala não cadastrada | ","")&amp;IF(AND(COUNTIF(Salas_Cod,$B251)&gt;0,IFERROR(INDEX(Salas_Status,MATCH($B251,Salas_Cod,0)),"")&lt;&gt;"Ativa"),"Sala bloqueada | ","")&amp;IF(COUNTIF(Turnos_Nome,$C251)=0,"Turno inválido | ","")&amp;IF(COUNTIF(Esp_Nome,$F251)=0,"Especialidade não cadastrada | ","")&amp;IF(COUNTIF(Lista_StatusCirurgia,$J251)=0,"Status inválido | ","")&amp;IF(OR(NOT(ISNUMBER($D251)),NOT(ISNUMBER($E251))),"Horário inválido | ","")&amp;IFERROR(IF(AND(ISNUMBER($D251),ISNUMBER($E251),MOD($E251-$D251,1)*1440&lt;=0),"Duração nula ou negativa | ",""),"")&amp;IFERROR(IF(AND(ISNUMBER($D251),COUNTIF(Turnos_Nome,$C251)&gt;0,MOD($D251-INDEX(Turnos_Ini,MATCH($C251,Turnos_Nome,0)),1)*1440&gt;=INDEX(Turnos_Min,MATCH($C251,Turnos_Nome,0))),"Início fora da janela do turno | ",""),"")&amp;IFERROR(IF(AND($L251&gt;0,SUMPRODUCT((Mapa_Sala=$B251)*(Mapa_Data=$A251)*(Mapa_MinOcup&gt;0)*(((MOD(Mapa_IniNum-$O251,1)&lt;MOD($P251-$O251,1))+(MOD($O251-Mapa_IniNum,1)&lt;MOD(Mapa_FimNum-Mapa_IniNum,1)))&gt;0))&gt;1),"Sobreposição de horário na sala | ",""),"")&amp;IFERROR(IF(AND(ISNUMBER($K251),$K251&gt;0,COUNTIF(Esp_Nome,$F251)&gt;0,$K251&gt;3*INDEX(Esp_Dur,MATCH($F251,Esp_Nome,0))),"Duração atípica (&gt;3x a média) | ",""),""))</f>
        <v/>
      </c>
      <c r="O251" s="10">
        <f>IF(ISNUMBER($D251),$D251,0)</f>
        <v/>
      </c>
      <c r="P251" s="10">
        <f>IF(ISNUMBER($E251),$E251,0)</f>
        <v/>
      </c>
    </row>
    <row r="252">
      <c r="A252" s="30" t="n"/>
      <c r="B252" s="24" t="n"/>
      <c r="C252" s="24" t="n"/>
      <c r="D252" s="31" t="n"/>
      <c r="E252" s="31" t="n"/>
      <c r="F252" s="25" t="n"/>
      <c r="G252" s="25" t="n"/>
      <c r="H252" s="25" t="n"/>
      <c r="I252" s="24" t="n"/>
      <c r="J252" s="24" t="n"/>
      <c r="K252" s="32">
        <f>IF(OR($B252="",NOT(ISNUMBER($D252)),NOT(ISNUMBER($E252))),"",ROUND(MOD($E252-$D252,1)*1440,0))</f>
        <v/>
      </c>
      <c r="L252" s="32">
        <f>IF(NOT(ISNUMBER($K252)),0,IF(OR($K252&lt;=0,$J252="Cancelada",$J252="Suspensa"),0,$K252+Setup_Min))</f>
        <v/>
      </c>
      <c r="M252" s="17">
        <f>IF($B252="","",IF($N252="","OK",LEFT($N252,LEN($N252)-3)))</f>
        <v/>
      </c>
      <c r="N252" s="10">
        <f>IF($B252="","",IF(COUNTIF(Salas_Cod,$B252)=0,"Sala não cadastrada | ","")&amp;IF(AND(COUNTIF(Salas_Cod,$B252)&gt;0,IFERROR(INDEX(Salas_Status,MATCH($B252,Salas_Cod,0)),"")&lt;&gt;"Ativa"),"Sala bloqueada | ","")&amp;IF(COUNTIF(Turnos_Nome,$C252)=0,"Turno inválido | ","")&amp;IF(COUNTIF(Esp_Nome,$F252)=0,"Especialidade não cadastrada | ","")&amp;IF(COUNTIF(Lista_StatusCirurgia,$J252)=0,"Status inválido | ","")&amp;IF(OR(NOT(ISNUMBER($D252)),NOT(ISNUMBER($E252))),"Horário inválido | ","")&amp;IFERROR(IF(AND(ISNUMBER($D252),ISNUMBER($E252),MOD($E252-$D252,1)*1440&lt;=0),"Duração nula ou negativa | ",""),"")&amp;IFERROR(IF(AND(ISNUMBER($D252),COUNTIF(Turnos_Nome,$C252)&gt;0,MOD($D252-INDEX(Turnos_Ini,MATCH($C252,Turnos_Nome,0)),1)*1440&gt;=INDEX(Turnos_Min,MATCH($C252,Turnos_Nome,0))),"Início fora da janela do turno | ",""),"")&amp;IFERROR(IF(AND($L252&gt;0,SUMPRODUCT((Mapa_Sala=$B252)*(Mapa_Data=$A252)*(Mapa_MinOcup&gt;0)*(((MOD(Mapa_IniNum-$O252,1)&lt;MOD($P252-$O252,1))+(MOD($O252-Mapa_IniNum,1)&lt;MOD(Mapa_FimNum-Mapa_IniNum,1)))&gt;0))&gt;1),"Sobreposição de horário na sala | ",""),"")&amp;IFERROR(IF(AND(ISNUMBER($K252),$K252&gt;0,COUNTIF(Esp_Nome,$F252)&gt;0,$K252&gt;3*INDEX(Esp_Dur,MATCH($F252,Esp_Nome,0))),"Duração atípica (&gt;3x a média) | ",""),""))</f>
        <v/>
      </c>
      <c r="O252" s="10">
        <f>IF(ISNUMBER($D252),$D252,0)</f>
        <v/>
      </c>
      <c r="P252" s="10">
        <f>IF(ISNUMBER($E252),$E252,0)</f>
        <v/>
      </c>
    </row>
    <row r="253">
      <c r="A253" s="30" t="n"/>
      <c r="B253" s="24" t="n"/>
      <c r="C253" s="24" t="n"/>
      <c r="D253" s="31" t="n"/>
      <c r="E253" s="31" t="n"/>
      <c r="F253" s="25" t="n"/>
      <c r="G253" s="25" t="n"/>
      <c r="H253" s="25" t="n"/>
      <c r="I253" s="24" t="n"/>
      <c r="J253" s="24" t="n"/>
      <c r="K253" s="32">
        <f>IF(OR($B253="",NOT(ISNUMBER($D253)),NOT(ISNUMBER($E253))),"",ROUND(MOD($E253-$D253,1)*1440,0))</f>
        <v/>
      </c>
      <c r="L253" s="32">
        <f>IF(NOT(ISNUMBER($K253)),0,IF(OR($K253&lt;=0,$J253="Cancelada",$J253="Suspensa"),0,$K253+Setup_Min))</f>
        <v/>
      </c>
      <c r="M253" s="17">
        <f>IF($B253="","",IF($N253="","OK",LEFT($N253,LEN($N253)-3)))</f>
        <v/>
      </c>
      <c r="N253" s="10">
        <f>IF($B253="","",IF(COUNTIF(Salas_Cod,$B253)=0,"Sala não cadastrada | ","")&amp;IF(AND(COUNTIF(Salas_Cod,$B253)&gt;0,IFERROR(INDEX(Salas_Status,MATCH($B253,Salas_Cod,0)),"")&lt;&gt;"Ativa"),"Sala bloqueada | ","")&amp;IF(COUNTIF(Turnos_Nome,$C253)=0,"Turno inválido | ","")&amp;IF(COUNTIF(Esp_Nome,$F253)=0,"Especialidade não cadastrada | ","")&amp;IF(COUNTIF(Lista_StatusCirurgia,$J253)=0,"Status inválido | ","")&amp;IF(OR(NOT(ISNUMBER($D253)),NOT(ISNUMBER($E253))),"Horário inválido | ","")&amp;IFERROR(IF(AND(ISNUMBER($D253),ISNUMBER($E253),MOD($E253-$D253,1)*1440&lt;=0),"Duração nula ou negativa | ",""),"")&amp;IFERROR(IF(AND(ISNUMBER($D253),COUNTIF(Turnos_Nome,$C253)&gt;0,MOD($D253-INDEX(Turnos_Ini,MATCH($C253,Turnos_Nome,0)),1)*1440&gt;=INDEX(Turnos_Min,MATCH($C253,Turnos_Nome,0))),"Início fora da janela do turno | ",""),"")&amp;IFERROR(IF(AND($L253&gt;0,SUMPRODUCT((Mapa_Sala=$B253)*(Mapa_Data=$A253)*(Mapa_MinOcup&gt;0)*(((MOD(Mapa_IniNum-$O253,1)&lt;MOD($P253-$O253,1))+(MOD($O253-Mapa_IniNum,1)&lt;MOD(Mapa_FimNum-Mapa_IniNum,1)))&gt;0))&gt;1),"Sobreposição de horário na sala | ",""),"")&amp;IFERROR(IF(AND(ISNUMBER($K253),$K253&gt;0,COUNTIF(Esp_Nome,$F253)&gt;0,$K253&gt;3*INDEX(Esp_Dur,MATCH($F253,Esp_Nome,0))),"Duração atípica (&gt;3x a média) | ",""),""))</f>
        <v/>
      </c>
      <c r="O253" s="10">
        <f>IF(ISNUMBER($D253),$D253,0)</f>
        <v/>
      </c>
      <c r="P253" s="10">
        <f>IF(ISNUMBER($E253),$E253,0)</f>
        <v/>
      </c>
    </row>
    <row r="254">
      <c r="A254" s="30" t="n"/>
      <c r="B254" s="24" t="n"/>
      <c r="C254" s="24" t="n"/>
      <c r="D254" s="31" t="n"/>
      <c r="E254" s="31" t="n"/>
      <c r="F254" s="25" t="n"/>
      <c r="G254" s="25" t="n"/>
      <c r="H254" s="25" t="n"/>
      <c r="I254" s="24" t="n"/>
      <c r="J254" s="24" t="n"/>
      <c r="K254" s="32">
        <f>IF(OR($B254="",NOT(ISNUMBER($D254)),NOT(ISNUMBER($E254))),"",ROUND(MOD($E254-$D254,1)*1440,0))</f>
        <v/>
      </c>
      <c r="L254" s="32">
        <f>IF(NOT(ISNUMBER($K254)),0,IF(OR($K254&lt;=0,$J254="Cancelada",$J254="Suspensa"),0,$K254+Setup_Min))</f>
        <v/>
      </c>
      <c r="M254" s="17">
        <f>IF($B254="","",IF($N254="","OK",LEFT($N254,LEN($N254)-3)))</f>
        <v/>
      </c>
      <c r="N254" s="10">
        <f>IF($B254="","",IF(COUNTIF(Salas_Cod,$B254)=0,"Sala não cadastrada | ","")&amp;IF(AND(COUNTIF(Salas_Cod,$B254)&gt;0,IFERROR(INDEX(Salas_Status,MATCH($B254,Salas_Cod,0)),"")&lt;&gt;"Ativa"),"Sala bloqueada | ","")&amp;IF(COUNTIF(Turnos_Nome,$C254)=0,"Turno inválido | ","")&amp;IF(COUNTIF(Esp_Nome,$F254)=0,"Especialidade não cadastrada | ","")&amp;IF(COUNTIF(Lista_StatusCirurgia,$J254)=0,"Status inválido | ","")&amp;IF(OR(NOT(ISNUMBER($D254)),NOT(ISNUMBER($E254))),"Horário inválido | ","")&amp;IFERROR(IF(AND(ISNUMBER($D254),ISNUMBER($E254),MOD($E254-$D254,1)*1440&lt;=0),"Duração nula ou negativa | ",""),"")&amp;IFERROR(IF(AND(ISNUMBER($D254),COUNTIF(Turnos_Nome,$C254)&gt;0,MOD($D254-INDEX(Turnos_Ini,MATCH($C254,Turnos_Nome,0)),1)*1440&gt;=INDEX(Turnos_Min,MATCH($C254,Turnos_Nome,0))),"Início fora da janela do turno | ",""),"")&amp;IFERROR(IF(AND($L254&gt;0,SUMPRODUCT((Mapa_Sala=$B254)*(Mapa_Data=$A254)*(Mapa_MinOcup&gt;0)*(((MOD(Mapa_IniNum-$O254,1)&lt;MOD($P254-$O254,1))+(MOD($O254-Mapa_IniNum,1)&lt;MOD(Mapa_FimNum-Mapa_IniNum,1)))&gt;0))&gt;1),"Sobreposição de horário na sala | ",""),"")&amp;IFERROR(IF(AND(ISNUMBER($K254),$K254&gt;0,COUNTIF(Esp_Nome,$F254)&gt;0,$K254&gt;3*INDEX(Esp_Dur,MATCH($F254,Esp_Nome,0))),"Duração atípica (&gt;3x a média) | ",""),""))</f>
        <v/>
      </c>
      <c r="O254" s="10">
        <f>IF(ISNUMBER($D254),$D254,0)</f>
        <v/>
      </c>
      <c r="P254" s="10">
        <f>IF(ISNUMBER($E254),$E254,0)</f>
        <v/>
      </c>
    </row>
    <row r="255">
      <c r="A255" s="30" t="n"/>
      <c r="B255" s="24" t="n"/>
      <c r="C255" s="24" t="n"/>
      <c r="D255" s="31" t="n"/>
      <c r="E255" s="31" t="n"/>
      <c r="F255" s="25" t="n"/>
      <c r="G255" s="25" t="n"/>
      <c r="H255" s="25" t="n"/>
      <c r="I255" s="24" t="n"/>
      <c r="J255" s="24" t="n"/>
      <c r="K255" s="32">
        <f>IF(OR($B255="",NOT(ISNUMBER($D255)),NOT(ISNUMBER($E255))),"",ROUND(MOD($E255-$D255,1)*1440,0))</f>
        <v/>
      </c>
      <c r="L255" s="32">
        <f>IF(NOT(ISNUMBER($K255)),0,IF(OR($K255&lt;=0,$J255="Cancelada",$J255="Suspensa"),0,$K255+Setup_Min))</f>
        <v/>
      </c>
      <c r="M255" s="17">
        <f>IF($B255="","",IF($N255="","OK",LEFT($N255,LEN($N255)-3)))</f>
        <v/>
      </c>
      <c r="N255" s="10">
        <f>IF($B255="","",IF(COUNTIF(Salas_Cod,$B255)=0,"Sala não cadastrada | ","")&amp;IF(AND(COUNTIF(Salas_Cod,$B255)&gt;0,IFERROR(INDEX(Salas_Status,MATCH($B255,Salas_Cod,0)),"")&lt;&gt;"Ativa"),"Sala bloqueada | ","")&amp;IF(COUNTIF(Turnos_Nome,$C255)=0,"Turno inválido | ","")&amp;IF(COUNTIF(Esp_Nome,$F255)=0,"Especialidade não cadastrada | ","")&amp;IF(COUNTIF(Lista_StatusCirurgia,$J255)=0,"Status inválido | ","")&amp;IF(OR(NOT(ISNUMBER($D255)),NOT(ISNUMBER($E255))),"Horário inválido | ","")&amp;IFERROR(IF(AND(ISNUMBER($D255),ISNUMBER($E255),MOD($E255-$D255,1)*1440&lt;=0),"Duração nula ou negativa | ",""),"")&amp;IFERROR(IF(AND(ISNUMBER($D255),COUNTIF(Turnos_Nome,$C255)&gt;0,MOD($D255-INDEX(Turnos_Ini,MATCH($C255,Turnos_Nome,0)),1)*1440&gt;=INDEX(Turnos_Min,MATCH($C255,Turnos_Nome,0))),"Início fora da janela do turno | ",""),"")&amp;IFERROR(IF(AND($L255&gt;0,SUMPRODUCT((Mapa_Sala=$B255)*(Mapa_Data=$A255)*(Mapa_MinOcup&gt;0)*(((MOD(Mapa_IniNum-$O255,1)&lt;MOD($P255-$O255,1))+(MOD($O255-Mapa_IniNum,1)&lt;MOD(Mapa_FimNum-Mapa_IniNum,1)))&gt;0))&gt;1),"Sobreposição de horário na sala | ",""),"")&amp;IFERROR(IF(AND(ISNUMBER($K255),$K255&gt;0,COUNTIF(Esp_Nome,$F255)&gt;0,$K255&gt;3*INDEX(Esp_Dur,MATCH($F255,Esp_Nome,0))),"Duração atípica (&gt;3x a média) | ",""),""))</f>
        <v/>
      </c>
      <c r="O255" s="10">
        <f>IF(ISNUMBER($D255),$D255,0)</f>
        <v/>
      </c>
      <c r="P255" s="10">
        <f>IF(ISNUMBER($E255),$E255,0)</f>
        <v/>
      </c>
    </row>
    <row r="256">
      <c r="A256" s="30" t="n"/>
      <c r="B256" s="24" t="n"/>
      <c r="C256" s="24" t="n"/>
      <c r="D256" s="31" t="n"/>
      <c r="E256" s="31" t="n"/>
      <c r="F256" s="25" t="n"/>
      <c r="G256" s="25" t="n"/>
      <c r="H256" s="25" t="n"/>
      <c r="I256" s="24" t="n"/>
      <c r="J256" s="24" t="n"/>
      <c r="K256" s="32">
        <f>IF(OR($B256="",NOT(ISNUMBER($D256)),NOT(ISNUMBER($E256))),"",ROUND(MOD($E256-$D256,1)*1440,0))</f>
        <v/>
      </c>
      <c r="L256" s="32">
        <f>IF(NOT(ISNUMBER($K256)),0,IF(OR($K256&lt;=0,$J256="Cancelada",$J256="Suspensa"),0,$K256+Setup_Min))</f>
        <v/>
      </c>
      <c r="M256" s="17">
        <f>IF($B256="","",IF($N256="","OK",LEFT($N256,LEN($N256)-3)))</f>
        <v/>
      </c>
      <c r="N256" s="10">
        <f>IF($B256="","",IF(COUNTIF(Salas_Cod,$B256)=0,"Sala não cadastrada | ","")&amp;IF(AND(COUNTIF(Salas_Cod,$B256)&gt;0,IFERROR(INDEX(Salas_Status,MATCH($B256,Salas_Cod,0)),"")&lt;&gt;"Ativa"),"Sala bloqueada | ","")&amp;IF(COUNTIF(Turnos_Nome,$C256)=0,"Turno inválido | ","")&amp;IF(COUNTIF(Esp_Nome,$F256)=0,"Especialidade não cadastrada | ","")&amp;IF(COUNTIF(Lista_StatusCirurgia,$J256)=0,"Status inválido | ","")&amp;IF(OR(NOT(ISNUMBER($D256)),NOT(ISNUMBER($E256))),"Horário inválido | ","")&amp;IFERROR(IF(AND(ISNUMBER($D256),ISNUMBER($E256),MOD($E256-$D256,1)*1440&lt;=0),"Duração nula ou negativa | ",""),"")&amp;IFERROR(IF(AND(ISNUMBER($D256),COUNTIF(Turnos_Nome,$C256)&gt;0,MOD($D256-INDEX(Turnos_Ini,MATCH($C256,Turnos_Nome,0)),1)*1440&gt;=INDEX(Turnos_Min,MATCH($C256,Turnos_Nome,0))),"Início fora da janela do turno | ",""),"")&amp;IFERROR(IF(AND($L256&gt;0,SUMPRODUCT((Mapa_Sala=$B256)*(Mapa_Data=$A256)*(Mapa_MinOcup&gt;0)*(((MOD(Mapa_IniNum-$O256,1)&lt;MOD($P256-$O256,1))+(MOD($O256-Mapa_IniNum,1)&lt;MOD(Mapa_FimNum-Mapa_IniNum,1)))&gt;0))&gt;1),"Sobreposição de horário na sala | ",""),"")&amp;IFERROR(IF(AND(ISNUMBER($K256),$K256&gt;0,COUNTIF(Esp_Nome,$F256)&gt;0,$K256&gt;3*INDEX(Esp_Dur,MATCH($F256,Esp_Nome,0))),"Duração atípica (&gt;3x a média) | ",""),""))</f>
        <v/>
      </c>
      <c r="O256" s="10">
        <f>IF(ISNUMBER($D256),$D256,0)</f>
        <v/>
      </c>
      <c r="P256" s="10">
        <f>IF(ISNUMBER($E256),$E256,0)</f>
        <v/>
      </c>
    </row>
    <row r="257">
      <c r="A257" s="30" t="n"/>
      <c r="B257" s="24" t="n"/>
      <c r="C257" s="24" t="n"/>
      <c r="D257" s="31" t="n"/>
      <c r="E257" s="31" t="n"/>
      <c r="F257" s="25" t="n"/>
      <c r="G257" s="25" t="n"/>
      <c r="H257" s="25" t="n"/>
      <c r="I257" s="24" t="n"/>
      <c r="J257" s="24" t="n"/>
      <c r="K257" s="32">
        <f>IF(OR($B257="",NOT(ISNUMBER($D257)),NOT(ISNUMBER($E257))),"",ROUND(MOD($E257-$D257,1)*1440,0))</f>
        <v/>
      </c>
      <c r="L257" s="32">
        <f>IF(NOT(ISNUMBER($K257)),0,IF(OR($K257&lt;=0,$J257="Cancelada",$J257="Suspensa"),0,$K257+Setup_Min))</f>
        <v/>
      </c>
      <c r="M257" s="17">
        <f>IF($B257="","",IF($N257="","OK",LEFT($N257,LEN($N257)-3)))</f>
        <v/>
      </c>
      <c r="N257" s="10">
        <f>IF($B257="","",IF(COUNTIF(Salas_Cod,$B257)=0,"Sala não cadastrada | ","")&amp;IF(AND(COUNTIF(Salas_Cod,$B257)&gt;0,IFERROR(INDEX(Salas_Status,MATCH($B257,Salas_Cod,0)),"")&lt;&gt;"Ativa"),"Sala bloqueada | ","")&amp;IF(COUNTIF(Turnos_Nome,$C257)=0,"Turno inválido | ","")&amp;IF(COUNTIF(Esp_Nome,$F257)=0,"Especialidade não cadastrada | ","")&amp;IF(COUNTIF(Lista_StatusCirurgia,$J257)=0,"Status inválido | ","")&amp;IF(OR(NOT(ISNUMBER($D257)),NOT(ISNUMBER($E257))),"Horário inválido | ","")&amp;IFERROR(IF(AND(ISNUMBER($D257),ISNUMBER($E257),MOD($E257-$D257,1)*1440&lt;=0),"Duração nula ou negativa | ",""),"")&amp;IFERROR(IF(AND(ISNUMBER($D257),COUNTIF(Turnos_Nome,$C257)&gt;0,MOD($D257-INDEX(Turnos_Ini,MATCH($C257,Turnos_Nome,0)),1)*1440&gt;=INDEX(Turnos_Min,MATCH($C257,Turnos_Nome,0))),"Início fora da janela do turno | ",""),"")&amp;IFERROR(IF(AND($L257&gt;0,SUMPRODUCT((Mapa_Sala=$B257)*(Mapa_Data=$A257)*(Mapa_MinOcup&gt;0)*(((MOD(Mapa_IniNum-$O257,1)&lt;MOD($P257-$O257,1))+(MOD($O257-Mapa_IniNum,1)&lt;MOD(Mapa_FimNum-Mapa_IniNum,1)))&gt;0))&gt;1),"Sobreposição de horário na sala | ",""),"")&amp;IFERROR(IF(AND(ISNUMBER($K257),$K257&gt;0,COUNTIF(Esp_Nome,$F257)&gt;0,$K257&gt;3*INDEX(Esp_Dur,MATCH($F257,Esp_Nome,0))),"Duração atípica (&gt;3x a média) | ",""),""))</f>
        <v/>
      </c>
      <c r="O257" s="10">
        <f>IF(ISNUMBER($D257),$D257,0)</f>
        <v/>
      </c>
      <c r="P257" s="10">
        <f>IF(ISNUMBER($E257),$E257,0)</f>
        <v/>
      </c>
    </row>
    <row r="258">
      <c r="A258" s="30" t="n"/>
      <c r="B258" s="24" t="n"/>
      <c r="C258" s="24" t="n"/>
      <c r="D258" s="31" t="n"/>
      <c r="E258" s="31" t="n"/>
      <c r="F258" s="25" t="n"/>
      <c r="G258" s="25" t="n"/>
      <c r="H258" s="25" t="n"/>
      <c r="I258" s="24" t="n"/>
      <c r="J258" s="24" t="n"/>
      <c r="K258" s="32">
        <f>IF(OR($B258="",NOT(ISNUMBER($D258)),NOT(ISNUMBER($E258))),"",ROUND(MOD($E258-$D258,1)*1440,0))</f>
        <v/>
      </c>
      <c r="L258" s="32">
        <f>IF(NOT(ISNUMBER($K258)),0,IF(OR($K258&lt;=0,$J258="Cancelada",$J258="Suspensa"),0,$K258+Setup_Min))</f>
        <v/>
      </c>
      <c r="M258" s="17">
        <f>IF($B258="","",IF($N258="","OK",LEFT($N258,LEN($N258)-3)))</f>
        <v/>
      </c>
      <c r="N258" s="10">
        <f>IF($B258="","",IF(COUNTIF(Salas_Cod,$B258)=0,"Sala não cadastrada | ","")&amp;IF(AND(COUNTIF(Salas_Cod,$B258)&gt;0,IFERROR(INDEX(Salas_Status,MATCH($B258,Salas_Cod,0)),"")&lt;&gt;"Ativa"),"Sala bloqueada | ","")&amp;IF(COUNTIF(Turnos_Nome,$C258)=0,"Turno inválido | ","")&amp;IF(COUNTIF(Esp_Nome,$F258)=0,"Especialidade não cadastrada | ","")&amp;IF(COUNTIF(Lista_StatusCirurgia,$J258)=0,"Status inválido | ","")&amp;IF(OR(NOT(ISNUMBER($D258)),NOT(ISNUMBER($E258))),"Horário inválido | ","")&amp;IFERROR(IF(AND(ISNUMBER($D258),ISNUMBER($E258),MOD($E258-$D258,1)*1440&lt;=0),"Duração nula ou negativa | ",""),"")&amp;IFERROR(IF(AND(ISNUMBER($D258),COUNTIF(Turnos_Nome,$C258)&gt;0,MOD($D258-INDEX(Turnos_Ini,MATCH($C258,Turnos_Nome,0)),1)*1440&gt;=INDEX(Turnos_Min,MATCH($C258,Turnos_Nome,0))),"Início fora da janela do turno | ",""),"")&amp;IFERROR(IF(AND($L258&gt;0,SUMPRODUCT((Mapa_Sala=$B258)*(Mapa_Data=$A258)*(Mapa_MinOcup&gt;0)*(((MOD(Mapa_IniNum-$O258,1)&lt;MOD($P258-$O258,1))+(MOD($O258-Mapa_IniNum,1)&lt;MOD(Mapa_FimNum-Mapa_IniNum,1)))&gt;0))&gt;1),"Sobreposição de horário na sala | ",""),"")&amp;IFERROR(IF(AND(ISNUMBER($K258),$K258&gt;0,COUNTIF(Esp_Nome,$F258)&gt;0,$K258&gt;3*INDEX(Esp_Dur,MATCH($F258,Esp_Nome,0))),"Duração atípica (&gt;3x a média) | ",""),""))</f>
        <v/>
      </c>
      <c r="O258" s="10">
        <f>IF(ISNUMBER($D258),$D258,0)</f>
        <v/>
      </c>
      <c r="P258" s="10">
        <f>IF(ISNUMBER($E258),$E258,0)</f>
        <v/>
      </c>
    </row>
    <row r="259">
      <c r="A259" s="30" t="n"/>
      <c r="B259" s="24" t="n"/>
      <c r="C259" s="24" t="n"/>
      <c r="D259" s="31" t="n"/>
      <c r="E259" s="31" t="n"/>
      <c r="F259" s="25" t="n"/>
      <c r="G259" s="25" t="n"/>
      <c r="H259" s="25" t="n"/>
      <c r="I259" s="24" t="n"/>
      <c r="J259" s="24" t="n"/>
      <c r="K259" s="32">
        <f>IF(OR($B259="",NOT(ISNUMBER($D259)),NOT(ISNUMBER($E259))),"",ROUND(MOD($E259-$D259,1)*1440,0))</f>
        <v/>
      </c>
      <c r="L259" s="32">
        <f>IF(NOT(ISNUMBER($K259)),0,IF(OR($K259&lt;=0,$J259="Cancelada",$J259="Suspensa"),0,$K259+Setup_Min))</f>
        <v/>
      </c>
      <c r="M259" s="17">
        <f>IF($B259="","",IF($N259="","OK",LEFT($N259,LEN($N259)-3)))</f>
        <v/>
      </c>
      <c r="N259" s="10">
        <f>IF($B259="","",IF(COUNTIF(Salas_Cod,$B259)=0,"Sala não cadastrada | ","")&amp;IF(AND(COUNTIF(Salas_Cod,$B259)&gt;0,IFERROR(INDEX(Salas_Status,MATCH($B259,Salas_Cod,0)),"")&lt;&gt;"Ativa"),"Sala bloqueada | ","")&amp;IF(COUNTIF(Turnos_Nome,$C259)=0,"Turno inválido | ","")&amp;IF(COUNTIF(Esp_Nome,$F259)=0,"Especialidade não cadastrada | ","")&amp;IF(COUNTIF(Lista_StatusCirurgia,$J259)=0,"Status inválido | ","")&amp;IF(OR(NOT(ISNUMBER($D259)),NOT(ISNUMBER($E259))),"Horário inválido | ","")&amp;IFERROR(IF(AND(ISNUMBER($D259),ISNUMBER($E259),MOD($E259-$D259,1)*1440&lt;=0),"Duração nula ou negativa | ",""),"")&amp;IFERROR(IF(AND(ISNUMBER($D259),COUNTIF(Turnos_Nome,$C259)&gt;0,MOD($D259-INDEX(Turnos_Ini,MATCH($C259,Turnos_Nome,0)),1)*1440&gt;=INDEX(Turnos_Min,MATCH($C259,Turnos_Nome,0))),"Início fora da janela do turno | ",""),"")&amp;IFERROR(IF(AND($L259&gt;0,SUMPRODUCT((Mapa_Sala=$B259)*(Mapa_Data=$A259)*(Mapa_MinOcup&gt;0)*(((MOD(Mapa_IniNum-$O259,1)&lt;MOD($P259-$O259,1))+(MOD($O259-Mapa_IniNum,1)&lt;MOD(Mapa_FimNum-Mapa_IniNum,1)))&gt;0))&gt;1),"Sobreposição de horário na sala | ",""),"")&amp;IFERROR(IF(AND(ISNUMBER($K259),$K259&gt;0,COUNTIF(Esp_Nome,$F259)&gt;0,$K259&gt;3*INDEX(Esp_Dur,MATCH($F259,Esp_Nome,0))),"Duração atípica (&gt;3x a média) | ",""),""))</f>
        <v/>
      </c>
      <c r="O259" s="10">
        <f>IF(ISNUMBER($D259),$D259,0)</f>
        <v/>
      </c>
      <c r="P259" s="10">
        <f>IF(ISNUMBER($E259),$E259,0)</f>
        <v/>
      </c>
    </row>
    <row r="260">
      <c r="A260" s="30" t="n"/>
      <c r="B260" s="24" t="n"/>
      <c r="C260" s="24" t="n"/>
      <c r="D260" s="31" t="n"/>
      <c r="E260" s="31" t="n"/>
      <c r="F260" s="25" t="n"/>
      <c r="G260" s="25" t="n"/>
      <c r="H260" s="25" t="n"/>
      <c r="I260" s="24" t="n"/>
      <c r="J260" s="24" t="n"/>
      <c r="K260" s="32">
        <f>IF(OR($B260="",NOT(ISNUMBER($D260)),NOT(ISNUMBER($E260))),"",ROUND(MOD($E260-$D260,1)*1440,0))</f>
        <v/>
      </c>
      <c r="L260" s="32">
        <f>IF(NOT(ISNUMBER($K260)),0,IF(OR($K260&lt;=0,$J260="Cancelada",$J260="Suspensa"),0,$K260+Setup_Min))</f>
        <v/>
      </c>
      <c r="M260" s="17">
        <f>IF($B260="","",IF($N260="","OK",LEFT($N260,LEN($N260)-3)))</f>
        <v/>
      </c>
      <c r="N260" s="10">
        <f>IF($B260="","",IF(COUNTIF(Salas_Cod,$B260)=0,"Sala não cadastrada | ","")&amp;IF(AND(COUNTIF(Salas_Cod,$B260)&gt;0,IFERROR(INDEX(Salas_Status,MATCH($B260,Salas_Cod,0)),"")&lt;&gt;"Ativa"),"Sala bloqueada | ","")&amp;IF(COUNTIF(Turnos_Nome,$C260)=0,"Turno inválido | ","")&amp;IF(COUNTIF(Esp_Nome,$F260)=0,"Especialidade não cadastrada | ","")&amp;IF(COUNTIF(Lista_StatusCirurgia,$J260)=0,"Status inválido | ","")&amp;IF(OR(NOT(ISNUMBER($D260)),NOT(ISNUMBER($E260))),"Horário inválido | ","")&amp;IFERROR(IF(AND(ISNUMBER($D260),ISNUMBER($E260),MOD($E260-$D260,1)*1440&lt;=0),"Duração nula ou negativa | ",""),"")&amp;IFERROR(IF(AND(ISNUMBER($D260),COUNTIF(Turnos_Nome,$C260)&gt;0,MOD($D260-INDEX(Turnos_Ini,MATCH($C260,Turnos_Nome,0)),1)*1440&gt;=INDEX(Turnos_Min,MATCH($C260,Turnos_Nome,0))),"Início fora da janela do turno | ",""),"")&amp;IFERROR(IF(AND($L260&gt;0,SUMPRODUCT((Mapa_Sala=$B260)*(Mapa_Data=$A260)*(Mapa_MinOcup&gt;0)*(((MOD(Mapa_IniNum-$O260,1)&lt;MOD($P260-$O260,1))+(MOD($O260-Mapa_IniNum,1)&lt;MOD(Mapa_FimNum-Mapa_IniNum,1)))&gt;0))&gt;1),"Sobreposição de horário na sala | ",""),"")&amp;IFERROR(IF(AND(ISNUMBER($K260),$K260&gt;0,COUNTIF(Esp_Nome,$F260)&gt;0,$K260&gt;3*INDEX(Esp_Dur,MATCH($F260,Esp_Nome,0))),"Duração atípica (&gt;3x a média) | ",""),""))</f>
        <v/>
      </c>
      <c r="O260" s="10">
        <f>IF(ISNUMBER($D260),$D260,0)</f>
        <v/>
      </c>
      <c r="P260" s="10">
        <f>IF(ISNUMBER($E260),$E260,0)</f>
        <v/>
      </c>
    </row>
    <row r="261">
      <c r="A261" s="30" t="n"/>
      <c r="B261" s="24" t="n"/>
      <c r="C261" s="24" t="n"/>
      <c r="D261" s="31" t="n"/>
      <c r="E261" s="31" t="n"/>
      <c r="F261" s="25" t="n"/>
      <c r="G261" s="25" t="n"/>
      <c r="H261" s="25" t="n"/>
      <c r="I261" s="24" t="n"/>
      <c r="J261" s="24" t="n"/>
      <c r="K261" s="32">
        <f>IF(OR($B261="",NOT(ISNUMBER($D261)),NOT(ISNUMBER($E261))),"",ROUND(MOD($E261-$D261,1)*1440,0))</f>
        <v/>
      </c>
      <c r="L261" s="32">
        <f>IF(NOT(ISNUMBER($K261)),0,IF(OR($K261&lt;=0,$J261="Cancelada",$J261="Suspensa"),0,$K261+Setup_Min))</f>
        <v/>
      </c>
      <c r="M261" s="17">
        <f>IF($B261="","",IF($N261="","OK",LEFT($N261,LEN($N261)-3)))</f>
        <v/>
      </c>
      <c r="N261" s="10">
        <f>IF($B261="","",IF(COUNTIF(Salas_Cod,$B261)=0,"Sala não cadastrada | ","")&amp;IF(AND(COUNTIF(Salas_Cod,$B261)&gt;0,IFERROR(INDEX(Salas_Status,MATCH($B261,Salas_Cod,0)),"")&lt;&gt;"Ativa"),"Sala bloqueada | ","")&amp;IF(COUNTIF(Turnos_Nome,$C261)=0,"Turno inválido | ","")&amp;IF(COUNTIF(Esp_Nome,$F261)=0,"Especialidade não cadastrada | ","")&amp;IF(COUNTIF(Lista_StatusCirurgia,$J261)=0,"Status inválido | ","")&amp;IF(OR(NOT(ISNUMBER($D261)),NOT(ISNUMBER($E261))),"Horário inválido | ","")&amp;IFERROR(IF(AND(ISNUMBER($D261),ISNUMBER($E261),MOD($E261-$D261,1)*1440&lt;=0),"Duração nula ou negativa | ",""),"")&amp;IFERROR(IF(AND(ISNUMBER($D261),COUNTIF(Turnos_Nome,$C261)&gt;0,MOD($D261-INDEX(Turnos_Ini,MATCH($C261,Turnos_Nome,0)),1)*1440&gt;=INDEX(Turnos_Min,MATCH($C261,Turnos_Nome,0))),"Início fora da janela do turno | ",""),"")&amp;IFERROR(IF(AND($L261&gt;0,SUMPRODUCT((Mapa_Sala=$B261)*(Mapa_Data=$A261)*(Mapa_MinOcup&gt;0)*(((MOD(Mapa_IniNum-$O261,1)&lt;MOD($P261-$O261,1))+(MOD($O261-Mapa_IniNum,1)&lt;MOD(Mapa_FimNum-Mapa_IniNum,1)))&gt;0))&gt;1),"Sobreposição de horário na sala | ",""),"")&amp;IFERROR(IF(AND(ISNUMBER($K261),$K261&gt;0,COUNTIF(Esp_Nome,$F261)&gt;0,$K261&gt;3*INDEX(Esp_Dur,MATCH($F261,Esp_Nome,0))),"Duração atípica (&gt;3x a média) | ",""),""))</f>
        <v/>
      </c>
      <c r="O261" s="10">
        <f>IF(ISNUMBER($D261),$D261,0)</f>
        <v/>
      </c>
      <c r="P261" s="10">
        <f>IF(ISNUMBER($E261),$E261,0)</f>
        <v/>
      </c>
    </row>
    <row r="262">
      <c r="A262" s="30" t="n"/>
      <c r="B262" s="24" t="n"/>
      <c r="C262" s="24" t="n"/>
      <c r="D262" s="31" t="n"/>
      <c r="E262" s="31" t="n"/>
      <c r="F262" s="25" t="n"/>
      <c r="G262" s="25" t="n"/>
      <c r="H262" s="25" t="n"/>
      <c r="I262" s="24" t="n"/>
      <c r="J262" s="24" t="n"/>
      <c r="K262" s="32">
        <f>IF(OR($B262="",NOT(ISNUMBER($D262)),NOT(ISNUMBER($E262))),"",ROUND(MOD($E262-$D262,1)*1440,0))</f>
        <v/>
      </c>
      <c r="L262" s="32">
        <f>IF(NOT(ISNUMBER($K262)),0,IF(OR($K262&lt;=0,$J262="Cancelada",$J262="Suspensa"),0,$K262+Setup_Min))</f>
        <v/>
      </c>
      <c r="M262" s="17">
        <f>IF($B262="","",IF($N262="","OK",LEFT($N262,LEN($N262)-3)))</f>
        <v/>
      </c>
      <c r="N262" s="10">
        <f>IF($B262="","",IF(COUNTIF(Salas_Cod,$B262)=0,"Sala não cadastrada | ","")&amp;IF(AND(COUNTIF(Salas_Cod,$B262)&gt;0,IFERROR(INDEX(Salas_Status,MATCH($B262,Salas_Cod,0)),"")&lt;&gt;"Ativa"),"Sala bloqueada | ","")&amp;IF(COUNTIF(Turnos_Nome,$C262)=0,"Turno inválido | ","")&amp;IF(COUNTIF(Esp_Nome,$F262)=0,"Especialidade não cadastrada | ","")&amp;IF(COUNTIF(Lista_StatusCirurgia,$J262)=0,"Status inválido | ","")&amp;IF(OR(NOT(ISNUMBER($D262)),NOT(ISNUMBER($E262))),"Horário inválido | ","")&amp;IFERROR(IF(AND(ISNUMBER($D262),ISNUMBER($E262),MOD($E262-$D262,1)*1440&lt;=0),"Duração nula ou negativa | ",""),"")&amp;IFERROR(IF(AND(ISNUMBER($D262),COUNTIF(Turnos_Nome,$C262)&gt;0,MOD($D262-INDEX(Turnos_Ini,MATCH($C262,Turnos_Nome,0)),1)*1440&gt;=INDEX(Turnos_Min,MATCH($C262,Turnos_Nome,0))),"Início fora da janela do turno | ",""),"")&amp;IFERROR(IF(AND($L262&gt;0,SUMPRODUCT((Mapa_Sala=$B262)*(Mapa_Data=$A262)*(Mapa_MinOcup&gt;0)*(((MOD(Mapa_IniNum-$O262,1)&lt;MOD($P262-$O262,1))+(MOD($O262-Mapa_IniNum,1)&lt;MOD(Mapa_FimNum-Mapa_IniNum,1)))&gt;0))&gt;1),"Sobreposição de horário na sala | ",""),"")&amp;IFERROR(IF(AND(ISNUMBER($K262),$K262&gt;0,COUNTIF(Esp_Nome,$F262)&gt;0,$K262&gt;3*INDEX(Esp_Dur,MATCH($F262,Esp_Nome,0))),"Duração atípica (&gt;3x a média) | ",""),""))</f>
        <v/>
      </c>
      <c r="O262" s="10">
        <f>IF(ISNUMBER($D262),$D262,0)</f>
        <v/>
      </c>
      <c r="P262" s="10">
        <f>IF(ISNUMBER($E262),$E262,0)</f>
        <v/>
      </c>
    </row>
    <row r="263">
      <c r="A263" s="30" t="n"/>
      <c r="B263" s="24" t="n"/>
      <c r="C263" s="24" t="n"/>
      <c r="D263" s="31" t="n"/>
      <c r="E263" s="31" t="n"/>
      <c r="F263" s="25" t="n"/>
      <c r="G263" s="25" t="n"/>
      <c r="H263" s="25" t="n"/>
      <c r="I263" s="24" t="n"/>
      <c r="J263" s="24" t="n"/>
      <c r="K263" s="32">
        <f>IF(OR($B263="",NOT(ISNUMBER($D263)),NOT(ISNUMBER($E263))),"",ROUND(MOD($E263-$D263,1)*1440,0))</f>
        <v/>
      </c>
      <c r="L263" s="32">
        <f>IF(NOT(ISNUMBER($K263)),0,IF(OR($K263&lt;=0,$J263="Cancelada",$J263="Suspensa"),0,$K263+Setup_Min))</f>
        <v/>
      </c>
      <c r="M263" s="17">
        <f>IF($B263="","",IF($N263="","OK",LEFT($N263,LEN($N263)-3)))</f>
        <v/>
      </c>
      <c r="N263" s="10">
        <f>IF($B263="","",IF(COUNTIF(Salas_Cod,$B263)=0,"Sala não cadastrada | ","")&amp;IF(AND(COUNTIF(Salas_Cod,$B263)&gt;0,IFERROR(INDEX(Salas_Status,MATCH($B263,Salas_Cod,0)),"")&lt;&gt;"Ativa"),"Sala bloqueada | ","")&amp;IF(COUNTIF(Turnos_Nome,$C263)=0,"Turno inválido | ","")&amp;IF(COUNTIF(Esp_Nome,$F263)=0,"Especialidade não cadastrada | ","")&amp;IF(COUNTIF(Lista_StatusCirurgia,$J263)=0,"Status inválido | ","")&amp;IF(OR(NOT(ISNUMBER($D263)),NOT(ISNUMBER($E263))),"Horário inválido | ","")&amp;IFERROR(IF(AND(ISNUMBER($D263),ISNUMBER($E263),MOD($E263-$D263,1)*1440&lt;=0),"Duração nula ou negativa | ",""),"")&amp;IFERROR(IF(AND(ISNUMBER($D263),COUNTIF(Turnos_Nome,$C263)&gt;0,MOD($D263-INDEX(Turnos_Ini,MATCH($C263,Turnos_Nome,0)),1)*1440&gt;=INDEX(Turnos_Min,MATCH($C263,Turnos_Nome,0))),"Início fora da janela do turno | ",""),"")&amp;IFERROR(IF(AND($L263&gt;0,SUMPRODUCT((Mapa_Sala=$B263)*(Mapa_Data=$A263)*(Mapa_MinOcup&gt;0)*(((MOD(Mapa_IniNum-$O263,1)&lt;MOD($P263-$O263,1))+(MOD($O263-Mapa_IniNum,1)&lt;MOD(Mapa_FimNum-Mapa_IniNum,1)))&gt;0))&gt;1),"Sobreposição de horário na sala | ",""),"")&amp;IFERROR(IF(AND(ISNUMBER($K263),$K263&gt;0,COUNTIF(Esp_Nome,$F263)&gt;0,$K263&gt;3*INDEX(Esp_Dur,MATCH($F263,Esp_Nome,0))),"Duração atípica (&gt;3x a média) | ",""),""))</f>
        <v/>
      </c>
      <c r="O263" s="10">
        <f>IF(ISNUMBER($D263),$D263,0)</f>
        <v/>
      </c>
      <c r="P263" s="10">
        <f>IF(ISNUMBER($E263),$E263,0)</f>
        <v/>
      </c>
    </row>
    <row r="264">
      <c r="A264" s="30" t="n"/>
      <c r="B264" s="24" t="n"/>
      <c r="C264" s="24" t="n"/>
      <c r="D264" s="31" t="n"/>
      <c r="E264" s="31" t="n"/>
      <c r="F264" s="25" t="n"/>
      <c r="G264" s="25" t="n"/>
      <c r="H264" s="25" t="n"/>
      <c r="I264" s="24" t="n"/>
      <c r="J264" s="24" t="n"/>
      <c r="K264" s="32">
        <f>IF(OR($B264="",NOT(ISNUMBER($D264)),NOT(ISNUMBER($E264))),"",ROUND(MOD($E264-$D264,1)*1440,0))</f>
        <v/>
      </c>
      <c r="L264" s="32">
        <f>IF(NOT(ISNUMBER($K264)),0,IF(OR($K264&lt;=0,$J264="Cancelada",$J264="Suspensa"),0,$K264+Setup_Min))</f>
        <v/>
      </c>
      <c r="M264" s="17">
        <f>IF($B264="","",IF($N264="","OK",LEFT($N264,LEN($N264)-3)))</f>
        <v/>
      </c>
      <c r="N264" s="10">
        <f>IF($B264="","",IF(COUNTIF(Salas_Cod,$B264)=0,"Sala não cadastrada | ","")&amp;IF(AND(COUNTIF(Salas_Cod,$B264)&gt;0,IFERROR(INDEX(Salas_Status,MATCH($B264,Salas_Cod,0)),"")&lt;&gt;"Ativa"),"Sala bloqueada | ","")&amp;IF(COUNTIF(Turnos_Nome,$C264)=0,"Turno inválido | ","")&amp;IF(COUNTIF(Esp_Nome,$F264)=0,"Especialidade não cadastrada | ","")&amp;IF(COUNTIF(Lista_StatusCirurgia,$J264)=0,"Status inválido | ","")&amp;IF(OR(NOT(ISNUMBER($D264)),NOT(ISNUMBER($E264))),"Horário inválido | ","")&amp;IFERROR(IF(AND(ISNUMBER($D264),ISNUMBER($E264),MOD($E264-$D264,1)*1440&lt;=0),"Duração nula ou negativa | ",""),"")&amp;IFERROR(IF(AND(ISNUMBER($D264),COUNTIF(Turnos_Nome,$C264)&gt;0,MOD($D264-INDEX(Turnos_Ini,MATCH($C264,Turnos_Nome,0)),1)*1440&gt;=INDEX(Turnos_Min,MATCH($C264,Turnos_Nome,0))),"Início fora da janela do turno | ",""),"")&amp;IFERROR(IF(AND($L264&gt;0,SUMPRODUCT((Mapa_Sala=$B264)*(Mapa_Data=$A264)*(Mapa_MinOcup&gt;0)*(((MOD(Mapa_IniNum-$O264,1)&lt;MOD($P264-$O264,1))+(MOD($O264-Mapa_IniNum,1)&lt;MOD(Mapa_FimNum-Mapa_IniNum,1)))&gt;0))&gt;1),"Sobreposição de horário na sala | ",""),"")&amp;IFERROR(IF(AND(ISNUMBER($K264),$K264&gt;0,COUNTIF(Esp_Nome,$F264)&gt;0,$K264&gt;3*INDEX(Esp_Dur,MATCH($F264,Esp_Nome,0))),"Duração atípica (&gt;3x a média) | ",""),""))</f>
        <v/>
      </c>
      <c r="O264" s="10">
        <f>IF(ISNUMBER($D264),$D264,0)</f>
        <v/>
      </c>
      <c r="P264" s="10">
        <f>IF(ISNUMBER($E264),$E264,0)</f>
        <v/>
      </c>
    </row>
    <row r="265">
      <c r="A265" s="30" t="n"/>
      <c r="B265" s="24" t="n"/>
      <c r="C265" s="24" t="n"/>
      <c r="D265" s="31" t="n"/>
      <c r="E265" s="31" t="n"/>
      <c r="F265" s="25" t="n"/>
      <c r="G265" s="25" t="n"/>
      <c r="H265" s="25" t="n"/>
      <c r="I265" s="24" t="n"/>
      <c r="J265" s="24" t="n"/>
      <c r="K265" s="32">
        <f>IF(OR($B265="",NOT(ISNUMBER($D265)),NOT(ISNUMBER($E265))),"",ROUND(MOD($E265-$D265,1)*1440,0))</f>
        <v/>
      </c>
      <c r="L265" s="32">
        <f>IF(NOT(ISNUMBER($K265)),0,IF(OR($K265&lt;=0,$J265="Cancelada",$J265="Suspensa"),0,$K265+Setup_Min))</f>
        <v/>
      </c>
      <c r="M265" s="17">
        <f>IF($B265="","",IF($N265="","OK",LEFT($N265,LEN($N265)-3)))</f>
        <v/>
      </c>
      <c r="N265" s="10">
        <f>IF($B265="","",IF(COUNTIF(Salas_Cod,$B265)=0,"Sala não cadastrada | ","")&amp;IF(AND(COUNTIF(Salas_Cod,$B265)&gt;0,IFERROR(INDEX(Salas_Status,MATCH($B265,Salas_Cod,0)),"")&lt;&gt;"Ativa"),"Sala bloqueada | ","")&amp;IF(COUNTIF(Turnos_Nome,$C265)=0,"Turno inválido | ","")&amp;IF(COUNTIF(Esp_Nome,$F265)=0,"Especialidade não cadastrada | ","")&amp;IF(COUNTIF(Lista_StatusCirurgia,$J265)=0,"Status inválido | ","")&amp;IF(OR(NOT(ISNUMBER($D265)),NOT(ISNUMBER($E265))),"Horário inválido | ","")&amp;IFERROR(IF(AND(ISNUMBER($D265),ISNUMBER($E265),MOD($E265-$D265,1)*1440&lt;=0),"Duração nula ou negativa | ",""),"")&amp;IFERROR(IF(AND(ISNUMBER($D265),COUNTIF(Turnos_Nome,$C265)&gt;0,MOD($D265-INDEX(Turnos_Ini,MATCH($C265,Turnos_Nome,0)),1)*1440&gt;=INDEX(Turnos_Min,MATCH($C265,Turnos_Nome,0))),"Início fora da janela do turno | ",""),"")&amp;IFERROR(IF(AND($L265&gt;0,SUMPRODUCT((Mapa_Sala=$B265)*(Mapa_Data=$A265)*(Mapa_MinOcup&gt;0)*(((MOD(Mapa_IniNum-$O265,1)&lt;MOD($P265-$O265,1))+(MOD($O265-Mapa_IniNum,1)&lt;MOD(Mapa_FimNum-Mapa_IniNum,1)))&gt;0))&gt;1),"Sobreposição de horário na sala | ",""),"")&amp;IFERROR(IF(AND(ISNUMBER($K265),$K265&gt;0,COUNTIF(Esp_Nome,$F265)&gt;0,$K265&gt;3*INDEX(Esp_Dur,MATCH($F265,Esp_Nome,0))),"Duração atípica (&gt;3x a média) | ",""),""))</f>
        <v/>
      </c>
      <c r="O265" s="10">
        <f>IF(ISNUMBER($D265),$D265,0)</f>
        <v/>
      </c>
      <c r="P265" s="10">
        <f>IF(ISNUMBER($E265),$E265,0)</f>
        <v/>
      </c>
    </row>
    <row r="266">
      <c r="A266" s="30" t="n"/>
      <c r="B266" s="24" t="n"/>
      <c r="C266" s="24" t="n"/>
      <c r="D266" s="31" t="n"/>
      <c r="E266" s="31" t="n"/>
      <c r="F266" s="25" t="n"/>
      <c r="G266" s="25" t="n"/>
      <c r="H266" s="25" t="n"/>
      <c r="I266" s="24" t="n"/>
      <c r="J266" s="24" t="n"/>
      <c r="K266" s="32">
        <f>IF(OR($B266="",NOT(ISNUMBER($D266)),NOT(ISNUMBER($E266))),"",ROUND(MOD($E266-$D266,1)*1440,0))</f>
        <v/>
      </c>
      <c r="L266" s="32">
        <f>IF(NOT(ISNUMBER($K266)),0,IF(OR($K266&lt;=0,$J266="Cancelada",$J266="Suspensa"),0,$K266+Setup_Min))</f>
        <v/>
      </c>
      <c r="M266" s="17">
        <f>IF($B266="","",IF($N266="","OK",LEFT($N266,LEN($N266)-3)))</f>
        <v/>
      </c>
      <c r="N266" s="10">
        <f>IF($B266="","",IF(COUNTIF(Salas_Cod,$B266)=0,"Sala não cadastrada | ","")&amp;IF(AND(COUNTIF(Salas_Cod,$B266)&gt;0,IFERROR(INDEX(Salas_Status,MATCH($B266,Salas_Cod,0)),"")&lt;&gt;"Ativa"),"Sala bloqueada | ","")&amp;IF(COUNTIF(Turnos_Nome,$C266)=0,"Turno inválido | ","")&amp;IF(COUNTIF(Esp_Nome,$F266)=0,"Especialidade não cadastrada | ","")&amp;IF(COUNTIF(Lista_StatusCirurgia,$J266)=0,"Status inválido | ","")&amp;IF(OR(NOT(ISNUMBER($D266)),NOT(ISNUMBER($E266))),"Horário inválido | ","")&amp;IFERROR(IF(AND(ISNUMBER($D266),ISNUMBER($E266),MOD($E266-$D266,1)*1440&lt;=0),"Duração nula ou negativa | ",""),"")&amp;IFERROR(IF(AND(ISNUMBER($D266),COUNTIF(Turnos_Nome,$C266)&gt;0,MOD($D266-INDEX(Turnos_Ini,MATCH($C266,Turnos_Nome,0)),1)*1440&gt;=INDEX(Turnos_Min,MATCH($C266,Turnos_Nome,0))),"Início fora da janela do turno | ",""),"")&amp;IFERROR(IF(AND($L266&gt;0,SUMPRODUCT((Mapa_Sala=$B266)*(Mapa_Data=$A266)*(Mapa_MinOcup&gt;0)*(((MOD(Mapa_IniNum-$O266,1)&lt;MOD($P266-$O266,1))+(MOD($O266-Mapa_IniNum,1)&lt;MOD(Mapa_FimNum-Mapa_IniNum,1)))&gt;0))&gt;1),"Sobreposição de horário na sala | ",""),"")&amp;IFERROR(IF(AND(ISNUMBER($K266),$K266&gt;0,COUNTIF(Esp_Nome,$F266)&gt;0,$K266&gt;3*INDEX(Esp_Dur,MATCH($F266,Esp_Nome,0))),"Duração atípica (&gt;3x a média) | ",""),""))</f>
        <v/>
      </c>
      <c r="O266" s="10">
        <f>IF(ISNUMBER($D266),$D266,0)</f>
        <v/>
      </c>
      <c r="P266" s="10">
        <f>IF(ISNUMBER($E266),$E266,0)</f>
        <v/>
      </c>
    </row>
    <row r="267">
      <c r="A267" s="30" t="n"/>
      <c r="B267" s="24" t="n"/>
      <c r="C267" s="24" t="n"/>
      <c r="D267" s="31" t="n"/>
      <c r="E267" s="31" t="n"/>
      <c r="F267" s="25" t="n"/>
      <c r="G267" s="25" t="n"/>
      <c r="H267" s="25" t="n"/>
      <c r="I267" s="24" t="n"/>
      <c r="J267" s="24" t="n"/>
      <c r="K267" s="32">
        <f>IF(OR($B267="",NOT(ISNUMBER($D267)),NOT(ISNUMBER($E267))),"",ROUND(MOD($E267-$D267,1)*1440,0))</f>
        <v/>
      </c>
      <c r="L267" s="32">
        <f>IF(NOT(ISNUMBER($K267)),0,IF(OR($K267&lt;=0,$J267="Cancelada",$J267="Suspensa"),0,$K267+Setup_Min))</f>
        <v/>
      </c>
      <c r="M267" s="17">
        <f>IF($B267="","",IF($N267="","OK",LEFT($N267,LEN($N267)-3)))</f>
        <v/>
      </c>
      <c r="N267" s="10">
        <f>IF($B267="","",IF(COUNTIF(Salas_Cod,$B267)=0,"Sala não cadastrada | ","")&amp;IF(AND(COUNTIF(Salas_Cod,$B267)&gt;0,IFERROR(INDEX(Salas_Status,MATCH($B267,Salas_Cod,0)),"")&lt;&gt;"Ativa"),"Sala bloqueada | ","")&amp;IF(COUNTIF(Turnos_Nome,$C267)=0,"Turno inválido | ","")&amp;IF(COUNTIF(Esp_Nome,$F267)=0,"Especialidade não cadastrada | ","")&amp;IF(COUNTIF(Lista_StatusCirurgia,$J267)=0,"Status inválido | ","")&amp;IF(OR(NOT(ISNUMBER($D267)),NOT(ISNUMBER($E267))),"Horário inválido | ","")&amp;IFERROR(IF(AND(ISNUMBER($D267),ISNUMBER($E267),MOD($E267-$D267,1)*1440&lt;=0),"Duração nula ou negativa | ",""),"")&amp;IFERROR(IF(AND(ISNUMBER($D267),COUNTIF(Turnos_Nome,$C267)&gt;0,MOD($D267-INDEX(Turnos_Ini,MATCH($C267,Turnos_Nome,0)),1)*1440&gt;=INDEX(Turnos_Min,MATCH($C267,Turnos_Nome,0))),"Início fora da janela do turno | ",""),"")&amp;IFERROR(IF(AND($L267&gt;0,SUMPRODUCT((Mapa_Sala=$B267)*(Mapa_Data=$A267)*(Mapa_MinOcup&gt;0)*(((MOD(Mapa_IniNum-$O267,1)&lt;MOD($P267-$O267,1))+(MOD($O267-Mapa_IniNum,1)&lt;MOD(Mapa_FimNum-Mapa_IniNum,1)))&gt;0))&gt;1),"Sobreposição de horário na sala | ",""),"")&amp;IFERROR(IF(AND(ISNUMBER($K267),$K267&gt;0,COUNTIF(Esp_Nome,$F267)&gt;0,$K267&gt;3*INDEX(Esp_Dur,MATCH($F267,Esp_Nome,0))),"Duração atípica (&gt;3x a média) | ",""),""))</f>
        <v/>
      </c>
      <c r="O267" s="10">
        <f>IF(ISNUMBER($D267),$D267,0)</f>
        <v/>
      </c>
      <c r="P267" s="10">
        <f>IF(ISNUMBER($E267),$E267,0)</f>
        <v/>
      </c>
    </row>
    <row r="268">
      <c r="A268" s="30" t="n"/>
      <c r="B268" s="24" t="n"/>
      <c r="C268" s="24" t="n"/>
      <c r="D268" s="31" t="n"/>
      <c r="E268" s="31" t="n"/>
      <c r="F268" s="25" t="n"/>
      <c r="G268" s="25" t="n"/>
      <c r="H268" s="25" t="n"/>
      <c r="I268" s="24" t="n"/>
      <c r="J268" s="24" t="n"/>
      <c r="K268" s="32">
        <f>IF(OR($B268="",NOT(ISNUMBER($D268)),NOT(ISNUMBER($E268))),"",ROUND(MOD($E268-$D268,1)*1440,0))</f>
        <v/>
      </c>
      <c r="L268" s="32">
        <f>IF(NOT(ISNUMBER($K268)),0,IF(OR($K268&lt;=0,$J268="Cancelada",$J268="Suspensa"),0,$K268+Setup_Min))</f>
        <v/>
      </c>
      <c r="M268" s="17">
        <f>IF($B268="","",IF($N268="","OK",LEFT($N268,LEN($N268)-3)))</f>
        <v/>
      </c>
      <c r="N268" s="10">
        <f>IF($B268="","",IF(COUNTIF(Salas_Cod,$B268)=0,"Sala não cadastrada | ","")&amp;IF(AND(COUNTIF(Salas_Cod,$B268)&gt;0,IFERROR(INDEX(Salas_Status,MATCH($B268,Salas_Cod,0)),"")&lt;&gt;"Ativa"),"Sala bloqueada | ","")&amp;IF(COUNTIF(Turnos_Nome,$C268)=0,"Turno inválido | ","")&amp;IF(COUNTIF(Esp_Nome,$F268)=0,"Especialidade não cadastrada | ","")&amp;IF(COUNTIF(Lista_StatusCirurgia,$J268)=0,"Status inválido | ","")&amp;IF(OR(NOT(ISNUMBER($D268)),NOT(ISNUMBER($E268))),"Horário inválido | ","")&amp;IFERROR(IF(AND(ISNUMBER($D268),ISNUMBER($E268),MOD($E268-$D268,1)*1440&lt;=0),"Duração nula ou negativa | ",""),"")&amp;IFERROR(IF(AND(ISNUMBER($D268),COUNTIF(Turnos_Nome,$C268)&gt;0,MOD($D268-INDEX(Turnos_Ini,MATCH($C268,Turnos_Nome,0)),1)*1440&gt;=INDEX(Turnos_Min,MATCH($C268,Turnos_Nome,0))),"Início fora da janela do turno | ",""),"")&amp;IFERROR(IF(AND($L268&gt;0,SUMPRODUCT((Mapa_Sala=$B268)*(Mapa_Data=$A268)*(Mapa_MinOcup&gt;0)*(((MOD(Mapa_IniNum-$O268,1)&lt;MOD($P268-$O268,1))+(MOD($O268-Mapa_IniNum,1)&lt;MOD(Mapa_FimNum-Mapa_IniNum,1)))&gt;0))&gt;1),"Sobreposição de horário na sala | ",""),"")&amp;IFERROR(IF(AND(ISNUMBER($K268),$K268&gt;0,COUNTIF(Esp_Nome,$F268)&gt;0,$K268&gt;3*INDEX(Esp_Dur,MATCH($F268,Esp_Nome,0))),"Duração atípica (&gt;3x a média) | ",""),""))</f>
        <v/>
      </c>
      <c r="O268" s="10">
        <f>IF(ISNUMBER($D268),$D268,0)</f>
        <v/>
      </c>
      <c r="P268" s="10">
        <f>IF(ISNUMBER($E268),$E268,0)</f>
        <v/>
      </c>
    </row>
    <row r="269">
      <c r="A269" s="30" t="n"/>
      <c r="B269" s="24" t="n"/>
      <c r="C269" s="24" t="n"/>
      <c r="D269" s="31" t="n"/>
      <c r="E269" s="31" t="n"/>
      <c r="F269" s="25" t="n"/>
      <c r="G269" s="25" t="n"/>
      <c r="H269" s="25" t="n"/>
      <c r="I269" s="24" t="n"/>
      <c r="J269" s="24" t="n"/>
      <c r="K269" s="32">
        <f>IF(OR($B269="",NOT(ISNUMBER($D269)),NOT(ISNUMBER($E269))),"",ROUND(MOD($E269-$D269,1)*1440,0))</f>
        <v/>
      </c>
      <c r="L269" s="32">
        <f>IF(NOT(ISNUMBER($K269)),0,IF(OR($K269&lt;=0,$J269="Cancelada",$J269="Suspensa"),0,$K269+Setup_Min))</f>
        <v/>
      </c>
      <c r="M269" s="17">
        <f>IF($B269="","",IF($N269="","OK",LEFT($N269,LEN($N269)-3)))</f>
        <v/>
      </c>
      <c r="N269" s="10">
        <f>IF($B269="","",IF(COUNTIF(Salas_Cod,$B269)=0,"Sala não cadastrada | ","")&amp;IF(AND(COUNTIF(Salas_Cod,$B269)&gt;0,IFERROR(INDEX(Salas_Status,MATCH($B269,Salas_Cod,0)),"")&lt;&gt;"Ativa"),"Sala bloqueada | ","")&amp;IF(COUNTIF(Turnos_Nome,$C269)=0,"Turno inválido | ","")&amp;IF(COUNTIF(Esp_Nome,$F269)=0,"Especialidade não cadastrada | ","")&amp;IF(COUNTIF(Lista_StatusCirurgia,$J269)=0,"Status inválido | ","")&amp;IF(OR(NOT(ISNUMBER($D269)),NOT(ISNUMBER($E269))),"Horário inválido | ","")&amp;IFERROR(IF(AND(ISNUMBER($D269),ISNUMBER($E269),MOD($E269-$D269,1)*1440&lt;=0),"Duração nula ou negativa | ",""),"")&amp;IFERROR(IF(AND(ISNUMBER($D269),COUNTIF(Turnos_Nome,$C269)&gt;0,MOD($D269-INDEX(Turnos_Ini,MATCH($C269,Turnos_Nome,0)),1)*1440&gt;=INDEX(Turnos_Min,MATCH($C269,Turnos_Nome,0))),"Início fora da janela do turno | ",""),"")&amp;IFERROR(IF(AND($L269&gt;0,SUMPRODUCT((Mapa_Sala=$B269)*(Mapa_Data=$A269)*(Mapa_MinOcup&gt;0)*(((MOD(Mapa_IniNum-$O269,1)&lt;MOD($P269-$O269,1))+(MOD($O269-Mapa_IniNum,1)&lt;MOD(Mapa_FimNum-Mapa_IniNum,1)))&gt;0))&gt;1),"Sobreposição de horário na sala | ",""),"")&amp;IFERROR(IF(AND(ISNUMBER($K269),$K269&gt;0,COUNTIF(Esp_Nome,$F269)&gt;0,$K269&gt;3*INDEX(Esp_Dur,MATCH($F269,Esp_Nome,0))),"Duração atípica (&gt;3x a média) | ",""),""))</f>
        <v/>
      </c>
      <c r="O269" s="10">
        <f>IF(ISNUMBER($D269),$D269,0)</f>
        <v/>
      </c>
      <c r="P269" s="10">
        <f>IF(ISNUMBER($E269),$E269,0)</f>
        <v/>
      </c>
    </row>
    <row r="270">
      <c r="A270" s="30" t="n"/>
      <c r="B270" s="24" t="n"/>
      <c r="C270" s="24" t="n"/>
      <c r="D270" s="31" t="n"/>
      <c r="E270" s="31" t="n"/>
      <c r="F270" s="25" t="n"/>
      <c r="G270" s="25" t="n"/>
      <c r="H270" s="25" t="n"/>
      <c r="I270" s="24" t="n"/>
      <c r="J270" s="24" t="n"/>
      <c r="K270" s="32">
        <f>IF(OR($B270="",NOT(ISNUMBER($D270)),NOT(ISNUMBER($E270))),"",ROUND(MOD($E270-$D270,1)*1440,0))</f>
        <v/>
      </c>
      <c r="L270" s="32">
        <f>IF(NOT(ISNUMBER($K270)),0,IF(OR($K270&lt;=0,$J270="Cancelada",$J270="Suspensa"),0,$K270+Setup_Min))</f>
        <v/>
      </c>
      <c r="M270" s="17">
        <f>IF($B270="","",IF($N270="","OK",LEFT($N270,LEN($N270)-3)))</f>
        <v/>
      </c>
      <c r="N270" s="10">
        <f>IF($B270="","",IF(COUNTIF(Salas_Cod,$B270)=0,"Sala não cadastrada | ","")&amp;IF(AND(COUNTIF(Salas_Cod,$B270)&gt;0,IFERROR(INDEX(Salas_Status,MATCH($B270,Salas_Cod,0)),"")&lt;&gt;"Ativa"),"Sala bloqueada | ","")&amp;IF(COUNTIF(Turnos_Nome,$C270)=0,"Turno inválido | ","")&amp;IF(COUNTIF(Esp_Nome,$F270)=0,"Especialidade não cadastrada | ","")&amp;IF(COUNTIF(Lista_StatusCirurgia,$J270)=0,"Status inválido | ","")&amp;IF(OR(NOT(ISNUMBER($D270)),NOT(ISNUMBER($E270))),"Horário inválido | ","")&amp;IFERROR(IF(AND(ISNUMBER($D270),ISNUMBER($E270),MOD($E270-$D270,1)*1440&lt;=0),"Duração nula ou negativa | ",""),"")&amp;IFERROR(IF(AND(ISNUMBER($D270),COUNTIF(Turnos_Nome,$C270)&gt;0,MOD($D270-INDEX(Turnos_Ini,MATCH($C270,Turnos_Nome,0)),1)*1440&gt;=INDEX(Turnos_Min,MATCH($C270,Turnos_Nome,0))),"Início fora da janela do turno | ",""),"")&amp;IFERROR(IF(AND($L270&gt;0,SUMPRODUCT((Mapa_Sala=$B270)*(Mapa_Data=$A270)*(Mapa_MinOcup&gt;0)*(((MOD(Mapa_IniNum-$O270,1)&lt;MOD($P270-$O270,1))+(MOD($O270-Mapa_IniNum,1)&lt;MOD(Mapa_FimNum-Mapa_IniNum,1)))&gt;0))&gt;1),"Sobreposição de horário na sala | ",""),"")&amp;IFERROR(IF(AND(ISNUMBER($K270),$K270&gt;0,COUNTIF(Esp_Nome,$F270)&gt;0,$K270&gt;3*INDEX(Esp_Dur,MATCH($F270,Esp_Nome,0))),"Duração atípica (&gt;3x a média) | ",""),""))</f>
        <v/>
      </c>
      <c r="O270" s="10">
        <f>IF(ISNUMBER($D270),$D270,0)</f>
        <v/>
      </c>
      <c r="P270" s="10">
        <f>IF(ISNUMBER($E270),$E270,0)</f>
        <v/>
      </c>
    </row>
    <row r="271">
      <c r="A271" s="30" t="n"/>
      <c r="B271" s="24" t="n"/>
      <c r="C271" s="24" t="n"/>
      <c r="D271" s="31" t="n"/>
      <c r="E271" s="31" t="n"/>
      <c r="F271" s="25" t="n"/>
      <c r="G271" s="25" t="n"/>
      <c r="H271" s="25" t="n"/>
      <c r="I271" s="24" t="n"/>
      <c r="J271" s="24" t="n"/>
      <c r="K271" s="32">
        <f>IF(OR($B271="",NOT(ISNUMBER($D271)),NOT(ISNUMBER($E271))),"",ROUND(MOD($E271-$D271,1)*1440,0))</f>
        <v/>
      </c>
      <c r="L271" s="32">
        <f>IF(NOT(ISNUMBER($K271)),0,IF(OR($K271&lt;=0,$J271="Cancelada",$J271="Suspensa"),0,$K271+Setup_Min))</f>
        <v/>
      </c>
      <c r="M271" s="17">
        <f>IF($B271="","",IF($N271="","OK",LEFT($N271,LEN($N271)-3)))</f>
        <v/>
      </c>
      <c r="N271" s="10">
        <f>IF($B271="","",IF(COUNTIF(Salas_Cod,$B271)=0,"Sala não cadastrada | ","")&amp;IF(AND(COUNTIF(Salas_Cod,$B271)&gt;0,IFERROR(INDEX(Salas_Status,MATCH($B271,Salas_Cod,0)),"")&lt;&gt;"Ativa"),"Sala bloqueada | ","")&amp;IF(COUNTIF(Turnos_Nome,$C271)=0,"Turno inválido | ","")&amp;IF(COUNTIF(Esp_Nome,$F271)=0,"Especialidade não cadastrada | ","")&amp;IF(COUNTIF(Lista_StatusCirurgia,$J271)=0,"Status inválido | ","")&amp;IF(OR(NOT(ISNUMBER($D271)),NOT(ISNUMBER($E271))),"Horário inválido | ","")&amp;IFERROR(IF(AND(ISNUMBER($D271),ISNUMBER($E271),MOD($E271-$D271,1)*1440&lt;=0),"Duração nula ou negativa | ",""),"")&amp;IFERROR(IF(AND(ISNUMBER($D271),COUNTIF(Turnos_Nome,$C271)&gt;0,MOD($D271-INDEX(Turnos_Ini,MATCH($C271,Turnos_Nome,0)),1)*1440&gt;=INDEX(Turnos_Min,MATCH($C271,Turnos_Nome,0))),"Início fora da janela do turno | ",""),"")&amp;IFERROR(IF(AND($L271&gt;0,SUMPRODUCT((Mapa_Sala=$B271)*(Mapa_Data=$A271)*(Mapa_MinOcup&gt;0)*(((MOD(Mapa_IniNum-$O271,1)&lt;MOD($P271-$O271,1))+(MOD($O271-Mapa_IniNum,1)&lt;MOD(Mapa_FimNum-Mapa_IniNum,1)))&gt;0))&gt;1),"Sobreposição de horário na sala | ",""),"")&amp;IFERROR(IF(AND(ISNUMBER($K271),$K271&gt;0,COUNTIF(Esp_Nome,$F271)&gt;0,$K271&gt;3*INDEX(Esp_Dur,MATCH($F271,Esp_Nome,0))),"Duração atípica (&gt;3x a média) | ",""),""))</f>
        <v/>
      </c>
      <c r="O271" s="10">
        <f>IF(ISNUMBER($D271),$D271,0)</f>
        <v/>
      </c>
      <c r="P271" s="10">
        <f>IF(ISNUMBER($E271),$E271,0)</f>
        <v/>
      </c>
    </row>
    <row r="272">
      <c r="A272" s="30" t="n"/>
      <c r="B272" s="24" t="n"/>
      <c r="C272" s="24" t="n"/>
      <c r="D272" s="31" t="n"/>
      <c r="E272" s="31" t="n"/>
      <c r="F272" s="25" t="n"/>
      <c r="G272" s="25" t="n"/>
      <c r="H272" s="25" t="n"/>
      <c r="I272" s="24" t="n"/>
      <c r="J272" s="24" t="n"/>
      <c r="K272" s="32">
        <f>IF(OR($B272="",NOT(ISNUMBER($D272)),NOT(ISNUMBER($E272))),"",ROUND(MOD($E272-$D272,1)*1440,0))</f>
        <v/>
      </c>
      <c r="L272" s="32">
        <f>IF(NOT(ISNUMBER($K272)),0,IF(OR($K272&lt;=0,$J272="Cancelada",$J272="Suspensa"),0,$K272+Setup_Min))</f>
        <v/>
      </c>
      <c r="M272" s="17">
        <f>IF($B272="","",IF($N272="","OK",LEFT($N272,LEN($N272)-3)))</f>
        <v/>
      </c>
      <c r="N272" s="10">
        <f>IF($B272="","",IF(COUNTIF(Salas_Cod,$B272)=0,"Sala não cadastrada | ","")&amp;IF(AND(COUNTIF(Salas_Cod,$B272)&gt;0,IFERROR(INDEX(Salas_Status,MATCH($B272,Salas_Cod,0)),"")&lt;&gt;"Ativa"),"Sala bloqueada | ","")&amp;IF(COUNTIF(Turnos_Nome,$C272)=0,"Turno inválido | ","")&amp;IF(COUNTIF(Esp_Nome,$F272)=0,"Especialidade não cadastrada | ","")&amp;IF(COUNTIF(Lista_StatusCirurgia,$J272)=0,"Status inválido | ","")&amp;IF(OR(NOT(ISNUMBER($D272)),NOT(ISNUMBER($E272))),"Horário inválido | ","")&amp;IFERROR(IF(AND(ISNUMBER($D272),ISNUMBER($E272),MOD($E272-$D272,1)*1440&lt;=0),"Duração nula ou negativa | ",""),"")&amp;IFERROR(IF(AND(ISNUMBER($D272),COUNTIF(Turnos_Nome,$C272)&gt;0,MOD($D272-INDEX(Turnos_Ini,MATCH($C272,Turnos_Nome,0)),1)*1440&gt;=INDEX(Turnos_Min,MATCH($C272,Turnos_Nome,0))),"Início fora da janela do turno | ",""),"")&amp;IFERROR(IF(AND($L272&gt;0,SUMPRODUCT((Mapa_Sala=$B272)*(Mapa_Data=$A272)*(Mapa_MinOcup&gt;0)*(((MOD(Mapa_IniNum-$O272,1)&lt;MOD($P272-$O272,1))+(MOD($O272-Mapa_IniNum,1)&lt;MOD(Mapa_FimNum-Mapa_IniNum,1)))&gt;0))&gt;1),"Sobreposição de horário na sala | ",""),"")&amp;IFERROR(IF(AND(ISNUMBER($K272),$K272&gt;0,COUNTIF(Esp_Nome,$F272)&gt;0,$K272&gt;3*INDEX(Esp_Dur,MATCH($F272,Esp_Nome,0))),"Duração atípica (&gt;3x a média) | ",""),""))</f>
        <v/>
      </c>
      <c r="O272" s="10">
        <f>IF(ISNUMBER($D272),$D272,0)</f>
        <v/>
      </c>
      <c r="P272" s="10">
        <f>IF(ISNUMBER($E272),$E272,0)</f>
        <v/>
      </c>
    </row>
    <row r="273">
      <c r="A273" s="30" t="n"/>
      <c r="B273" s="24" t="n"/>
      <c r="C273" s="24" t="n"/>
      <c r="D273" s="31" t="n"/>
      <c r="E273" s="31" t="n"/>
      <c r="F273" s="25" t="n"/>
      <c r="G273" s="25" t="n"/>
      <c r="H273" s="25" t="n"/>
      <c r="I273" s="24" t="n"/>
      <c r="J273" s="24" t="n"/>
      <c r="K273" s="32">
        <f>IF(OR($B273="",NOT(ISNUMBER($D273)),NOT(ISNUMBER($E273))),"",ROUND(MOD($E273-$D273,1)*1440,0))</f>
        <v/>
      </c>
      <c r="L273" s="32">
        <f>IF(NOT(ISNUMBER($K273)),0,IF(OR($K273&lt;=0,$J273="Cancelada",$J273="Suspensa"),0,$K273+Setup_Min))</f>
        <v/>
      </c>
      <c r="M273" s="17">
        <f>IF($B273="","",IF($N273="","OK",LEFT($N273,LEN($N273)-3)))</f>
        <v/>
      </c>
      <c r="N273" s="10">
        <f>IF($B273="","",IF(COUNTIF(Salas_Cod,$B273)=0,"Sala não cadastrada | ","")&amp;IF(AND(COUNTIF(Salas_Cod,$B273)&gt;0,IFERROR(INDEX(Salas_Status,MATCH($B273,Salas_Cod,0)),"")&lt;&gt;"Ativa"),"Sala bloqueada | ","")&amp;IF(COUNTIF(Turnos_Nome,$C273)=0,"Turno inválido | ","")&amp;IF(COUNTIF(Esp_Nome,$F273)=0,"Especialidade não cadastrada | ","")&amp;IF(COUNTIF(Lista_StatusCirurgia,$J273)=0,"Status inválido | ","")&amp;IF(OR(NOT(ISNUMBER($D273)),NOT(ISNUMBER($E273))),"Horário inválido | ","")&amp;IFERROR(IF(AND(ISNUMBER($D273),ISNUMBER($E273),MOD($E273-$D273,1)*1440&lt;=0),"Duração nula ou negativa | ",""),"")&amp;IFERROR(IF(AND(ISNUMBER($D273),COUNTIF(Turnos_Nome,$C273)&gt;0,MOD($D273-INDEX(Turnos_Ini,MATCH($C273,Turnos_Nome,0)),1)*1440&gt;=INDEX(Turnos_Min,MATCH($C273,Turnos_Nome,0))),"Início fora da janela do turno | ",""),"")&amp;IFERROR(IF(AND($L273&gt;0,SUMPRODUCT((Mapa_Sala=$B273)*(Mapa_Data=$A273)*(Mapa_MinOcup&gt;0)*(((MOD(Mapa_IniNum-$O273,1)&lt;MOD($P273-$O273,1))+(MOD($O273-Mapa_IniNum,1)&lt;MOD(Mapa_FimNum-Mapa_IniNum,1)))&gt;0))&gt;1),"Sobreposição de horário na sala | ",""),"")&amp;IFERROR(IF(AND(ISNUMBER($K273),$K273&gt;0,COUNTIF(Esp_Nome,$F273)&gt;0,$K273&gt;3*INDEX(Esp_Dur,MATCH($F273,Esp_Nome,0))),"Duração atípica (&gt;3x a média) | ",""),""))</f>
        <v/>
      </c>
      <c r="O273" s="10">
        <f>IF(ISNUMBER($D273),$D273,0)</f>
        <v/>
      </c>
      <c r="P273" s="10">
        <f>IF(ISNUMBER($E273),$E273,0)</f>
        <v/>
      </c>
    </row>
    <row r="274">
      <c r="A274" s="30" t="n"/>
      <c r="B274" s="24" t="n"/>
      <c r="C274" s="24" t="n"/>
      <c r="D274" s="31" t="n"/>
      <c r="E274" s="31" t="n"/>
      <c r="F274" s="25" t="n"/>
      <c r="G274" s="25" t="n"/>
      <c r="H274" s="25" t="n"/>
      <c r="I274" s="24" t="n"/>
      <c r="J274" s="24" t="n"/>
      <c r="K274" s="32">
        <f>IF(OR($B274="",NOT(ISNUMBER($D274)),NOT(ISNUMBER($E274))),"",ROUND(MOD($E274-$D274,1)*1440,0))</f>
        <v/>
      </c>
      <c r="L274" s="32">
        <f>IF(NOT(ISNUMBER($K274)),0,IF(OR($K274&lt;=0,$J274="Cancelada",$J274="Suspensa"),0,$K274+Setup_Min))</f>
        <v/>
      </c>
      <c r="M274" s="17">
        <f>IF($B274="","",IF($N274="","OK",LEFT($N274,LEN($N274)-3)))</f>
        <v/>
      </c>
      <c r="N274" s="10">
        <f>IF($B274="","",IF(COUNTIF(Salas_Cod,$B274)=0,"Sala não cadastrada | ","")&amp;IF(AND(COUNTIF(Salas_Cod,$B274)&gt;0,IFERROR(INDEX(Salas_Status,MATCH($B274,Salas_Cod,0)),"")&lt;&gt;"Ativa"),"Sala bloqueada | ","")&amp;IF(COUNTIF(Turnos_Nome,$C274)=0,"Turno inválido | ","")&amp;IF(COUNTIF(Esp_Nome,$F274)=0,"Especialidade não cadastrada | ","")&amp;IF(COUNTIF(Lista_StatusCirurgia,$J274)=0,"Status inválido | ","")&amp;IF(OR(NOT(ISNUMBER($D274)),NOT(ISNUMBER($E274))),"Horário inválido | ","")&amp;IFERROR(IF(AND(ISNUMBER($D274),ISNUMBER($E274),MOD($E274-$D274,1)*1440&lt;=0),"Duração nula ou negativa | ",""),"")&amp;IFERROR(IF(AND(ISNUMBER($D274),COUNTIF(Turnos_Nome,$C274)&gt;0,MOD($D274-INDEX(Turnos_Ini,MATCH($C274,Turnos_Nome,0)),1)*1440&gt;=INDEX(Turnos_Min,MATCH($C274,Turnos_Nome,0))),"Início fora da janela do turno | ",""),"")&amp;IFERROR(IF(AND($L274&gt;0,SUMPRODUCT((Mapa_Sala=$B274)*(Mapa_Data=$A274)*(Mapa_MinOcup&gt;0)*(((MOD(Mapa_IniNum-$O274,1)&lt;MOD($P274-$O274,1))+(MOD($O274-Mapa_IniNum,1)&lt;MOD(Mapa_FimNum-Mapa_IniNum,1)))&gt;0))&gt;1),"Sobreposição de horário na sala | ",""),"")&amp;IFERROR(IF(AND(ISNUMBER($K274),$K274&gt;0,COUNTIF(Esp_Nome,$F274)&gt;0,$K274&gt;3*INDEX(Esp_Dur,MATCH($F274,Esp_Nome,0))),"Duração atípica (&gt;3x a média) | ",""),""))</f>
        <v/>
      </c>
      <c r="O274" s="10">
        <f>IF(ISNUMBER($D274),$D274,0)</f>
        <v/>
      </c>
      <c r="P274" s="10">
        <f>IF(ISNUMBER($E274),$E274,0)</f>
        <v/>
      </c>
    </row>
    <row r="275">
      <c r="A275" s="30" t="n"/>
      <c r="B275" s="24" t="n"/>
      <c r="C275" s="24" t="n"/>
      <c r="D275" s="31" t="n"/>
      <c r="E275" s="31" t="n"/>
      <c r="F275" s="25" t="n"/>
      <c r="G275" s="25" t="n"/>
      <c r="H275" s="25" t="n"/>
      <c r="I275" s="24" t="n"/>
      <c r="J275" s="24" t="n"/>
      <c r="K275" s="32">
        <f>IF(OR($B275="",NOT(ISNUMBER($D275)),NOT(ISNUMBER($E275))),"",ROUND(MOD($E275-$D275,1)*1440,0))</f>
        <v/>
      </c>
      <c r="L275" s="32">
        <f>IF(NOT(ISNUMBER($K275)),0,IF(OR($K275&lt;=0,$J275="Cancelada",$J275="Suspensa"),0,$K275+Setup_Min))</f>
        <v/>
      </c>
      <c r="M275" s="17">
        <f>IF($B275="","",IF($N275="","OK",LEFT($N275,LEN($N275)-3)))</f>
        <v/>
      </c>
      <c r="N275" s="10">
        <f>IF($B275="","",IF(COUNTIF(Salas_Cod,$B275)=0,"Sala não cadastrada | ","")&amp;IF(AND(COUNTIF(Salas_Cod,$B275)&gt;0,IFERROR(INDEX(Salas_Status,MATCH($B275,Salas_Cod,0)),"")&lt;&gt;"Ativa"),"Sala bloqueada | ","")&amp;IF(COUNTIF(Turnos_Nome,$C275)=0,"Turno inválido | ","")&amp;IF(COUNTIF(Esp_Nome,$F275)=0,"Especialidade não cadastrada | ","")&amp;IF(COUNTIF(Lista_StatusCirurgia,$J275)=0,"Status inválido | ","")&amp;IF(OR(NOT(ISNUMBER($D275)),NOT(ISNUMBER($E275))),"Horário inválido | ","")&amp;IFERROR(IF(AND(ISNUMBER($D275),ISNUMBER($E275),MOD($E275-$D275,1)*1440&lt;=0),"Duração nula ou negativa | ",""),"")&amp;IFERROR(IF(AND(ISNUMBER($D275),COUNTIF(Turnos_Nome,$C275)&gt;0,MOD($D275-INDEX(Turnos_Ini,MATCH($C275,Turnos_Nome,0)),1)*1440&gt;=INDEX(Turnos_Min,MATCH($C275,Turnos_Nome,0))),"Início fora da janela do turno | ",""),"")&amp;IFERROR(IF(AND($L275&gt;0,SUMPRODUCT((Mapa_Sala=$B275)*(Mapa_Data=$A275)*(Mapa_MinOcup&gt;0)*(((MOD(Mapa_IniNum-$O275,1)&lt;MOD($P275-$O275,1))+(MOD($O275-Mapa_IniNum,1)&lt;MOD(Mapa_FimNum-Mapa_IniNum,1)))&gt;0))&gt;1),"Sobreposição de horário na sala | ",""),"")&amp;IFERROR(IF(AND(ISNUMBER($K275),$K275&gt;0,COUNTIF(Esp_Nome,$F275)&gt;0,$K275&gt;3*INDEX(Esp_Dur,MATCH($F275,Esp_Nome,0))),"Duração atípica (&gt;3x a média) | ",""),""))</f>
        <v/>
      </c>
      <c r="O275" s="10">
        <f>IF(ISNUMBER($D275),$D275,0)</f>
        <v/>
      </c>
      <c r="P275" s="10">
        <f>IF(ISNUMBER($E275),$E275,0)</f>
        <v/>
      </c>
    </row>
    <row r="276">
      <c r="A276" s="30" t="n"/>
      <c r="B276" s="24" t="n"/>
      <c r="C276" s="24" t="n"/>
      <c r="D276" s="31" t="n"/>
      <c r="E276" s="31" t="n"/>
      <c r="F276" s="25" t="n"/>
      <c r="G276" s="25" t="n"/>
      <c r="H276" s="25" t="n"/>
      <c r="I276" s="24" t="n"/>
      <c r="J276" s="24" t="n"/>
      <c r="K276" s="32">
        <f>IF(OR($B276="",NOT(ISNUMBER($D276)),NOT(ISNUMBER($E276))),"",ROUND(MOD($E276-$D276,1)*1440,0))</f>
        <v/>
      </c>
      <c r="L276" s="32">
        <f>IF(NOT(ISNUMBER($K276)),0,IF(OR($K276&lt;=0,$J276="Cancelada",$J276="Suspensa"),0,$K276+Setup_Min))</f>
        <v/>
      </c>
      <c r="M276" s="17">
        <f>IF($B276="","",IF($N276="","OK",LEFT($N276,LEN($N276)-3)))</f>
        <v/>
      </c>
      <c r="N276" s="10">
        <f>IF($B276="","",IF(COUNTIF(Salas_Cod,$B276)=0,"Sala não cadastrada | ","")&amp;IF(AND(COUNTIF(Salas_Cod,$B276)&gt;0,IFERROR(INDEX(Salas_Status,MATCH($B276,Salas_Cod,0)),"")&lt;&gt;"Ativa"),"Sala bloqueada | ","")&amp;IF(COUNTIF(Turnos_Nome,$C276)=0,"Turno inválido | ","")&amp;IF(COUNTIF(Esp_Nome,$F276)=0,"Especialidade não cadastrada | ","")&amp;IF(COUNTIF(Lista_StatusCirurgia,$J276)=0,"Status inválido | ","")&amp;IF(OR(NOT(ISNUMBER($D276)),NOT(ISNUMBER($E276))),"Horário inválido | ","")&amp;IFERROR(IF(AND(ISNUMBER($D276),ISNUMBER($E276),MOD($E276-$D276,1)*1440&lt;=0),"Duração nula ou negativa | ",""),"")&amp;IFERROR(IF(AND(ISNUMBER($D276),COUNTIF(Turnos_Nome,$C276)&gt;0,MOD($D276-INDEX(Turnos_Ini,MATCH($C276,Turnos_Nome,0)),1)*1440&gt;=INDEX(Turnos_Min,MATCH($C276,Turnos_Nome,0))),"Início fora da janela do turno | ",""),"")&amp;IFERROR(IF(AND($L276&gt;0,SUMPRODUCT((Mapa_Sala=$B276)*(Mapa_Data=$A276)*(Mapa_MinOcup&gt;0)*(((MOD(Mapa_IniNum-$O276,1)&lt;MOD($P276-$O276,1))+(MOD($O276-Mapa_IniNum,1)&lt;MOD(Mapa_FimNum-Mapa_IniNum,1)))&gt;0))&gt;1),"Sobreposição de horário na sala | ",""),"")&amp;IFERROR(IF(AND(ISNUMBER($K276),$K276&gt;0,COUNTIF(Esp_Nome,$F276)&gt;0,$K276&gt;3*INDEX(Esp_Dur,MATCH($F276,Esp_Nome,0))),"Duração atípica (&gt;3x a média) | ",""),""))</f>
        <v/>
      </c>
      <c r="O276" s="10">
        <f>IF(ISNUMBER($D276),$D276,0)</f>
        <v/>
      </c>
      <c r="P276" s="10">
        <f>IF(ISNUMBER($E276),$E276,0)</f>
        <v/>
      </c>
    </row>
    <row r="277">
      <c r="A277" s="30" t="n"/>
      <c r="B277" s="24" t="n"/>
      <c r="C277" s="24" t="n"/>
      <c r="D277" s="31" t="n"/>
      <c r="E277" s="31" t="n"/>
      <c r="F277" s="25" t="n"/>
      <c r="G277" s="25" t="n"/>
      <c r="H277" s="25" t="n"/>
      <c r="I277" s="24" t="n"/>
      <c r="J277" s="24" t="n"/>
      <c r="K277" s="32">
        <f>IF(OR($B277="",NOT(ISNUMBER($D277)),NOT(ISNUMBER($E277))),"",ROUND(MOD($E277-$D277,1)*1440,0))</f>
        <v/>
      </c>
      <c r="L277" s="32">
        <f>IF(NOT(ISNUMBER($K277)),0,IF(OR($K277&lt;=0,$J277="Cancelada",$J277="Suspensa"),0,$K277+Setup_Min))</f>
        <v/>
      </c>
      <c r="M277" s="17">
        <f>IF($B277="","",IF($N277="","OK",LEFT($N277,LEN($N277)-3)))</f>
        <v/>
      </c>
      <c r="N277" s="10">
        <f>IF($B277="","",IF(COUNTIF(Salas_Cod,$B277)=0,"Sala não cadastrada | ","")&amp;IF(AND(COUNTIF(Salas_Cod,$B277)&gt;0,IFERROR(INDEX(Salas_Status,MATCH($B277,Salas_Cod,0)),"")&lt;&gt;"Ativa"),"Sala bloqueada | ","")&amp;IF(COUNTIF(Turnos_Nome,$C277)=0,"Turno inválido | ","")&amp;IF(COUNTIF(Esp_Nome,$F277)=0,"Especialidade não cadastrada | ","")&amp;IF(COUNTIF(Lista_StatusCirurgia,$J277)=0,"Status inválido | ","")&amp;IF(OR(NOT(ISNUMBER($D277)),NOT(ISNUMBER($E277))),"Horário inválido | ","")&amp;IFERROR(IF(AND(ISNUMBER($D277),ISNUMBER($E277),MOD($E277-$D277,1)*1440&lt;=0),"Duração nula ou negativa | ",""),"")&amp;IFERROR(IF(AND(ISNUMBER($D277),COUNTIF(Turnos_Nome,$C277)&gt;0,MOD($D277-INDEX(Turnos_Ini,MATCH($C277,Turnos_Nome,0)),1)*1440&gt;=INDEX(Turnos_Min,MATCH($C277,Turnos_Nome,0))),"Início fora da janela do turno | ",""),"")&amp;IFERROR(IF(AND($L277&gt;0,SUMPRODUCT((Mapa_Sala=$B277)*(Mapa_Data=$A277)*(Mapa_MinOcup&gt;0)*(((MOD(Mapa_IniNum-$O277,1)&lt;MOD($P277-$O277,1))+(MOD($O277-Mapa_IniNum,1)&lt;MOD(Mapa_FimNum-Mapa_IniNum,1)))&gt;0))&gt;1),"Sobreposição de horário na sala | ",""),"")&amp;IFERROR(IF(AND(ISNUMBER($K277),$K277&gt;0,COUNTIF(Esp_Nome,$F277)&gt;0,$K277&gt;3*INDEX(Esp_Dur,MATCH($F277,Esp_Nome,0))),"Duração atípica (&gt;3x a média) | ",""),""))</f>
        <v/>
      </c>
      <c r="O277" s="10">
        <f>IF(ISNUMBER($D277),$D277,0)</f>
        <v/>
      </c>
      <c r="P277" s="10">
        <f>IF(ISNUMBER($E277),$E277,0)</f>
        <v/>
      </c>
    </row>
    <row r="278">
      <c r="A278" s="30" t="n"/>
      <c r="B278" s="24" t="n"/>
      <c r="C278" s="24" t="n"/>
      <c r="D278" s="31" t="n"/>
      <c r="E278" s="31" t="n"/>
      <c r="F278" s="25" t="n"/>
      <c r="G278" s="25" t="n"/>
      <c r="H278" s="25" t="n"/>
      <c r="I278" s="24" t="n"/>
      <c r="J278" s="24" t="n"/>
      <c r="K278" s="32">
        <f>IF(OR($B278="",NOT(ISNUMBER($D278)),NOT(ISNUMBER($E278))),"",ROUND(MOD($E278-$D278,1)*1440,0))</f>
        <v/>
      </c>
      <c r="L278" s="32">
        <f>IF(NOT(ISNUMBER($K278)),0,IF(OR($K278&lt;=0,$J278="Cancelada",$J278="Suspensa"),0,$K278+Setup_Min))</f>
        <v/>
      </c>
      <c r="M278" s="17">
        <f>IF($B278="","",IF($N278="","OK",LEFT($N278,LEN($N278)-3)))</f>
        <v/>
      </c>
      <c r="N278" s="10">
        <f>IF($B278="","",IF(COUNTIF(Salas_Cod,$B278)=0,"Sala não cadastrada | ","")&amp;IF(AND(COUNTIF(Salas_Cod,$B278)&gt;0,IFERROR(INDEX(Salas_Status,MATCH($B278,Salas_Cod,0)),"")&lt;&gt;"Ativa"),"Sala bloqueada | ","")&amp;IF(COUNTIF(Turnos_Nome,$C278)=0,"Turno inválido | ","")&amp;IF(COUNTIF(Esp_Nome,$F278)=0,"Especialidade não cadastrada | ","")&amp;IF(COUNTIF(Lista_StatusCirurgia,$J278)=0,"Status inválido | ","")&amp;IF(OR(NOT(ISNUMBER($D278)),NOT(ISNUMBER($E278))),"Horário inválido | ","")&amp;IFERROR(IF(AND(ISNUMBER($D278),ISNUMBER($E278),MOD($E278-$D278,1)*1440&lt;=0),"Duração nula ou negativa | ",""),"")&amp;IFERROR(IF(AND(ISNUMBER($D278),COUNTIF(Turnos_Nome,$C278)&gt;0,MOD($D278-INDEX(Turnos_Ini,MATCH($C278,Turnos_Nome,0)),1)*1440&gt;=INDEX(Turnos_Min,MATCH($C278,Turnos_Nome,0))),"Início fora da janela do turno | ",""),"")&amp;IFERROR(IF(AND($L278&gt;0,SUMPRODUCT((Mapa_Sala=$B278)*(Mapa_Data=$A278)*(Mapa_MinOcup&gt;0)*(((MOD(Mapa_IniNum-$O278,1)&lt;MOD($P278-$O278,1))+(MOD($O278-Mapa_IniNum,1)&lt;MOD(Mapa_FimNum-Mapa_IniNum,1)))&gt;0))&gt;1),"Sobreposição de horário na sala | ",""),"")&amp;IFERROR(IF(AND(ISNUMBER($K278),$K278&gt;0,COUNTIF(Esp_Nome,$F278)&gt;0,$K278&gt;3*INDEX(Esp_Dur,MATCH($F278,Esp_Nome,0))),"Duração atípica (&gt;3x a média) | ",""),""))</f>
        <v/>
      </c>
      <c r="O278" s="10">
        <f>IF(ISNUMBER($D278),$D278,0)</f>
        <v/>
      </c>
      <c r="P278" s="10">
        <f>IF(ISNUMBER($E278),$E278,0)</f>
        <v/>
      </c>
    </row>
    <row r="279">
      <c r="A279" s="30" t="n"/>
      <c r="B279" s="24" t="n"/>
      <c r="C279" s="24" t="n"/>
      <c r="D279" s="31" t="n"/>
      <c r="E279" s="31" t="n"/>
      <c r="F279" s="25" t="n"/>
      <c r="G279" s="25" t="n"/>
      <c r="H279" s="25" t="n"/>
      <c r="I279" s="24" t="n"/>
      <c r="J279" s="24" t="n"/>
      <c r="K279" s="32">
        <f>IF(OR($B279="",NOT(ISNUMBER($D279)),NOT(ISNUMBER($E279))),"",ROUND(MOD($E279-$D279,1)*1440,0))</f>
        <v/>
      </c>
      <c r="L279" s="32">
        <f>IF(NOT(ISNUMBER($K279)),0,IF(OR($K279&lt;=0,$J279="Cancelada",$J279="Suspensa"),0,$K279+Setup_Min))</f>
        <v/>
      </c>
      <c r="M279" s="17">
        <f>IF($B279="","",IF($N279="","OK",LEFT($N279,LEN($N279)-3)))</f>
        <v/>
      </c>
      <c r="N279" s="10">
        <f>IF($B279="","",IF(COUNTIF(Salas_Cod,$B279)=0,"Sala não cadastrada | ","")&amp;IF(AND(COUNTIF(Salas_Cod,$B279)&gt;0,IFERROR(INDEX(Salas_Status,MATCH($B279,Salas_Cod,0)),"")&lt;&gt;"Ativa"),"Sala bloqueada | ","")&amp;IF(COUNTIF(Turnos_Nome,$C279)=0,"Turno inválido | ","")&amp;IF(COUNTIF(Esp_Nome,$F279)=0,"Especialidade não cadastrada | ","")&amp;IF(COUNTIF(Lista_StatusCirurgia,$J279)=0,"Status inválido | ","")&amp;IF(OR(NOT(ISNUMBER($D279)),NOT(ISNUMBER($E279))),"Horário inválido | ","")&amp;IFERROR(IF(AND(ISNUMBER($D279),ISNUMBER($E279),MOD($E279-$D279,1)*1440&lt;=0),"Duração nula ou negativa | ",""),"")&amp;IFERROR(IF(AND(ISNUMBER($D279),COUNTIF(Turnos_Nome,$C279)&gt;0,MOD($D279-INDEX(Turnos_Ini,MATCH($C279,Turnos_Nome,0)),1)*1440&gt;=INDEX(Turnos_Min,MATCH($C279,Turnos_Nome,0))),"Início fora da janela do turno | ",""),"")&amp;IFERROR(IF(AND($L279&gt;0,SUMPRODUCT((Mapa_Sala=$B279)*(Mapa_Data=$A279)*(Mapa_MinOcup&gt;0)*(((MOD(Mapa_IniNum-$O279,1)&lt;MOD($P279-$O279,1))+(MOD($O279-Mapa_IniNum,1)&lt;MOD(Mapa_FimNum-Mapa_IniNum,1)))&gt;0))&gt;1),"Sobreposição de horário na sala | ",""),"")&amp;IFERROR(IF(AND(ISNUMBER($K279),$K279&gt;0,COUNTIF(Esp_Nome,$F279)&gt;0,$K279&gt;3*INDEX(Esp_Dur,MATCH($F279,Esp_Nome,0))),"Duração atípica (&gt;3x a média) | ",""),""))</f>
        <v/>
      </c>
      <c r="O279" s="10">
        <f>IF(ISNUMBER($D279),$D279,0)</f>
        <v/>
      </c>
      <c r="P279" s="10">
        <f>IF(ISNUMBER($E279),$E279,0)</f>
        <v/>
      </c>
    </row>
    <row r="280">
      <c r="A280" s="30" t="n"/>
      <c r="B280" s="24" t="n"/>
      <c r="C280" s="24" t="n"/>
      <c r="D280" s="31" t="n"/>
      <c r="E280" s="31" t="n"/>
      <c r="F280" s="25" t="n"/>
      <c r="G280" s="25" t="n"/>
      <c r="H280" s="25" t="n"/>
      <c r="I280" s="24" t="n"/>
      <c r="J280" s="24" t="n"/>
      <c r="K280" s="32">
        <f>IF(OR($B280="",NOT(ISNUMBER($D280)),NOT(ISNUMBER($E280))),"",ROUND(MOD($E280-$D280,1)*1440,0))</f>
        <v/>
      </c>
      <c r="L280" s="32">
        <f>IF(NOT(ISNUMBER($K280)),0,IF(OR($K280&lt;=0,$J280="Cancelada",$J280="Suspensa"),0,$K280+Setup_Min))</f>
        <v/>
      </c>
      <c r="M280" s="17">
        <f>IF($B280="","",IF($N280="","OK",LEFT($N280,LEN($N280)-3)))</f>
        <v/>
      </c>
      <c r="N280" s="10">
        <f>IF($B280="","",IF(COUNTIF(Salas_Cod,$B280)=0,"Sala não cadastrada | ","")&amp;IF(AND(COUNTIF(Salas_Cod,$B280)&gt;0,IFERROR(INDEX(Salas_Status,MATCH($B280,Salas_Cod,0)),"")&lt;&gt;"Ativa"),"Sala bloqueada | ","")&amp;IF(COUNTIF(Turnos_Nome,$C280)=0,"Turno inválido | ","")&amp;IF(COUNTIF(Esp_Nome,$F280)=0,"Especialidade não cadastrada | ","")&amp;IF(COUNTIF(Lista_StatusCirurgia,$J280)=0,"Status inválido | ","")&amp;IF(OR(NOT(ISNUMBER($D280)),NOT(ISNUMBER($E280))),"Horário inválido | ","")&amp;IFERROR(IF(AND(ISNUMBER($D280),ISNUMBER($E280),MOD($E280-$D280,1)*1440&lt;=0),"Duração nula ou negativa | ",""),"")&amp;IFERROR(IF(AND(ISNUMBER($D280),COUNTIF(Turnos_Nome,$C280)&gt;0,MOD($D280-INDEX(Turnos_Ini,MATCH($C280,Turnos_Nome,0)),1)*1440&gt;=INDEX(Turnos_Min,MATCH($C280,Turnos_Nome,0))),"Início fora da janela do turno | ",""),"")&amp;IFERROR(IF(AND($L280&gt;0,SUMPRODUCT((Mapa_Sala=$B280)*(Mapa_Data=$A280)*(Mapa_MinOcup&gt;0)*(((MOD(Mapa_IniNum-$O280,1)&lt;MOD($P280-$O280,1))+(MOD($O280-Mapa_IniNum,1)&lt;MOD(Mapa_FimNum-Mapa_IniNum,1)))&gt;0))&gt;1),"Sobreposição de horário na sala | ",""),"")&amp;IFERROR(IF(AND(ISNUMBER($K280),$K280&gt;0,COUNTIF(Esp_Nome,$F280)&gt;0,$K280&gt;3*INDEX(Esp_Dur,MATCH($F280,Esp_Nome,0))),"Duração atípica (&gt;3x a média) | ",""),""))</f>
        <v/>
      </c>
      <c r="O280" s="10">
        <f>IF(ISNUMBER($D280),$D280,0)</f>
        <v/>
      </c>
      <c r="P280" s="10">
        <f>IF(ISNUMBER($E280),$E280,0)</f>
        <v/>
      </c>
    </row>
    <row r="281">
      <c r="A281" s="30" t="n"/>
      <c r="B281" s="24" t="n"/>
      <c r="C281" s="24" t="n"/>
      <c r="D281" s="31" t="n"/>
      <c r="E281" s="31" t="n"/>
      <c r="F281" s="25" t="n"/>
      <c r="G281" s="25" t="n"/>
      <c r="H281" s="25" t="n"/>
      <c r="I281" s="24" t="n"/>
      <c r="J281" s="24" t="n"/>
      <c r="K281" s="32">
        <f>IF(OR($B281="",NOT(ISNUMBER($D281)),NOT(ISNUMBER($E281))),"",ROUND(MOD($E281-$D281,1)*1440,0))</f>
        <v/>
      </c>
      <c r="L281" s="32">
        <f>IF(NOT(ISNUMBER($K281)),0,IF(OR($K281&lt;=0,$J281="Cancelada",$J281="Suspensa"),0,$K281+Setup_Min))</f>
        <v/>
      </c>
      <c r="M281" s="17">
        <f>IF($B281="","",IF($N281="","OK",LEFT($N281,LEN($N281)-3)))</f>
        <v/>
      </c>
      <c r="N281" s="10">
        <f>IF($B281="","",IF(COUNTIF(Salas_Cod,$B281)=0,"Sala não cadastrada | ","")&amp;IF(AND(COUNTIF(Salas_Cod,$B281)&gt;0,IFERROR(INDEX(Salas_Status,MATCH($B281,Salas_Cod,0)),"")&lt;&gt;"Ativa"),"Sala bloqueada | ","")&amp;IF(COUNTIF(Turnos_Nome,$C281)=0,"Turno inválido | ","")&amp;IF(COUNTIF(Esp_Nome,$F281)=0,"Especialidade não cadastrada | ","")&amp;IF(COUNTIF(Lista_StatusCirurgia,$J281)=0,"Status inválido | ","")&amp;IF(OR(NOT(ISNUMBER($D281)),NOT(ISNUMBER($E281))),"Horário inválido | ","")&amp;IFERROR(IF(AND(ISNUMBER($D281),ISNUMBER($E281),MOD($E281-$D281,1)*1440&lt;=0),"Duração nula ou negativa | ",""),"")&amp;IFERROR(IF(AND(ISNUMBER($D281),COUNTIF(Turnos_Nome,$C281)&gt;0,MOD($D281-INDEX(Turnos_Ini,MATCH($C281,Turnos_Nome,0)),1)*1440&gt;=INDEX(Turnos_Min,MATCH($C281,Turnos_Nome,0))),"Início fora da janela do turno | ",""),"")&amp;IFERROR(IF(AND($L281&gt;0,SUMPRODUCT((Mapa_Sala=$B281)*(Mapa_Data=$A281)*(Mapa_MinOcup&gt;0)*(((MOD(Mapa_IniNum-$O281,1)&lt;MOD($P281-$O281,1))+(MOD($O281-Mapa_IniNum,1)&lt;MOD(Mapa_FimNum-Mapa_IniNum,1)))&gt;0))&gt;1),"Sobreposição de horário na sala | ",""),"")&amp;IFERROR(IF(AND(ISNUMBER($K281),$K281&gt;0,COUNTIF(Esp_Nome,$F281)&gt;0,$K281&gt;3*INDEX(Esp_Dur,MATCH($F281,Esp_Nome,0))),"Duração atípica (&gt;3x a média) | ",""),""))</f>
        <v/>
      </c>
      <c r="O281" s="10">
        <f>IF(ISNUMBER($D281),$D281,0)</f>
        <v/>
      </c>
      <c r="P281" s="10">
        <f>IF(ISNUMBER($E281),$E281,0)</f>
        <v/>
      </c>
    </row>
    <row r="282">
      <c r="A282" s="30" t="n"/>
      <c r="B282" s="24" t="n"/>
      <c r="C282" s="24" t="n"/>
      <c r="D282" s="31" t="n"/>
      <c r="E282" s="31" t="n"/>
      <c r="F282" s="25" t="n"/>
      <c r="G282" s="25" t="n"/>
      <c r="H282" s="25" t="n"/>
      <c r="I282" s="24" t="n"/>
      <c r="J282" s="24" t="n"/>
      <c r="K282" s="32">
        <f>IF(OR($B282="",NOT(ISNUMBER($D282)),NOT(ISNUMBER($E282))),"",ROUND(MOD($E282-$D282,1)*1440,0))</f>
        <v/>
      </c>
      <c r="L282" s="32">
        <f>IF(NOT(ISNUMBER($K282)),0,IF(OR($K282&lt;=0,$J282="Cancelada",$J282="Suspensa"),0,$K282+Setup_Min))</f>
        <v/>
      </c>
      <c r="M282" s="17">
        <f>IF($B282="","",IF($N282="","OK",LEFT($N282,LEN($N282)-3)))</f>
        <v/>
      </c>
      <c r="N282" s="10">
        <f>IF($B282="","",IF(COUNTIF(Salas_Cod,$B282)=0,"Sala não cadastrada | ","")&amp;IF(AND(COUNTIF(Salas_Cod,$B282)&gt;0,IFERROR(INDEX(Salas_Status,MATCH($B282,Salas_Cod,0)),"")&lt;&gt;"Ativa"),"Sala bloqueada | ","")&amp;IF(COUNTIF(Turnos_Nome,$C282)=0,"Turno inválido | ","")&amp;IF(COUNTIF(Esp_Nome,$F282)=0,"Especialidade não cadastrada | ","")&amp;IF(COUNTIF(Lista_StatusCirurgia,$J282)=0,"Status inválido | ","")&amp;IF(OR(NOT(ISNUMBER($D282)),NOT(ISNUMBER($E282))),"Horário inválido | ","")&amp;IFERROR(IF(AND(ISNUMBER($D282),ISNUMBER($E282),MOD($E282-$D282,1)*1440&lt;=0),"Duração nula ou negativa | ",""),"")&amp;IFERROR(IF(AND(ISNUMBER($D282),COUNTIF(Turnos_Nome,$C282)&gt;0,MOD($D282-INDEX(Turnos_Ini,MATCH($C282,Turnos_Nome,0)),1)*1440&gt;=INDEX(Turnos_Min,MATCH($C282,Turnos_Nome,0))),"Início fora da janela do turno | ",""),"")&amp;IFERROR(IF(AND($L282&gt;0,SUMPRODUCT((Mapa_Sala=$B282)*(Mapa_Data=$A282)*(Mapa_MinOcup&gt;0)*(((MOD(Mapa_IniNum-$O282,1)&lt;MOD($P282-$O282,1))+(MOD($O282-Mapa_IniNum,1)&lt;MOD(Mapa_FimNum-Mapa_IniNum,1)))&gt;0))&gt;1),"Sobreposição de horário na sala | ",""),"")&amp;IFERROR(IF(AND(ISNUMBER($K282),$K282&gt;0,COUNTIF(Esp_Nome,$F282)&gt;0,$K282&gt;3*INDEX(Esp_Dur,MATCH($F282,Esp_Nome,0))),"Duração atípica (&gt;3x a média) | ",""),""))</f>
        <v/>
      </c>
      <c r="O282" s="10">
        <f>IF(ISNUMBER($D282),$D282,0)</f>
        <v/>
      </c>
      <c r="P282" s="10">
        <f>IF(ISNUMBER($E282),$E282,0)</f>
        <v/>
      </c>
    </row>
    <row r="283">
      <c r="A283" s="30" t="n"/>
      <c r="B283" s="24" t="n"/>
      <c r="C283" s="24" t="n"/>
      <c r="D283" s="31" t="n"/>
      <c r="E283" s="31" t="n"/>
      <c r="F283" s="25" t="n"/>
      <c r="G283" s="25" t="n"/>
      <c r="H283" s="25" t="n"/>
      <c r="I283" s="24" t="n"/>
      <c r="J283" s="24" t="n"/>
      <c r="K283" s="32">
        <f>IF(OR($B283="",NOT(ISNUMBER($D283)),NOT(ISNUMBER($E283))),"",ROUND(MOD($E283-$D283,1)*1440,0))</f>
        <v/>
      </c>
      <c r="L283" s="32">
        <f>IF(NOT(ISNUMBER($K283)),0,IF(OR($K283&lt;=0,$J283="Cancelada",$J283="Suspensa"),0,$K283+Setup_Min))</f>
        <v/>
      </c>
      <c r="M283" s="17">
        <f>IF($B283="","",IF($N283="","OK",LEFT($N283,LEN($N283)-3)))</f>
        <v/>
      </c>
      <c r="N283" s="10">
        <f>IF($B283="","",IF(COUNTIF(Salas_Cod,$B283)=0,"Sala não cadastrada | ","")&amp;IF(AND(COUNTIF(Salas_Cod,$B283)&gt;0,IFERROR(INDEX(Salas_Status,MATCH($B283,Salas_Cod,0)),"")&lt;&gt;"Ativa"),"Sala bloqueada | ","")&amp;IF(COUNTIF(Turnos_Nome,$C283)=0,"Turno inválido | ","")&amp;IF(COUNTIF(Esp_Nome,$F283)=0,"Especialidade não cadastrada | ","")&amp;IF(COUNTIF(Lista_StatusCirurgia,$J283)=0,"Status inválido | ","")&amp;IF(OR(NOT(ISNUMBER($D283)),NOT(ISNUMBER($E283))),"Horário inválido | ","")&amp;IFERROR(IF(AND(ISNUMBER($D283),ISNUMBER($E283),MOD($E283-$D283,1)*1440&lt;=0),"Duração nula ou negativa | ",""),"")&amp;IFERROR(IF(AND(ISNUMBER($D283),COUNTIF(Turnos_Nome,$C283)&gt;0,MOD($D283-INDEX(Turnos_Ini,MATCH($C283,Turnos_Nome,0)),1)*1440&gt;=INDEX(Turnos_Min,MATCH($C283,Turnos_Nome,0))),"Início fora da janela do turno | ",""),"")&amp;IFERROR(IF(AND($L283&gt;0,SUMPRODUCT((Mapa_Sala=$B283)*(Mapa_Data=$A283)*(Mapa_MinOcup&gt;0)*(((MOD(Mapa_IniNum-$O283,1)&lt;MOD($P283-$O283,1))+(MOD($O283-Mapa_IniNum,1)&lt;MOD(Mapa_FimNum-Mapa_IniNum,1)))&gt;0))&gt;1),"Sobreposição de horário na sala | ",""),"")&amp;IFERROR(IF(AND(ISNUMBER($K283),$K283&gt;0,COUNTIF(Esp_Nome,$F283)&gt;0,$K283&gt;3*INDEX(Esp_Dur,MATCH($F283,Esp_Nome,0))),"Duração atípica (&gt;3x a média) | ",""),""))</f>
        <v/>
      </c>
      <c r="O283" s="10">
        <f>IF(ISNUMBER($D283),$D283,0)</f>
        <v/>
      </c>
      <c r="P283" s="10">
        <f>IF(ISNUMBER($E283),$E283,0)</f>
        <v/>
      </c>
    </row>
    <row r="284">
      <c r="A284" s="30" t="n"/>
      <c r="B284" s="24" t="n"/>
      <c r="C284" s="24" t="n"/>
      <c r="D284" s="31" t="n"/>
      <c r="E284" s="31" t="n"/>
      <c r="F284" s="25" t="n"/>
      <c r="G284" s="25" t="n"/>
      <c r="H284" s="25" t="n"/>
      <c r="I284" s="24" t="n"/>
      <c r="J284" s="24" t="n"/>
      <c r="K284" s="32">
        <f>IF(OR($B284="",NOT(ISNUMBER($D284)),NOT(ISNUMBER($E284))),"",ROUND(MOD($E284-$D284,1)*1440,0))</f>
        <v/>
      </c>
      <c r="L284" s="32">
        <f>IF(NOT(ISNUMBER($K284)),0,IF(OR($K284&lt;=0,$J284="Cancelada",$J284="Suspensa"),0,$K284+Setup_Min))</f>
        <v/>
      </c>
      <c r="M284" s="17">
        <f>IF($B284="","",IF($N284="","OK",LEFT($N284,LEN($N284)-3)))</f>
        <v/>
      </c>
      <c r="N284" s="10">
        <f>IF($B284="","",IF(COUNTIF(Salas_Cod,$B284)=0,"Sala não cadastrada | ","")&amp;IF(AND(COUNTIF(Salas_Cod,$B284)&gt;0,IFERROR(INDEX(Salas_Status,MATCH($B284,Salas_Cod,0)),"")&lt;&gt;"Ativa"),"Sala bloqueada | ","")&amp;IF(COUNTIF(Turnos_Nome,$C284)=0,"Turno inválido | ","")&amp;IF(COUNTIF(Esp_Nome,$F284)=0,"Especialidade não cadastrada | ","")&amp;IF(COUNTIF(Lista_StatusCirurgia,$J284)=0,"Status inválido | ","")&amp;IF(OR(NOT(ISNUMBER($D284)),NOT(ISNUMBER($E284))),"Horário inválido | ","")&amp;IFERROR(IF(AND(ISNUMBER($D284),ISNUMBER($E284),MOD($E284-$D284,1)*1440&lt;=0),"Duração nula ou negativa | ",""),"")&amp;IFERROR(IF(AND(ISNUMBER($D284),COUNTIF(Turnos_Nome,$C284)&gt;0,MOD($D284-INDEX(Turnos_Ini,MATCH($C284,Turnos_Nome,0)),1)*1440&gt;=INDEX(Turnos_Min,MATCH($C284,Turnos_Nome,0))),"Início fora da janela do turno | ",""),"")&amp;IFERROR(IF(AND($L284&gt;0,SUMPRODUCT((Mapa_Sala=$B284)*(Mapa_Data=$A284)*(Mapa_MinOcup&gt;0)*(((MOD(Mapa_IniNum-$O284,1)&lt;MOD($P284-$O284,1))+(MOD($O284-Mapa_IniNum,1)&lt;MOD(Mapa_FimNum-Mapa_IniNum,1)))&gt;0))&gt;1),"Sobreposição de horário na sala | ",""),"")&amp;IFERROR(IF(AND(ISNUMBER($K284),$K284&gt;0,COUNTIF(Esp_Nome,$F284)&gt;0,$K284&gt;3*INDEX(Esp_Dur,MATCH($F284,Esp_Nome,0))),"Duração atípica (&gt;3x a média) | ",""),""))</f>
        <v/>
      </c>
      <c r="O284" s="10">
        <f>IF(ISNUMBER($D284),$D284,0)</f>
        <v/>
      </c>
      <c r="P284" s="10">
        <f>IF(ISNUMBER($E284),$E284,0)</f>
        <v/>
      </c>
    </row>
    <row r="285">
      <c r="A285" s="30" t="n"/>
      <c r="B285" s="24" t="n"/>
      <c r="C285" s="24" t="n"/>
      <c r="D285" s="31" t="n"/>
      <c r="E285" s="31" t="n"/>
      <c r="F285" s="25" t="n"/>
      <c r="G285" s="25" t="n"/>
      <c r="H285" s="25" t="n"/>
      <c r="I285" s="24" t="n"/>
      <c r="J285" s="24" t="n"/>
      <c r="K285" s="32">
        <f>IF(OR($B285="",NOT(ISNUMBER($D285)),NOT(ISNUMBER($E285))),"",ROUND(MOD($E285-$D285,1)*1440,0))</f>
        <v/>
      </c>
      <c r="L285" s="32">
        <f>IF(NOT(ISNUMBER($K285)),0,IF(OR($K285&lt;=0,$J285="Cancelada",$J285="Suspensa"),0,$K285+Setup_Min))</f>
        <v/>
      </c>
      <c r="M285" s="17">
        <f>IF($B285="","",IF($N285="","OK",LEFT($N285,LEN($N285)-3)))</f>
        <v/>
      </c>
      <c r="N285" s="10">
        <f>IF($B285="","",IF(COUNTIF(Salas_Cod,$B285)=0,"Sala não cadastrada | ","")&amp;IF(AND(COUNTIF(Salas_Cod,$B285)&gt;0,IFERROR(INDEX(Salas_Status,MATCH($B285,Salas_Cod,0)),"")&lt;&gt;"Ativa"),"Sala bloqueada | ","")&amp;IF(COUNTIF(Turnos_Nome,$C285)=0,"Turno inválido | ","")&amp;IF(COUNTIF(Esp_Nome,$F285)=0,"Especialidade não cadastrada | ","")&amp;IF(COUNTIF(Lista_StatusCirurgia,$J285)=0,"Status inválido | ","")&amp;IF(OR(NOT(ISNUMBER($D285)),NOT(ISNUMBER($E285))),"Horário inválido | ","")&amp;IFERROR(IF(AND(ISNUMBER($D285),ISNUMBER($E285),MOD($E285-$D285,1)*1440&lt;=0),"Duração nula ou negativa | ",""),"")&amp;IFERROR(IF(AND(ISNUMBER($D285),COUNTIF(Turnos_Nome,$C285)&gt;0,MOD($D285-INDEX(Turnos_Ini,MATCH($C285,Turnos_Nome,0)),1)*1440&gt;=INDEX(Turnos_Min,MATCH($C285,Turnos_Nome,0))),"Início fora da janela do turno | ",""),"")&amp;IFERROR(IF(AND($L285&gt;0,SUMPRODUCT((Mapa_Sala=$B285)*(Mapa_Data=$A285)*(Mapa_MinOcup&gt;0)*(((MOD(Mapa_IniNum-$O285,1)&lt;MOD($P285-$O285,1))+(MOD($O285-Mapa_IniNum,1)&lt;MOD(Mapa_FimNum-Mapa_IniNum,1)))&gt;0))&gt;1),"Sobreposição de horário na sala | ",""),"")&amp;IFERROR(IF(AND(ISNUMBER($K285),$K285&gt;0,COUNTIF(Esp_Nome,$F285)&gt;0,$K285&gt;3*INDEX(Esp_Dur,MATCH($F285,Esp_Nome,0))),"Duração atípica (&gt;3x a média) | ",""),""))</f>
        <v/>
      </c>
      <c r="O285" s="10">
        <f>IF(ISNUMBER($D285),$D285,0)</f>
        <v/>
      </c>
      <c r="P285" s="10">
        <f>IF(ISNUMBER($E285),$E285,0)</f>
        <v/>
      </c>
    </row>
    <row r="286">
      <c r="A286" s="30" t="n"/>
      <c r="B286" s="24" t="n"/>
      <c r="C286" s="24" t="n"/>
      <c r="D286" s="31" t="n"/>
      <c r="E286" s="31" t="n"/>
      <c r="F286" s="25" t="n"/>
      <c r="G286" s="25" t="n"/>
      <c r="H286" s="25" t="n"/>
      <c r="I286" s="24" t="n"/>
      <c r="J286" s="24" t="n"/>
      <c r="K286" s="32">
        <f>IF(OR($B286="",NOT(ISNUMBER($D286)),NOT(ISNUMBER($E286))),"",ROUND(MOD($E286-$D286,1)*1440,0))</f>
        <v/>
      </c>
      <c r="L286" s="32">
        <f>IF(NOT(ISNUMBER($K286)),0,IF(OR($K286&lt;=0,$J286="Cancelada",$J286="Suspensa"),0,$K286+Setup_Min))</f>
        <v/>
      </c>
      <c r="M286" s="17">
        <f>IF($B286="","",IF($N286="","OK",LEFT($N286,LEN($N286)-3)))</f>
        <v/>
      </c>
      <c r="N286" s="10">
        <f>IF($B286="","",IF(COUNTIF(Salas_Cod,$B286)=0,"Sala não cadastrada | ","")&amp;IF(AND(COUNTIF(Salas_Cod,$B286)&gt;0,IFERROR(INDEX(Salas_Status,MATCH($B286,Salas_Cod,0)),"")&lt;&gt;"Ativa"),"Sala bloqueada | ","")&amp;IF(COUNTIF(Turnos_Nome,$C286)=0,"Turno inválido | ","")&amp;IF(COUNTIF(Esp_Nome,$F286)=0,"Especialidade não cadastrada | ","")&amp;IF(COUNTIF(Lista_StatusCirurgia,$J286)=0,"Status inválido | ","")&amp;IF(OR(NOT(ISNUMBER($D286)),NOT(ISNUMBER($E286))),"Horário inválido | ","")&amp;IFERROR(IF(AND(ISNUMBER($D286),ISNUMBER($E286),MOD($E286-$D286,1)*1440&lt;=0),"Duração nula ou negativa | ",""),"")&amp;IFERROR(IF(AND(ISNUMBER($D286),COUNTIF(Turnos_Nome,$C286)&gt;0,MOD($D286-INDEX(Turnos_Ini,MATCH($C286,Turnos_Nome,0)),1)*1440&gt;=INDEX(Turnos_Min,MATCH($C286,Turnos_Nome,0))),"Início fora da janela do turno | ",""),"")&amp;IFERROR(IF(AND($L286&gt;0,SUMPRODUCT((Mapa_Sala=$B286)*(Mapa_Data=$A286)*(Mapa_MinOcup&gt;0)*(((MOD(Mapa_IniNum-$O286,1)&lt;MOD($P286-$O286,1))+(MOD($O286-Mapa_IniNum,1)&lt;MOD(Mapa_FimNum-Mapa_IniNum,1)))&gt;0))&gt;1),"Sobreposição de horário na sala | ",""),"")&amp;IFERROR(IF(AND(ISNUMBER($K286),$K286&gt;0,COUNTIF(Esp_Nome,$F286)&gt;0,$K286&gt;3*INDEX(Esp_Dur,MATCH($F286,Esp_Nome,0))),"Duração atípica (&gt;3x a média) | ",""),""))</f>
        <v/>
      </c>
      <c r="O286" s="10">
        <f>IF(ISNUMBER($D286),$D286,0)</f>
        <v/>
      </c>
      <c r="P286" s="10">
        <f>IF(ISNUMBER($E286),$E286,0)</f>
        <v/>
      </c>
    </row>
    <row r="287">
      <c r="A287" s="30" t="n"/>
      <c r="B287" s="24" t="n"/>
      <c r="C287" s="24" t="n"/>
      <c r="D287" s="31" t="n"/>
      <c r="E287" s="31" t="n"/>
      <c r="F287" s="25" t="n"/>
      <c r="G287" s="25" t="n"/>
      <c r="H287" s="25" t="n"/>
      <c r="I287" s="24" t="n"/>
      <c r="J287" s="24" t="n"/>
      <c r="K287" s="32">
        <f>IF(OR($B287="",NOT(ISNUMBER($D287)),NOT(ISNUMBER($E287))),"",ROUND(MOD($E287-$D287,1)*1440,0))</f>
        <v/>
      </c>
      <c r="L287" s="32">
        <f>IF(NOT(ISNUMBER($K287)),0,IF(OR($K287&lt;=0,$J287="Cancelada",$J287="Suspensa"),0,$K287+Setup_Min))</f>
        <v/>
      </c>
      <c r="M287" s="17">
        <f>IF($B287="","",IF($N287="","OK",LEFT($N287,LEN($N287)-3)))</f>
        <v/>
      </c>
      <c r="N287" s="10">
        <f>IF($B287="","",IF(COUNTIF(Salas_Cod,$B287)=0,"Sala não cadastrada | ","")&amp;IF(AND(COUNTIF(Salas_Cod,$B287)&gt;0,IFERROR(INDEX(Salas_Status,MATCH($B287,Salas_Cod,0)),"")&lt;&gt;"Ativa"),"Sala bloqueada | ","")&amp;IF(COUNTIF(Turnos_Nome,$C287)=0,"Turno inválido | ","")&amp;IF(COUNTIF(Esp_Nome,$F287)=0,"Especialidade não cadastrada | ","")&amp;IF(COUNTIF(Lista_StatusCirurgia,$J287)=0,"Status inválido | ","")&amp;IF(OR(NOT(ISNUMBER($D287)),NOT(ISNUMBER($E287))),"Horário inválido | ","")&amp;IFERROR(IF(AND(ISNUMBER($D287),ISNUMBER($E287),MOD($E287-$D287,1)*1440&lt;=0),"Duração nula ou negativa | ",""),"")&amp;IFERROR(IF(AND(ISNUMBER($D287),COUNTIF(Turnos_Nome,$C287)&gt;0,MOD($D287-INDEX(Turnos_Ini,MATCH($C287,Turnos_Nome,0)),1)*1440&gt;=INDEX(Turnos_Min,MATCH($C287,Turnos_Nome,0))),"Início fora da janela do turno | ",""),"")&amp;IFERROR(IF(AND($L287&gt;0,SUMPRODUCT((Mapa_Sala=$B287)*(Mapa_Data=$A287)*(Mapa_MinOcup&gt;0)*(((MOD(Mapa_IniNum-$O287,1)&lt;MOD($P287-$O287,1))+(MOD($O287-Mapa_IniNum,1)&lt;MOD(Mapa_FimNum-Mapa_IniNum,1)))&gt;0))&gt;1),"Sobreposição de horário na sala | ",""),"")&amp;IFERROR(IF(AND(ISNUMBER($K287),$K287&gt;0,COUNTIF(Esp_Nome,$F287)&gt;0,$K287&gt;3*INDEX(Esp_Dur,MATCH($F287,Esp_Nome,0))),"Duração atípica (&gt;3x a média) | ",""),""))</f>
        <v/>
      </c>
      <c r="O287" s="10">
        <f>IF(ISNUMBER($D287),$D287,0)</f>
        <v/>
      </c>
      <c r="P287" s="10">
        <f>IF(ISNUMBER($E287),$E287,0)</f>
        <v/>
      </c>
    </row>
    <row r="288">
      <c r="A288" s="30" t="n"/>
      <c r="B288" s="24" t="n"/>
      <c r="C288" s="24" t="n"/>
      <c r="D288" s="31" t="n"/>
      <c r="E288" s="31" t="n"/>
      <c r="F288" s="25" t="n"/>
      <c r="G288" s="25" t="n"/>
      <c r="H288" s="25" t="n"/>
      <c r="I288" s="24" t="n"/>
      <c r="J288" s="24" t="n"/>
      <c r="K288" s="32">
        <f>IF(OR($B288="",NOT(ISNUMBER($D288)),NOT(ISNUMBER($E288))),"",ROUND(MOD($E288-$D288,1)*1440,0))</f>
        <v/>
      </c>
      <c r="L288" s="32">
        <f>IF(NOT(ISNUMBER($K288)),0,IF(OR($K288&lt;=0,$J288="Cancelada",$J288="Suspensa"),0,$K288+Setup_Min))</f>
        <v/>
      </c>
      <c r="M288" s="17">
        <f>IF($B288="","",IF($N288="","OK",LEFT($N288,LEN($N288)-3)))</f>
        <v/>
      </c>
      <c r="N288" s="10">
        <f>IF($B288="","",IF(COUNTIF(Salas_Cod,$B288)=0,"Sala não cadastrada | ","")&amp;IF(AND(COUNTIF(Salas_Cod,$B288)&gt;0,IFERROR(INDEX(Salas_Status,MATCH($B288,Salas_Cod,0)),"")&lt;&gt;"Ativa"),"Sala bloqueada | ","")&amp;IF(COUNTIF(Turnos_Nome,$C288)=0,"Turno inválido | ","")&amp;IF(COUNTIF(Esp_Nome,$F288)=0,"Especialidade não cadastrada | ","")&amp;IF(COUNTIF(Lista_StatusCirurgia,$J288)=0,"Status inválido | ","")&amp;IF(OR(NOT(ISNUMBER($D288)),NOT(ISNUMBER($E288))),"Horário inválido | ","")&amp;IFERROR(IF(AND(ISNUMBER($D288),ISNUMBER($E288),MOD($E288-$D288,1)*1440&lt;=0),"Duração nula ou negativa | ",""),"")&amp;IFERROR(IF(AND(ISNUMBER($D288),COUNTIF(Turnos_Nome,$C288)&gt;0,MOD($D288-INDEX(Turnos_Ini,MATCH($C288,Turnos_Nome,0)),1)*1440&gt;=INDEX(Turnos_Min,MATCH($C288,Turnos_Nome,0))),"Início fora da janela do turno | ",""),"")&amp;IFERROR(IF(AND($L288&gt;0,SUMPRODUCT((Mapa_Sala=$B288)*(Mapa_Data=$A288)*(Mapa_MinOcup&gt;0)*(((MOD(Mapa_IniNum-$O288,1)&lt;MOD($P288-$O288,1))+(MOD($O288-Mapa_IniNum,1)&lt;MOD(Mapa_FimNum-Mapa_IniNum,1)))&gt;0))&gt;1),"Sobreposição de horário na sala | ",""),"")&amp;IFERROR(IF(AND(ISNUMBER($K288),$K288&gt;0,COUNTIF(Esp_Nome,$F288)&gt;0,$K288&gt;3*INDEX(Esp_Dur,MATCH($F288,Esp_Nome,0))),"Duração atípica (&gt;3x a média) | ",""),""))</f>
        <v/>
      </c>
      <c r="O288" s="10">
        <f>IF(ISNUMBER($D288),$D288,0)</f>
        <v/>
      </c>
      <c r="P288" s="10">
        <f>IF(ISNUMBER($E288),$E288,0)</f>
        <v/>
      </c>
    </row>
    <row r="289">
      <c r="A289" s="30" t="n"/>
      <c r="B289" s="24" t="n"/>
      <c r="C289" s="24" t="n"/>
      <c r="D289" s="31" t="n"/>
      <c r="E289" s="31" t="n"/>
      <c r="F289" s="25" t="n"/>
      <c r="G289" s="25" t="n"/>
      <c r="H289" s="25" t="n"/>
      <c r="I289" s="24" t="n"/>
      <c r="J289" s="24" t="n"/>
      <c r="K289" s="32">
        <f>IF(OR($B289="",NOT(ISNUMBER($D289)),NOT(ISNUMBER($E289))),"",ROUND(MOD($E289-$D289,1)*1440,0))</f>
        <v/>
      </c>
      <c r="L289" s="32">
        <f>IF(NOT(ISNUMBER($K289)),0,IF(OR($K289&lt;=0,$J289="Cancelada",$J289="Suspensa"),0,$K289+Setup_Min))</f>
        <v/>
      </c>
      <c r="M289" s="17">
        <f>IF($B289="","",IF($N289="","OK",LEFT($N289,LEN($N289)-3)))</f>
        <v/>
      </c>
      <c r="N289" s="10">
        <f>IF($B289="","",IF(COUNTIF(Salas_Cod,$B289)=0,"Sala não cadastrada | ","")&amp;IF(AND(COUNTIF(Salas_Cod,$B289)&gt;0,IFERROR(INDEX(Salas_Status,MATCH($B289,Salas_Cod,0)),"")&lt;&gt;"Ativa"),"Sala bloqueada | ","")&amp;IF(COUNTIF(Turnos_Nome,$C289)=0,"Turno inválido | ","")&amp;IF(COUNTIF(Esp_Nome,$F289)=0,"Especialidade não cadastrada | ","")&amp;IF(COUNTIF(Lista_StatusCirurgia,$J289)=0,"Status inválido | ","")&amp;IF(OR(NOT(ISNUMBER($D289)),NOT(ISNUMBER($E289))),"Horário inválido | ","")&amp;IFERROR(IF(AND(ISNUMBER($D289),ISNUMBER($E289),MOD($E289-$D289,1)*1440&lt;=0),"Duração nula ou negativa | ",""),"")&amp;IFERROR(IF(AND(ISNUMBER($D289),COUNTIF(Turnos_Nome,$C289)&gt;0,MOD($D289-INDEX(Turnos_Ini,MATCH($C289,Turnos_Nome,0)),1)*1440&gt;=INDEX(Turnos_Min,MATCH($C289,Turnos_Nome,0))),"Início fora da janela do turno | ",""),"")&amp;IFERROR(IF(AND($L289&gt;0,SUMPRODUCT((Mapa_Sala=$B289)*(Mapa_Data=$A289)*(Mapa_MinOcup&gt;0)*(((MOD(Mapa_IniNum-$O289,1)&lt;MOD($P289-$O289,1))+(MOD($O289-Mapa_IniNum,1)&lt;MOD(Mapa_FimNum-Mapa_IniNum,1)))&gt;0))&gt;1),"Sobreposição de horário na sala | ",""),"")&amp;IFERROR(IF(AND(ISNUMBER($K289),$K289&gt;0,COUNTIF(Esp_Nome,$F289)&gt;0,$K289&gt;3*INDEX(Esp_Dur,MATCH($F289,Esp_Nome,0))),"Duração atípica (&gt;3x a média) | ",""),""))</f>
        <v/>
      </c>
      <c r="O289" s="10">
        <f>IF(ISNUMBER($D289),$D289,0)</f>
        <v/>
      </c>
      <c r="P289" s="10">
        <f>IF(ISNUMBER($E289),$E289,0)</f>
        <v/>
      </c>
    </row>
    <row r="290">
      <c r="A290" s="30" t="n"/>
      <c r="B290" s="24" t="n"/>
      <c r="C290" s="24" t="n"/>
      <c r="D290" s="31" t="n"/>
      <c r="E290" s="31" t="n"/>
      <c r="F290" s="25" t="n"/>
      <c r="G290" s="25" t="n"/>
      <c r="H290" s="25" t="n"/>
      <c r="I290" s="24" t="n"/>
      <c r="J290" s="24" t="n"/>
      <c r="K290" s="32">
        <f>IF(OR($B290="",NOT(ISNUMBER($D290)),NOT(ISNUMBER($E290))),"",ROUND(MOD($E290-$D290,1)*1440,0))</f>
        <v/>
      </c>
      <c r="L290" s="32">
        <f>IF(NOT(ISNUMBER($K290)),0,IF(OR($K290&lt;=0,$J290="Cancelada",$J290="Suspensa"),0,$K290+Setup_Min))</f>
        <v/>
      </c>
      <c r="M290" s="17">
        <f>IF($B290="","",IF($N290="","OK",LEFT($N290,LEN($N290)-3)))</f>
        <v/>
      </c>
      <c r="N290" s="10">
        <f>IF($B290="","",IF(COUNTIF(Salas_Cod,$B290)=0,"Sala não cadastrada | ","")&amp;IF(AND(COUNTIF(Salas_Cod,$B290)&gt;0,IFERROR(INDEX(Salas_Status,MATCH($B290,Salas_Cod,0)),"")&lt;&gt;"Ativa"),"Sala bloqueada | ","")&amp;IF(COUNTIF(Turnos_Nome,$C290)=0,"Turno inválido | ","")&amp;IF(COUNTIF(Esp_Nome,$F290)=0,"Especialidade não cadastrada | ","")&amp;IF(COUNTIF(Lista_StatusCirurgia,$J290)=0,"Status inválido | ","")&amp;IF(OR(NOT(ISNUMBER($D290)),NOT(ISNUMBER($E290))),"Horário inválido | ","")&amp;IFERROR(IF(AND(ISNUMBER($D290),ISNUMBER($E290),MOD($E290-$D290,1)*1440&lt;=0),"Duração nula ou negativa | ",""),"")&amp;IFERROR(IF(AND(ISNUMBER($D290),COUNTIF(Turnos_Nome,$C290)&gt;0,MOD($D290-INDEX(Turnos_Ini,MATCH($C290,Turnos_Nome,0)),1)*1440&gt;=INDEX(Turnos_Min,MATCH($C290,Turnos_Nome,0))),"Início fora da janela do turno | ",""),"")&amp;IFERROR(IF(AND($L290&gt;0,SUMPRODUCT((Mapa_Sala=$B290)*(Mapa_Data=$A290)*(Mapa_MinOcup&gt;0)*(((MOD(Mapa_IniNum-$O290,1)&lt;MOD($P290-$O290,1))+(MOD($O290-Mapa_IniNum,1)&lt;MOD(Mapa_FimNum-Mapa_IniNum,1)))&gt;0))&gt;1),"Sobreposição de horário na sala | ",""),"")&amp;IFERROR(IF(AND(ISNUMBER($K290),$K290&gt;0,COUNTIF(Esp_Nome,$F290)&gt;0,$K290&gt;3*INDEX(Esp_Dur,MATCH($F290,Esp_Nome,0))),"Duração atípica (&gt;3x a média) | ",""),""))</f>
        <v/>
      </c>
      <c r="O290" s="10">
        <f>IF(ISNUMBER($D290),$D290,0)</f>
        <v/>
      </c>
      <c r="P290" s="10">
        <f>IF(ISNUMBER($E290),$E290,0)</f>
        <v/>
      </c>
    </row>
    <row r="291">
      <c r="A291" s="30" t="n"/>
      <c r="B291" s="24" t="n"/>
      <c r="C291" s="24" t="n"/>
      <c r="D291" s="31" t="n"/>
      <c r="E291" s="31" t="n"/>
      <c r="F291" s="25" t="n"/>
      <c r="G291" s="25" t="n"/>
      <c r="H291" s="25" t="n"/>
      <c r="I291" s="24" t="n"/>
      <c r="J291" s="24" t="n"/>
      <c r="K291" s="32">
        <f>IF(OR($B291="",NOT(ISNUMBER($D291)),NOT(ISNUMBER($E291))),"",ROUND(MOD($E291-$D291,1)*1440,0))</f>
        <v/>
      </c>
      <c r="L291" s="32">
        <f>IF(NOT(ISNUMBER($K291)),0,IF(OR($K291&lt;=0,$J291="Cancelada",$J291="Suspensa"),0,$K291+Setup_Min))</f>
        <v/>
      </c>
      <c r="M291" s="17">
        <f>IF($B291="","",IF($N291="","OK",LEFT($N291,LEN($N291)-3)))</f>
        <v/>
      </c>
      <c r="N291" s="10">
        <f>IF($B291="","",IF(COUNTIF(Salas_Cod,$B291)=0,"Sala não cadastrada | ","")&amp;IF(AND(COUNTIF(Salas_Cod,$B291)&gt;0,IFERROR(INDEX(Salas_Status,MATCH($B291,Salas_Cod,0)),"")&lt;&gt;"Ativa"),"Sala bloqueada | ","")&amp;IF(COUNTIF(Turnos_Nome,$C291)=0,"Turno inválido | ","")&amp;IF(COUNTIF(Esp_Nome,$F291)=0,"Especialidade não cadastrada | ","")&amp;IF(COUNTIF(Lista_StatusCirurgia,$J291)=0,"Status inválido | ","")&amp;IF(OR(NOT(ISNUMBER($D291)),NOT(ISNUMBER($E291))),"Horário inválido | ","")&amp;IFERROR(IF(AND(ISNUMBER($D291),ISNUMBER($E291),MOD($E291-$D291,1)*1440&lt;=0),"Duração nula ou negativa | ",""),"")&amp;IFERROR(IF(AND(ISNUMBER($D291),COUNTIF(Turnos_Nome,$C291)&gt;0,MOD($D291-INDEX(Turnos_Ini,MATCH($C291,Turnos_Nome,0)),1)*1440&gt;=INDEX(Turnos_Min,MATCH($C291,Turnos_Nome,0))),"Início fora da janela do turno | ",""),"")&amp;IFERROR(IF(AND($L291&gt;0,SUMPRODUCT((Mapa_Sala=$B291)*(Mapa_Data=$A291)*(Mapa_MinOcup&gt;0)*(((MOD(Mapa_IniNum-$O291,1)&lt;MOD($P291-$O291,1))+(MOD($O291-Mapa_IniNum,1)&lt;MOD(Mapa_FimNum-Mapa_IniNum,1)))&gt;0))&gt;1),"Sobreposição de horário na sala | ",""),"")&amp;IFERROR(IF(AND(ISNUMBER($K291),$K291&gt;0,COUNTIF(Esp_Nome,$F291)&gt;0,$K291&gt;3*INDEX(Esp_Dur,MATCH($F291,Esp_Nome,0))),"Duração atípica (&gt;3x a média) | ",""),""))</f>
        <v/>
      </c>
      <c r="O291" s="10">
        <f>IF(ISNUMBER($D291),$D291,0)</f>
        <v/>
      </c>
      <c r="P291" s="10">
        <f>IF(ISNUMBER($E291),$E291,0)</f>
        <v/>
      </c>
    </row>
    <row r="292">
      <c r="A292" s="30" t="n"/>
      <c r="B292" s="24" t="n"/>
      <c r="C292" s="24" t="n"/>
      <c r="D292" s="31" t="n"/>
      <c r="E292" s="31" t="n"/>
      <c r="F292" s="25" t="n"/>
      <c r="G292" s="25" t="n"/>
      <c r="H292" s="25" t="n"/>
      <c r="I292" s="24" t="n"/>
      <c r="J292" s="24" t="n"/>
      <c r="K292" s="32">
        <f>IF(OR($B292="",NOT(ISNUMBER($D292)),NOT(ISNUMBER($E292))),"",ROUND(MOD($E292-$D292,1)*1440,0))</f>
        <v/>
      </c>
      <c r="L292" s="32">
        <f>IF(NOT(ISNUMBER($K292)),0,IF(OR($K292&lt;=0,$J292="Cancelada",$J292="Suspensa"),0,$K292+Setup_Min))</f>
        <v/>
      </c>
      <c r="M292" s="17">
        <f>IF($B292="","",IF($N292="","OK",LEFT($N292,LEN($N292)-3)))</f>
        <v/>
      </c>
      <c r="N292" s="10">
        <f>IF($B292="","",IF(COUNTIF(Salas_Cod,$B292)=0,"Sala não cadastrada | ","")&amp;IF(AND(COUNTIF(Salas_Cod,$B292)&gt;0,IFERROR(INDEX(Salas_Status,MATCH($B292,Salas_Cod,0)),"")&lt;&gt;"Ativa"),"Sala bloqueada | ","")&amp;IF(COUNTIF(Turnos_Nome,$C292)=0,"Turno inválido | ","")&amp;IF(COUNTIF(Esp_Nome,$F292)=0,"Especialidade não cadastrada | ","")&amp;IF(COUNTIF(Lista_StatusCirurgia,$J292)=0,"Status inválido | ","")&amp;IF(OR(NOT(ISNUMBER($D292)),NOT(ISNUMBER($E292))),"Horário inválido | ","")&amp;IFERROR(IF(AND(ISNUMBER($D292),ISNUMBER($E292),MOD($E292-$D292,1)*1440&lt;=0),"Duração nula ou negativa | ",""),"")&amp;IFERROR(IF(AND(ISNUMBER($D292),COUNTIF(Turnos_Nome,$C292)&gt;0,MOD($D292-INDEX(Turnos_Ini,MATCH($C292,Turnos_Nome,0)),1)*1440&gt;=INDEX(Turnos_Min,MATCH($C292,Turnos_Nome,0))),"Início fora da janela do turno | ",""),"")&amp;IFERROR(IF(AND($L292&gt;0,SUMPRODUCT((Mapa_Sala=$B292)*(Mapa_Data=$A292)*(Mapa_MinOcup&gt;0)*(((MOD(Mapa_IniNum-$O292,1)&lt;MOD($P292-$O292,1))+(MOD($O292-Mapa_IniNum,1)&lt;MOD(Mapa_FimNum-Mapa_IniNum,1)))&gt;0))&gt;1),"Sobreposição de horário na sala | ",""),"")&amp;IFERROR(IF(AND(ISNUMBER($K292),$K292&gt;0,COUNTIF(Esp_Nome,$F292)&gt;0,$K292&gt;3*INDEX(Esp_Dur,MATCH($F292,Esp_Nome,0))),"Duração atípica (&gt;3x a média) | ",""),""))</f>
        <v/>
      </c>
      <c r="O292" s="10">
        <f>IF(ISNUMBER($D292),$D292,0)</f>
        <v/>
      </c>
      <c r="P292" s="10">
        <f>IF(ISNUMBER($E292),$E292,0)</f>
        <v/>
      </c>
    </row>
    <row r="293">
      <c r="A293" s="30" t="n"/>
      <c r="B293" s="24" t="n"/>
      <c r="C293" s="24" t="n"/>
      <c r="D293" s="31" t="n"/>
      <c r="E293" s="31" t="n"/>
      <c r="F293" s="25" t="n"/>
      <c r="G293" s="25" t="n"/>
      <c r="H293" s="25" t="n"/>
      <c r="I293" s="24" t="n"/>
      <c r="J293" s="24" t="n"/>
      <c r="K293" s="32">
        <f>IF(OR($B293="",NOT(ISNUMBER($D293)),NOT(ISNUMBER($E293))),"",ROUND(MOD($E293-$D293,1)*1440,0))</f>
        <v/>
      </c>
      <c r="L293" s="32">
        <f>IF(NOT(ISNUMBER($K293)),0,IF(OR($K293&lt;=0,$J293="Cancelada",$J293="Suspensa"),0,$K293+Setup_Min))</f>
        <v/>
      </c>
      <c r="M293" s="17">
        <f>IF($B293="","",IF($N293="","OK",LEFT($N293,LEN($N293)-3)))</f>
        <v/>
      </c>
      <c r="N293" s="10">
        <f>IF($B293="","",IF(COUNTIF(Salas_Cod,$B293)=0,"Sala não cadastrada | ","")&amp;IF(AND(COUNTIF(Salas_Cod,$B293)&gt;0,IFERROR(INDEX(Salas_Status,MATCH($B293,Salas_Cod,0)),"")&lt;&gt;"Ativa"),"Sala bloqueada | ","")&amp;IF(COUNTIF(Turnos_Nome,$C293)=0,"Turno inválido | ","")&amp;IF(COUNTIF(Esp_Nome,$F293)=0,"Especialidade não cadastrada | ","")&amp;IF(COUNTIF(Lista_StatusCirurgia,$J293)=0,"Status inválido | ","")&amp;IF(OR(NOT(ISNUMBER($D293)),NOT(ISNUMBER($E293))),"Horário inválido | ","")&amp;IFERROR(IF(AND(ISNUMBER($D293),ISNUMBER($E293),MOD($E293-$D293,1)*1440&lt;=0),"Duração nula ou negativa | ",""),"")&amp;IFERROR(IF(AND(ISNUMBER($D293),COUNTIF(Turnos_Nome,$C293)&gt;0,MOD($D293-INDEX(Turnos_Ini,MATCH($C293,Turnos_Nome,0)),1)*1440&gt;=INDEX(Turnos_Min,MATCH($C293,Turnos_Nome,0))),"Início fora da janela do turno | ",""),"")&amp;IFERROR(IF(AND($L293&gt;0,SUMPRODUCT((Mapa_Sala=$B293)*(Mapa_Data=$A293)*(Mapa_MinOcup&gt;0)*(((MOD(Mapa_IniNum-$O293,1)&lt;MOD($P293-$O293,1))+(MOD($O293-Mapa_IniNum,1)&lt;MOD(Mapa_FimNum-Mapa_IniNum,1)))&gt;0))&gt;1),"Sobreposição de horário na sala | ",""),"")&amp;IFERROR(IF(AND(ISNUMBER($K293),$K293&gt;0,COUNTIF(Esp_Nome,$F293)&gt;0,$K293&gt;3*INDEX(Esp_Dur,MATCH($F293,Esp_Nome,0))),"Duração atípica (&gt;3x a média) | ",""),""))</f>
        <v/>
      </c>
      <c r="O293" s="10">
        <f>IF(ISNUMBER($D293),$D293,0)</f>
        <v/>
      </c>
      <c r="P293" s="10">
        <f>IF(ISNUMBER($E293),$E293,0)</f>
        <v/>
      </c>
    </row>
    <row r="294">
      <c r="A294" s="30" t="n"/>
      <c r="B294" s="24" t="n"/>
      <c r="C294" s="24" t="n"/>
      <c r="D294" s="31" t="n"/>
      <c r="E294" s="31" t="n"/>
      <c r="F294" s="25" t="n"/>
      <c r="G294" s="25" t="n"/>
      <c r="H294" s="25" t="n"/>
      <c r="I294" s="24" t="n"/>
      <c r="J294" s="24" t="n"/>
      <c r="K294" s="32">
        <f>IF(OR($B294="",NOT(ISNUMBER($D294)),NOT(ISNUMBER($E294))),"",ROUND(MOD($E294-$D294,1)*1440,0))</f>
        <v/>
      </c>
      <c r="L294" s="32">
        <f>IF(NOT(ISNUMBER($K294)),0,IF(OR($K294&lt;=0,$J294="Cancelada",$J294="Suspensa"),0,$K294+Setup_Min))</f>
        <v/>
      </c>
      <c r="M294" s="17">
        <f>IF($B294="","",IF($N294="","OK",LEFT($N294,LEN($N294)-3)))</f>
        <v/>
      </c>
      <c r="N294" s="10">
        <f>IF($B294="","",IF(COUNTIF(Salas_Cod,$B294)=0,"Sala não cadastrada | ","")&amp;IF(AND(COUNTIF(Salas_Cod,$B294)&gt;0,IFERROR(INDEX(Salas_Status,MATCH($B294,Salas_Cod,0)),"")&lt;&gt;"Ativa"),"Sala bloqueada | ","")&amp;IF(COUNTIF(Turnos_Nome,$C294)=0,"Turno inválido | ","")&amp;IF(COUNTIF(Esp_Nome,$F294)=0,"Especialidade não cadastrada | ","")&amp;IF(COUNTIF(Lista_StatusCirurgia,$J294)=0,"Status inválido | ","")&amp;IF(OR(NOT(ISNUMBER($D294)),NOT(ISNUMBER($E294))),"Horário inválido | ","")&amp;IFERROR(IF(AND(ISNUMBER($D294),ISNUMBER($E294),MOD($E294-$D294,1)*1440&lt;=0),"Duração nula ou negativa | ",""),"")&amp;IFERROR(IF(AND(ISNUMBER($D294),COUNTIF(Turnos_Nome,$C294)&gt;0,MOD($D294-INDEX(Turnos_Ini,MATCH($C294,Turnos_Nome,0)),1)*1440&gt;=INDEX(Turnos_Min,MATCH($C294,Turnos_Nome,0))),"Início fora da janela do turno | ",""),"")&amp;IFERROR(IF(AND($L294&gt;0,SUMPRODUCT((Mapa_Sala=$B294)*(Mapa_Data=$A294)*(Mapa_MinOcup&gt;0)*(((MOD(Mapa_IniNum-$O294,1)&lt;MOD($P294-$O294,1))+(MOD($O294-Mapa_IniNum,1)&lt;MOD(Mapa_FimNum-Mapa_IniNum,1)))&gt;0))&gt;1),"Sobreposição de horário na sala | ",""),"")&amp;IFERROR(IF(AND(ISNUMBER($K294),$K294&gt;0,COUNTIF(Esp_Nome,$F294)&gt;0,$K294&gt;3*INDEX(Esp_Dur,MATCH($F294,Esp_Nome,0))),"Duração atípica (&gt;3x a média) | ",""),""))</f>
        <v/>
      </c>
      <c r="O294" s="10">
        <f>IF(ISNUMBER($D294),$D294,0)</f>
        <v/>
      </c>
      <c r="P294" s="10">
        <f>IF(ISNUMBER($E294),$E294,0)</f>
        <v/>
      </c>
    </row>
    <row r="295">
      <c r="A295" s="30" t="n"/>
      <c r="B295" s="24" t="n"/>
      <c r="C295" s="24" t="n"/>
      <c r="D295" s="31" t="n"/>
      <c r="E295" s="31" t="n"/>
      <c r="F295" s="25" t="n"/>
      <c r="G295" s="25" t="n"/>
      <c r="H295" s="25" t="n"/>
      <c r="I295" s="24" t="n"/>
      <c r="J295" s="24" t="n"/>
      <c r="K295" s="32">
        <f>IF(OR($B295="",NOT(ISNUMBER($D295)),NOT(ISNUMBER($E295))),"",ROUND(MOD($E295-$D295,1)*1440,0))</f>
        <v/>
      </c>
      <c r="L295" s="32">
        <f>IF(NOT(ISNUMBER($K295)),0,IF(OR($K295&lt;=0,$J295="Cancelada",$J295="Suspensa"),0,$K295+Setup_Min))</f>
        <v/>
      </c>
      <c r="M295" s="17">
        <f>IF($B295="","",IF($N295="","OK",LEFT($N295,LEN($N295)-3)))</f>
        <v/>
      </c>
      <c r="N295" s="10">
        <f>IF($B295="","",IF(COUNTIF(Salas_Cod,$B295)=0,"Sala não cadastrada | ","")&amp;IF(AND(COUNTIF(Salas_Cod,$B295)&gt;0,IFERROR(INDEX(Salas_Status,MATCH($B295,Salas_Cod,0)),"")&lt;&gt;"Ativa"),"Sala bloqueada | ","")&amp;IF(COUNTIF(Turnos_Nome,$C295)=0,"Turno inválido | ","")&amp;IF(COUNTIF(Esp_Nome,$F295)=0,"Especialidade não cadastrada | ","")&amp;IF(COUNTIF(Lista_StatusCirurgia,$J295)=0,"Status inválido | ","")&amp;IF(OR(NOT(ISNUMBER($D295)),NOT(ISNUMBER($E295))),"Horário inválido | ","")&amp;IFERROR(IF(AND(ISNUMBER($D295),ISNUMBER($E295),MOD($E295-$D295,1)*1440&lt;=0),"Duração nula ou negativa | ",""),"")&amp;IFERROR(IF(AND(ISNUMBER($D295),COUNTIF(Turnos_Nome,$C295)&gt;0,MOD($D295-INDEX(Turnos_Ini,MATCH($C295,Turnos_Nome,0)),1)*1440&gt;=INDEX(Turnos_Min,MATCH($C295,Turnos_Nome,0))),"Início fora da janela do turno | ",""),"")&amp;IFERROR(IF(AND($L295&gt;0,SUMPRODUCT((Mapa_Sala=$B295)*(Mapa_Data=$A295)*(Mapa_MinOcup&gt;0)*(((MOD(Mapa_IniNum-$O295,1)&lt;MOD($P295-$O295,1))+(MOD($O295-Mapa_IniNum,1)&lt;MOD(Mapa_FimNum-Mapa_IniNum,1)))&gt;0))&gt;1),"Sobreposição de horário na sala | ",""),"")&amp;IFERROR(IF(AND(ISNUMBER($K295),$K295&gt;0,COUNTIF(Esp_Nome,$F295)&gt;0,$K295&gt;3*INDEX(Esp_Dur,MATCH($F295,Esp_Nome,0))),"Duração atípica (&gt;3x a média) | ",""),""))</f>
        <v/>
      </c>
      <c r="O295" s="10">
        <f>IF(ISNUMBER($D295),$D295,0)</f>
        <v/>
      </c>
      <c r="P295" s="10">
        <f>IF(ISNUMBER($E295),$E295,0)</f>
        <v/>
      </c>
    </row>
    <row r="296">
      <c r="A296" s="30" t="n"/>
      <c r="B296" s="24" t="n"/>
      <c r="C296" s="24" t="n"/>
      <c r="D296" s="31" t="n"/>
      <c r="E296" s="31" t="n"/>
      <c r="F296" s="25" t="n"/>
      <c r="G296" s="25" t="n"/>
      <c r="H296" s="25" t="n"/>
      <c r="I296" s="24" t="n"/>
      <c r="J296" s="24" t="n"/>
      <c r="K296" s="32">
        <f>IF(OR($B296="",NOT(ISNUMBER($D296)),NOT(ISNUMBER($E296))),"",ROUND(MOD($E296-$D296,1)*1440,0))</f>
        <v/>
      </c>
      <c r="L296" s="32">
        <f>IF(NOT(ISNUMBER($K296)),0,IF(OR($K296&lt;=0,$J296="Cancelada",$J296="Suspensa"),0,$K296+Setup_Min))</f>
        <v/>
      </c>
      <c r="M296" s="17">
        <f>IF($B296="","",IF($N296="","OK",LEFT($N296,LEN($N296)-3)))</f>
        <v/>
      </c>
      <c r="N296" s="10">
        <f>IF($B296="","",IF(COUNTIF(Salas_Cod,$B296)=0,"Sala não cadastrada | ","")&amp;IF(AND(COUNTIF(Salas_Cod,$B296)&gt;0,IFERROR(INDEX(Salas_Status,MATCH($B296,Salas_Cod,0)),"")&lt;&gt;"Ativa"),"Sala bloqueada | ","")&amp;IF(COUNTIF(Turnos_Nome,$C296)=0,"Turno inválido | ","")&amp;IF(COUNTIF(Esp_Nome,$F296)=0,"Especialidade não cadastrada | ","")&amp;IF(COUNTIF(Lista_StatusCirurgia,$J296)=0,"Status inválido | ","")&amp;IF(OR(NOT(ISNUMBER($D296)),NOT(ISNUMBER($E296))),"Horário inválido | ","")&amp;IFERROR(IF(AND(ISNUMBER($D296),ISNUMBER($E296),MOD($E296-$D296,1)*1440&lt;=0),"Duração nula ou negativa | ",""),"")&amp;IFERROR(IF(AND(ISNUMBER($D296),COUNTIF(Turnos_Nome,$C296)&gt;0,MOD($D296-INDEX(Turnos_Ini,MATCH($C296,Turnos_Nome,0)),1)*1440&gt;=INDEX(Turnos_Min,MATCH($C296,Turnos_Nome,0))),"Início fora da janela do turno | ",""),"")&amp;IFERROR(IF(AND($L296&gt;0,SUMPRODUCT((Mapa_Sala=$B296)*(Mapa_Data=$A296)*(Mapa_MinOcup&gt;0)*(((MOD(Mapa_IniNum-$O296,1)&lt;MOD($P296-$O296,1))+(MOD($O296-Mapa_IniNum,1)&lt;MOD(Mapa_FimNum-Mapa_IniNum,1)))&gt;0))&gt;1),"Sobreposição de horário na sala | ",""),"")&amp;IFERROR(IF(AND(ISNUMBER($K296),$K296&gt;0,COUNTIF(Esp_Nome,$F296)&gt;0,$K296&gt;3*INDEX(Esp_Dur,MATCH($F296,Esp_Nome,0))),"Duração atípica (&gt;3x a média) | ",""),""))</f>
        <v/>
      </c>
      <c r="O296" s="10">
        <f>IF(ISNUMBER($D296),$D296,0)</f>
        <v/>
      </c>
      <c r="P296" s="10">
        <f>IF(ISNUMBER($E296),$E296,0)</f>
        <v/>
      </c>
    </row>
    <row r="297">
      <c r="A297" s="30" t="n"/>
      <c r="B297" s="24" t="n"/>
      <c r="C297" s="24" t="n"/>
      <c r="D297" s="31" t="n"/>
      <c r="E297" s="31" t="n"/>
      <c r="F297" s="25" t="n"/>
      <c r="G297" s="25" t="n"/>
      <c r="H297" s="25" t="n"/>
      <c r="I297" s="24" t="n"/>
      <c r="J297" s="24" t="n"/>
      <c r="K297" s="32">
        <f>IF(OR($B297="",NOT(ISNUMBER($D297)),NOT(ISNUMBER($E297))),"",ROUND(MOD($E297-$D297,1)*1440,0))</f>
        <v/>
      </c>
      <c r="L297" s="32">
        <f>IF(NOT(ISNUMBER($K297)),0,IF(OR($K297&lt;=0,$J297="Cancelada",$J297="Suspensa"),0,$K297+Setup_Min))</f>
        <v/>
      </c>
      <c r="M297" s="17">
        <f>IF($B297="","",IF($N297="","OK",LEFT($N297,LEN($N297)-3)))</f>
        <v/>
      </c>
      <c r="N297" s="10">
        <f>IF($B297="","",IF(COUNTIF(Salas_Cod,$B297)=0,"Sala não cadastrada | ","")&amp;IF(AND(COUNTIF(Salas_Cod,$B297)&gt;0,IFERROR(INDEX(Salas_Status,MATCH($B297,Salas_Cod,0)),"")&lt;&gt;"Ativa"),"Sala bloqueada | ","")&amp;IF(COUNTIF(Turnos_Nome,$C297)=0,"Turno inválido | ","")&amp;IF(COUNTIF(Esp_Nome,$F297)=0,"Especialidade não cadastrada | ","")&amp;IF(COUNTIF(Lista_StatusCirurgia,$J297)=0,"Status inválido | ","")&amp;IF(OR(NOT(ISNUMBER($D297)),NOT(ISNUMBER($E297))),"Horário inválido | ","")&amp;IFERROR(IF(AND(ISNUMBER($D297),ISNUMBER($E297),MOD($E297-$D297,1)*1440&lt;=0),"Duração nula ou negativa | ",""),"")&amp;IFERROR(IF(AND(ISNUMBER($D297),COUNTIF(Turnos_Nome,$C297)&gt;0,MOD($D297-INDEX(Turnos_Ini,MATCH($C297,Turnos_Nome,0)),1)*1440&gt;=INDEX(Turnos_Min,MATCH($C297,Turnos_Nome,0))),"Início fora da janela do turno | ",""),"")&amp;IFERROR(IF(AND($L297&gt;0,SUMPRODUCT((Mapa_Sala=$B297)*(Mapa_Data=$A297)*(Mapa_MinOcup&gt;0)*(((MOD(Mapa_IniNum-$O297,1)&lt;MOD($P297-$O297,1))+(MOD($O297-Mapa_IniNum,1)&lt;MOD(Mapa_FimNum-Mapa_IniNum,1)))&gt;0))&gt;1),"Sobreposição de horário na sala | ",""),"")&amp;IFERROR(IF(AND(ISNUMBER($K297),$K297&gt;0,COUNTIF(Esp_Nome,$F297)&gt;0,$K297&gt;3*INDEX(Esp_Dur,MATCH($F297,Esp_Nome,0))),"Duração atípica (&gt;3x a média) | ",""),""))</f>
        <v/>
      </c>
      <c r="O297" s="10">
        <f>IF(ISNUMBER($D297),$D297,0)</f>
        <v/>
      </c>
      <c r="P297" s="10">
        <f>IF(ISNUMBER($E297),$E297,0)</f>
        <v/>
      </c>
    </row>
    <row r="298">
      <c r="A298" s="30" t="n"/>
      <c r="B298" s="24" t="n"/>
      <c r="C298" s="24" t="n"/>
      <c r="D298" s="31" t="n"/>
      <c r="E298" s="31" t="n"/>
      <c r="F298" s="25" t="n"/>
      <c r="G298" s="25" t="n"/>
      <c r="H298" s="25" t="n"/>
      <c r="I298" s="24" t="n"/>
      <c r="J298" s="24" t="n"/>
      <c r="K298" s="32">
        <f>IF(OR($B298="",NOT(ISNUMBER($D298)),NOT(ISNUMBER($E298))),"",ROUND(MOD($E298-$D298,1)*1440,0))</f>
        <v/>
      </c>
      <c r="L298" s="32">
        <f>IF(NOT(ISNUMBER($K298)),0,IF(OR($K298&lt;=0,$J298="Cancelada",$J298="Suspensa"),0,$K298+Setup_Min))</f>
        <v/>
      </c>
      <c r="M298" s="17">
        <f>IF($B298="","",IF($N298="","OK",LEFT($N298,LEN($N298)-3)))</f>
        <v/>
      </c>
      <c r="N298" s="10">
        <f>IF($B298="","",IF(COUNTIF(Salas_Cod,$B298)=0,"Sala não cadastrada | ","")&amp;IF(AND(COUNTIF(Salas_Cod,$B298)&gt;0,IFERROR(INDEX(Salas_Status,MATCH($B298,Salas_Cod,0)),"")&lt;&gt;"Ativa"),"Sala bloqueada | ","")&amp;IF(COUNTIF(Turnos_Nome,$C298)=0,"Turno inválido | ","")&amp;IF(COUNTIF(Esp_Nome,$F298)=0,"Especialidade não cadastrada | ","")&amp;IF(COUNTIF(Lista_StatusCirurgia,$J298)=0,"Status inválido | ","")&amp;IF(OR(NOT(ISNUMBER($D298)),NOT(ISNUMBER($E298))),"Horário inválido | ","")&amp;IFERROR(IF(AND(ISNUMBER($D298),ISNUMBER($E298),MOD($E298-$D298,1)*1440&lt;=0),"Duração nula ou negativa | ",""),"")&amp;IFERROR(IF(AND(ISNUMBER($D298),COUNTIF(Turnos_Nome,$C298)&gt;0,MOD($D298-INDEX(Turnos_Ini,MATCH($C298,Turnos_Nome,0)),1)*1440&gt;=INDEX(Turnos_Min,MATCH($C298,Turnos_Nome,0))),"Início fora da janela do turno | ",""),"")&amp;IFERROR(IF(AND($L298&gt;0,SUMPRODUCT((Mapa_Sala=$B298)*(Mapa_Data=$A298)*(Mapa_MinOcup&gt;0)*(((MOD(Mapa_IniNum-$O298,1)&lt;MOD($P298-$O298,1))+(MOD($O298-Mapa_IniNum,1)&lt;MOD(Mapa_FimNum-Mapa_IniNum,1)))&gt;0))&gt;1),"Sobreposição de horário na sala | ",""),"")&amp;IFERROR(IF(AND(ISNUMBER($K298),$K298&gt;0,COUNTIF(Esp_Nome,$F298)&gt;0,$K298&gt;3*INDEX(Esp_Dur,MATCH($F298,Esp_Nome,0))),"Duração atípica (&gt;3x a média) | ",""),""))</f>
        <v/>
      </c>
      <c r="O298" s="10">
        <f>IF(ISNUMBER($D298),$D298,0)</f>
        <v/>
      </c>
      <c r="P298" s="10">
        <f>IF(ISNUMBER($E298),$E298,0)</f>
        <v/>
      </c>
    </row>
    <row r="299">
      <c r="A299" s="30" t="n"/>
      <c r="B299" s="24" t="n"/>
      <c r="C299" s="24" t="n"/>
      <c r="D299" s="31" t="n"/>
      <c r="E299" s="31" t="n"/>
      <c r="F299" s="25" t="n"/>
      <c r="G299" s="25" t="n"/>
      <c r="H299" s="25" t="n"/>
      <c r="I299" s="24" t="n"/>
      <c r="J299" s="24" t="n"/>
      <c r="K299" s="32">
        <f>IF(OR($B299="",NOT(ISNUMBER($D299)),NOT(ISNUMBER($E299))),"",ROUND(MOD($E299-$D299,1)*1440,0))</f>
        <v/>
      </c>
      <c r="L299" s="32">
        <f>IF(NOT(ISNUMBER($K299)),0,IF(OR($K299&lt;=0,$J299="Cancelada",$J299="Suspensa"),0,$K299+Setup_Min))</f>
        <v/>
      </c>
      <c r="M299" s="17">
        <f>IF($B299="","",IF($N299="","OK",LEFT($N299,LEN($N299)-3)))</f>
        <v/>
      </c>
      <c r="N299" s="10">
        <f>IF($B299="","",IF(COUNTIF(Salas_Cod,$B299)=0,"Sala não cadastrada | ","")&amp;IF(AND(COUNTIF(Salas_Cod,$B299)&gt;0,IFERROR(INDEX(Salas_Status,MATCH($B299,Salas_Cod,0)),"")&lt;&gt;"Ativa"),"Sala bloqueada | ","")&amp;IF(COUNTIF(Turnos_Nome,$C299)=0,"Turno inválido | ","")&amp;IF(COUNTIF(Esp_Nome,$F299)=0,"Especialidade não cadastrada | ","")&amp;IF(COUNTIF(Lista_StatusCirurgia,$J299)=0,"Status inválido | ","")&amp;IF(OR(NOT(ISNUMBER($D299)),NOT(ISNUMBER($E299))),"Horário inválido | ","")&amp;IFERROR(IF(AND(ISNUMBER($D299),ISNUMBER($E299),MOD($E299-$D299,1)*1440&lt;=0),"Duração nula ou negativa | ",""),"")&amp;IFERROR(IF(AND(ISNUMBER($D299),COUNTIF(Turnos_Nome,$C299)&gt;0,MOD($D299-INDEX(Turnos_Ini,MATCH($C299,Turnos_Nome,0)),1)*1440&gt;=INDEX(Turnos_Min,MATCH($C299,Turnos_Nome,0))),"Início fora da janela do turno | ",""),"")&amp;IFERROR(IF(AND($L299&gt;0,SUMPRODUCT((Mapa_Sala=$B299)*(Mapa_Data=$A299)*(Mapa_MinOcup&gt;0)*(((MOD(Mapa_IniNum-$O299,1)&lt;MOD($P299-$O299,1))+(MOD($O299-Mapa_IniNum,1)&lt;MOD(Mapa_FimNum-Mapa_IniNum,1)))&gt;0))&gt;1),"Sobreposição de horário na sala | ",""),"")&amp;IFERROR(IF(AND(ISNUMBER($K299),$K299&gt;0,COUNTIF(Esp_Nome,$F299)&gt;0,$K299&gt;3*INDEX(Esp_Dur,MATCH($F299,Esp_Nome,0))),"Duração atípica (&gt;3x a média) | ",""),""))</f>
        <v/>
      </c>
      <c r="O299" s="10">
        <f>IF(ISNUMBER($D299),$D299,0)</f>
        <v/>
      </c>
      <c r="P299" s="10">
        <f>IF(ISNUMBER($E299),$E299,0)</f>
        <v/>
      </c>
    </row>
    <row r="300">
      <c r="A300" s="30" t="n"/>
      <c r="B300" s="24" t="n"/>
      <c r="C300" s="24" t="n"/>
      <c r="D300" s="31" t="n"/>
      <c r="E300" s="31" t="n"/>
      <c r="F300" s="25" t="n"/>
      <c r="G300" s="25" t="n"/>
      <c r="H300" s="25" t="n"/>
      <c r="I300" s="24" t="n"/>
      <c r="J300" s="24" t="n"/>
      <c r="K300" s="32">
        <f>IF(OR($B300="",NOT(ISNUMBER($D300)),NOT(ISNUMBER($E300))),"",ROUND(MOD($E300-$D300,1)*1440,0))</f>
        <v/>
      </c>
      <c r="L300" s="32">
        <f>IF(NOT(ISNUMBER($K300)),0,IF(OR($K300&lt;=0,$J300="Cancelada",$J300="Suspensa"),0,$K300+Setup_Min))</f>
        <v/>
      </c>
      <c r="M300" s="17">
        <f>IF($B300="","",IF($N300="","OK",LEFT($N300,LEN($N300)-3)))</f>
        <v/>
      </c>
      <c r="N300" s="10">
        <f>IF($B300="","",IF(COUNTIF(Salas_Cod,$B300)=0,"Sala não cadastrada | ","")&amp;IF(AND(COUNTIF(Salas_Cod,$B300)&gt;0,IFERROR(INDEX(Salas_Status,MATCH($B300,Salas_Cod,0)),"")&lt;&gt;"Ativa"),"Sala bloqueada | ","")&amp;IF(COUNTIF(Turnos_Nome,$C300)=0,"Turno inválido | ","")&amp;IF(COUNTIF(Esp_Nome,$F300)=0,"Especialidade não cadastrada | ","")&amp;IF(COUNTIF(Lista_StatusCirurgia,$J300)=0,"Status inválido | ","")&amp;IF(OR(NOT(ISNUMBER($D300)),NOT(ISNUMBER($E300))),"Horário inválido | ","")&amp;IFERROR(IF(AND(ISNUMBER($D300),ISNUMBER($E300),MOD($E300-$D300,1)*1440&lt;=0),"Duração nula ou negativa | ",""),"")&amp;IFERROR(IF(AND(ISNUMBER($D300),COUNTIF(Turnos_Nome,$C300)&gt;0,MOD($D300-INDEX(Turnos_Ini,MATCH($C300,Turnos_Nome,0)),1)*1440&gt;=INDEX(Turnos_Min,MATCH($C300,Turnos_Nome,0))),"Início fora da janela do turno | ",""),"")&amp;IFERROR(IF(AND($L300&gt;0,SUMPRODUCT((Mapa_Sala=$B300)*(Mapa_Data=$A300)*(Mapa_MinOcup&gt;0)*(((MOD(Mapa_IniNum-$O300,1)&lt;MOD($P300-$O300,1))+(MOD($O300-Mapa_IniNum,1)&lt;MOD(Mapa_FimNum-Mapa_IniNum,1)))&gt;0))&gt;1),"Sobreposição de horário na sala | ",""),"")&amp;IFERROR(IF(AND(ISNUMBER($K300),$K300&gt;0,COUNTIF(Esp_Nome,$F300)&gt;0,$K300&gt;3*INDEX(Esp_Dur,MATCH($F300,Esp_Nome,0))),"Duração atípica (&gt;3x a média) | ",""),""))</f>
        <v/>
      </c>
      <c r="O300" s="10">
        <f>IF(ISNUMBER($D300),$D300,0)</f>
        <v/>
      </c>
      <c r="P300" s="10">
        <f>IF(ISNUMBER($E300),$E300,0)</f>
        <v/>
      </c>
    </row>
    <row r="301">
      <c r="A301" s="30" t="n"/>
      <c r="B301" s="24" t="n"/>
      <c r="C301" s="24" t="n"/>
      <c r="D301" s="31" t="n"/>
      <c r="E301" s="31" t="n"/>
      <c r="F301" s="25" t="n"/>
      <c r="G301" s="25" t="n"/>
      <c r="H301" s="25" t="n"/>
      <c r="I301" s="24" t="n"/>
      <c r="J301" s="24" t="n"/>
      <c r="K301" s="32">
        <f>IF(OR($B301="",NOT(ISNUMBER($D301)),NOT(ISNUMBER($E301))),"",ROUND(MOD($E301-$D301,1)*1440,0))</f>
        <v/>
      </c>
      <c r="L301" s="32">
        <f>IF(NOT(ISNUMBER($K301)),0,IF(OR($K301&lt;=0,$J301="Cancelada",$J301="Suspensa"),0,$K301+Setup_Min))</f>
        <v/>
      </c>
      <c r="M301" s="17">
        <f>IF($B301="","",IF($N301="","OK",LEFT($N301,LEN($N301)-3)))</f>
        <v/>
      </c>
      <c r="N301" s="10">
        <f>IF($B301="","",IF(COUNTIF(Salas_Cod,$B301)=0,"Sala não cadastrada | ","")&amp;IF(AND(COUNTIF(Salas_Cod,$B301)&gt;0,IFERROR(INDEX(Salas_Status,MATCH($B301,Salas_Cod,0)),"")&lt;&gt;"Ativa"),"Sala bloqueada | ","")&amp;IF(COUNTIF(Turnos_Nome,$C301)=0,"Turno inválido | ","")&amp;IF(COUNTIF(Esp_Nome,$F301)=0,"Especialidade não cadastrada | ","")&amp;IF(COUNTIF(Lista_StatusCirurgia,$J301)=0,"Status inválido | ","")&amp;IF(OR(NOT(ISNUMBER($D301)),NOT(ISNUMBER($E301))),"Horário inválido | ","")&amp;IFERROR(IF(AND(ISNUMBER($D301),ISNUMBER($E301),MOD($E301-$D301,1)*1440&lt;=0),"Duração nula ou negativa | ",""),"")&amp;IFERROR(IF(AND(ISNUMBER($D301),COUNTIF(Turnos_Nome,$C301)&gt;0,MOD($D301-INDEX(Turnos_Ini,MATCH($C301,Turnos_Nome,0)),1)*1440&gt;=INDEX(Turnos_Min,MATCH($C301,Turnos_Nome,0))),"Início fora da janela do turno | ",""),"")&amp;IFERROR(IF(AND($L301&gt;0,SUMPRODUCT((Mapa_Sala=$B301)*(Mapa_Data=$A301)*(Mapa_MinOcup&gt;0)*(((MOD(Mapa_IniNum-$O301,1)&lt;MOD($P301-$O301,1))+(MOD($O301-Mapa_IniNum,1)&lt;MOD(Mapa_FimNum-Mapa_IniNum,1)))&gt;0))&gt;1),"Sobreposição de horário na sala | ",""),"")&amp;IFERROR(IF(AND(ISNUMBER($K301),$K301&gt;0,COUNTIF(Esp_Nome,$F301)&gt;0,$K301&gt;3*INDEX(Esp_Dur,MATCH($F301,Esp_Nome,0))),"Duração atípica (&gt;3x a média) | ",""),""))</f>
        <v/>
      </c>
      <c r="O301" s="10">
        <f>IF(ISNUMBER($D301),$D301,0)</f>
        <v/>
      </c>
      <c r="P301" s="10">
        <f>IF(ISNUMBER($E301),$E301,0)</f>
        <v/>
      </c>
    </row>
  </sheetData>
  <autoFilter ref="A1:M301"/>
  <conditionalFormatting sqref="M2:M301">
    <cfRule type="expression" priority="1" dxfId="0">
      <formula>AND($M2&lt;&gt;"",$M2&lt;&gt;"OK")</formula>
    </cfRule>
  </conditionalFormatting>
  <conditionalFormatting sqref="J2:J301">
    <cfRule type="expression" priority="2" dxfId="1">
      <formula>OR($J2="Cancelada",$J2="Suspensa")</formula>
    </cfRule>
  </conditionalFormatting>
  <dataValidations count="6">
    <dataValidation sqref="B2:B301" showDropDown="0" showInputMessage="0" showErrorMessage="1" allowBlank="1" type="list">
      <formula1>=Lista_Salas</formula1>
    </dataValidation>
    <dataValidation sqref="C2:C301" showDropDown="0" showInputMessage="0" showErrorMessage="1" allowBlank="1" type="list">
      <formula1>=Lista_Turnos</formula1>
    </dataValidation>
    <dataValidation sqref="F2:F301" showDropDown="0" showInputMessage="0" showErrorMessage="1" allowBlank="1" type="list">
      <formula1>=Lista_Especialidades</formula1>
    </dataValidation>
    <dataValidation sqref="I2:I301" showDropDown="0" showInputMessage="0" showErrorMessage="1" allowBlank="1" type="list">
      <formula1>=Lista_Porte</formula1>
    </dataValidation>
    <dataValidation sqref="J2:J301" showDropDown="0" showInputMessage="0" showErrorMessage="1" allowBlank="1" type="list">
      <formula1>=Lista_StatusCirurgia</formula1>
    </dataValidation>
    <dataValidation sqref="D2:E301" showDropDown="0" showInputMessage="0" showErrorMessage="1" allowBlank="1" errorTitle="Horário inválido" error="Informe um horário válido no formato HH:MM." type="time" operator="between">
      <formula1>TIME(0,0,0)</formula1>
      <formula2>TIME(23,59,0)</formula2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12" customWidth="1" min="24" max="24"/>
    <col width="12" customWidth="1" min="25" max="25"/>
    <col width="11" customWidth="1" min="26" max="26"/>
  </cols>
  <sheetData>
    <row r="1" ht="146" customHeight="1">
      <c r="A1" s="14" t="inlineStr">
        <is>
          <t>Chave</t>
        </is>
      </c>
      <c r="B1" s="14" t="inlineStr">
        <is>
          <t>Sala</t>
        </is>
      </c>
      <c r="C1" s="14" t="inlineStr">
        <is>
          <t>Turno</t>
        </is>
      </c>
      <c r="D1" s="26">
        <f>IF('Especialidades'!$B$2="","",'Especialidades'!$B$2)</f>
        <v/>
      </c>
      <c r="E1" s="26">
        <f>IF('Especialidades'!$B$3="","",'Especialidades'!$B$3)</f>
        <v/>
      </c>
      <c r="F1" s="26">
        <f>IF('Especialidades'!$B$4="","",'Especialidades'!$B$4)</f>
        <v/>
      </c>
      <c r="G1" s="26">
        <f>IF('Especialidades'!$B$5="","",'Especialidades'!$B$5)</f>
        <v/>
      </c>
      <c r="H1" s="26">
        <f>IF('Especialidades'!$B$6="","",'Especialidades'!$B$6)</f>
        <v/>
      </c>
      <c r="I1" s="26">
        <f>IF('Especialidades'!$B$7="","",'Especialidades'!$B$7)</f>
        <v/>
      </c>
      <c r="J1" s="26">
        <f>IF('Especialidades'!$B$8="","",'Especialidades'!$B$8)</f>
        <v/>
      </c>
      <c r="K1" s="26">
        <f>IF('Especialidades'!$B$9="","",'Especialidades'!$B$9)</f>
        <v/>
      </c>
      <c r="L1" s="26">
        <f>IF('Especialidades'!$B$10="","",'Especialidades'!$B$10)</f>
        <v/>
      </c>
      <c r="M1" s="26">
        <f>IF('Especialidades'!$B$11="","",'Especialidades'!$B$11)</f>
        <v/>
      </c>
      <c r="N1" s="26">
        <f>IF('Especialidades'!$B$12="","",'Especialidades'!$B$12)</f>
        <v/>
      </c>
      <c r="O1" s="26">
        <f>IF('Especialidades'!$B$13="","",'Especialidades'!$B$13)</f>
        <v/>
      </c>
      <c r="P1" s="26">
        <f>IF('Especialidades'!$B$14="","",'Especialidades'!$B$14)</f>
        <v/>
      </c>
      <c r="Q1" s="26">
        <f>IF('Especialidades'!$B$15="","",'Especialidades'!$B$15)</f>
        <v/>
      </c>
      <c r="R1" s="26">
        <f>IF('Especialidades'!$B$16="","",'Especialidades'!$B$16)</f>
        <v/>
      </c>
      <c r="S1" s="26">
        <f>IF('Especialidades'!$B$17="","",'Especialidades'!$B$17)</f>
        <v/>
      </c>
      <c r="T1" s="26">
        <f>IF('Especialidades'!$B$18="","",'Especialidades'!$B$18)</f>
        <v/>
      </c>
      <c r="U1" s="26">
        <f>IF('Especialidades'!$B$19="","",'Especialidades'!$B$19)</f>
        <v/>
      </c>
      <c r="V1" s="26">
        <f>IF('Especialidades'!$B$20="","",'Especialidades'!$B$20)</f>
        <v/>
      </c>
      <c r="W1" s="26">
        <f>IF('Especialidades'!$B$21="","",'Especialidades'!$B$21)</f>
        <v/>
      </c>
      <c r="X1" s="14" t="inlineStr">
        <is>
          <t>Total min. ocupação</t>
        </is>
      </c>
      <c r="Y1" s="14" t="inlineStr">
        <is>
          <t>Min. disponíveis</t>
        </is>
      </c>
      <c r="Z1" s="14" t="inlineStr">
        <is>
          <t>Ocupação %</t>
        </is>
      </c>
    </row>
    <row r="2">
      <c r="A2" s="27">
        <f>IF($B2="","",$B2&amp;" | "&amp;$C2)</f>
        <v/>
      </c>
      <c r="B2" s="27">
        <f>IF('Salas'!$A$2="","",'Salas'!$A$2)</f>
        <v/>
      </c>
      <c r="C2" s="27">
        <f>IF($B2="","",'Parâmetros'!$A$32)</f>
        <v/>
      </c>
      <c r="D2" s="32">
        <f>IF(OR($B2="",D$1=""),0,SUMIFS(Mapa_MinOcup,Mapa_Sala,$B2,Mapa_Turno,$C2,Mapa_Esp,D$1))</f>
        <v/>
      </c>
      <c r="E2" s="32">
        <f>IF(OR($B2="",E$1=""),0,SUMIFS(Mapa_MinOcup,Mapa_Sala,$B2,Mapa_Turno,$C2,Mapa_Esp,E$1))</f>
        <v/>
      </c>
      <c r="F2" s="32">
        <f>IF(OR($B2="",F$1=""),0,SUMIFS(Mapa_MinOcup,Mapa_Sala,$B2,Mapa_Turno,$C2,Mapa_Esp,F$1))</f>
        <v/>
      </c>
      <c r="G2" s="32">
        <f>IF(OR($B2="",G$1=""),0,SUMIFS(Mapa_MinOcup,Mapa_Sala,$B2,Mapa_Turno,$C2,Mapa_Esp,G$1))</f>
        <v/>
      </c>
      <c r="H2" s="32">
        <f>IF(OR($B2="",H$1=""),0,SUMIFS(Mapa_MinOcup,Mapa_Sala,$B2,Mapa_Turno,$C2,Mapa_Esp,H$1))</f>
        <v/>
      </c>
      <c r="I2" s="32">
        <f>IF(OR($B2="",I$1=""),0,SUMIFS(Mapa_MinOcup,Mapa_Sala,$B2,Mapa_Turno,$C2,Mapa_Esp,I$1))</f>
        <v/>
      </c>
      <c r="J2" s="32">
        <f>IF(OR($B2="",J$1=""),0,SUMIFS(Mapa_MinOcup,Mapa_Sala,$B2,Mapa_Turno,$C2,Mapa_Esp,J$1))</f>
        <v/>
      </c>
      <c r="K2" s="32">
        <f>IF(OR($B2="",K$1=""),0,SUMIFS(Mapa_MinOcup,Mapa_Sala,$B2,Mapa_Turno,$C2,Mapa_Esp,K$1))</f>
        <v/>
      </c>
      <c r="L2" s="32">
        <f>IF(OR($B2="",L$1=""),0,SUMIFS(Mapa_MinOcup,Mapa_Sala,$B2,Mapa_Turno,$C2,Mapa_Esp,L$1))</f>
        <v/>
      </c>
      <c r="M2" s="32">
        <f>IF(OR($B2="",M$1=""),0,SUMIFS(Mapa_MinOcup,Mapa_Sala,$B2,Mapa_Turno,$C2,Mapa_Esp,M$1))</f>
        <v/>
      </c>
      <c r="N2" s="32">
        <f>IF(OR($B2="",N$1=""),0,SUMIFS(Mapa_MinOcup,Mapa_Sala,$B2,Mapa_Turno,$C2,Mapa_Esp,N$1))</f>
        <v/>
      </c>
      <c r="O2" s="32">
        <f>IF(OR($B2="",O$1=""),0,SUMIFS(Mapa_MinOcup,Mapa_Sala,$B2,Mapa_Turno,$C2,Mapa_Esp,O$1))</f>
        <v/>
      </c>
      <c r="P2" s="32">
        <f>IF(OR($B2="",P$1=""),0,SUMIFS(Mapa_MinOcup,Mapa_Sala,$B2,Mapa_Turno,$C2,Mapa_Esp,P$1))</f>
        <v/>
      </c>
      <c r="Q2" s="32">
        <f>IF(OR($B2="",Q$1=""),0,SUMIFS(Mapa_MinOcup,Mapa_Sala,$B2,Mapa_Turno,$C2,Mapa_Esp,Q$1))</f>
        <v/>
      </c>
      <c r="R2" s="32">
        <f>IF(OR($B2="",R$1=""),0,SUMIFS(Mapa_MinOcup,Mapa_Sala,$B2,Mapa_Turno,$C2,Mapa_Esp,R$1))</f>
        <v/>
      </c>
      <c r="S2" s="32">
        <f>IF(OR($B2="",S$1=""),0,SUMIFS(Mapa_MinOcup,Mapa_Sala,$B2,Mapa_Turno,$C2,Mapa_Esp,S$1))</f>
        <v/>
      </c>
      <c r="T2" s="32">
        <f>IF(OR($B2="",T$1=""),0,SUMIFS(Mapa_MinOcup,Mapa_Sala,$B2,Mapa_Turno,$C2,Mapa_Esp,T$1))</f>
        <v/>
      </c>
      <c r="U2" s="32">
        <f>IF(OR($B2="",U$1=""),0,SUMIFS(Mapa_MinOcup,Mapa_Sala,$B2,Mapa_Turno,$C2,Mapa_Esp,U$1))</f>
        <v/>
      </c>
      <c r="V2" s="32">
        <f>IF(OR($B2="",V$1=""),0,SUMIFS(Mapa_MinOcup,Mapa_Sala,$B2,Mapa_Turno,$C2,Mapa_Esp,V$1))</f>
        <v/>
      </c>
      <c r="W2" s="32">
        <f>IF(OR($B2="",W$1=""),0,SUMIFS(Mapa_MinOcup,Mapa_Sala,$B2,Mapa_Turno,$C2,Mapa_Esp,W$1))</f>
        <v/>
      </c>
      <c r="X2" s="32">
        <f>IF($B2="",0,SUM(D2:W2))</f>
        <v/>
      </c>
      <c r="Y2" s="32">
        <f>IF($B2="",0,IFERROR(INDEX(Turnos_Min,MATCH($C2,Turnos_Nome,0)),0))</f>
        <v/>
      </c>
      <c r="Z2" s="33">
        <f>IF(OR($B2="",Y2=0),"",X2/Y2)</f>
        <v/>
      </c>
    </row>
    <row r="3">
      <c r="A3" s="27">
        <f>IF($B3="","",$B3&amp;" | "&amp;$C3)</f>
        <v/>
      </c>
      <c r="B3" s="27">
        <f>IF('Salas'!$A$2="","",'Salas'!$A$2)</f>
        <v/>
      </c>
      <c r="C3" s="27">
        <f>IF($B3="","",'Parâmetros'!$A$33)</f>
        <v/>
      </c>
      <c r="D3" s="32">
        <f>IF(OR($B3="",D$1=""),0,SUMIFS(Mapa_MinOcup,Mapa_Sala,$B3,Mapa_Turno,$C3,Mapa_Esp,D$1))</f>
        <v/>
      </c>
      <c r="E3" s="32">
        <f>IF(OR($B3="",E$1=""),0,SUMIFS(Mapa_MinOcup,Mapa_Sala,$B3,Mapa_Turno,$C3,Mapa_Esp,E$1))</f>
        <v/>
      </c>
      <c r="F3" s="32">
        <f>IF(OR($B3="",F$1=""),0,SUMIFS(Mapa_MinOcup,Mapa_Sala,$B3,Mapa_Turno,$C3,Mapa_Esp,F$1))</f>
        <v/>
      </c>
      <c r="G3" s="32">
        <f>IF(OR($B3="",G$1=""),0,SUMIFS(Mapa_MinOcup,Mapa_Sala,$B3,Mapa_Turno,$C3,Mapa_Esp,G$1))</f>
        <v/>
      </c>
      <c r="H3" s="32">
        <f>IF(OR($B3="",H$1=""),0,SUMIFS(Mapa_MinOcup,Mapa_Sala,$B3,Mapa_Turno,$C3,Mapa_Esp,H$1))</f>
        <v/>
      </c>
      <c r="I3" s="32">
        <f>IF(OR($B3="",I$1=""),0,SUMIFS(Mapa_MinOcup,Mapa_Sala,$B3,Mapa_Turno,$C3,Mapa_Esp,I$1))</f>
        <v/>
      </c>
      <c r="J3" s="32">
        <f>IF(OR($B3="",J$1=""),0,SUMIFS(Mapa_MinOcup,Mapa_Sala,$B3,Mapa_Turno,$C3,Mapa_Esp,J$1))</f>
        <v/>
      </c>
      <c r="K3" s="32">
        <f>IF(OR($B3="",K$1=""),0,SUMIFS(Mapa_MinOcup,Mapa_Sala,$B3,Mapa_Turno,$C3,Mapa_Esp,K$1))</f>
        <v/>
      </c>
      <c r="L3" s="32">
        <f>IF(OR($B3="",L$1=""),0,SUMIFS(Mapa_MinOcup,Mapa_Sala,$B3,Mapa_Turno,$C3,Mapa_Esp,L$1))</f>
        <v/>
      </c>
      <c r="M3" s="32">
        <f>IF(OR($B3="",M$1=""),0,SUMIFS(Mapa_MinOcup,Mapa_Sala,$B3,Mapa_Turno,$C3,Mapa_Esp,M$1))</f>
        <v/>
      </c>
      <c r="N3" s="32">
        <f>IF(OR($B3="",N$1=""),0,SUMIFS(Mapa_MinOcup,Mapa_Sala,$B3,Mapa_Turno,$C3,Mapa_Esp,N$1))</f>
        <v/>
      </c>
      <c r="O3" s="32">
        <f>IF(OR($B3="",O$1=""),0,SUMIFS(Mapa_MinOcup,Mapa_Sala,$B3,Mapa_Turno,$C3,Mapa_Esp,O$1))</f>
        <v/>
      </c>
      <c r="P3" s="32">
        <f>IF(OR($B3="",P$1=""),0,SUMIFS(Mapa_MinOcup,Mapa_Sala,$B3,Mapa_Turno,$C3,Mapa_Esp,P$1))</f>
        <v/>
      </c>
      <c r="Q3" s="32">
        <f>IF(OR($B3="",Q$1=""),0,SUMIFS(Mapa_MinOcup,Mapa_Sala,$B3,Mapa_Turno,$C3,Mapa_Esp,Q$1))</f>
        <v/>
      </c>
      <c r="R3" s="32">
        <f>IF(OR($B3="",R$1=""),0,SUMIFS(Mapa_MinOcup,Mapa_Sala,$B3,Mapa_Turno,$C3,Mapa_Esp,R$1))</f>
        <v/>
      </c>
      <c r="S3" s="32">
        <f>IF(OR($B3="",S$1=""),0,SUMIFS(Mapa_MinOcup,Mapa_Sala,$B3,Mapa_Turno,$C3,Mapa_Esp,S$1))</f>
        <v/>
      </c>
      <c r="T3" s="32">
        <f>IF(OR($B3="",T$1=""),0,SUMIFS(Mapa_MinOcup,Mapa_Sala,$B3,Mapa_Turno,$C3,Mapa_Esp,T$1))</f>
        <v/>
      </c>
      <c r="U3" s="32">
        <f>IF(OR($B3="",U$1=""),0,SUMIFS(Mapa_MinOcup,Mapa_Sala,$B3,Mapa_Turno,$C3,Mapa_Esp,U$1))</f>
        <v/>
      </c>
      <c r="V3" s="32">
        <f>IF(OR($B3="",V$1=""),0,SUMIFS(Mapa_MinOcup,Mapa_Sala,$B3,Mapa_Turno,$C3,Mapa_Esp,V$1))</f>
        <v/>
      </c>
      <c r="W3" s="32">
        <f>IF(OR($B3="",W$1=""),0,SUMIFS(Mapa_MinOcup,Mapa_Sala,$B3,Mapa_Turno,$C3,Mapa_Esp,W$1))</f>
        <v/>
      </c>
      <c r="X3" s="32">
        <f>IF($B3="",0,SUM(D3:W3))</f>
        <v/>
      </c>
      <c r="Y3" s="32">
        <f>IF($B3="",0,IFERROR(INDEX(Turnos_Min,MATCH($C3,Turnos_Nome,0)),0))</f>
        <v/>
      </c>
      <c r="Z3" s="33">
        <f>IF(OR($B3="",Y3=0),"",X3/Y3)</f>
        <v/>
      </c>
    </row>
    <row r="4">
      <c r="A4" s="27">
        <f>IF($B4="","",$B4&amp;" | "&amp;$C4)</f>
        <v/>
      </c>
      <c r="B4" s="27">
        <f>IF('Salas'!$A$2="","",'Salas'!$A$2)</f>
        <v/>
      </c>
      <c r="C4" s="27">
        <f>IF($B4="","",'Parâmetros'!$A$34)</f>
        <v/>
      </c>
      <c r="D4" s="32">
        <f>IF(OR($B4="",D$1=""),0,SUMIFS(Mapa_MinOcup,Mapa_Sala,$B4,Mapa_Turno,$C4,Mapa_Esp,D$1))</f>
        <v/>
      </c>
      <c r="E4" s="32">
        <f>IF(OR($B4="",E$1=""),0,SUMIFS(Mapa_MinOcup,Mapa_Sala,$B4,Mapa_Turno,$C4,Mapa_Esp,E$1))</f>
        <v/>
      </c>
      <c r="F4" s="32">
        <f>IF(OR($B4="",F$1=""),0,SUMIFS(Mapa_MinOcup,Mapa_Sala,$B4,Mapa_Turno,$C4,Mapa_Esp,F$1))</f>
        <v/>
      </c>
      <c r="G4" s="32">
        <f>IF(OR($B4="",G$1=""),0,SUMIFS(Mapa_MinOcup,Mapa_Sala,$B4,Mapa_Turno,$C4,Mapa_Esp,G$1))</f>
        <v/>
      </c>
      <c r="H4" s="32">
        <f>IF(OR($B4="",H$1=""),0,SUMIFS(Mapa_MinOcup,Mapa_Sala,$B4,Mapa_Turno,$C4,Mapa_Esp,H$1))</f>
        <v/>
      </c>
      <c r="I4" s="32">
        <f>IF(OR($B4="",I$1=""),0,SUMIFS(Mapa_MinOcup,Mapa_Sala,$B4,Mapa_Turno,$C4,Mapa_Esp,I$1))</f>
        <v/>
      </c>
      <c r="J4" s="32">
        <f>IF(OR($B4="",J$1=""),0,SUMIFS(Mapa_MinOcup,Mapa_Sala,$B4,Mapa_Turno,$C4,Mapa_Esp,J$1))</f>
        <v/>
      </c>
      <c r="K4" s="32">
        <f>IF(OR($B4="",K$1=""),0,SUMIFS(Mapa_MinOcup,Mapa_Sala,$B4,Mapa_Turno,$C4,Mapa_Esp,K$1))</f>
        <v/>
      </c>
      <c r="L4" s="32">
        <f>IF(OR($B4="",L$1=""),0,SUMIFS(Mapa_MinOcup,Mapa_Sala,$B4,Mapa_Turno,$C4,Mapa_Esp,L$1))</f>
        <v/>
      </c>
      <c r="M4" s="32">
        <f>IF(OR($B4="",M$1=""),0,SUMIFS(Mapa_MinOcup,Mapa_Sala,$B4,Mapa_Turno,$C4,Mapa_Esp,M$1))</f>
        <v/>
      </c>
      <c r="N4" s="32">
        <f>IF(OR($B4="",N$1=""),0,SUMIFS(Mapa_MinOcup,Mapa_Sala,$B4,Mapa_Turno,$C4,Mapa_Esp,N$1))</f>
        <v/>
      </c>
      <c r="O4" s="32">
        <f>IF(OR($B4="",O$1=""),0,SUMIFS(Mapa_MinOcup,Mapa_Sala,$B4,Mapa_Turno,$C4,Mapa_Esp,O$1))</f>
        <v/>
      </c>
      <c r="P4" s="32">
        <f>IF(OR($B4="",P$1=""),0,SUMIFS(Mapa_MinOcup,Mapa_Sala,$B4,Mapa_Turno,$C4,Mapa_Esp,P$1))</f>
        <v/>
      </c>
      <c r="Q4" s="32">
        <f>IF(OR($B4="",Q$1=""),0,SUMIFS(Mapa_MinOcup,Mapa_Sala,$B4,Mapa_Turno,$C4,Mapa_Esp,Q$1))</f>
        <v/>
      </c>
      <c r="R4" s="32">
        <f>IF(OR($B4="",R$1=""),0,SUMIFS(Mapa_MinOcup,Mapa_Sala,$B4,Mapa_Turno,$C4,Mapa_Esp,R$1))</f>
        <v/>
      </c>
      <c r="S4" s="32">
        <f>IF(OR($B4="",S$1=""),0,SUMIFS(Mapa_MinOcup,Mapa_Sala,$B4,Mapa_Turno,$C4,Mapa_Esp,S$1))</f>
        <v/>
      </c>
      <c r="T4" s="32">
        <f>IF(OR($B4="",T$1=""),0,SUMIFS(Mapa_MinOcup,Mapa_Sala,$B4,Mapa_Turno,$C4,Mapa_Esp,T$1))</f>
        <v/>
      </c>
      <c r="U4" s="32">
        <f>IF(OR($B4="",U$1=""),0,SUMIFS(Mapa_MinOcup,Mapa_Sala,$B4,Mapa_Turno,$C4,Mapa_Esp,U$1))</f>
        <v/>
      </c>
      <c r="V4" s="32">
        <f>IF(OR($B4="",V$1=""),0,SUMIFS(Mapa_MinOcup,Mapa_Sala,$B4,Mapa_Turno,$C4,Mapa_Esp,V$1))</f>
        <v/>
      </c>
      <c r="W4" s="32">
        <f>IF(OR($B4="",W$1=""),0,SUMIFS(Mapa_MinOcup,Mapa_Sala,$B4,Mapa_Turno,$C4,Mapa_Esp,W$1))</f>
        <v/>
      </c>
      <c r="X4" s="32">
        <f>IF($B4="",0,SUM(D4:W4))</f>
        <v/>
      </c>
      <c r="Y4" s="32">
        <f>IF($B4="",0,IFERROR(INDEX(Turnos_Min,MATCH($C4,Turnos_Nome,0)),0))</f>
        <v/>
      </c>
      <c r="Z4" s="33">
        <f>IF(OR($B4="",Y4=0),"",X4/Y4)</f>
        <v/>
      </c>
    </row>
    <row r="5">
      <c r="A5" s="27">
        <f>IF($B5="","",$B5&amp;" | "&amp;$C5)</f>
        <v/>
      </c>
      <c r="B5" s="27">
        <f>IF('Salas'!$A$3="","",'Salas'!$A$3)</f>
        <v/>
      </c>
      <c r="C5" s="27">
        <f>IF($B5="","",'Parâmetros'!$A$32)</f>
        <v/>
      </c>
      <c r="D5" s="32">
        <f>IF(OR($B5="",D$1=""),0,SUMIFS(Mapa_MinOcup,Mapa_Sala,$B5,Mapa_Turno,$C5,Mapa_Esp,D$1))</f>
        <v/>
      </c>
      <c r="E5" s="32">
        <f>IF(OR($B5="",E$1=""),0,SUMIFS(Mapa_MinOcup,Mapa_Sala,$B5,Mapa_Turno,$C5,Mapa_Esp,E$1))</f>
        <v/>
      </c>
      <c r="F5" s="32">
        <f>IF(OR($B5="",F$1=""),0,SUMIFS(Mapa_MinOcup,Mapa_Sala,$B5,Mapa_Turno,$C5,Mapa_Esp,F$1))</f>
        <v/>
      </c>
      <c r="G5" s="32">
        <f>IF(OR($B5="",G$1=""),0,SUMIFS(Mapa_MinOcup,Mapa_Sala,$B5,Mapa_Turno,$C5,Mapa_Esp,G$1))</f>
        <v/>
      </c>
      <c r="H5" s="32">
        <f>IF(OR($B5="",H$1=""),0,SUMIFS(Mapa_MinOcup,Mapa_Sala,$B5,Mapa_Turno,$C5,Mapa_Esp,H$1))</f>
        <v/>
      </c>
      <c r="I5" s="32">
        <f>IF(OR($B5="",I$1=""),0,SUMIFS(Mapa_MinOcup,Mapa_Sala,$B5,Mapa_Turno,$C5,Mapa_Esp,I$1))</f>
        <v/>
      </c>
      <c r="J5" s="32">
        <f>IF(OR($B5="",J$1=""),0,SUMIFS(Mapa_MinOcup,Mapa_Sala,$B5,Mapa_Turno,$C5,Mapa_Esp,J$1))</f>
        <v/>
      </c>
      <c r="K5" s="32">
        <f>IF(OR($B5="",K$1=""),0,SUMIFS(Mapa_MinOcup,Mapa_Sala,$B5,Mapa_Turno,$C5,Mapa_Esp,K$1))</f>
        <v/>
      </c>
      <c r="L5" s="32">
        <f>IF(OR($B5="",L$1=""),0,SUMIFS(Mapa_MinOcup,Mapa_Sala,$B5,Mapa_Turno,$C5,Mapa_Esp,L$1))</f>
        <v/>
      </c>
      <c r="M5" s="32">
        <f>IF(OR($B5="",M$1=""),0,SUMIFS(Mapa_MinOcup,Mapa_Sala,$B5,Mapa_Turno,$C5,Mapa_Esp,M$1))</f>
        <v/>
      </c>
      <c r="N5" s="32">
        <f>IF(OR($B5="",N$1=""),0,SUMIFS(Mapa_MinOcup,Mapa_Sala,$B5,Mapa_Turno,$C5,Mapa_Esp,N$1))</f>
        <v/>
      </c>
      <c r="O5" s="32">
        <f>IF(OR($B5="",O$1=""),0,SUMIFS(Mapa_MinOcup,Mapa_Sala,$B5,Mapa_Turno,$C5,Mapa_Esp,O$1))</f>
        <v/>
      </c>
      <c r="P5" s="32">
        <f>IF(OR($B5="",P$1=""),0,SUMIFS(Mapa_MinOcup,Mapa_Sala,$B5,Mapa_Turno,$C5,Mapa_Esp,P$1))</f>
        <v/>
      </c>
      <c r="Q5" s="32">
        <f>IF(OR($B5="",Q$1=""),0,SUMIFS(Mapa_MinOcup,Mapa_Sala,$B5,Mapa_Turno,$C5,Mapa_Esp,Q$1))</f>
        <v/>
      </c>
      <c r="R5" s="32">
        <f>IF(OR($B5="",R$1=""),0,SUMIFS(Mapa_MinOcup,Mapa_Sala,$B5,Mapa_Turno,$C5,Mapa_Esp,R$1))</f>
        <v/>
      </c>
      <c r="S5" s="32">
        <f>IF(OR($B5="",S$1=""),0,SUMIFS(Mapa_MinOcup,Mapa_Sala,$B5,Mapa_Turno,$C5,Mapa_Esp,S$1))</f>
        <v/>
      </c>
      <c r="T5" s="32">
        <f>IF(OR($B5="",T$1=""),0,SUMIFS(Mapa_MinOcup,Mapa_Sala,$B5,Mapa_Turno,$C5,Mapa_Esp,T$1))</f>
        <v/>
      </c>
      <c r="U5" s="32">
        <f>IF(OR($B5="",U$1=""),0,SUMIFS(Mapa_MinOcup,Mapa_Sala,$B5,Mapa_Turno,$C5,Mapa_Esp,U$1))</f>
        <v/>
      </c>
      <c r="V5" s="32">
        <f>IF(OR($B5="",V$1=""),0,SUMIFS(Mapa_MinOcup,Mapa_Sala,$B5,Mapa_Turno,$C5,Mapa_Esp,V$1))</f>
        <v/>
      </c>
      <c r="W5" s="32">
        <f>IF(OR($B5="",W$1=""),0,SUMIFS(Mapa_MinOcup,Mapa_Sala,$B5,Mapa_Turno,$C5,Mapa_Esp,W$1))</f>
        <v/>
      </c>
      <c r="X5" s="32">
        <f>IF($B5="",0,SUM(D5:W5))</f>
        <v/>
      </c>
      <c r="Y5" s="32">
        <f>IF($B5="",0,IFERROR(INDEX(Turnos_Min,MATCH($C5,Turnos_Nome,0)),0))</f>
        <v/>
      </c>
      <c r="Z5" s="33">
        <f>IF(OR($B5="",Y5=0),"",X5/Y5)</f>
        <v/>
      </c>
    </row>
    <row r="6">
      <c r="A6" s="27">
        <f>IF($B6="","",$B6&amp;" | "&amp;$C6)</f>
        <v/>
      </c>
      <c r="B6" s="27">
        <f>IF('Salas'!$A$3="","",'Salas'!$A$3)</f>
        <v/>
      </c>
      <c r="C6" s="27">
        <f>IF($B6="","",'Parâmetros'!$A$33)</f>
        <v/>
      </c>
      <c r="D6" s="32">
        <f>IF(OR($B6="",D$1=""),0,SUMIFS(Mapa_MinOcup,Mapa_Sala,$B6,Mapa_Turno,$C6,Mapa_Esp,D$1))</f>
        <v/>
      </c>
      <c r="E6" s="32">
        <f>IF(OR($B6="",E$1=""),0,SUMIFS(Mapa_MinOcup,Mapa_Sala,$B6,Mapa_Turno,$C6,Mapa_Esp,E$1))</f>
        <v/>
      </c>
      <c r="F6" s="32">
        <f>IF(OR($B6="",F$1=""),0,SUMIFS(Mapa_MinOcup,Mapa_Sala,$B6,Mapa_Turno,$C6,Mapa_Esp,F$1))</f>
        <v/>
      </c>
      <c r="G6" s="32">
        <f>IF(OR($B6="",G$1=""),0,SUMIFS(Mapa_MinOcup,Mapa_Sala,$B6,Mapa_Turno,$C6,Mapa_Esp,G$1))</f>
        <v/>
      </c>
      <c r="H6" s="32">
        <f>IF(OR($B6="",H$1=""),0,SUMIFS(Mapa_MinOcup,Mapa_Sala,$B6,Mapa_Turno,$C6,Mapa_Esp,H$1))</f>
        <v/>
      </c>
      <c r="I6" s="32">
        <f>IF(OR($B6="",I$1=""),0,SUMIFS(Mapa_MinOcup,Mapa_Sala,$B6,Mapa_Turno,$C6,Mapa_Esp,I$1))</f>
        <v/>
      </c>
      <c r="J6" s="32">
        <f>IF(OR($B6="",J$1=""),0,SUMIFS(Mapa_MinOcup,Mapa_Sala,$B6,Mapa_Turno,$C6,Mapa_Esp,J$1))</f>
        <v/>
      </c>
      <c r="K6" s="32">
        <f>IF(OR($B6="",K$1=""),0,SUMIFS(Mapa_MinOcup,Mapa_Sala,$B6,Mapa_Turno,$C6,Mapa_Esp,K$1))</f>
        <v/>
      </c>
      <c r="L6" s="32">
        <f>IF(OR($B6="",L$1=""),0,SUMIFS(Mapa_MinOcup,Mapa_Sala,$B6,Mapa_Turno,$C6,Mapa_Esp,L$1))</f>
        <v/>
      </c>
      <c r="M6" s="32">
        <f>IF(OR($B6="",M$1=""),0,SUMIFS(Mapa_MinOcup,Mapa_Sala,$B6,Mapa_Turno,$C6,Mapa_Esp,M$1))</f>
        <v/>
      </c>
      <c r="N6" s="32">
        <f>IF(OR($B6="",N$1=""),0,SUMIFS(Mapa_MinOcup,Mapa_Sala,$B6,Mapa_Turno,$C6,Mapa_Esp,N$1))</f>
        <v/>
      </c>
      <c r="O6" s="32">
        <f>IF(OR($B6="",O$1=""),0,SUMIFS(Mapa_MinOcup,Mapa_Sala,$B6,Mapa_Turno,$C6,Mapa_Esp,O$1))</f>
        <v/>
      </c>
      <c r="P6" s="32">
        <f>IF(OR($B6="",P$1=""),0,SUMIFS(Mapa_MinOcup,Mapa_Sala,$B6,Mapa_Turno,$C6,Mapa_Esp,P$1))</f>
        <v/>
      </c>
      <c r="Q6" s="32">
        <f>IF(OR($B6="",Q$1=""),0,SUMIFS(Mapa_MinOcup,Mapa_Sala,$B6,Mapa_Turno,$C6,Mapa_Esp,Q$1))</f>
        <v/>
      </c>
      <c r="R6" s="32">
        <f>IF(OR($B6="",R$1=""),0,SUMIFS(Mapa_MinOcup,Mapa_Sala,$B6,Mapa_Turno,$C6,Mapa_Esp,R$1))</f>
        <v/>
      </c>
      <c r="S6" s="32">
        <f>IF(OR($B6="",S$1=""),0,SUMIFS(Mapa_MinOcup,Mapa_Sala,$B6,Mapa_Turno,$C6,Mapa_Esp,S$1))</f>
        <v/>
      </c>
      <c r="T6" s="32">
        <f>IF(OR($B6="",T$1=""),0,SUMIFS(Mapa_MinOcup,Mapa_Sala,$B6,Mapa_Turno,$C6,Mapa_Esp,T$1))</f>
        <v/>
      </c>
      <c r="U6" s="32">
        <f>IF(OR($B6="",U$1=""),0,SUMIFS(Mapa_MinOcup,Mapa_Sala,$B6,Mapa_Turno,$C6,Mapa_Esp,U$1))</f>
        <v/>
      </c>
      <c r="V6" s="32">
        <f>IF(OR($B6="",V$1=""),0,SUMIFS(Mapa_MinOcup,Mapa_Sala,$B6,Mapa_Turno,$C6,Mapa_Esp,V$1))</f>
        <v/>
      </c>
      <c r="W6" s="32">
        <f>IF(OR($B6="",W$1=""),0,SUMIFS(Mapa_MinOcup,Mapa_Sala,$B6,Mapa_Turno,$C6,Mapa_Esp,W$1))</f>
        <v/>
      </c>
      <c r="X6" s="32">
        <f>IF($B6="",0,SUM(D6:W6))</f>
        <v/>
      </c>
      <c r="Y6" s="32">
        <f>IF($B6="",0,IFERROR(INDEX(Turnos_Min,MATCH($C6,Turnos_Nome,0)),0))</f>
        <v/>
      </c>
      <c r="Z6" s="33">
        <f>IF(OR($B6="",Y6=0),"",X6/Y6)</f>
        <v/>
      </c>
    </row>
    <row r="7">
      <c r="A7" s="27">
        <f>IF($B7="","",$B7&amp;" | "&amp;$C7)</f>
        <v/>
      </c>
      <c r="B7" s="27">
        <f>IF('Salas'!$A$3="","",'Salas'!$A$3)</f>
        <v/>
      </c>
      <c r="C7" s="27">
        <f>IF($B7="","",'Parâmetros'!$A$34)</f>
        <v/>
      </c>
      <c r="D7" s="32">
        <f>IF(OR($B7="",D$1=""),0,SUMIFS(Mapa_MinOcup,Mapa_Sala,$B7,Mapa_Turno,$C7,Mapa_Esp,D$1))</f>
        <v/>
      </c>
      <c r="E7" s="32">
        <f>IF(OR($B7="",E$1=""),0,SUMIFS(Mapa_MinOcup,Mapa_Sala,$B7,Mapa_Turno,$C7,Mapa_Esp,E$1))</f>
        <v/>
      </c>
      <c r="F7" s="32">
        <f>IF(OR($B7="",F$1=""),0,SUMIFS(Mapa_MinOcup,Mapa_Sala,$B7,Mapa_Turno,$C7,Mapa_Esp,F$1))</f>
        <v/>
      </c>
      <c r="G7" s="32">
        <f>IF(OR($B7="",G$1=""),0,SUMIFS(Mapa_MinOcup,Mapa_Sala,$B7,Mapa_Turno,$C7,Mapa_Esp,G$1))</f>
        <v/>
      </c>
      <c r="H7" s="32">
        <f>IF(OR($B7="",H$1=""),0,SUMIFS(Mapa_MinOcup,Mapa_Sala,$B7,Mapa_Turno,$C7,Mapa_Esp,H$1))</f>
        <v/>
      </c>
      <c r="I7" s="32">
        <f>IF(OR($B7="",I$1=""),0,SUMIFS(Mapa_MinOcup,Mapa_Sala,$B7,Mapa_Turno,$C7,Mapa_Esp,I$1))</f>
        <v/>
      </c>
      <c r="J7" s="32">
        <f>IF(OR($B7="",J$1=""),0,SUMIFS(Mapa_MinOcup,Mapa_Sala,$B7,Mapa_Turno,$C7,Mapa_Esp,J$1))</f>
        <v/>
      </c>
      <c r="K7" s="32">
        <f>IF(OR($B7="",K$1=""),0,SUMIFS(Mapa_MinOcup,Mapa_Sala,$B7,Mapa_Turno,$C7,Mapa_Esp,K$1))</f>
        <v/>
      </c>
      <c r="L7" s="32">
        <f>IF(OR($B7="",L$1=""),0,SUMIFS(Mapa_MinOcup,Mapa_Sala,$B7,Mapa_Turno,$C7,Mapa_Esp,L$1))</f>
        <v/>
      </c>
      <c r="M7" s="32">
        <f>IF(OR($B7="",M$1=""),0,SUMIFS(Mapa_MinOcup,Mapa_Sala,$B7,Mapa_Turno,$C7,Mapa_Esp,M$1))</f>
        <v/>
      </c>
      <c r="N7" s="32">
        <f>IF(OR($B7="",N$1=""),0,SUMIFS(Mapa_MinOcup,Mapa_Sala,$B7,Mapa_Turno,$C7,Mapa_Esp,N$1))</f>
        <v/>
      </c>
      <c r="O7" s="32">
        <f>IF(OR($B7="",O$1=""),0,SUMIFS(Mapa_MinOcup,Mapa_Sala,$B7,Mapa_Turno,$C7,Mapa_Esp,O$1))</f>
        <v/>
      </c>
      <c r="P7" s="32">
        <f>IF(OR($B7="",P$1=""),0,SUMIFS(Mapa_MinOcup,Mapa_Sala,$B7,Mapa_Turno,$C7,Mapa_Esp,P$1))</f>
        <v/>
      </c>
      <c r="Q7" s="32">
        <f>IF(OR($B7="",Q$1=""),0,SUMIFS(Mapa_MinOcup,Mapa_Sala,$B7,Mapa_Turno,$C7,Mapa_Esp,Q$1))</f>
        <v/>
      </c>
      <c r="R7" s="32">
        <f>IF(OR($B7="",R$1=""),0,SUMIFS(Mapa_MinOcup,Mapa_Sala,$B7,Mapa_Turno,$C7,Mapa_Esp,R$1))</f>
        <v/>
      </c>
      <c r="S7" s="32">
        <f>IF(OR($B7="",S$1=""),0,SUMIFS(Mapa_MinOcup,Mapa_Sala,$B7,Mapa_Turno,$C7,Mapa_Esp,S$1))</f>
        <v/>
      </c>
      <c r="T7" s="32">
        <f>IF(OR($B7="",T$1=""),0,SUMIFS(Mapa_MinOcup,Mapa_Sala,$B7,Mapa_Turno,$C7,Mapa_Esp,T$1))</f>
        <v/>
      </c>
      <c r="U7" s="32">
        <f>IF(OR($B7="",U$1=""),0,SUMIFS(Mapa_MinOcup,Mapa_Sala,$B7,Mapa_Turno,$C7,Mapa_Esp,U$1))</f>
        <v/>
      </c>
      <c r="V7" s="32">
        <f>IF(OR($B7="",V$1=""),0,SUMIFS(Mapa_MinOcup,Mapa_Sala,$B7,Mapa_Turno,$C7,Mapa_Esp,V$1))</f>
        <v/>
      </c>
      <c r="W7" s="32">
        <f>IF(OR($B7="",W$1=""),0,SUMIFS(Mapa_MinOcup,Mapa_Sala,$B7,Mapa_Turno,$C7,Mapa_Esp,W$1))</f>
        <v/>
      </c>
      <c r="X7" s="32">
        <f>IF($B7="",0,SUM(D7:W7))</f>
        <v/>
      </c>
      <c r="Y7" s="32">
        <f>IF($B7="",0,IFERROR(INDEX(Turnos_Min,MATCH($C7,Turnos_Nome,0)),0))</f>
        <v/>
      </c>
      <c r="Z7" s="33">
        <f>IF(OR($B7="",Y7=0),"",X7/Y7)</f>
        <v/>
      </c>
    </row>
    <row r="8">
      <c r="A8" s="27">
        <f>IF($B8="","",$B8&amp;" | "&amp;$C8)</f>
        <v/>
      </c>
      <c r="B8" s="27">
        <f>IF('Salas'!$A$4="","",'Salas'!$A$4)</f>
        <v/>
      </c>
      <c r="C8" s="27">
        <f>IF($B8="","",'Parâmetros'!$A$32)</f>
        <v/>
      </c>
      <c r="D8" s="32">
        <f>IF(OR($B8="",D$1=""),0,SUMIFS(Mapa_MinOcup,Mapa_Sala,$B8,Mapa_Turno,$C8,Mapa_Esp,D$1))</f>
        <v/>
      </c>
      <c r="E8" s="32">
        <f>IF(OR($B8="",E$1=""),0,SUMIFS(Mapa_MinOcup,Mapa_Sala,$B8,Mapa_Turno,$C8,Mapa_Esp,E$1))</f>
        <v/>
      </c>
      <c r="F8" s="32">
        <f>IF(OR($B8="",F$1=""),0,SUMIFS(Mapa_MinOcup,Mapa_Sala,$B8,Mapa_Turno,$C8,Mapa_Esp,F$1))</f>
        <v/>
      </c>
      <c r="G8" s="32">
        <f>IF(OR($B8="",G$1=""),0,SUMIFS(Mapa_MinOcup,Mapa_Sala,$B8,Mapa_Turno,$C8,Mapa_Esp,G$1))</f>
        <v/>
      </c>
      <c r="H8" s="32">
        <f>IF(OR($B8="",H$1=""),0,SUMIFS(Mapa_MinOcup,Mapa_Sala,$B8,Mapa_Turno,$C8,Mapa_Esp,H$1))</f>
        <v/>
      </c>
      <c r="I8" s="32">
        <f>IF(OR($B8="",I$1=""),0,SUMIFS(Mapa_MinOcup,Mapa_Sala,$B8,Mapa_Turno,$C8,Mapa_Esp,I$1))</f>
        <v/>
      </c>
      <c r="J8" s="32">
        <f>IF(OR($B8="",J$1=""),0,SUMIFS(Mapa_MinOcup,Mapa_Sala,$B8,Mapa_Turno,$C8,Mapa_Esp,J$1))</f>
        <v/>
      </c>
      <c r="K8" s="32">
        <f>IF(OR($B8="",K$1=""),0,SUMIFS(Mapa_MinOcup,Mapa_Sala,$B8,Mapa_Turno,$C8,Mapa_Esp,K$1))</f>
        <v/>
      </c>
      <c r="L8" s="32">
        <f>IF(OR($B8="",L$1=""),0,SUMIFS(Mapa_MinOcup,Mapa_Sala,$B8,Mapa_Turno,$C8,Mapa_Esp,L$1))</f>
        <v/>
      </c>
      <c r="M8" s="32">
        <f>IF(OR($B8="",M$1=""),0,SUMIFS(Mapa_MinOcup,Mapa_Sala,$B8,Mapa_Turno,$C8,Mapa_Esp,M$1))</f>
        <v/>
      </c>
      <c r="N8" s="32">
        <f>IF(OR($B8="",N$1=""),0,SUMIFS(Mapa_MinOcup,Mapa_Sala,$B8,Mapa_Turno,$C8,Mapa_Esp,N$1))</f>
        <v/>
      </c>
      <c r="O8" s="32">
        <f>IF(OR($B8="",O$1=""),0,SUMIFS(Mapa_MinOcup,Mapa_Sala,$B8,Mapa_Turno,$C8,Mapa_Esp,O$1))</f>
        <v/>
      </c>
      <c r="P8" s="32">
        <f>IF(OR($B8="",P$1=""),0,SUMIFS(Mapa_MinOcup,Mapa_Sala,$B8,Mapa_Turno,$C8,Mapa_Esp,P$1))</f>
        <v/>
      </c>
      <c r="Q8" s="32">
        <f>IF(OR($B8="",Q$1=""),0,SUMIFS(Mapa_MinOcup,Mapa_Sala,$B8,Mapa_Turno,$C8,Mapa_Esp,Q$1))</f>
        <v/>
      </c>
      <c r="R8" s="32">
        <f>IF(OR($B8="",R$1=""),0,SUMIFS(Mapa_MinOcup,Mapa_Sala,$B8,Mapa_Turno,$C8,Mapa_Esp,R$1))</f>
        <v/>
      </c>
      <c r="S8" s="32">
        <f>IF(OR($B8="",S$1=""),0,SUMIFS(Mapa_MinOcup,Mapa_Sala,$B8,Mapa_Turno,$C8,Mapa_Esp,S$1))</f>
        <v/>
      </c>
      <c r="T8" s="32">
        <f>IF(OR($B8="",T$1=""),0,SUMIFS(Mapa_MinOcup,Mapa_Sala,$B8,Mapa_Turno,$C8,Mapa_Esp,T$1))</f>
        <v/>
      </c>
      <c r="U8" s="32">
        <f>IF(OR($B8="",U$1=""),0,SUMIFS(Mapa_MinOcup,Mapa_Sala,$B8,Mapa_Turno,$C8,Mapa_Esp,U$1))</f>
        <v/>
      </c>
      <c r="V8" s="32">
        <f>IF(OR($B8="",V$1=""),0,SUMIFS(Mapa_MinOcup,Mapa_Sala,$B8,Mapa_Turno,$C8,Mapa_Esp,V$1))</f>
        <v/>
      </c>
      <c r="W8" s="32">
        <f>IF(OR($B8="",W$1=""),0,SUMIFS(Mapa_MinOcup,Mapa_Sala,$B8,Mapa_Turno,$C8,Mapa_Esp,W$1))</f>
        <v/>
      </c>
      <c r="X8" s="32">
        <f>IF($B8="",0,SUM(D8:W8))</f>
        <v/>
      </c>
      <c r="Y8" s="32">
        <f>IF($B8="",0,IFERROR(INDEX(Turnos_Min,MATCH($C8,Turnos_Nome,0)),0))</f>
        <v/>
      </c>
      <c r="Z8" s="33">
        <f>IF(OR($B8="",Y8=0),"",X8/Y8)</f>
        <v/>
      </c>
    </row>
    <row r="9">
      <c r="A9" s="27">
        <f>IF($B9="","",$B9&amp;" | "&amp;$C9)</f>
        <v/>
      </c>
      <c r="B9" s="27">
        <f>IF('Salas'!$A$4="","",'Salas'!$A$4)</f>
        <v/>
      </c>
      <c r="C9" s="27">
        <f>IF($B9="","",'Parâmetros'!$A$33)</f>
        <v/>
      </c>
      <c r="D9" s="32">
        <f>IF(OR($B9="",D$1=""),0,SUMIFS(Mapa_MinOcup,Mapa_Sala,$B9,Mapa_Turno,$C9,Mapa_Esp,D$1))</f>
        <v/>
      </c>
      <c r="E9" s="32">
        <f>IF(OR($B9="",E$1=""),0,SUMIFS(Mapa_MinOcup,Mapa_Sala,$B9,Mapa_Turno,$C9,Mapa_Esp,E$1))</f>
        <v/>
      </c>
      <c r="F9" s="32">
        <f>IF(OR($B9="",F$1=""),0,SUMIFS(Mapa_MinOcup,Mapa_Sala,$B9,Mapa_Turno,$C9,Mapa_Esp,F$1))</f>
        <v/>
      </c>
      <c r="G9" s="32">
        <f>IF(OR($B9="",G$1=""),0,SUMIFS(Mapa_MinOcup,Mapa_Sala,$B9,Mapa_Turno,$C9,Mapa_Esp,G$1))</f>
        <v/>
      </c>
      <c r="H9" s="32">
        <f>IF(OR($B9="",H$1=""),0,SUMIFS(Mapa_MinOcup,Mapa_Sala,$B9,Mapa_Turno,$C9,Mapa_Esp,H$1))</f>
        <v/>
      </c>
      <c r="I9" s="32">
        <f>IF(OR($B9="",I$1=""),0,SUMIFS(Mapa_MinOcup,Mapa_Sala,$B9,Mapa_Turno,$C9,Mapa_Esp,I$1))</f>
        <v/>
      </c>
      <c r="J9" s="32">
        <f>IF(OR($B9="",J$1=""),0,SUMIFS(Mapa_MinOcup,Mapa_Sala,$B9,Mapa_Turno,$C9,Mapa_Esp,J$1))</f>
        <v/>
      </c>
      <c r="K9" s="32">
        <f>IF(OR($B9="",K$1=""),0,SUMIFS(Mapa_MinOcup,Mapa_Sala,$B9,Mapa_Turno,$C9,Mapa_Esp,K$1))</f>
        <v/>
      </c>
      <c r="L9" s="32">
        <f>IF(OR($B9="",L$1=""),0,SUMIFS(Mapa_MinOcup,Mapa_Sala,$B9,Mapa_Turno,$C9,Mapa_Esp,L$1))</f>
        <v/>
      </c>
      <c r="M9" s="32">
        <f>IF(OR($B9="",M$1=""),0,SUMIFS(Mapa_MinOcup,Mapa_Sala,$B9,Mapa_Turno,$C9,Mapa_Esp,M$1))</f>
        <v/>
      </c>
      <c r="N9" s="32">
        <f>IF(OR($B9="",N$1=""),0,SUMIFS(Mapa_MinOcup,Mapa_Sala,$B9,Mapa_Turno,$C9,Mapa_Esp,N$1))</f>
        <v/>
      </c>
      <c r="O9" s="32">
        <f>IF(OR($B9="",O$1=""),0,SUMIFS(Mapa_MinOcup,Mapa_Sala,$B9,Mapa_Turno,$C9,Mapa_Esp,O$1))</f>
        <v/>
      </c>
      <c r="P9" s="32">
        <f>IF(OR($B9="",P$1=""),0,SUMIFS(Mapa_MinOcup,Mapa_Sala,$B9,Mapa_Turno,$C9,Mapa_Esp,P$1))</f>
        <v/>
      </c>
      <c r="Q9" s="32">
        <f>IF(OR($B9="",Q$1=""),0,SUMIFS(Mapa_MinOcup,Mapa_Sala,$B9,Mapa_Turno,$C9,Mapa_Esp,Q$1))</f>
        <v/>
      </c>
      <c r="R9" s="32">
        <f>IF(OR($B9="",R$1=""),0,SUMIFS(Mapa_MinOcup,Mapa_Sala,$B9,Mapa_Turno,$C9,Mapa_Esp,R$1))</f>
        <v/>
      </c>
      <c r="S9" s="32">
        <f>IF(OR($B9="",S$1=""),0,SUMIFS(Mapa_MinOcup,Mapa_Sala,$B9,Mapa_Turno,$C9,Mapa_Esp,S$1))</f>
        <v/>
      </c>
      <c r="T9" s="32">
        <f>IF(OR($B9="",T$1=""),0,SUMIFS(Mapa_MinOcup,Mapa_Sala,$B9,Mapa_Turno,$C9,Mapa_Esp,T$1))</f>
        <v/>
      </c>
      <c r="U9" s="32">
        <f>IF(OR($B9="",U$1=""),0,SUMIFS(Mapa_MinOcup,Mapa_Sala,$B9,Mapa_Turno,$C9,Mapa_Esp,U$1))</f>
        <v/>
      </c>
      <c r="V9" s="32">
        <f>IF(OR($B9="",V$1=""),0,SUMIFS(Mapa_MinOcup,Mapa_Sala,$B9,Mapa_Turno,$C9,Mapa_Esp,V$1))</f>
        <v/>
      </c>
      <c r="W9" s="32">
        <f>IF(OR($B9="",W$1=""),0,SUMIFS(Mapa_MinOcup,Mapa_Sala,$B9,Mapa_Turno,$C9,Mapa_Esp,W$1))</f>
        <v/>
      </c>
      <c r="X9" s="32">
        <f>IF($B9="",0,SUM(D9:W9))</f>
        <v/>
      </c>
      <c r="Y9" s="32">
        <f>IF($B9="",0,IFERROR(INDEX(Turnos_Min,MATCH($C9,Turnos_Nome,0)),0))</f>
        <v/>
      </c>
      <c r="Z9" s="33">
        <f>IF(OR($B9="",Y9=0),"",X9/Y9)</f>
        <v/>
      </c>
    </row>
    <row r="10">
      <c r="A10" s="27">
        <f>IF($B10="","",$B10&amp;" | "&amp;$C10)</f>
        <v/>
      </c>
      <c r="B10" s="27">
        <f>IF('Salas'!$A$4="","",'Salas'!$A$4)</f>
        <v/>
      </c>
      <c r="C10" s="27">
        <f>IF($B10="","",'Parâmetros'!$A$34)</f>
        <v/>
      </c>
      <c r="D10" s="32">
        <f>IF(OR($B10="",D$1=""),0,SUMIFS(Mapa_MinOcup,Mapa_Sala,$B10,Mapa_Turno,$C10,Mapa_Esp,D$1))</f>
        <v/>
      </c>
      <c r="E10" s="32">
        <f>IF(OR($B10="",E$1=""),0,SUMIFS(Mapa_MinOcup,Mapa_Sala,$B10,Mapa_Turno,$C10,Mapa_Esp,E$1))</f>
        <v/>
      </c>
      <c r="F10" s="32">
        <f>IF(OR($B10="",F$1=""),0,SUMIFS(Mapa_MinOcup,Mapa_Sala,$B10,Mapa_Turno,$C10,Mapa_Esp,F$1))</f>
        <v/>
      </c>
      <c r="G10" s="32">
        <f>IF(OR($B10="",G$1=""),0,SUMIFS(Mapa_MinOcup,Mapa_Sala,$B10,Mapa_Turno,$C10,Mapa_Esp,G$1))</f>
        <v/>
      </c>
      <c r="H10" s="32">
        <f>IF(OR($B10="",H$1=""),0,SUMIFS(Mapa_MinOcup,Mapa_Sala,$B10,Mapa_Turno,$C10,Mapa_Esp,H$1))</f>
        <v/>
      </c>
      <c r="I10" s="32">
        <f>IF(OR($B10="",I$1=""),0,SUMIFS(Mapa_MinOcup,Mapa_Sala,$B10,Mapa_Turno,$C10,Mapa_Esp,I$1))</f>
        <v/>
      </c>
      <c r="J10" s="32">
        <f>IF(OR($B10="",J$1=""),0,SUMIFS(Mapa_MinOcup,Mapa_Sala,$B10,Mapa_Turno,$C10,Mapa_Esp,J$1))</f>
        <v/>
      </c>
      <c r="K10" s="32">
        <f>IF(OR($B10="",K$1=""),0,SUMIFS(Mapa_MinOcup,Mapa_Sala,$B10,Mapa_Turno,$C10,Mapa_Esp,K$1))</f>
        <v/>
      </c>
      <c r="L10" s="32">
        <f>IF(OR($B10="",L$1=""),0,SUMIFS(Mapa_MinOcup,Mapa_Sala,$B10,Mapa_Turno,$C10,Mapa_Esp,L$1))</f>
        <v/>
      </c>
      <c r="M10" s="32">
        <f>IF(OR($B10="",M$1=""),0,SUMIFS(Mapa_MinOcup,Mapa_Sala,$B10,Mapa_Turno,$C10,Mapa_Esp,M$1))</f>
        <v/>
      </c>
      <c r="N10" s="32">
        <f>IF(OR($B10="",N$1=""),0,SUMIFS(Mapa_MinOcup,Mapa_Sala,$B10,Mapa_Turno,$C10,Mapa_Esp,N$1))</f>
        <v/>
      </c>
      <c r="O10" s="32">
        <f>IF(OR($B10="",O$1=""),0,SUMIFS(Mapa_MinOcup,Mapa_Sala,$B10,Mapa_Turno,$C10,Mapa_Esp,O$1))</f>
        <v/>
      </c>
      <c r="P10" s="32">
        <f>IF(OR($B10="",P$1=""),0,SUMIFS(Mapa_MinOcup,Mapa_Sala,$B10,Mapa_Turno,$C10,Mapa_Esp,P$1))</f>
        <v/>
      </c>
      <c r="Q10" s="32">
        <f>IF(OR($B10="",Q$1=""),0,SUMIFS(Mapa_MinOcup,Mapa_Sala,$B10,Mapa_Turno,$C10,Mapa_Esp,Q$1))</f>
        <v/>
      </c>
      <c r="R10" s="32">
        <f>IF(OR($B10="",R$1=""),0,SUMIFS(Mapa_MinOcup,Mapa_Sala,$B10,Mapa_Turno,$C10,Mapa_Esp,R$1))</f>
        <v/>
      </c>
      <c r="S10" s="32">
        <f>IF(OR($B10="",S$1=""),0,SUMIFS(Mapa_MinOcup,Mapa_Sala,$B10,Mapa_Turno,$C10,Mapa_Esp,S$1))</f>
        <v/>
      </c>
      <c r="T10" s="32">
        <f>IF(OR($B10="",T$1=""),0,SUMIFS(Mapa_MinOcup,Mapa_Sala,$B10,Mapa_Turno,$C10,Mapa_Esp,T$1))</f>
        <v/>
      </c>
      <c r="U10" s="32">
        <f>IF(OR($B10="",U$1=""),0,SUMIFS(Mapa_MinOcup,Mapa_Sala,$B10,Mapa_Turno,$C10,Mapa_Esp,U$1))</f>
        <v/>
      </c>
      <c r="V10" s="32">
        <f>IF(OR($B10="",V$1=""),0,SUMIFS(Mapa_MinOcup,Mapa_Sala,$B10,Mapa_Turno,$C10,Mapa_Esp,V$1))</f>
        <v/>
      </c>
      <c r="W10" s="32">
        <f>IF(OR($B10="",W$1=""),0,SUMIFS(Mapa_MinOcup,Mapa_Sala,$B10,Mapa_Turno,$C10,Mapa_Esp,W$1))</f>
        <v/>
      </c>
      <c r="X10" s="32">
        <f>IF($B10="",0,SUM(D10:W10))</f>
        <v/>
      </c>
      <c r="Y10" s="32">
        <f>IF($B10="",0,IFERROR(INDEX(Turnos_Min,MATCH($C10,Turnos_Nome,0)),0))</f>
        <v/>
      </c>
      <c r="Z10" s="33">
        <f>IF(OR($B10="",Y10=0),"",X10/Y10)</f>
        <v/>
      </c>
    </row>
    <row r="11">
      <c r="A11" s="27">
        <f>IF($B11="","",$B11&amp;" | "&amp;$C11)</f>
        <v/>
      </c>
      <c r="B11" s="27">
        <f>IF('Salas'!$A$5="","",'Salas'!$A$5)</f>
        <v/>
      </c>
      <c r="C11" s="27">
        <f>IF($B11="","",'Parâmetros'!$A$32)</f>
        <v/>
      </c>
      <c r="D11" s="32">
        <f>IF(OR($B11="",D$1=""),0,SUMIFS(Mapa_MinOcup,Mapa_Sala,$B11,Mapa_Turno,$C11,Mapa_Esp,D$1))</f>
        <v/>
      </c>
      <c r="E11" s="32">
        <f>IF(OR($B11="",E$1=""),0,SUMIFS(Mapa_MinOcup,Mapa_Sala,$B11,Mapa_Turno,$C11,Mapa_Esp,E$1))</f>
        <v/>
      </c>
      <c r="F11" s="32">
        <f>IF(OR($B11="",F$1=""),0,SUMIFS(Mapa_MinOcup,Mapa_Sala,$B11,Mapa_Turno,$C11,Mapa_Esp,F$1))</f>
        <v/>
      </c>
      <c r="G11" s="32">
        <f>IF(OR($B11="",G$1=""),0,SUMIFS(Mapa_MinOcup,Mapa_Sala,$B11,Mapa_Turno,$C11,Mapa_Esp,G$1))</f>
        <v/>
      </c>
      <c r="H11" s="32">
        <f>IF(OR($B11="",H$1=""),0,SUMIFS(Mapa_MinOcup,Mapa_Sala,$B11,Mapa_Turno,$C11,Mapa_Esp,H$1))</f>
        <v/>
      </c>
      <c r="I11" s="32">
        <f>IF(OR($B11="",I$1=""),0,SUMIFS(Mapa_MinOcup,Mapa_Sala,$B11,Mapa_Turno,$C11,Mapa_Esp,I$1))</f>
        <v/>
      </c>
      <c r="J11" s="32">
        <f>IF(OR($B11="",J$1=""),0,SUMIFS(Mapa_MinOcup,Mapa_Sala,$B11,Mapa_Turno,$C11,Mapa_Esp,J$1))</f>
        <v/>
      </c>
      <c r="K11" s="32">
        <f>IF(OR($B11="",K$1=""),0,SUMIFS(Mapa_MinOcup,Mapa_Sala,$B11,Mapa_Turno,$C11,Mapa_Esp,K$1))</f>
        <v/>
      </c>
      <c r="L11" s="32">
        <f>IF(OR($B11="",L$1=""),0,SUMIFS(Mapa_MinOcup,Mapa_Sala,$B11,Mapa_Turno,$C11,Mapa_Esp,L$1))</f>
        <v/>
      </c>
      <c r="M11" s="32">
        <f>IF(OR($B11="",M$1=""),0,SUMIFS(Mapa_MinOcup,Mapa_Sala,$B11,Mapa_Turno,$C11,Mapa_Esp,M$1))</f>
        <v/>
      </c>
      <c r="N11" s="32">
        <f>IF(OR($B11="",N$1=""),0,SUMIFS(Mapa_MinOcup,Mapa_Sala,$B11,Mapa_Turno,$C11,Mapa_Esp,N$1))</f>
        <v/>
      </c>
      <c r="O11" s="32">
        <f>IF(OR($B11="",O$1=""),0,SUMIFS(Mapa_MinOcup,Mapa_Sala,$B11,Mapa_Turno,$C11,Mapa_Esp,O$1))</f>
        <v/>
      </c>
      <c r="P11" s="32">
        <f>IF(OR($B11="",P$1=""),0,SUMIFS(Mapa_MinOcup,Mapa_Sala,$B11,Mapa_Turno,$C11,Mapa_Esp,P$1))</f>
        <v/>
      </c>
      <c r="Q11" s="32">
        <f>IF(OR($B11="",Q$1=""),0,SUMIFS(Mapa_MinOcup,Mapa_Sala,$B11,Mapa_Turno,$C11,Mapa_Esp,Q$1))</f>
        <v/>
      </c>
      <c r="R11" s="32">
        <f>IF(OR($B11="",R$1=""),0,SUMIFS(Mapa_MinOcup,Mapa_Sala,$B11,Mapa_Turno,$C11,Mapa_Esp,R$1))</f>
        <v/>
      </c>
      <c r="S11" s="32">
        <f>IF(OR($B11="",S$1=""),0,SUMIFS(Mapa_MinOcup,Mapa_Sala,$B11,Mapa_Turno,$C11,Mapa_Esp,S$1))</f>
        <v/>
      </c>
      <c r="T11" s="32">
        <f>IF(OR($B11="",T$1=""),0,SUMIFS(Mapa_MinOcup,Mapa_Sala,$B11,Mapa_Turno,$C11,Mapa_Esp,T$1))</f>
        <v/>
      </c>
      <c r="U11" s="32">
        <f>IF(OR($B11="",U$1=""),0,SUMIFS(Mapa_MinOcup,Mapa_Sala,$B11,Mapa_Turno,$C11,Mapa_Esp,U$1))</f>
        <v/>
      </c>
      <c r="V11" s="32">
        <f>IF(OR($B11="",V$1=""),0,SUMIFS(Mapa_MinOcup,Mapa_Sala,$B11,Mapa_Turno,$C11,Mapa_Esp,V$1))</f>
        <v/>
      </c>
      <c r="W11" s="32">
        <f>IF(OR($B11="",W$1=""),0,SUMIFS(Mapa_MinOcup,Mapa_Sala,$B11,Mapa_Turno,$C11,Mapa_Esp,W$1))</f>
        <v/>
      </c>
      <c r="X11" s="32">
        <f>IF($B11="",0,SUM(D11:W11))</f>
        <v/>
      </c>
      <c r="Y11" s="32">
        <f>IF($B11="",0,IFERROR(INDEX(Turnos_Min,MATCH($C11,Turnos_Nome,0)),0))</f>
        <v/>
      </c>
      <c r="Z11" s="33">
        <f>IF(OR($B11="",Y11=0),"",X11/Y11)</f>
        <v/>
      </c>
    </row>
    <row r="12">
      <c r="A12" s="27">
        <f>IF($B12="","",$B12&amp;" | "&amp;$C12)</f>
        <v/>
      </c>
      <c r="B12" s="27">
        <f>IF('Salas'!$A$5="","",'Salas'!$A$5)</f>
        <v/>
      </c>
      <c r="C12" s="27">
        <f>IF($B12="","",'Parâmetros'!$A$33)</f>
        <v/>
      </c>
      <c r="D12" s="32">
        <f>IF(OR($B12="",D$1=""),0,SUMIFS(Mapa_MinOcup,Mapa_Sala,$B12,Mapa_Turno,$C12,Mapa_Esp,D$1))</f>
        <v/>
      </c>
      <c r="E12" s="32">
        <f>IF(OR($B12="",E$1=""),0,SUMIFS(Mapa_MinOcup,Mapa_Sala,$B12,Mapa_Turno,$C12,Mapa_Esp,E$1))</f>
        <v/>
      </c>
      <c r="F12" s="32">
        <f>IF(OR($B12="",F$1=""),0,SUMIFS(Mapa_MinOcup,Mapa_Sala,$B12,Mapa_Turno,$C12,Mapa_Esp,F$1))</f>
        <v/>
      </c>
      <c r="G12" s="32">
        <f>IF(OR($B12="",G$1=""),0,SUMIFS(Mapa_MinOcup,Mapa_Sala,$B12,Mapa_Turno,$C12,Mapa_Esp,G$1))</f>
        <v/>
      </c>
      <c r="H12" s="32">
        <f>IF(OR($B12="",H$1=""),0,SUMIFS(Mapa_MinOcup,Mapa_Sala,$B12,Mapa_Turno,$C12,Mapa_Esp,H$1))</f>
        <v/>
      </c>
      <c r="I12" s="32">
        <f>IF(OR($B12="",I$1=""),0,SUMIFS(Mapa_MinOcup,Mapa_Sala,$B12,Mapa_Turno,$C12,Mapa_Esp,I$1))</f>
        <v/>
      </c>
      <c r="J12" s="32">
        <f>IF(OR($B12="",J$1=""),0,SUMIFS(Mapa_MinOcup,Mapa_Sala,$B12,Mapa_Turno,$C12,Mapa_Esp,J$1))</f>
        <v/>
      </c>
      <c r="K12" s="32">
        <f>IF(OR($B12="",K$1=""),0,SUMIFS(Mapa_MinOcup,Mapa_Sala,$B12,Mapa_Turno,$C12,Mapa_Esp,K$1))</f>
        <v/>
      </c>
      <c r="L12" s="32">
        <f>IF(OR($B12="",L$1=""),0,SUMIFS(Mapa_MinOcup,Mapa_Sala,$B12,Mapa_Turno,$C12,Mapa_Esp,L$1))</f>
        <v/>
      </c>
      <c r="M12" s="32">
        <f>IF(OR($B12="",M$1=""),0,SUMIFS(Mapa_MinOcup,Mapa_Sala,$B12,Mapa_Turno,$C12,Mapa_Esp,M$1))</f>
        <v/>
      </c>
      <c r="N12" s="32">
        <f>IF(OR($B12="",N$1=""),0,SUMIFS(Mapa_MinOcup,Mapa_Sala,$B12,Mapa_Turno,$C12,Mapa_Esp,N$1))</f>
        <v/>
      </c>
      <c r="O12" s="32">
        <f>IF(OR($B12="",O$1=""),0,SUMIFS(Mapa_MinOcup,Mapa_Sala,$B12,Mapa_Turno,$C12,Mapa_Esp,O$1))</f>
        <v/>
      </c>
      <c r="P12" s="32">
        <f>IF(OR($B12="",P$1=""),0,SUMIFS(Mapa_MinOcup,Mapa_Sala,$B12,Mapa_Turno,$C12,Mapa_Esp,P$1))</f>
        <v/>
      </c>
      <c r="Q12" s="32">
        <f>IF(OR($B12="",Q$1=""),0,SUMIFS(Mapa_MinOcup,Mapa_Sala,$B12,Mapa_Turno,$C12,Mapa_Esp,Q$1))</f>
        <v/>
      </c>
      <c r="R12" s="32">
        <f>IF(OR($B12="",R$1=""),0,SUMIFS(Mapa_MinOcup,Mapa_Sala,$B12,Mapa_Turno,$C12,Mapa_Esp,R$1))</f>
        <v/>
      </c>
      <c r="S12" s="32">
        <f>IF(OR($B12="",S$1=""),0,SUMIFS(Mapa_MinOcup,Mapa_Sala,$B12,Mapa_Turno,$C12,Mapa_Esp,S$1))</f>
        <v/>
      </c>
      <c r="T12" s="32">
        <f>IF(OR($B12="",T$1=""),0,SUMIFS(Mapa_MinOcup,Mapa_Sala,$B12,Mapa_Turno,$C12,Mapa_Esp,T$1))</f>
        <v/>
      </c>
      <c r="U12" s="32">
        <f>IF(OR($B12="",U$1=""),0,SUMIFS(Mapa_MinOcup,Mapa_Sala,$B12,Mapa_Turno,$C12,Mapa_Esp,U$1))</f>
        <v/>
      </c>
      <c r="V12" s="32">
        <f>IF(OR($B12="",V$1=""),0,SUMIFS(Mapa_MinOcup,Mapa_Sala,$B12,Mapa_Turno,$C12,Mapa_Esp,V$1))</f>
        <v/>
      </c>
      <c r="W12" s="32">
        <f>IF(OR($B12="",W$1=""),0,SUMIFS(Mapa_MinOcup,Mapa_Sala,$B12,Mapa_Turno,$C12,Mapa_Esp,W$1))</f>
        <v/>
      </c>
      <c r="X12" s="32">
        <f>IF($B12="",0,SUM(D12:W12))</f>
        <v/>
      </c>
      <c r="Y12" s="32">
        <f>IF($B12="",0,IFERROR(INDEX(Turnos_Min,MATCH($C12,Turnos_Nome,0)),0))</f>
        <v/>
      </c>
      <c r="Z12" s="33">
        <f>IF(OR($B12="",Y12=0),"",X12/Y12)</f>
        <v/>
      </c>
    </row>
    <row r="13">
      <c r="A13" s="27">
        <f>IF($B13="","",$B13&amp;" | "&amp;$C13)</f>
        <v/>
      </c>
      <c r="B13" s="27">
        <f>IF('Salas'!$A$5="","",'Salas'!$A$5)</f>
        <v/>
      </c>
      <c r="C13" s="27">
        <f>IF($B13="","",'Parâmetros'!$A$34)</f>
        <v/>
      </c>
      <c r="D13" s="32">
        <f>IF(OR($B13="",D$1=""),0,SUMIFS(Mapa_MinOcup,Mapa_Sala,$B13,Mapa_Turno,$C13,Mapa_Esp,D$1))</f>
        <v/>
      </c>
      <c r="E13" s="32">
        <f>IF(OR($B13="",E$1=""),0,SUMIFS(Mapa_MinOcup,Mapa_Sala,$B13,Mapa_Turno,$C13,Mapa_Esp,E$1))</f>
        <v/>
      </c>
      <c r="F13" s="32">
        <f>IF(OR($B13="",F$1=""),0,SUMIFS(Mapa_MinOcup,Mapa_Sala,$B13,Mapa_Turno,$C13,Mapa_Esp,F$1))</f>
        <v/>
      </c>
      <c r="G13" s="32">
        <f>IF(OR($B13="",G$1=""),0,SUMIFS(Mapa_MinOcup,Mapa_Sala,$B13,Mapa_Turno,$C13,Mapa_Esp,G$1))</f>
        <v/>
      </c>
      <c r="H13" s="32">
        <f>IF(OR($B13="",H$1=""),0,SUMIFS(Mapa_MinOcup,Mapa_Sala,$B13,Mapa_Turno,$C13,Mapa_Esp,H$1))</f>
        <v/>
      </c>
      <c r="I13" s="32">
        <f>IF(OR($B13="",I$1=""),0,SUMIFS(Mapa_MinOcup,Mapa_Sala,$B13,Mapa_Turno,$C13,Mapa_Esp,I$1))</f>
        <v/>
      </c>
      <c r="J13" s="32">
        <f>IF(OR($B13="",J$1=""),0,SUMIFS(Mapa_MinOcup,Mapa_Sala,$B13,Mapa_Turno,$C13,Mapa_Esp,J$1))</f>
        <v/>
      </c>
      <c r="K13" s="32">
        <f>IF(OR($B13="",K$1=""),0,SUMIFS(Mapa_MinOcup,Mapa_Sala,$B13,Mapa_Turno,$C13,Mapa_Esp,K$1))</f>
        <v/>
      </c>
      <c r="L13" s="32">
        <f>IF(OR($B13="",L$1=""),0,SUMIFS(Mapa_MinOcup,Mapa_Sala,$B13,Mapa_Turno,$C13,Mapa_Esp,L$1))</f>
        <v/>
      </c>
      <c r="M13" s="32">
        <f>IF(OR($B13="",M$1=""),0,SUMIFS(Mapa_MinOcup,Mapa_Sala,$B13,Mapa_Turno,$C13,Mapa_Esp,M$1))</f>
        <v/>
      </c>
      <c r="N13" s="32">
        <f>IF(OR($B13="",N$1=""),0,SUMIFS(Mapa_MinOcup,Mapa_Sala,$B13,Mapa_Turno,$C13,Mapa_Esp,N$1))</f>
        <v/>
      </c>
      <c r="O13" s="32">
        <f>IF(OR($B13="",O$1=""),0,SUMIFS(Mapa_MinOcup,Mapa_Sala,$B13,Mapa_Turno,$C13,Mapa_Esp,O$1))</f>
        <v/>
      </c>
      <c r="P13" s="32">
        <f>IF(OR($B13="",P$1=""),0,SUMIFS(Mapa_MinOcup,Mapa_Sala,$B13,Mapa_Turno,$C13,Mapa_Esp,P$1))</f>
        <v/>
      </c>
      <c r="Q13" s="32">
        <f>IF(OR($B13="",Q$1=""),0,SUMIFS(Mapa_MinOcup,Mapa_Sala,$B13,Mapa_Turno,$C13,Mapa_Esp,Q$1))</f>
        <v/>
      </c>
      <c r="R13" s="32">
        <f>IF(OR($B13="",R$1=""),0,SUMIFS(Mapa_MinOcup,Mapa_Sala,$B13,Mapa_Turno,$C13,Mapa_Esp,R$1))</f>
        <v/>
      </c>
      <c r="S13" s="32">
        <f>IF(OR($B13="",S$1=""),0,SUMIFS(Mapa_MinOcup,Mapa_Sala,$B13,Mapa_Turno,$C13,Mapa_Esp,S$1))</f>
        <v/>
      </c>
      <c r="T13" s="32">
        <f>IF(OR($B13="",T$1=""),0,SUMIFS(Mapa_MinOcup,Mapa_Sala,$B13,Mapa_Turno,$C13,Mapa_Esp,T$1))</f>
        <v/>
      </c>
      <c r="U13" s="32">
        <f>IF(OR($B13="",U$1=""),0,SUMIFS(Mapa_MinOcup,Mapa_Sala,$B13,Mapa_Turno,$C13,Mapa_Esp,U$1))</f>
        <v/>
      </c>
      <c r="V13" s="32">
        <f>IF(OR($B13="",V$1=""),0,SUMIFS(Mapa_MinOcup,Mapa_Sala,$B13,Mapa_Turno,$C13,Mapa_Esp,V$1))</f>
        <v/>
      </c>
      <c r="W13" s="32">
        <f>IF(OR($B13="",W$1=""),0,SUMIFS(Mapa_MinOcup,Mapa_Sala,$B13,Mapa_Turno,$C13,Mapa_Esp,W$1))</f>
        <v/>
      </c>
      <c r="X13" s="32">
        <f>IF($B13="",0,SUM(D13:W13))</f>
        <v/>
      </c>
      <c r="Y13" s="32">
        <f>IF($B13="",0,IFERROR(INDEX(Turnos_Min,MATCH($C13,Turnos_Nome,0)),0))</f>
        <v/>
      </c>
      <c r="Z13" s="33">
        <f>IF(OR($B13="",Y13=0),"",X13/Y13)</f>
        <v/>
      </c>
    </row>
    <row r="14">
      <c r="A14" s="27">
        <f>IF($B14="","",$B14&amp;" | "&amp;$C14)</f>
        <v/>
      </c>
      <c r="B14" s="27">
        <f>IF('Salas'!$A$6="","",'Salas'!$A$6)</f>
        <v/>
      </c>
      <c r="C14" s="27">
        <f>IF($B14="","",'Parâmetros'!$A$32)</f>
        <v/>
      </c>
      <c r="D14" s="32">
        <f>IF(OR($B14="",D$1=""),0,SUMIFS(Mapa_MinOcup,Mapa_Sala,$B14,Mapa_Turno,$C14,Mapa_Esp,D$1))</f>
        <v/>
      </c>
      <c r="E14" s="32">
        <f>IF(OR($B14="",E$1=""),0,SUMIFS(Mapa_MinOcup,Mapa_Sala,$B14,Mapa_Turno,$C14,Mapa_Esp,E$1))</f>
        <v/>
      </c>
      <c r="F14" s="32">
        <f>IF(OR($B14="",F$1=""),0,SUMIFS(Mapa_MinOcup,Mapa_Sala,$B14,Mapa_Turno,$C14,Mapa_Esp,F$1))</f>
        <v/>
      </c>
      <c r="G14" s="32">
        <f>IF(OR($B14="",G$1=""),0,SUMIFS(Mapa_MinOcup,Mapa_Sala,$B14,Mapa_Turno,$C14,Mapa_Esp,G$1))</f>
        <v/>
      </c>
      <c r="H14" s="32">
        <f>IF(OR($B14="",H$1=""),0,SUMIFS(Mapa_MinOcup,Mapa_Sala,$B14,Mapa_Turno,$C14,Mapa_Esp,H$1))</f>
        <v/>
      </c>
      <c r="I14" s="32">
        <f>IF(OR($B14="",I$1=""),0,SUMIFS(Mapa_MinOcup,Mapa_Sala,$B14,Mapa_Turno,$C14,Mapa_Esp,I$1))</f>
        <v/>
      </c>
      <c r="J14" s="32">
        <f>IF(OR($B14="",J$1=""),0,SUMIFS(Mapa_MinOcup,Mapa_Sala,$B14,Mapa_Turno,$C14,Mapa_Esp,J$1))</f>
        <v/>
      </c>
      <c r="K14" s="32">
        <f>IF(OR($B14="",K$1=""),0,SUMIFS(Mapa_MinOcup,Mapa_Sala,$B14,Mapa_Turno,$C14,Mapa_Esp,K$1))</f>
        <v/>
      </c>
      <c r="L14" s="32">
        <f>IF(OR($B14="",L$1=""),0,SUMIFS(Mapa_MinOcup,Mapa_Sala,$B14,Mapa_Turno,$C14,Mapa_Esp,L$1))</f>
        <v/>
      </c>
      <c r="M14" s="32">
        <f>IF(OR($B14="",M$1=""),0,SUMIFS(Mapa_MinOcup,Mapa_Sala,$B14,Mapa_Turno,$C14,Mapa_Esp,M$1))</f>
        <v/>
      </c>
      <c r="N14" s="32">
        <f>IF(OR($B14="",N$1=""),0,SUMIFS(Mapa_MinOcup,Mapa_Sala,$B14,Mapa_Turno,$C14,Mapa_Esp,N$1))</f>
        <v/>
      </c>
      <c r="O14" s="32">
        <f>IF(OR($B14="",O$1=""),0,SUMIFS(Mapa_MinOcup,Mapa_Sala,$B14,Mapa_Turno,$C14,Mapa_Esp,O$1))</f>
        <v/>
      </c>
      <c r="P14" s="32">
        <f>IF(OR($B14="",P$1=""),0,SUMIFS(Mapa_MinOcup,Mapa_Sala,$B14,Mapa_Turno,$C14,Mapa_Esp,P$1))</f>
        <v/>
      </c>
      <c r="Q14" s="32">
        <f>IF(OR($B14="",Q$1=""),0,SUMIFS(Mapa_MinOcup,Mapa_Sala,$B14,Mapa_Turno,$C14,Mapa_Esp,Q$1))</f>
        <v/>
      </c>
      <c r="R14" s="32">
        <f>IF(OR($B14="",R$1=""),0,SUMIFS(Mapa_MinOcup,Mapa_Sala,$B14,Mapa_Turno,$C14,Mapa_Esp,R$1))</f>
        <v/>
      </c>
      <c r="S14" s="32">
        <f>IF(OR($B14="",S$1=""),0,SUMIFS(Mapa_MinOcup,Mapa_Sala,$B14,Mapa_Turno,$C14,Mapa_Esp,S$1))</f>
        <v/>
      </c>
      <c r="T14" s="32">
        <f>IF(OR($B14="",T$1=""),0,SUMIFS(Mapa_MinOcup,Mapa_Sala,$B14,Mapa_Turno,$C14,Mapa_Esp,T$1))</f>
        <v/>
      </c>
      <c r="U14" s="32">
        <f>IF(OR($B14="",U$1=""),0,SUMIFS(Mapa_MinOcup,Mapa_Sala,$B14,Mapa_Turno,$C14,Mapa_Esp,U$1))</f>
        <v/>
      </c>
      <c r="V14" s="32">
        <f>IF(OR($B14="",V$1=""),0,SUMIFS(Mapa_MinOcup,Mapa_Sala,$B14,Mapa_Turno,$C14,Mapa_Esp,V$1))</f>
        <v/>
      </c>
      <c r="W14" s="32">
        <f>IF(OR($B14="",W$1=""),0,SUMIFS(Mapa_MinOcup,Mapa_Sala,$B14,Mapa_Turno,$C14,Mapa_Esp,W$1))</f>
        <v/>
      </c>
      <c r="X14" s="32">
        <f>IF($B14="",0,SUM(D14:W14))</f>
        <v/>
      </c>
      <c r="Y14" s="32">
        <f>IF($B14="",0,IFERROR(INDEX(Turnos_Min,MATCH($C14,Turnos_Nome,0)),0))</f>
        <v/>
      </c>
      <c r="Z14" s="33">
        <f>IF(OR($B14="",Y14=0),"",X14/Y14)</f>
        <v/>
      </c>
    </row>
    <row r="15">
      <c r="A15" s="27">
        <f>IF($B15="","",$B15&amp;" | "&amp;$C15)</f>
        <v/>
      </c>
      <c r="B15" s="27">
        <f>IF('Salas'!$A$6="","",'Salas'!$A$6)</f>
        <v/>
      </c>
      <c r="C15" s="27">
        <f>IF($B15="","",'Parâmetros'!$A$33)</f>
        <v/>
      </c>
      <c r="D15" s="32">
        <f>IF(OR($B15="",D$1=""),0,SUMIFS(Mapa_MinOcup,Mapa_Sala,$B15,Mapa_Turno,$C15,Mapa_Esp,D$1))</f>
        <v/>
      </c>
      <c r="E15" s="32">
        <f>IF(OR($B15="",E$1=""),0,SUMIFS(Mapa_MinOcup,Mapa_Sala,$B15,Mapa_Turno,$C15,Mapa_Esp,E$1))</f>
        <v/>
      </c>
      <c r="F15" s="32">
        <f>IF(OR($B15="",F$1=""),0,SUMIFS(Mapa_MinOcup,Mapa_Sala,$B15,Mapa_Turno,$C15,Mapa_Esp,F$1))</f>
        <v/>
      </c>
      <c r="G15" s="32">
        <f>IF(OR($B15="",G$1=""),0,SUMIFS(Mapa_MinOcup,Mapa_Sala,$B15,Mapa_Turno,$C15,Mapa_Esp,G$1))</f>
        <v/>
      </c>
      <c r="H15" s="32">
        <f>IF(OR($B15="",H$1=""),0,SUMIFS(Mapa_MinOcup,Mapa_Sala,$B15,Mapa_Turno,$C15,Mapa_Esp,H$1))</f>
        <v/>
      </c>
      <c r="I15" s="32">
        <f>IF(OR($B15="",I$1=""),0,SUMIFS(Mapa_MinOcup,Mapa_Sala,$B15,Mapa_Turno,$C15,Mapa_Esp,I$1))</f>
        <v/>
      </c>
      <c r="J15" s="32">
        <f>IF(OR($B15="",J$1=""),0,SUMIFS(Mapa_MinOcup,Mapa_Sala,$B15,Mapa_Turno,$C15,Mapa_Esp,J$1))</f>
        <v/>
      </c>
      <c r="K15" s="32">
        <f>IF(OR($B15="",K$1=""),0,SUMIFS(Mapa_MinOcup,Mapa_Sala,$B15,Mapa_Turno,$C15,Mapa_Esp,K$1))</f>
        <v/>
      </c>
      <c r="L15" s="32">
        <f>IF(OR($B15="",L$1=""),0,SUMIFS(Mapa_MinOcup,Mapa_Sala,$B15,Mapa_Turno,$C15,Mapa_Esp,L$1))</f>
        <v/>
      </c>
      <c r="M15" s="32">
        <f>IF(OR($B15="",M$1=""),0,SUMIFS(Mapa_MinOcup,Mapa_Sala,$B15,Mapa_Turno,$C15,Mapa_Esp,M$1))</f>
        <v/>
      </c>
      <c r="N15" s="32">
        <f>IF(OR($B15="",N$1=""),0,SUMIFS(Mapa_MinOcup,Mapa_Sala,$B15,Mapa_Turno,$C15,Mapa_Esp,N$1))</f>
        <v/>
      </c>
      <c r="O15" s="32">
        <f>IF(OR($B15="",O$1=""),0,SUMIFS(Mapa_MinOcup,Mapa_Sala,$B15,Mapa_Turno,$C15,Mapa_Esp,O$1))</f>
        <v/>
      </c>
      <c r="P15" s="32">
        <f>IF(OR($B15="",P$1=""),0,SUMIFS(Mapa_MinOcup,Mapa_Sala,$B15,Mapa_Turno,$C15,Mapa_Esp,P$1))</f>
        <v/>
      </c>
      <c r="Q15" s="32">
        <f>IF(OR($B15="",Q$1=""),0,SUMIFS(Mapa_MinOcup,Mapa_Sala,$B15,Mapa_Turno,$C15,Mapa_Esp,Q$1))</f>
        <v/>
      </c>
      <c r="R15" s="32">
        <f>IF(OR($B15="",R$1=""),0,SUMIFS(Mapa_MinOcup,Mapa_Sala,$B15,Mapa_Turno,$C15,Mapa_Esp,R$1))</f>
        <v/>
      </c>
      <c r="S15" s="32">
        <f>IF(OR($B15="",S$1=""),0,SUMIFS(Mapa_MinOcup,Mapa_Sala,$B15,Mapa_Turno,$C15,Mapa_Esp,S$1))</f>
        <v/>
      </c>
      <c r="T15" s="32">
        <f>IF(OR($B15="",T$1=""),0,SUMIFS(Mapa_MinOcup,Mapa_Sala,$B15,Mapa_Turno,$C15,Mapa_Esp,T$1))</f>
        <v/>
      </c>
      <c r="U15" s="32">
        <f>IF(OR($B15="",U$1=""),0,SUMIFS(Mapa_MinOcup,Mapa_Sala,$B15,Mapa_Turno,$C15,Mapa_Esp,U$1))</f>
        <v/>
      </c>
      <c r="V15" s="32">
        <f>IF(OR($B15="",V$1=""),0,SUMIFS(Mapa_MinOcup,Mapa_Sala,$B15,Mapa_Turno,$C15,Mapa_Esp,V$1))</f>
        <v/>
      </c>
      <c r="W15" s="32">
        <f>IF(OR($B15="",W$1=""),0,SUMIFS(Mapa_MinOcup,Mapa_Sala,$B15,Mapa_Turno,$C15,Mapa_Esp,W$1))</f>
        <v/>
      </c>
      <c r="X15" s="32">
        <f>IF($B15="",0,SUM(D15:W15))</f>
        <v/>
      </c>
      <c r="Y15" s="32">
        <f>IF($B15="",0,IFERROR(INDEX(Turnos_Min,MATCH($C15,Turnos_Nome,0)),0))</f>
        <v/>
      </c>
      <c r="Z15" s="33">
        <f>IF(OR($B15="",Y15=0),"",X15/Y15)</f>
        <v/>
      </c>
    </row>
    <row r="16">
      <c r="A16" s="27">
        <f>IF($B16="","",$B16&amp;" | "&amp;$C16)</f>
        <v/>
      </c>
      <c r="B16" s="27">
        <f>IF('Salas'!$A$6="","",'Salas'!$A$6)</f>
        <v/>
      </c>
      <c r="C16" s="27">
        <f>IF($B16="","",'Parâmetros'!$A$34)</f>
        <v/>
      </c>
      <c r="D16" s="32">
        <f>IF(OR($B16="",D$1=""),0,SUMIFS(Mapa_MinOcup,Mapa_Sala,$B16,Mapa_Turno,$C16,Mapa_Esp,D$1))</f>
        <v/>
      </c>
      <c r="E16" s="32">
        <f>IF(OR($B16="",E$1=""),0,SUMIFS(Mapa_MinOcup,Mapa_Sala,$B16,Mapa_Turno,$C16,Mapa_Esp,E$1))</f>
        <v/>
      </c>
      <c r="F16" s="32">
        <f>IF(OR($B16="",F$1=""),0,SUMIFS(Mapa_MinOcup,Mapa_Sala,$B16,Mapa_Turno,$C16,Mapa_Esp,F$1))</f>
        <v/>
      </c>
      <c r="G16" s="32">
        <f>IF(OR($B16="",G$1=""),0,SUMIFS(Mapa_MinOcup,Mapa_Sala,$B16,Mapa_Turno,$C16,Mapa_Esp,G$1))</f>
        <v/>
      </c>
      <c r="H16" s="32">
        <f>IF(OR($B16="",H$1=""),0,SUMIFS(Mapa_MinOcup,Mapa_Sala,$B16,Mapa_Turno,$C16,Mapa_Esp,H$1))</f>
        <v/>
      </c>
      <c r="I16" s="32">
        <f>IF(OR($B16="",I$1=""),0,SUMIFS(Mapa_MinOcup,Mapa_Sala,$B16,Mapa_Turno,$C16,Mapa_Esp,I$1))</f>
        <v/>
      </c>
      <c r="J16" s="32">
        <f>IF(OR($B16="",J$1=""),0,SUMIFS(Mapa_MinOcup,Mapa_Sala,$B16,Mapa_Turno,$C16,Mapa_Esp,J$1))</f>
        <v/>
      </c>
      <c r="K16" s="32">
        <f>IF(OR($B16="",K$1=""),0,SUMIFS(Mapa_MinOcup,Mapa_Sala,$B16,Mapa_Turno,$C16,Mapa_Esp,K$1))</f>
        <v/>
      </c>
      <c r="L16" s="32">
        <f>IF(OR($B16="",L$1=""),0,SUMIFS(Mapa_MinOcup,Mapa_Sala,$B16,Mapa_Turno,$C16,Mapa_Esp,L$1))</f>
        <v/>
      </c>
      <c r="M16" s="32">
        <f>IF(OR($B16="",M$1=""),0,SUMIFS(Mapa_MinOcup,Mapa_Sala,$B16,Mapa_Turno,$C16,Mapa_Esp,M$1))</f>
        <v/>
      </c>
      <c r="N16" s="32">
        <f>IF(OR($B16="",N$1=""),0,SUMIFS(Mapa_MinOcup,Mapa_Sala,$B16,Mapa_Turno,$C16,Mapa_Esp,N$1))</f>
        <v/>
      </c>
      <c r="O16" s="32">
        <f>IF(OR($B16="",O$1=""),0,SUMIFS(Mapa_MinOcup,Mapa_Sala,$B16,Mapa_Turno,$C16,Mapa_Esp,O$1))</f>
        <v/>
      </c>
      <c r="P16" s="32">
        <f>IF(OR($B16="",P$1=""),0,SUMIFS(Mapa_MinOcup,Mapa_Sala,$B16,Mapa_Turno,$C16,Mapa_Esp,P$1))</f>
        <v/>
      </c>
      <c r="Q16" s="32">
        <f>IF(OR($B16="",Q$1=""),0,SUMIFS(Mapa_MinOcup,Mapa_Sala,$B16,Mapa_Turno,$C16,Mapa_Esp,Q$1))</f>
        <v/>
      </c>
      <c r="R16" s="32">
        <f>IF(OR($B16="",R$1=""),0,SUMIFS(Mapa_MinOcup,Mapa_Sala,$B16,Mapa_Turno,$C16,Mapa_Esp,R$1))</f>
        <v/>
      </c>
      <c r="S16" s="32">
        <f>IF(OR($B16="",S$1=""),0,SUMIFS(Mapa_MinOcup,Mapa_Sala,$B16,Mapa_Turno,$C16,Mapa_Esp,S$1))</f>
        <v/>
      </c>
      <c r="T16" s="32">
        <f>IF(OR($B16="",T$1=""),0,SUMIFS(Mapa_MinOcup,Mapa_Sala,$B16,Mapa_Turno,$C16,Mapa_Esp,T$1))</f>
        <v/>
      </c>
      <c r="U16" s="32">
        <f>IF(OR($B16="",U$1=""),0,SUMIFS(Mapa_MinOcup,Mapa_Sala,$B16,Mapa_Turno,$C16,Mapa_Esp,U$1))</f>
        <v/>
      </c>
      <c r="V16" s="32">
        <f>IF(OR($B16="",V$1=""),0,SUMIFS(Mapa_MinOcup,Mapa_Sala,$B16,Mapa_Turno,$C16,Mapa_Esp,V$1))</f>
        <v/>
      </c>
      <c r="W16" s="32">
        <f>IF(OR($B16="",W$1=""),0,SUMIFS(Mapa_MinOcup,Mapa_Sala,$B16,Mapa_Turno,$C16,Mapa_Esp,W$1))</f>
        <v/>
      </c>
      <c r="X16" s="32">
        <f>IF($B16="",0,SUM(D16:W16))</f>
        <v/>
      </c>
      <c r="Y16" s="32">
        <f>IF($B16="",0,IFERROR(INDEX(Turnos_Min,MATCH($C16,Turnos_Nome,0)),0))</f>
        <v/>
      </c>
      <c r="Z16" s="33">
        <f>IF(OR($B16="",Y16=0),"",X16/Y16)</f>
        <v/>
      </c>
    </row>
    <row r="17">
      <c r="A17" s="27">
        <f>IF($B17="","",$B17&amp;" | "&amp;$C17)</f>
        <v/>
      </c>
      <c r="B17" s="27">
        <f>IF('Salas'!$A$7="","",'Salas'!$A$7)</f>
        <v/>
      </c>
      <c r="C17" s="27">
        <f>IF($B17="","",'Parâmetros'!$A$32)</f>
        <v/>
      </c>
      <c r="D17" s="32">
        <f>IF(OR($B17="",D$1=""),0,SUMIFS(Mapa_MinOcup,Mapa_Sala,$B17,Mapa_Turno,$C17,Mapa_Esp,D$1))</f>
        <v/>
      </c>
      <c r="E17" s="32">
        <f>IF(OR($B17="",E$1=""),0,SUMIFS(Mapa_MinOcup,Mapa_Sala,$B17,Mapa_Turno,$C17,Mapa_Esp,E$1))</f>
        <v/>
      </c>
      <c r="F17" s="32">
        <f>IF(OR($B17="",F$1=""),0,SUMIFS(Mapa_MinOcup,Mapa_Sala,$B17,Mapa_Turno,$C17,Mapa_Esp,F$1))</f>
        <v/>
      </c>
      <c r="G17" s="32">
        <f>IF(OR($B17="",G$1=""),0,SUMIFS(Mapa_MinOcup,Mapa_Sala,$B17,Mapa_Turno,$C17,Mapa_Esp,G$1))</f>
        <v/>
      </c>
      <c r="H17" s="32">
        <f>IF(OR($B17="",H$1=""),0,SUMIFS(Mapa_MinOcup,Mapa_Sala,$B17,Mapa_Turno,$C17,Mapa_Esp,H$1))</f>
        <v/>
      </c>
      <c r="I17" s="32">
        <f>IF(OR($B17="",I$1=""),0,SUMIFS(Mapa_MinOcup,Mapa_Sala,$B17,Mapa_Turno,$C17,Mapa_Esp,I$1))</f>
        <v/>
      </c>
      <c r="J17" s="32">
        <f>IF(OR($B17="",J$1=""),0,SUMIFS(Mapa_MinOcup,Mapa_Sala,$B17,Mapa_Turno,$C17,Mapa_Esp,J$1))</f>
        <v/>
      </c>
      <c r="K17" s="32">
        <f>IF(OR($B17="",K$1=""),0,SUMIFS(Mapa_MinOcup,Mapa_Sala,$B17,Mapa_Turno,$C17,Mapa_Esp,K$1))</f>
        <v/>
      </c>
      <c r="L17" s="32">
        <f>IF(OR($B17="",L$1=""),0,SUMIFS(Mapa_MinOcup,Mapa_Sala,$B17,Mapa_Turno,$C17,Mapa_Esp,L$1))</f>
        <v/>
      </c>
      <c r="M17" s="32">
        <f>IF(OR($B17="",M$1=""),0,SUMIFS(Mapa_MinOcup,Mapa_Sala,$B17,Mapa_Turno,$C17,Mapa_Esp,M$1))</f>
        <v/>
      </c>
      <c r="N17" s="32">
        <f>IF(OR($B17="",N$1=""),0,SUMIFS(Mapa_MinOcup,Mapa_Sala,$B17,Mapa_Turno,$C17,Mapa_Esp,N$1))</f>
        <v/>
      </c>
      <c r="O17" s="32">
        <f>IF(OR($B17="",O$1=""),0,SUMIFS(Mapa_MinOcup,Mapa_Sala,$B17,Mapa_Turno,$C17,Mapa_Esp,O$1))</f>
        <v/>
      </c>
      <c r="P17" s="32">
        <f>IF(OR($B17="",P$1=""),0,SUMIFS(Mapa_MinOcup,Mapa_Sala,$B17,Mapa_Turno,$C17,Mapa_Esp,P$1))</f>
        <v/>
      </c>
      <c r="Q17" s="32">
        <f>IF(OR($B17="",Q$1=""),0,SUMIFS(Mapa_MinOcup,Mapa_Sala,$B17,Mapa_Turno,$C17,Mapa_Esp,Q$1))</f>
        <v/>
      </c>
      <c r="R17" s="32">
        <f>IF(OR($B17="",R$1=""),0,SUMIFS(Mapa_MinOcup,Mapa_Sala,$B17,Mapa_Turno,$C17,Mapa_Esp,R$1))</f>
        <v/>
      </c>
      <c r="S17" s="32">
        <f>IF(OR($B17="",S$1=""),0,SUMIFS(Mapa_MinOcup,Mapa_Sala,$B17,Mapa_Turno,$C17,Mapa_Esp,S$1))</f>
        <v/>
      </c>
      <c r="T17" s="32">
        <f>IF(OR($B17="",T$1=""),0,SUMIFS(Mapa_MinOcup,Mapa_Sala,$B17,Mapa_Turno,$C17,Mapa_Esp,T$1))</f>
        <v/>
      </c>
      <c r="U17" s="32">
        <f>IF(OR($B17="",U$1=""),0,SUMIFS(Mapa_MinOcup,Mapa_Sala,$B17,Mapa_Turno,$C17,Mapa_Esp,U$1))</f>
        <v/>
      </c>
      <c r="V17" s="32">
        <f>IF(OR($B17="",V$1=""),0,SUMIFS(Mapa_MinOcup,Mapa_Sala,$B17,Mapa_Turno,$C17,Mapa_Esp,V$1))</f>
        <v/>
      </c>
      <c r="W17" s="32">
        <f>IF(OR($B17="",W$1=""),0,SUMIFS(Mapa_MinOcup,Mapa_Sala,$B17,Mapa_Turno,$C17,Mapa_Esp,W$1))</f>
        <v/>
      </c>
      <c r="X17" s="32">
        <f>IF($B17="",0,SUM(D17:W17))</f>
        <v/>
      </c>
      <c r="Y17" s="32">
        <f>IF($B17="",0,IFERROR(INDEX(Turnos_Min,MATCH($C17,Turnos_Nome,0)),0))</f>
        <v/>
      </c>
      <c r="Z17" s="33">
        <f>IF(OR($B17="",Y17=0),"",X17/Y17)</f>
        <v/>
      </c>
    </row>
    <row r="18">
      <c r="A18" s="27">
        <f>IF($B18="","",$B18&amp;" | "&amp;$C18)</f>
        <v/>
      </c>
      <c r="B18" s="27">
        <f>IF('Salas'!$A$7="","",'Salas'!$A$7)</f>
        <v/>
      </c>
      <c r="C18" s="27">
        <f>IF($B18="","",'Parâmetros'!$A$33)</f>
        <v/>
      </c>
      <c r="D18" s="32">
        <f>IF(OR($B18="",D$1=""),0,SUMIFS(Mapa_MinOcup,Mapa_Sala,$B18,Mapa_Turno,$C18,Mapa_Esp,D$1))</f>
        <v/>
      </c>
      <c r="E18" s="32">
        <f>IF(OR($B18="",E$1=""),0,SUMIFS(Mapa_MinOcup,Mapa_Sala,$B18,Mapa_Turno,$C18,Mapa_Esp,E$1))</f>
        <v/>
      </c>
      <c r="F18" s="32">
        <f>IF(OR($B18="",F$1=""),0,SUMIFS(Mapa_MinOcup,Mapa_Sala,$B18,Mapa_Turno,$C18,Mapa_Esp,F$1))</f>
        <v/>
      </c>
      <c r="G18" s="32">
        <f>IF(OR($B18="",G$1=""),0,SUMIFS(Mapa_MinOcup,Mapa_Sala,$B18,Mapa_Turno,$C18,Mapa_Esp,G$1))</f>
        <v/>
      </c>
      <c r="H18" s="32">
        <f>IF(OR($B18="",H$1=""),0,SUMIFS(Mapa_MinOcup,Mapa_Sala,$B18,Mapa_Turno,$C18,Mapa_Esp,H$1))</f>
        <v/>
      </c>
      <c r="I18" s="32">
        <f>IF(OR($B18="",I$1=""),0,SUMIFS(Mapa_MinOcup,Mapa_Sala,$B18,Mapa_Turno,$C18,Mapa_Esp,I$1))</f>
        <v/>
      </c>
      <c r="J18" s="32">
        <f>IF(OR($B18="",J$1=""),0,SUMIFS(Mapa_MinOcup,Mapa_Sala,$B18,Mapa_Turno,$C18,Mapa_Esp,J$1))</f>
        <v/>
      </c>
      <c r="K18" s="32">
        <f>IF(OR($B18="",K$1=""),0,SUMIFS(Mapa_MinOcup,Mapa_Sala,$B18,Mapa_Turno,$C18,Mapa_Esp,K$1))</f>
        <v/>
      </c>
      <c r="L18" s="32">
        <f>IF(OR($B18="",L$1=""),0,SUMIFS(Mapa_MinOcup,Mapa_Sala,$B18,Mapa_Turno,$C18,Mapa_Esp,L$1))</f>
        <v/>
      </c>
      <c r="M18" s="32">
        <f>IF(OR($B18="",M$1=""),0,SUMIFS(Mapa_MinOcup,Mapa_Sala,$B18,Mapa_Turno,$C18,Mapa_Esp,M$1))</f>
        <v/>
      </c>
      <c r="N18" s="32">
        <f>IF(OR($B18="",N$1=""),0,SUMIFS(Mapa_MinOcup,Mapa_Sala,$B18,Mapa_Turno,$C18,Mapa_Esp,N$1))</f>
        <v/>
      </c>
      <c r="O18" s="32">
        <f>IF(OR($B18="",O$1=""),0,SUMIFS(Mapa_MinOcup,Mapa_Sala,$B18,Mapa_Turno,$C18,Mapa_Esp,O$1))</f>
        <v/>
      </c>
      <c r="P18" s="32">
        <f>IF(OR($B18="",P$1=""),0,SUMIFS(Mapa_MinOcup,Mapa_Sala,$B18,Mapa_Turno,$C18,Mapa_Esp,P$1))</f>
        <v/>
      </c>
      <c r="Q18" s="32">
        <f>IF(OR($B18="",Q$1=""),0,SUMIFS(Mapa_MinOcup,Mapa_Sala,$B18,Mapa_Turno,$C18,Mapa_Esp,Q$1))</f>
        <v/>
      </c>
      <c r="R18" s="32">
        <f>IF(OR($B18="",R$1=""),0,SUMIFS(Mapa_MinOcup,Mapa_Sala,$B18,Mapa_Turno,$C18,Mapa_Esp,R$1))</f>
        <v/>
      </c>
      <c r="S18" s="32">
        <f>IF(OR($B18="",S$1=""),0,SUMIFS(Mapa_MinOcup,Mapa_Sala,$B18,Mapa_Turno,$C18,Mapa_Esp,S$1))</f>
        <v/>
      </c>
      <c r="T18" s="32">
        <f>IF(OR($B18="",T$1=""),0,SUMIFS(Mapa_MinOcup,Mapa_Sala,$B18,Mapa_Turno,$C18,Mapa_Esp,T$1))</f>
        <v/>
      </c>
      <c r="U18" s="32">
        <f>IF(OR($B18="",U$1=""),0,SUMIFS(Mapa_MinOcup,Mapa_Sala,$B18,Mapa_Turno,$C18,Mapa_Esp,U$1))</f>
        <v/>
      </c>
      <c r="V18" s="32">
        <f>IF(OR($B18="",V$1=""),0,SUMIFS(Mapa_MinOcup,Mapa_Sala,$B18,Mapa_Turno,$C18,Mapa_Esp,V$1))</f>
        <v/>
      </c>
      <c r="W18" s="32">
        <f>IF(OR($B18="",W$1=""),0,SUMIFS(Mapa_MinOcup,Mapa_Sala,$B18,Mapa_Turno,$C18,Mapa_Esp,W$1))</f>
        <v/>
      </c>
      <c r="X18" s="32">
        <f>IF($B18="",0,SUM(D18:W18))</f>
        <v/>
      </c>
      <c r="Y18" s="32">
        <f>IF($B18="",0,IFERROR(INDEX(Turnos_Min,MATCH($C18,Turnos_Nome,0)),0))</f>
        <v/>
      </c>
      <c r="Z18" s="33">
        <f>IF(OR($B18="",Y18=0),"",X18/Y18)</f>
        <v/>
      </c>
    </row>
    <row r="19">
      <c r="A19" s="27">
        <f>IF($B19="","",$B19&amp;" | "&amp;$C19)</f>
        <v/>
      </c>
      <c r="B19" s="27">
        <f>IF('Salas'!$A$7="","",'Salas'!$A$7)</f>
        <v/>
      </c>
      <c r="C19" s="27">
        <f>IF($B19="","",'Parâmetros'!$A$34)</f>
        <v/>
      </c>
      <c r="D19" s="32">
        <f>IF(OR($B19="",D$1=""),0,SUMIFS(Mapa_MinOcup,Mapa_Sala,$B19,Mapa_Turno,$C19,Mapa_Esp,D$1))</f>
        <v/>
      </c>
      <c r="E19" s="32">
        <f>IF(OR($B19="",E$1=""),0,SUMIFS(Mapa_MinOcup,Mapa_Sala,$B19,Mapa_Turno,$C19,Mapa_Esp,E$1))</f>
        <v/>
      </c>
      <c r="F19" s="32">
        <f>IF(OR($B19="",F$1=""),0,SUMIFS(Mapa_MinOcup,Mapa_Sala,$B19,Mapa_Turno,$C19,Mapa_Esp,F$1))</f>
        <v/>
      </c>
      <c r="G19" s="32">
        <f>IF(OR($B19="",G$1=""),0,SUMIFS(Mapa_MinOcup,Mapa_Sala,$B19,Mapa_Turno,$C19,Mapa_Esp,G$1))</f>
        <v/>
      </c>
      <c r="H19" s="32">
        <f>IF(OR($B19="",H$1=""),0,SUMIFS(Mapa_MinOcup,Mapa_Sala,$B19,Mapa_Turno,$C19,Mapa_Esp,H$1))</f>
        <v/>
      </c>
      <c r="I19" s="32">
        <f>IF(OR($B19="",I$1=""),0,SUMIFS(Mapa_MinOcup,Mapa_Sala,$B19,Mapa_Turno,$C19,Mapa_Esp,I$1))</f>
        <v/>
      </c>
      <c r="J19" s="32">
        <f>IF(OR($B19="",J$1=""),0,SUMIFS(Mapa_MinOcup,Mapa_Sala,$B19,Mapa_Turno,$C19,Mapa_Esp,J$1))</f>
        <v/>
      </c>
      <c r="K19" s="32">
        <f>IF(OR($B19="",K$1=""),0,SUMIFS(Mapa_MinOcup,Mapa_Sala,$B19,Mapa_Turno,$C19,Mapa_Esp,K$1))</f>
        <v/>
      </c>
      <c r="L19" s="32">
        <f>IF(OR($B19="",L$1=""),0,SUMIFS(Mapa_MinOcup,Mapa_Sala,$B19,Mapa_Turno,$C19,Mapa_Esp,L$1))</f>
        <v/>
      </c>
      <c r="M19" s="32">
        <f>IF(OR($B19="",M$1=""),0,SUMIFS(Mapa_MinOcup,Mapa_Sala,$B19,Mapa_Turno,$C19,Mapa_Esp,M$1))</f>
        <v/>
      </c>
      <c r="N19" s="32">
        <f>IF(OR($B19="",N$1=""),0,SUMIFS(Mapa_MinOcup,Mapa_Sala,$B19,Mapa_Turno,$C19,Mapa_Esp,N$1))</f>
        <v/>
      </c>
      <c r="O19" s="32">
        <f>IF(OR($B19="",O$1=""),0,SUMIFS(Mapa_MinOcup,Mapa_Sala,$B19,Mapa_Turno,$C19,Mapa_Esp,O$1))</f>
        <v/>
      </c>
      <c r="P19" s="32">
        <f>IF(OR($B19="",P$1=""),0,SUMIFS(Mapa_MinOcup,Mapa_Sala,$B19,Mapa_Turno,$C19,Mapa_Esp,P$1))</f>
        <v/>
      </c>
      <c r="Q19" s="32">
        <f>IF(OR($B19="",Q$1=""),0,SUMIFS(Mapa_MinOcup,Mapa_Sala,$B19,Mapa_Turno,$C19,Mapa_Esp,Q$1))</f>
        <v/>
      </c>
      <c r="R19" s="32">
        <f>IF(OR($B19="",R$1=""),0,SUMIFS(Mapa_MinOcup,Mapa_Sala,$B19,Mapa_Turno,$C19,Mapa_Esp,R$1))</f>
        <v/>
      </c>
      <c r="S19" s="32">
        <f>IF(OR($B19="",S$1=""),0,SUMIFS(Mapa_MinOcup,Mapa_Sala,$B19,Mapa_Turno,$C19,Mapa_Esp,S$1))</f>
        <v/>
      </c>
      <c r="T19" s="32">
        <f>IF(OR($B19="",T$1=""),0,SUMIFS(Mapa_MinOcup,Mapa_Sala,$B19,Mapa_Turno,$C19,Mapa_Esp,T$1))</f>
        <v/>
      </c>
      <c r="U19" s="32">
        <f>IF(OR($B19="",U$1=""),0,SUMIFS(Mapa_MinOcup,Mapa_Sala,$B19,Mapa_Turno,$C19,Mapa_Esp,U$1))</f>
        <v/>
      </c>
      <c r="V19" s="32">
        <f>IF(OR($B19="",V$1=""),0,SUMIFS(Mapa_MinOcup,Mapa_Sala,$B19,Mapa_Turno,$C19,Mapa_Esp,V$1))</f>
        <v/>
      </c>
      <c r="W19" s="32">
        <f>IF(OR($B19="",W$1=""),0,SUMIFS(Mapa_MinOcup,Mapa_Sala,$B19,Mapa_Turno,$C19,Mapa_Esp,W$1))</f>
        <v/>
      </c>
      <c r="X19" s="32">
        <f>IF($B19="",0,SUM(D19:W19))</f>
        <v/>
      </c>
      <c r="Y19" s="32">
        <f>IF($B19="",0,IFERROR(INDEX(Turnos_Min,MATCH($C19,Turnos_Nome,0)),0))</f>
        <v/>
      </c>
      <c r="Z19" s="33">
        <f>IF(OR($B19="",Y19=0),"",X19/Y19)</f>
        <v/>
      </c>
    </row>
    <row r="20">
      <c r="A20" s="27">
        <f>IF($B20="","",$B20&amp;" | "&amp;$C20)</f>
        <v/>
      </c>
      <c r="B20" s="27">
        <f>IF('Salas'!$A$8="","",'Salas'!$A$8)</f>
        <v/>
      </c>
      <c r="C20" s="27">
        <f>IF($B20="","",'Parâmetros'!$A$32)</f>
        <v/>
      </c>
      <c r="D20" s="32">
        <f>IF(OR($B20="",D$1=""),0,SUMIFS(Mapa_MinOcup,Mapa_Sala,$B20,Mapa_Turno,$C20,Mapa_Esp,D$1))</f>
        <v/>
      </c>
      <c r="E20" s="32">
        <f>IF(OR($B20="",E$1=""),0,SUMIFS(Mapa_MinOcup,Mapa_Sala,$B20,Mapa_Turno,$C20,Mapa_Esp,E$1))</f>
        <v/>
      </c>
      <c r="F20" s="32">
        <f>IF(OR($B20="",F$1=""),0,SUMIFS(Mapa_MinOcup,Mapa_Sala,$B20,Mapa_Turno,$C20,Mapa_Esp,F$1))</f>
        <v/>
      </c>
      <c r="G20" s="32">
        <f>IF(OR($B20="",G$1=""),0,SUMIFS(Mapa_MinOcup,Mapa_Sala,$B20,Mapa_Turno,$C20,Mapa_Esp,G$1))</f>
        <v/>
      </c>
      <c r="H20" s="32">
        <f>IF(OR($B20="",H$1=""),0,SUMIFS(Mapa_MinOcup,Mapa_Sala,$B20,Mapa_Turno,$C20,Mapa_Esp,H$1))</f>
        <v/>
      </c>
      <c r="I20" s="32">
        <f>IF(OR($B20="",I$1=""),0,SUMIFS(Mapa_MinOcup,Mapa_Sala,$B20,Mapa_Turno,$C20,Mapa_Esp,I$1))</f>
        <v/>
      </c>
      <c r="J20" s="32">
        <f>IF(OR($B20="",J$1=""),0,SUMIFS(Mapa_MinOcup,Mapa_Sala,$B20,Mapa_Turno,$C20,Mapa_Esp,J$1))</f>
        <v/>
      </c>
      <c r="K20" s="32">
        <f>IF(OR($B20="",K$1=""),0,SUMIFS(Mapa_MinOcup,Mapa_Sala,$B20,Mapa_Turno,$C20,Mapa_Esp,K$1))</f>
        <v/>
      </c>
      <c r="L20" s="32">
        <f>IF(OR($B20="",L$1=""),0,SUMIFS(Mapa_MinOcup,Mapa_Sala,$B20,Mapa_Turno,$C20,Mapa_Esp,L$1))</f>
        <v/>
      </c>
      <c r="M20" s="32">
        <f>IF(OR($B20="",M$1=""),0,SUMIFS(Mapa_MinOcup,Mapa_Sala,$B20,Mapa_Turno,$C20,Mapa_Esp,M$1))</f>
        <v/>
      </c>
      <c r="N20" s="32">
        <f>IF(OR($B20="",N$1=""),0,SUMIFS(Mapa_MinOcup,Mapa_Sala,$B20,Mapa_Turno,$C20,Mapa_Esp,N$1))</f>
        <v/>
      </c>
      <c r="O20" s="32">
        <f>IF(OR($B20="",O$1=""),0,SUMIFS(Mapa_MinOcup,Mapa_Sala,$B20,Mapa_Turno,$C20,Mapa_Esp,O$1))</f>
        <v/>
      </c>
      <c r="P20" s="32">
        <f>IF(OR($B20="",P$1=""),0,SUMIFS(Mapa_MinOcup,Mapa_Sala,$B20,Mapa_Turno,$C20,Mapa_Esp,P$1))</f>
        <v/>
      </c>
      <c r="Q20" s="32">
        <f>IF(OR($B20="",Q$1=""),0,SUMIFS(Mapa_MinOcup,Mapa_Sala,$B20,Mapa_Turno,$C20,Mapa_Esp,Q$1))</f>
        <v/>
      </c>
      <c r="R20" s="32">
        <f>IF(OR($B20="",R$1=""),0,SUMIFS(Mapa_MinOcup,Mapa_Sala,$B20,Mapa_Turno,$C20,Mapa_Esp,R$1))</f>
        <v/>
      </c>
      <c r="S20" s="32">
        <f>IF(OR($B20="",S$1=""),0,SUMIFS(Mapa_MinOcup,Mapa_Sala,$B20,Mapa_Turno,$C20,Mapa_Esp,S$1))</f>
        <v/>
      </c>
      <c r="T20" s="32">
        <f>IF(OR($B20="",T$1=""),0,SUMIFS(Mapa_MinOcup,Mapa_Sala,$B20,Mapa_Turno,$C20,Mapa_Esp,T$1))</f>
        <v/>
      </c>
      <c r="U20" s="32">
        <f>IF(OR($B20="",U$1=""),0,SUMIFS(Mapa_MinOcup,Mapa_Sala,$B20,Mapa_Turno,$C20,Mapa_Esp,U$1))</f>
        <v/>
      </c>
      <c r="V20" s="32">
        <f>IF(OR($B20="",V$1=""),0,SUMIFS(Mapa_MinOcup,Mapa_Sala,$B20,Mapa_Turno,$C20,Mapa_Esp,V$1))</f>
        <v/>
      </c>
      <c r="W20" s="32">
        <f>IF(OR($B20="",W$1=""),0,SUMIFS(Mapa_MinOcup,Mapa_Sala,$B20,Mapa_Turno,$C20,Mapa_Esp,W$1))</f>
        <v/>
      </c>
      <c r="X20" s="32">
        <f>IF($B20="",0,SUM(D20:W20))</f>
        <v/>
      </c>
      <c r="Y20" s="32">
        <f>IF($B20="",0,IFERROR(INDEX(Turnos_Min,MATCH($C20,Turnos_Nome,0)),0))</f>
        <v/>
      </c>
      <c r="Z20" s="33">
        <f>IF(OR($B20="",Y20=0),"",X20/Y20)</f>
        <v/>
      </c>
    </row>
    <row r="21">
      <c r="A21" s="27">
        <f>IF($B21="","",$B21&amp;" | "&amp;$C21)</f>
        <v/>
      </c>
      <c r="B21" s="27">
        <f>IF('Salas'!$A$8="","",'Salas'!$A$8)</f>
        <v/>
      </c>
      <c r="C21" s="27">
        <f>IF($B21="","",'Parâmetros'!$A$33)</f>
        <v/>
      </c>
      <c r="D21" s="32">
        <f>IF(OR($B21="",D$1=""),0,SUMIFS(Mapa_MinOcup,Mapa_Sala,$B21,Mapa_Turno,$C21,Mapa_Esp,D$1))</f>
        <v/>
      </c>
      <c r="E21" s="32">
        <f>IF(OR($B21="",E$1=""),0,SUMIFS(Mapa_MinOcup,Mapa_Sala,$B21,Mapa_Turno,$C21,Mapa_Esp,E$1))</f>
        <v/>
      </c>
      <c r="F21" s="32">
        <f>IF(OR($B21="",F$1=""),0,SUMIFS(Mapa_MinOcup,Mapa_Sala,$B21,Mapa_Turno,$C21,Mapa_Esp,F$1))</f>
        <v/>
      </c>
      <c r="G21" s="32">
        <f>IF(OR($B21="",G$1=""),0,SUMIFS(Mapa_MinOcup,Mapa_Sala,$B21,Mapa_Turno,$C21,Mapa_Esp,G$1))</f>
        <v/>
      </c>
      <c r="H21" s="32">
        <f>IF(OR($B21="",H$1=""),0,SUMIFS(Mapa_MinOcup,Mapa_Sala,$B21,Mapa_Turno,$C21,Mapa_Esp,H$1))</f>
        <v/>
      </c>
      <c r="I21" s="32">
        <f>IF(OR($B21="",I$1=""),0,SUMIFS(Mapa_MinOcup,Mapa_Sala,$B21,Mapa_Turno,$C21,Mapa_Esp,I$1))</f>
        <v/>
      </c>
      <c r="J21" s="32">
        <f>IF(OR($B21="",J$1=""),0,SUMIFS(Mapa_MinOcup,Mapa_Sala,$B21,Mapa_Turno,$C21,Mapa_Esp,J$1))</f>
        <v/>
      </c>
      <c r="K21" s="32">
        <f>IF(OR($B21="",K$1=""),0,SUMIFS(Mapa_MinOcup,Mapa_Sala,$B21,Mapa_Turno,$C21,Mapa_Esp,K$1))</f>
        <v/>
      </c>
      <c r="L21" s="32">
        <f>IF(OR($B21="",L$1=""),0,SUMIFS(Mapa_MinOcup,Mapa_Sala,$B21,Mapa_Turno,$C21,Mapa_Esp,L$1))</f>
        <v/>
      </c>
      <c r="M21" s="32">
        <f>IF(OR($B21="",M$1=""),0,SUMIFS(Mapa_MinOcup,Mapa_Sala,$B21,Mapa_Turno,$C21,Mapa_Esp,M$1))</f>
        <v/>
      </c>
      <c r="N21" s="32">
        <f>IF(OR($B21="",N$1=""),0,SUMIFS(Mapa_MinOcup,Mapa_Sala,$B21,Mapa_Turno,$C21,Mapa_Esp,N$1))</f>
        <v/>
      </c>
      <c r="O21" s="32">
        <f>IF(OR($B21="",O$1=""),0,SUMIFS(Mapa_MinOcup,Mapa_Sala,$B21,Mapa_Turno,$C21,Mapa_Esp,O$1))</f>
        <v/>
      </c>
      <c r="P21" s="32">
        <f>IF(OR($B21="",P$1=""),0,SUMIFS(Mapa_MinOcup,Mapa_Sala,$B21,Mapa_Turno,$C21,Mapa_Esp,P$1))</f>
        <v/>
      </c>
      <c r="Q21" s="32">
        <f>IF(OR($B21="",Q$1=""),0,SUMIFS(Mapa_MinOcup,Mapa_Sala,$B21,Mapa_Turno,$C21,Mapa_Esp,Q$1))</f>
        <v/>
      </c>
      <c r="R21" s="32">
        <f>IF(OR($B21="",R$1=""),0,SUMIFS(Mapa_MinOcup,Mapa_Sala,$B21,Mapa_Turno,$C21,Mapa_Esp,R$1))</f>
        <v/>
      </c>
      <c r="S21" s="32">
        <f>IF(OR($B21="",S$1=""),0,SUMIFS(Mapa_MinOcup,Mapa_Sala,$B21,Mapa_Turno,$C21,Mapa_Esp,S$1))</f>
        <v/>
      </c>
      <c r="T21" s="32">
        <f>IF(OR($B21="",T$1=""),0,SUMIFS(Mapa_MinOcup,Mapa_Sala,$B21,Mapa_Turno,$C21,Mapa_Esp,T$1))</f>
        <v/>
      </c>
      <c r="U21" s="32">
        <f>IF(OR($B21="",U$1=""),0,SUMIFS(Mapa_MinOcup,Mapa_Sala,$B21,Mapa_Turno,$C21,Mapa_Esp,U$1))</f>
        <v/>
      </c>
      <c r="V21" s="32">
        <f>IF(OR($B21="",V$1=""),0,SUMIFS(Mapa_MinOcup,Mapa_Sala,$B21,Mapa_Turno,$C21,Mapa_Esp,V$1))</f>
        <v/>
      </c>
      <c r="W21" s="32">
        <f>IF(OR($B21="",W$1=""),0,SUMIFS(Mapa_MinOcup,Mapa_Sala,$B21,Mapa_Turno,$C21,Mapa_Esp,W$1))</f>
        <v/>
      </c>
      <c r="X21" s="32">
        <f>IF($B21="",0,SUM(D21:W21))</f>
        <v/>
      </c>
      <c r="Y21" s="32">
        <f>IF($B21="",0,IFERROR(INDEX(Turnos_Min,MATCH($C21,Turnos_Nome,0)),0))</f>
        <v/>
      </c>
      <c r="Z21" s="33">
        <f>IF(OR($B21="",Y21=0),"",X21/Y21)</f>
        <v/>
      </c>
    </row>
    <row r="22">
      <c r="A22" s="27">
        <f>IF($B22="","",$B22&amp;" | "&amp;$C22)</f>
        <v/>
      </c>
      <c r="B22" s="27">
        <f>IF('Salas'!$A$8="","",'Salas'!$A$8)</f>
        <v/>
      </c>
      <c r="C22" s="27">
        <f>IF($B22="","",'Parâmetros'!$A$34)</f>
        <v/>
      </c>
      <c r="D22" s="32">
        <f>IF(OR($B22="",D$1=""),0,SUMIFS(Mapa_MinOcup,Mapa_Sala,$B22,Mapa_Turno,$C22,Mapa_Esp,D$1))</f>
        <v/>
      </c>
      <c r="E22" s="32">
        <f>IF(OR($B22="",E$1=""),0,SUMIFS(Mapa_MinOcup,Mapa_Sala,$B22,Mapa_Turno,$C22,Mapa_Esp,E$1))</f>
        <v/>
      </c>
      <c r="F22" s="32">
        <f>IF(OR($B22="",F$1=""),0,SUMIFS(Mapa_MinOcup,Mapa_Sala,$B22,Mapa_Turno,$C22,Mapa_Esp,F$1))</f>
        <v/>
      </c>
      <c r="G22" s="32">
        <f>IF(OR($B22="",G$1=""),0,SUMIFS(Mapa_MinOcup,Mapa_Sala,$B22,Mapa_Turno,$C22,Mapa_Esp,G$1))</f>
        <v/>
      </c>
      <c r="H22" s="32">
        <f>IF(OR($B22="",H$1=""),0,SUMIFS(Mapa_MinOcup,Mapa_Sala,$B22,Mapa_Turno,$C22,Mapa_Esp,H$1))</f>
        <v/>
      </c>
      <c r="I22" s="32">
        <f>IF(OR($B22="",I$1=""),0,SUMIFS(Mapa_MinOcup,Mapa_Sala,$B22,Mapa_Turno,$C22,Mapa_Esp,I$1))</f>
        <v/>
      </c>
      <c r="J22" s="32">
        <f>IF(OR($B22="",J$1=""),0,SUMIFS(Mapa_MinOcup,Mapa_Sala,$B22,Mapa_Turno,$C22,Mapa_Esp,J$1))</f>
        <v/>
      </c>
      <c r="K22" s="32">
        <f>IF(OR($B22="",K$1=""),0,SUMIFS(Mapa_MinOcup,Mapa_Sala,$B22,Mapa_Turno,$C22,Mapa_Esp,K$1))</f>
        <v/>
      </c>
      <c r="L22" s="32">
        <f>IF(OR($B22="",L$1=""),0,SUMIFS(Mapa_MinOcup,Mapa_Sala,$B22,Mapa_Turno,$C22,Mapa_Esp,L$1))</f>
        <v/>
      </c>
      <c r="M22" s="32">
        <f>IF(OR($B22="",M$1=""),0,SUMIFS(Mapa_MinOcup,Mapa_Sala,$B22,Mapa_Turno,$C22,Mapa_Esp,M$1))</f>
        <v/>
      </c>
      <c r="N22" s="32">
        <f>IF(OR($B22="",N$1=""),0,SUMIFS(Mapa_MinOcup,Mapa_Sala,$B22,Mapa_Turno,$C22,Mapa_Esp,N$1))</f>
        <v/>
      </c>
      <c r="O22" s="32">
        <f>IF(OR($B22="",O$1=""),0,SUMIFS(Mapa_MinOcup,Mapa_Sala,$B22,Mapa_Turno,$C22,Mapa_Esp,O$1))</f>
        <v/>
      </c>
      <c r="P22" s="32">
        <f>IF(OR($B22="",P$1=""),0,SUMIFS(Mapa_MinOcup,Mapa_Sala,$B22,Mapa_Turno,$C22,Mapa_Esp,P$1))</f>
        <v/>
      </c>
      <c r="Q22" s="32">
        <f>IF(OR($B22="",Q$1=""),0,SUMIFS(Mapa_MinOcup,Mapa_Sala,$B22,Mapa_Turno,$C22,Mapa_Esp,Q$1))</f>
        <v/>
      </c>
      <c r="R22" s="32">
        <f>IF(OR($B22="",R$1=""),0,SUMIFS(Mapa_MinOcup,Mapa_Sala,$B22,Mapa_Turno,$C22,Mapa_Esp,R$1))</f>
        <v/>
      </c>
      <c r="S22" s="32">
        <f>IF(OR($B22="",S$1=""),0,SUMIFS(Mapa_MinOcup,Mapa_Sala,$B22,Mapa_Turno,$C22,Mapa_Esp,S$1))</f>
        <v/>
      </c>
      <c r="T22" s="32">
        <f>IF(OR($B22="",T$1=""),0,SUMIFS(Mapa_MinOcup,Mapa_Sala,$B22,Mapa_Turno,$C22,Mapa_Esp,T$1))</f>
        <v/>
      </c>
      <c r="U22" s="32">
        <f>IF(OR($B22="",U$1=""),0,SUMIFS(Mapa_MinOcup,Mapa_Sala,$B22,Mapa_Turno,$C22,Mapa_Esp,U$1))</f>
        <v/>
      </c>
      <c r="V22" s="32">
        <f>IF(OR($B22="",V$1=""),0,SUMIFS(Mapa_MinOcup,Mapa_Sala,$B22,Mapa_Turno,$C22,Mapa_Esp,V$1))</f>
        <v/>
      </c>
      <c r="W22" s="32">
        <f>IF(OR($B22="",W$1=""),0,SUMIFS(Mapa_MinOcup,Mapa_Sala,$B22,Mapa_Turno,$C22,Mapa_Esp,W$1))</f>
        <v/>
      </c>
      <c r="X22" s="32">
        <f>IF($B22="",0,SUM(D22:W22))</f>
        <v/>
      </c>
      <c r="Y22" s="32">
        <f>IF($B22="",0,IFERROR(INDEX(Turnos_Min,MATCH($C22,Turnos_Nome,0)),0))</f>
        <v/>
      </c>
      <c r="Z22" s="33">
        <f>IF(OR($B22="",Y22=0),"",X22/Y22)</f>
        <v/>
      </c>
    </row>
    <row r="23">
      <c r="A23" s="27">
        <f>IF($B23="","",$B23&amp;" | "&amp;$C23)</f>
        <v/>
      </c>
      <c r="B23" s="27">
        <f>IF('Salas'!$A$9="","",'Salas'!$A$9)</f>
        <v/>
      </c>
      <c r="C23" s="27">
        <f>IF($B23="","",'Parâmetros'!$A$32)</f>
        <v/>
      </c>
      <c r="D23" s="32">
        <f>IF(OR($B23="",D$1=""),0,SUMIFS(Mapa_MinOcup,Mapa_Sala,$B23,Mapa_Turno,$C23,Mapa_Esp,D$1))</f>
        <v/>
      </c>
      <c r="E23" s="32">
        <f>IF(OR($B23="",E$1=""),0,SUMIFS(Mapa_MinOcup,Mapa_Sala,$B23,Mapa_Turno,$C23,Mapa_Esp,E$1))</f>
        <v/>
      </c>
      <c r="F23" s="32">
        <f>IF(OR($B23="",F$1=""),0,SUMIFS(Mapa_MinOcup,Mapa_Sala,$B23,Mapa_Turno,$C23,Mapa_Esp,F$1))</f>
        <v/>
      </c>
      <c r="G23" s="32">
        <f>IF(OR($B23="",G$1=""),0,SUMIFS(Mapa_MinOcup,Mapa_Sala,$B23,Mapa_Turno,$C23,Mapa_Esp,G$1))</f>
        <v/>
      </c>
      <c r="H23" s="32">
        <f>IF(OR($B23="",H$1=""),0,SUMIFS(Mapa_MinOcup,Mapa_Sala,$B23,Mapa_Turno,$C23,Mapa_Esp,H$1))</f>
        <v/>
      </c>
      <c r="I23" s="32">
        <f>IF(OR($B23="",I$1=""),0,SUMIFS(Mapa_MinOcup,Mapa_Sala,$B23,Mapa_Turno,$C23,Mapa_Esp,I$1))</f>
        <v/>
      </c>
      <c r="J23" s="32">
        <f>IF(OR($B23="",J$1=""),0,SUMIFS(Mapa_MinOcup,Mapa_Sala,$B23,Mapa_Turno,$C23,Mapa_Esp,J$1))</f>
        <v/>
      </c>
      <c r="K23" s="32">
        <f>IF(OR($B23="",K$1=""),0,SUMIFS(Mapa_MinOcup,Mapa_Sala,$B23,Mapa_Turno,$C23,Mapa_Esp,K$1))</f>
        <v/>
      </c>
      <c r="L23" s="32">
        <f>IF(OR($B23="",L$1=""),0,SUMIFS(Mapa_MinOcup,Mapa_Sala,$B23,Mapa_Turno,$C23,Mapa_Esp,L$1))</f>
        <v/>
      </c>
      <c r="M23" s="32">
        <f>IF(OR($B23="",M$1=""),0,SUMIFS(Mapa_MinOcup,Mapa_Sala,$B23,Mapa_Turno,$C23,Mapa_Esp,M$1))</f>
        <v/>
      </c>
      <c r="N23" s="32">
        <f>IF(OR($B23="",N$1=""),0,SUMIFS(Mapa_MinOcup,Mapa_Sala,$B23,Mapa_Turno,$C23,Mapa_Esp,N$1))</f>
        <v/>
      </c>
      <c r="O23" s="32">
        <f>IF(OR($B23="",O$1=""),0,SUMIFS(Mapa_MinOcup,Mapa_Sala,$B23,Mapa_Turno,$C23,Mapa_Esp,O$1))</f>
        <v/>
      </c>
      <c r="P23" s="32">
        <f>IF(OR($B23="",P$1=""),0,SUMIFS(Mapa_MinOcup,Mapa_Sala,$B23,Mapa_Turno,$C23,Mapa_Esp,P$1))</f>
        <v/>
      </c>
      <c r="Q23" s="32">
        <f>IF(OR($B23="",Q$1=""),0,SUMIFS(Mapa_MinOcup,Mapa_Sala,$B23,Mapa_Turno,$C23,Mapa_Esp,Q$1))</f>
        <v/>
      </c>
      <c r="R23" s="32">
        <f>IF(OR($B23="",R$1=""),0,SUMIFS(Mapa_MinOcup,Mapa_Sala,$B23,Mapa_Turno,$C23,Mapa_Esp,R$1))</f>
        <v/>
      </c>
      <c r="S23" s="32">
        <f>IF(OR($B23="",S$1=""),0,SUMIFS(Mapa_MinOcup,Mapa_Sala,$B23,Mapa_Turno,$C23,Mapa_Esp,S$1))</f>
        <v/>
      </c>
      <c r="T23" s="32">
        <f>IF(OR($B23="",T$1=""),0,SUMIFS(Mapa_MinOcup,Mapa_Sala,$B23,Mapa_Turno,$C23,Mapa_Esp,T$1))</f>
        <v/>
      </c>
      <c r="U23" s="32">
        <f>IF(OR($B23="",U$1=""),0,SUMIFS(Mapa_MinOcup,Mapa_Sala,$B23,Mapa_Turno,$C23,Mapa_Esp,U$1))</f>
        <v/>
      </c>
      <c r="V23" s="32">
        <f>IF(OR($B23="",V$1=""),0,SUMIFS(Mapa_MinOcup,Mapa_Sala,$B23,Mapa_Turno,$C23,Mapa_Esp,V$1))</f>
        <v/>
      </c>
      <c r="W23" s="32">
        <f>IF(OR($B23="",W$1=""),0,SUMIFS(Mapa_MinOcup,Mapa_Sala,$B23,Mapa_Turno,$C23,Mapa_Esp,W$1))</f>
        <v/>
      </c>
      <c r="X23" s="32">
        <f>IF($B23="",0,SUM(D23:W23))</f>
        <v/>
      </c>
      <c r="Y23" s="32">
        <f>IF($B23="",0,IFERROR(INDEX(Turnos_Min,MATCH($C23,Turnos_Nome,0)),0))</f>
        <v/>
      </c>
      <c r="Z23" s="33">
        <f>IF(OR($B23="",Y23=0),"",X23/Y23)</f>
        <v/>
      </c>
    </row>
    <row r="24">
      <c r="A24" s="27">
        <f>IF($B24="","",$B24&amp;" | "&amp;$C24)</f>
        <v/>
      </c>
      <c r="B24" s="27">
        <f>IF('Salas'!$A$9="","",'Salas'!$A$9)</f>
        <v/>
      </c>
      <c r="C24" s="27">
        <f>IF($B24="","",'Parâmetros'!$A$33)</f>
        <v/>
      </c>
      <c r="D24" s="32">
        <f>IF(OR($B24="",D$1=""),0,SUMIFS(Mapa_MinOcup,Mapa_Sala,$B24,Mapa_Turno,$C24,Mapa_Esp,D$1))</f>
        <v/>
      </c>
      <c r="E24" s="32">
        <f>IF(OR($B24="",E$1=""),0,SUMIFS(Mapa_MinOcup,Mapa_Sala,$B24,Mapa_Turno,$C24,Mapa_Esp,E$1))</f>
        <v/>
      </c>
      <c r="F24" s="32">
        <f>IF(OR($B24="",F$1=""),0,SUMIFS(Mapa_MinOcup,Mapa_Sala,$B24,Mapa_Turno,$C24,Mapa_Esp,F$1))</f>
        <v/>
      </c>
      <c r="G24" s="32">
        <f>IF(OR($B24="",G$1=""),0,SUMIFS(Mapa_MinOcup,Mapa_Sala,$B24,Mapa_Turno,$C24,Mapa_Esp,G$1))</f>
        <v/>
      </c>
      <c r="H24" s="32">
        <f>IF(OR($B24="",H$1=""),0,SUMIFS(Mapa_MinOcup,Mapa_Sala,$B24,Mapa_Turno,$C24,Mapa_Esp,H$1))</f>
        <v/>
      </c>
      <c r="I24" s="32">
        <f>IF(OR($B24="",I$1=""),0,SUMIFS(Mapa_MinOcup,Mapa_Sala,$B24,Mapa_Turno,$C24,Mapa_Esp,I$1))</f>
        <v/>
      </c>
      <c r="J24" s="32">
        <f>IF(OR($B24="",J$1=""),0,SUMIFS(Mapa_MinOcup,Mapa_Sala,$B24,Mapa_Turno,$C24,Mapa_Esp,J$1))</f>
        <v/>
      </c>
      <c r="K24" s="32">
        <f>IF(OR($B24="",K$1=""),0,SUMIFS(Mapa_MinOcup,Mapa_Sala,$B24,Mapa_Turno,$C24,Mapa_Esp,K$1))</f>
        <v/>
      </c>
      <c r="L24" s="32">
        <f>IF(OR($B24="",L$1=""),0,SUMIFS(Mapa_MinOcup,Mapa_Sala,$B24,Mapa_Turno,$C24,Mapa_Esp,L$1))</f>
        <v/>
      </c>
      <c r="M24" s="32">
        <f>IF(OR($B24="",M$1=""),0,SUMIFS(Mapa_MinOcup,Mapa_Sala,$B24,Mapa_Turno,$C24,Mapa_Esp,M$1))</f>
        <v/>
      </c>
      <c r="N24" s="32">
        <f>IF(OR($B24="",N$1=""),0,SUMIFS(Mapa_MinOcup,Mapa_Sala,$B24,Mapa_Turno,$C24,Mapa_Esp,N$1))</f>
        <v/>
      </c>
      <c r="O24" s="32">
        <f>IF(OR($B24="",O$1=""),0,SUMIFS(Mapa_MinOcup,Mapa_Sala,$B24,Mapa_Turno,$C24,Mapa_Esp,O$1))</f>
        <v/>
      </c>
      <c r="P24" s="32">
        <f>IF(OR($B24="",P$1=""),0,SUMIFS(Mapa_MinOcup,Mapa_Sala,$B24,Mapa_Turno,$C24,Mapa_Esp,P$1))</f>
        <v/>
      </c>
      <c r="Q24" s="32">
        <f>IF(OR($B24="",Q$1=""),0,SUMIFS(Mapa_MinOcup,Mapa_Sala,$B24,Mapa_Turno,$C24,Mapa_Esp,Q$1))</f>
        <v/>
      </c>
      <c r="R24" s="32">
        <f>IF(OR($B24="",R$1=""),0,SUMIFS(Mapa_MinOcup,Mapa_Sala,$B24,Mapa_Turno,$C24,Mapa_Esp,R$1))</f>
        <v/>
      </c>
      <c r="S24" s="32">
        <f>IF(OR($B24="",S$1=""),0,SUMIFS(Mapa_MinOcup,Mapa_Sala,$B24,Mapa_Turno,$C24,Mapa_Esp,S$1))</f>
        <v/>
      </c>
      <c r="T24" s="32">
        <f>IF(OR($B24="",T$1=""),0,SUMIFS(Mapa_MinOcup,Mapa_Sala,$B24,Mapa_Turno,$C24,Mapa_Esp,T$1))</f>
        <v/>
      </c>
      <c r="U24" s="32">
        <f>IF(OR($B24="",U$1=""),0,SUMIFS(Mapa_MinOcup,Mapa_Sala,$B24,Mapa_Turno,$C24,Mapa_Esp,U$1))</f>
        <v/>
      </c>
      <c r="V24" s="32">
        <f>IF(OR($B24="",V$1=""),0,SUMIFS(Mapa_MinOcup,Mapa_Sala,$B24,Mapa_Turno,$C24,Mapa_Esp,V$1))</f>
        <v/>
      </c>
      <c r="W24" s="32">
        <f>IF(OR($B24="",W$1=""),0,SUMIFS(Mapa_MinOcup,Mapa_Sala,$B24,Mapa_Turno,$C24,Mapa_Esp,W$1))</f>
        <v/>
      </c>
      <c r="X24" s="32">
        <f>IF($B24="",0,SUM(D24:W24))</f>
        <v/>
      </c>
      <c r="Y24" s="32">
        <f>IF($B24="",0,IFERROR(INDEX(Turnos_Min,MATCH($C24,Turnos_Nome,0)),0))</f>
        <v/>
      </c>
      <c r="Z24" s="33">
        <f>IF(OR($B24="",Y24=0),"",X24/Y24)</f>
        <v/>
      </c>
    </row>
    <row r="25">
      <c r="A25" s="27">
        <f>IF($B25="","",$B25&amp;" | "&amp;$C25)</f>
        <v/>
      </c>
      <c r="B25" s="27">
        <f>IF('Salas'!$A$9="","",'Salas'!$A$9)</f>
        <v/>
      </c>
      <c r="C25" s="27">
        <f>IF($B25="","",'Parâmetros'!$A$34)</f>
        <v/>
      </c>
      <c r="D25" s="32">
        <f>IF(OR($B25="",D$1=""),0,SUMIFS(Mapa_MinOcup,Mapa_Sala,$B25,Mapa_Turno,$C25,Mapa_Esp,D$1))</f>
        <v/>
      </c>
      <c r="E25" s="32">
        <f>IF(OR($B25="",E$1=""),0,SUMIFS(Mapa_MinOcup,Mapa_Sala,$B25,Mapa_Turno,$C25,Mapa_Esp,E$1))</f>
        <v/>
      </c>
      <c r="F25" s="32">
        <f>IF(OR($B25="",F$1=""),0,SUMIFS(Mapa_MinOcup,Mapa_Sala,$B25,Mapa_Turno,$C25,Mapa_Esp,F$1))</f>
        <v/>
      </c>
      <c r="G25" s="32">
        <f>IF(OR($B25="",G$1=""),0,SUMIFS(Mapa_MinOcup,Mapa_Sala,$B25,Mapa_Turno,$C25,Mapa_Esp,G$1))</f>
        <v/>
      </c>
      <c r="H25" s="32">
        <f>IF(OR($B25="",H$1=""),0,SUMIFS(Mapa_MinOcup,Mapa_Sala,$B25,Mapa_Turno,$C25,Mapa_Esp,H$1))</f>
        <v/>
      </c>
      <c r="I25" s="32">
        <f>IF(OR($B25="",I$1=""),0,SUMIFS(Mapa_MinOcup,Mapa_Sala,$B25,Mapa_Turno,$C25,Mapa_Esp,I$1))</f>
        <v/>
      </c>
      <c r="J25" s="32">
        <f>IF(OR($B25="",J$1=""),0,SUMIFS(Mapa_MinOcup,Mapa_Sala,$B25,Mapa_Turno,$C25,Mapa_Esp,J$1))</f>
        <v/>
      </c>
      <c r="K25" s="32">
        <f>IF(OR($B25="",K$1=""),0,SUMIFS(Mapa_MinOcup,Mapa_Sala,$B25,Mapa_Turno,$C25,Mapa_Esp,K$1))</f>
        <v/>
      </c>
      <c r="L25" s="32">
        <f>IF(OR($B25="",L$1=""),0,SUMIFS(Mapa_MinOcup,Mapa_Sala,$B25,Mapa_Turno,$C25,Mapa_Esp,L$1))</f>
        <v/>
      </c>
      <c r="M25" s="32">
        <f>IF(OR($B25="",M$1=""),0,SUMIFS(Mapa_MinOcup,Mapa_Sala,$B25,Mapa_Turno,$C25,Mapa_Esp,M$1))</f>
        <v/>
      </c>
      <c r="N25" s="32">
        <f>IF(OR($B25="",N$1=""),0,SUMIFS(Mapa_MinOcup,Mapa_Sala,$B25,Mapa_Turno,$C25,Mapa_Esp,N$1))</f>
        <v/>
      </c>
      <c r="O25" s="32">
        <f>IF(OR($B25="",O$1=""),0,SUMIFS(Mapa_MinOcup,Mapa_Sala,$B25,Mapa_Turno,$C25,Mapa_Esp,O$1))</f>
        <v/>
      </c>
      <c r="P25" s="32">
        <f>IF(OR($B25="",P$1=""),0,SUMIFS(Mapa_MinOcup,Mapa_Sala,$B25,Mapa_Turno,$C25,Mapa_Esp,P$1))</f>
        <v/>
      </c>
      <c r="Q25" s="32">
        <f>IF(OR($B25="",Q$1=""),0,SUMIFS(Mapa_MinOcup,Mapa_Sala,$B25,Mapa_Turno,$C25,Mapa_Esp,Q$1))</f>
        <v/>
      </c>
      <c r="R25" s="32">
        <f>IF(OR($B25="",R$1=""),0,SUMIFS(Mapa_MinOcup,Mapa_Sala,$B25,Mapa_Turno,$C25,Mapa_Esp,R$1))</f>
        <v/>
      </c>
      <c r="S25" s="32">
        <f>IF(OR($B25="",S$1=""),0,SUMIFS(Mapa_MinOcup,Mapa_Sala,$B25,Mapa_Turno,$C25,Mapa_Esp,S$1))</f>
        <v/>
      </c>
      <c r="T25" s="32">
        <f>IF(OR($B25="",T$1=""),0,SUMIFS(Mapa_MinOcup,Mapa_Sala,$B25,Mapa_Turno,$C25,Mapa_Esp,T$1))</f>
        <v/>
      </c>
      <c r="U25" s="32">
        <f>IF(OR($B25="",U$1=""),0,SUMIFS(Mapa_MinOcup,Mapa_Sala,$B25,Mapa_Turno,$C25,Mapa_Esp,U$1))</f>
        <v/>
      </c>
      <c r="V25" s="32">
        <f>IF(OR($B25="",V$1=""),0,SUMIFS(Mapa_MinOcup,Mapa_Sala,$B25,Mapa_Turno,$C25,Mapa_Esp,V$1))</f>
        <v/>
      </c>
      <c r="W25" s="32">
        <f>IF(OR($B25="",W$1=""),0,SUMIFS(Mapa_MinOcup,Mapa_Sala,$B25,Mapa_Turno,$C25,Mapa_Esp,W$1))</f>
        <v/>
      </c>
      <c r="X25" s="32">
        <f>IF($B25="",0,SUM(D25:W25))</f>
        <v/>
      </c>
      <c r="Y25" s="32">
        <f>IF($B25="",0,IFERROR(INDEX(Turnos_Min,MATCH($C25,Turnos_Nome,0)),0))</f>
        <v/>
      </c>
      <c r="Z25" s="33">
        <f>IF(OR($B25="",Y25=0),"",X25/Y25)</f>
        <v/>
      </c>
    </row>
    <row r="26">
      <c r="A26" s="27">
        <f>IF($B26="","",$B26&amp;" | "&amp;$C26)</f>
        <v/>
      </c>
      <c r="B26" s="27">
        <f>IF('Salas'!$A$10="","",'Salas'!$A$10)</f>
        <v/>
      </c>
      <c r="C26" s="27">
        <f>IF($B26="","",'Parâmetros'!$A$32)</f>
        <v/>
      </c>
      <c r="D26" s="32">
        <f>IF(OR($B26="",D$1=""),0,SUMIFS(Mapa_MinOcup,Mapa_Sala,$B26,Mapa_Turno,$C26,Mapa_Esp,D$1))</f>
        <v/>
      </c>
      <c r="E26" s="32">
        <f>IF(OR($B26="",E$1=""),0,SUMIFS(Mapa_MinOcup,Mapa_Sala,$B26,Mapa_Turno,$C26,Mapa_Esp,E$1))</f>
        <v/>
      </c>
      <c r="F26" s="32">
        <f>IF(OR($B26="",F$1=""),0,SUMIFS(Mapa_MinOcup,Mapa_Sala,$B26,Mapa_Turno,$C26,Mapa_Esp,F$1))</f>
        <v/>
      </c>
      <c r="G26" s="32">
        <f>IF(OR($B26="",G$1=""),0,SUMIFS(Mapa_MinOcup,Mapa_Sala,$B26,Mapa_Turno,$C26,Mapa_Esp,G$1))</f>
        <v/>
      </c>
      <c r="H26" s="32">
        <f>IF(OR($B26="",H$1=""),0,SUMIFS(Mapa_MinOcup,Mapa_Sala,$B26,Mapa_Turno,$C26,Mapa_Esp,H$1))</f>
        <v/>
      </c>
      <c r="I26" s="32">
        <f>IF(OR($B26="",I$1=""),0,SUMIFS(Mapa_MinOcup,Mapa_Sala,$B26,Mapa_Turno,$C26,Mapa_Esp,I$1))</f>
        <v/>
      </c>
      <c r="J26" s="32">
        <f>IF(OR($B26="",J$1=""),0,SUMIFS(Mapa_MinOcup,Mapa_Sala,$B26,Mapa_Turno,$C26,Mapa_Esp,J$1))</f>
        <v/>
      </c>
      <c r="K26" s="32">
        <f>IF(OR($B26="",K$1=""),0,SUMIFS(Mapa_MinOcup,Mapa_Sala,$B26,Mapa_Turno,$C26,Mapa_Esp,K$1))</f>
        <v/>
      </c>
      <c r="L26" s="32">
        <f>IF(OR($B26="",L$1=""),0,SUMIFS(Mapa_MinOcup,Mapa_Sala,$B26,Mapa_Turno,$C26,Mapa_Esp,L$1))</f>
        <v/>
      </c>
      <c r="M26" s="32">
        <f>IF(OR($B26="",M$1=""),0,SUMIFS(Mapa_MinOcup,Mapa_Sala,$B26,Mapa_Turno,$C26,Mapa_Esp,M$1))</f>
        <v/>
      </c>
      <c r="N26" s="32">
        <f>IF(OR($B26="",N$1=""),0,SUMIFS(Mapa_MinOcup,Mapa_Sala,$B26,Mapa_Turno,$C26,Mapa_Esp,N$1))</f>
        <v/>
      </c>
      <c r="O26" s="32">
        <f>IF(OR($B26="",O$1=""),0,SUMIFS(Mapa_MinOcup,Mapa_Sala,$B26,Mapa_Turno,$C26,Mapa_Esp,O$1))</f>
        <v/>
      </c>
      <c r="P26" s="32">
        <f>IF(OR($B26="",P$1=""),0,SUMIFS(Mapa_MinOcup,Mapa_Sala,$B26,Mapa_Turno,$C26,Mapa_Esp,P$1))</f>
        <v/>
      </c>
      <c r="Q26" s="32">
        <f>IF(OR($B26="",Q$1=""),0,SUMIFS(Mapa_MinOcup,Mapa_Sala,$B26,Mapa_Turno,$C26,Mapa_Esp,Q$1))</f>
        <v/>
      </c>
      <c r="R26" s="32">
        <f>IF(OR($B26="",R$1=""),0,SUMIFS(Mapa_MinOcup,Mapa_Sala,$B26,Mapa_Turno,$C26,Mapa_Esp,R$1))</f>
        <v/>
      </c>
      <c r="S26" s="32">
        <f>IF(OR($B26="",S$1=""),0,SUMIFS(Mapa_MinOcup,Mapa_Sala,$B26,Mapa_Turno,$C26,Mapa_Esp,S$1))</f>
        <v/>
      </c>
      <c r="T26" s="32">
        <f>IF(OR($B26="",T$1=""),0,SUMIFS(Mapa_MinOcup,Mapa_Sala,$B26,Mapa_Turno,$C26,Mapa_Esp,T$1))</f>
        <v/>
      </c>
      <c r="U26" s="32">
        <f>IF(OR($B26="",U$1=""),0,SUMIFS(Mapa_MinOcup,Mapa_Sala,$B26,Mapa_Turno,$C26,Mapa_Esp,U$1))</f>
        <v/>
      </c>
      <c r="V26" s="32">
        <f>IF(OR($B26="",V$1=""),0,SUMIFS(Mapa_MinOcup,Mapa_Sala,$B26,Mapa_Turno,$C26,Mapa_Esp,V$1))</f>
        <v/>
      </c>
      <c r="W26" s="32">
        <f>IF(OR($B26="",W$1=""),0,SUMIFS(Mapa_MinOcup,Mapa_Sala,$B26,Mapa_Turno,$C26,Mapa_Esp,W$1))</f>
        <v/>
      </c>
      <c r="X26" s="32">
        <f>IF($B26="",0,SUM(D26:W26))</f>
        <v/>
      </c>
      <c r="Y26" s="32">
        <f>IF($B26="",0,IFERROR(INDEX(Turnos_Min,MATCH($C26,Turnos_Nome,0)),0))</f>
        <v/>
      </c>
      <c r="Z26" s="33">
        <f>IF(OR($B26="",Y26=0),"",X26/Y26)</f>
        <v/>
      </c>
    </row>
    <row r="27">
      <c r="A27" s="27">
        <f>IF($B27="","",$B27&amp;" | "&amp;$C27)</f>
        <v/>
      </c>
      <c r="B27" s="27">
        <f>IF('Salas'!$A$10="","",'Salas'!$A$10)</f>
        <v/>
      </c>
      <c r="C27" s="27">
        <f>IF($B27="","",'Parâmetros'!$A$33)</f>
        <v/>
      </c>
      <c r="D27" s="32">
        <f>IF(OR($B27="",D$1=""),0,SUMIFS(Mapa_MinOcup,Mapa_Sala,$B27,Mapa_Turno,$C27,Mapa_Esp,D$1))</f>
        <v/>
      </c>
      <c r="E27" s="32">
        <f>IF(OR($B27="",E$1=""),0,SUMIFS(Mapa_MinOcup,Mapa_Sala,$B27,Mapa_Turno,$C27,Mapa_Esp,E$1))</f>
        <v/>
      </c>
      <c r="F27" s="32">
        <f>IF(OR($B27="",F$1=""),0,SUMIFS(Mapa_MinOcup,Mapa_Sala,$B27,Mapa_Turno,$C27,Mapa_Esp,F$1))</f>
        <v/>
      </c>
      <c r="G27" s="32">
        <f>IF(OR($B27="",G$1=""),0,SUMIFS(Mapa_MinOcup,Mapa_Sala,$B27,Mapa_Turno,$C27,Mapa_Esp,G$1))</f>
        <v/>
      </c>
      <c r="H27" s="32">
        <f>IF(OR($B27="",H$1=""),0,SUMIFS(Mapa_MinOcup,Mapa_Sala,$B27,Mapa_Turno,$C27,Mapa_Esp,H$1))</f>
        <v/>
      </c>
      <c r="I27" s="32">
        <f>IF(OR($B27="",I$1=""),0,SUMIFS(Mapa_MinOcup,Mapa_Sala,$B27,Mapa_Turno,$C27,Mapa_Esp,I$1))</f>
        <v/>
      </c>
      <c r="J27" s="32">
        <f>IF(OR($B27="",J$1=""),0,SUMIFS(Mapa_MinOcup,Mapa_Sala,$B27,Mapa_Turno,$C27,Mapa_Esp,J$1))</f>
        <v/>
      </c>
      <c r="K27" s="32">
        <f>IF(OR($B27="",K$1=""),0,SUMIFS(Mapa_MinOcup,Mapa_Sala,$B27,Mapa_Turno,$C27,Mapa_Esp,K$1))</f>
        <v/>
      </c>
      <c r="L27" s="32">
        <f>IF(OR($B27="",L$1=""),0,SUMIFS(Mapa_MinOcup,Mapa_Sala,$B27,Mapa_Turno,$C27,Mapa_Esp,L$1))</f>
        <v/>
      </c>
      <c r="M27" s="32">
        <f>IF(OR($B27="",M$1=""),0,SUMIFS(Mapa_MinOcup,Mapa_Sala,$B27,Mapa_Turno,$C27,Mapa_Esp,M$1))</f>
        <v/>
      </c>
      <c r="N27" s="32">
        <f>IF(OR($B27="",N$1=""),0,SUMIFS(Mapa_MinOcup,Mapa_Sala,$B27,Mapa_Turno,$C27,Mapa_Esp,N$1))</f>
        <v/>
      </c>
      <c r="O27" s="32">
        <f>IF(OR($B27="",O$1=""),0,SUMIFS(Mapa_MinOcup,Mapa_Sala,$B27,Mapa_Turno,$C27,Mapa_Esp,O$1))</f>
        <v/>
      </c>
      <c r="P27" s="32">
        <f>IF(OR($B27="",P$1=""),0,SUMIFS(Mapa_MinOcup,Mapa_Sala,$B27,Mapa_Turno,$C27,Mapa_Esp,P$1))</f>
        <v/>
      </c>
      <c r="Q27" s="32">
        <f>IF(OR($B27="",Q$1=""),0,SUMIFS(Mapa_MinOcup,Mapa_Sala,$B27,Mapa_Turno,$C27,Mapa_Esp,Q$1))</f>
        <v/>
      </c>
      <c r="R27" s="32">
        <f>IF(OR($B27="",R$1=""),0,SUMIFS(Mapa_MinOcup,Mapa_Sala,$B27,Mapa_Turno,$C27,Mapa_Esp,R$1))</f>
        <v/>
      </c>
      <c r="S27" s="32">
        <f>IF(OR($B27="",S$1=""),0,SUMIFS(Mapa_MinOcup,Mapa_Sala,$B27,Mapa_Turno,$C27,Mapa_Esp,S$1))</f>
        <v/>
      </c>
      <c r="T27" s="32">
        <f>IF(OR($B27="",T$1=""),0,SUMIFS(Mapa_MinOcup,Mapa_Sala,$B27,Mapa_Turno,$C27,Mapa_Esp,T$1))</f>
        <v/>
      </c>
      <c r="U27" s="32">
        <f>IF(OR($B27="",U$1=""),0,SUMIFS(Mapa_MinOcup,Mapa_Sala,$B27,Mapa_Turno,$C27,Mapa_Esp,U$1))</f>
        <v/>
      </c>
      <c r="V27" s="32">
        <f>IF(OR($B27="",V$1=""),0,SUMIFS(Mapa_MinOcup,Mapa_Sala,$B27,Mapa_Turno,$C27,Mapa_Esp,V$1))</f>
        <v/>
      </c>
      <c r="W27" s="32">
        <f>IF(OR($B27="",W$1=""),0,SUMIFS(Mapa_MinOcup,Mapa_Sala,$B27,Mapa_Turno,$C27,Mapa_Esp,W$1))</f>
        <v/>
      </c>
      <c r="X27" s="32">
        <f>IF($B27="",0,SUM(D27:W27))</f>
        <v/>
      </c>
      <c r="Y27" s="32">
        <f>IF($B27="",0,IFERROR(INDEX(Turnos_Min,MATCH($C27,Turnos_Nome,0)),0))</f>
        <v/>
      </c>
      <c r="Z27" s="33">
        <f>IF(OR($B27="",Y27=0),"",X27/Y27)</f>
        <v/>
      </c>
    </row>
    <row r="28">
      <c r="A28" s="27">
        <f>IF($B28="","",$B28&amp;" | "&amp;$C28)</f>
        <v/>
      </c>
      <c r="B28" s="27">
        <f>IF('Salas'!$A$10="","",'Salas'!$A$10)</f>
        <v/>
      </c>
      <c r="C28" s="27">
        <f>IF($B28="","",'Parâmetros'!$A$34)</f>
        <v/>
      </c>
      <c r="D28" s="32">
        <f>IF(OR($B28="",D$1=""),0,SUMIFS(Mapa_MinOcup,Mapa_Sala,$B28,Mapa_Turno,$C28,Mapa_Esp,D$1))</f>
        <v/>
      </c>
      <c r="E28" s="32">
        <f>IF(OR($B28="",E$1=""),0,SUMIFS(Mapa_MinOcup,Mapa_Sala,$B28,Mapa_Turno,$C28,Mapa_Esp,E$1))</f>
        <v/>
      </c>
      <c r="F28" s="32">
        <f>IF(OR($B28="",F$1=""),0,SUMIFS(Mapa_MinOcup,Mapa_Sala,$B28,Mapa_Turno,$C28,Mapa_Esp,F$1))</f>
        <v/>
      </c>
      <c r="G28" s="32">
        <f>IF(OR($B28="",G$1=""),0,SUMIFS(Mapa_MinOcup,Mapa_Sala,$B28,Mapa_Turno,$C28,Mapa_Esp,G$1))</f>
        <v/>
      </c>
      <c r="H28" s="32">
        <f>IF(OR($B28="",H$1=""),0,SUMIFS(Mapa_MinOcup,Mapa_Sala,$B28,Mapa_Turno,$C28,Mapa_Esp,H$1))</f>
        <v/>
      </c>
      <c r="I28" s="32">
        <f>IF(OR($B28="",I$1=""),0,SUMIFS(Mapa_MinOcup,Mapa_Sala,$B28,Mapa_Turno,$C28,Mapa_Esp,I$1))</f>
        <v/>
      </c>
      <c r="J28" s="32">
        <f>IF(OR($B28="",J$1=""),0,SUMIFS(Mapa_MinOcup,Mapa_Sala,$B28,Mapa_Turno,$C28,Mapa_Esp,J$1))</f>
        <v/>
      </c>
      <c r="K28" s="32">
        <f>IF(OR($B28="",K$1=""),0,SUMIFS(Mapa_MinOcup,Mapa_Sala,$B28,Mapa_Turno,$C28,Mapa_Esp,K$1))</f>
        <v/>
      </c>
      <c r="L28" s="32">
        <f>IF(OR($B28="",L$1=""),0,SUMIFS(Mapa_MinOcup,Mapa_Sala,$B28,Mapa_Turno,$C28,Mapa_Esp,L$1))</f>
        <v/>
      </c>
      <c r="M28" s="32">
        <f>IF(OR($B28="",M$1=""),0,SUMIFS(Mapa_MinOcup,Mapa_Sala,$B28,Mapa_Turno,$C28,Mapa_Esp,M$1))</f>
        <v/>
      </c>
      <c r="N28" s="32">
        <f>IF(OR($B28="",N$1=""),0,SUMIFS(Mapa_MinOcup,Mapa_Sala,$B28,Mapa_Turno,$C28,Mapa_Esp,N$1))</f>
        <v/>
      </c>
      <c r="O28" s="32">
        <f>IF(OR($B28="",O$1=""),0,SUMIFS(Mapa_MinOcup,Mapa_Sala,$B28,Mapa_Turno,$C28,Mapa_Esp,O$1))</f>
        <v/>
      </c>
      <c r="P28" s="32">
        <f>IF(OR($B28="",P$1=""),0,SUMIFS(Mapa_MinOcup,Mapa_Sala,$B28,Mapa_Turno,$C28,Mapa_Esp,P$1))</f>
        <v/>
      </c>
      <c r="Q28" s="32">
        <f>IF(OR($B28="",Q$1=""),0,SUMIFS(Mapa_MinOcup,Mapa_Sala,$B28,Mapa_Turno,$C28,Mapa_Esp,Q$1))</f>
        <v/>
      </c>
      <c r="R28" s="32">
        <f>IF(OR($B28="",R$1=""),0,SUMIFS(Mapa_MinOcup,Mapa_Sala,$B28,Mapa_Turno,$C28,Mapa_Esp,R$1))</f>
        <v/>
      </c>
      <c r="S28" s="32">
        <f>IF(OR($B28="",S$1=""),0,SUMIFS(Mapa_MinOcup,Mapa_Sala,$B28,Mapa_Turno,$C28,Mapa_Esp,S$1))</f>
        <v/>
      </c>
      <c r="T28" s="32">
        <f>IF(OR($B28="",T$1=""),0,SUMIFS(Mapa_MinOcup,Mapa_Sala,$B28,Mapa_Turno,$C28,Mapa_Esp,T$1))</f>
        <v/>
      </c>
      <c r="U28" s="32">
        <f>IF(OR($B28="",U$1=""),0,SUMIFS(Mapa_MinOcup,Mapa_Sala,$B28,Mapa_Turno,$C28,Mapa_Esp,U$1))</f>
        <v/>
      </c>
      <c r="V28" s="32">
        <f>IF(OR($B28="",V$1=""),0,SUMIFS(Mapa_MinOcup,Mapa_Sala,$B28,Mapa_Turno,$C28,Mapa_Esp,V$1))</f>
        <v/>
      </c>
      <c r="W28" s="32">
        <f>IF(OR($B28="",W$1=""),0,SUMIFS(Mapa_MinOcup,Mapa_Sala,$B28,Mapa_Turno,$C28,Mapa_Esp,W$1))</f>
        <v/>
      </c>
      <c r="X28" s="32">
        <f>IF($B28="",0,SUM(D28:W28))</f>
        <v/>
      </c>
      <c r="Y28" s="32">
        <f>IF($B28="",0,IFERROR(INDEX(Turnos_Min,MATCH($C28,Turnos_Nome,0)),0))</f>
        <v/>
      </c>
      <c r="Z28" s="33">
        <f>IF(OR($B28="",Y28=0),"",X28/Y28)</f>
        <v/>
      </c>
    </row>
    <row r="29">
      <c r="A29" s="27">
        <f>IF($B29="","",$B29&amp;" | "&amp;$C29)</f>
        <v/>
      </c>
      <c r="B29" s="27">
        <f>IF('Salas'!$A$11="","",'Salas'!$A$11)</f>
        <v/>
      </c>
      <c r="C29" s="27">
        <f>IF($B29="","",'Parâmetros'!$A$32)</f>
        <v/>
      </c>
      <c r="D29" s="32">
        <f>IF(OR($B29="",D$1=""),0,SUMIFS(Mapa_MinOcup,Mapa_Sala,$B29,Mapa_Turno,$C29,Mapa_Esp,D$1))</f>
        <v/>
      </c>
      <c r="E29" s="32">
        <f>IF(OR($B29="",E$1=""),0,SUMIFS(Mapa_MinOcup,Mapa_Sala,$B29,Mapa_Turno,$C29,Mapa_Esp,E$1))</f>
        <v/>
      </c>
      <c r="F29" s="32">
        <f>IF(OR($B29="",F$1=""),0,SUMIFS(Mapa_MinOcup,Mapa_Sala,$B29,Mapa_Turno,$C29,Mapa_Esp,F$1))</f>
        <v/>
      </c>
      <c r="G29" s="32">
        <f>IF(OR($B29="",G$1=""),0,SUMIFS(Mapa_MinOcup,Mapa_Sala,$B29,Mapa_Turno,$C29,Mapa_Esp,G$1))</f>
        <v/>
      </c>
      <c r="H29" s="32">
        <f>IF(OR($B29="",H$1=""),0,SUMIFS(Mapa_MinOcup,Mapa_Sala,$B29,Mapa_Turno,$C29,Mapa_Esp,H$1))</f>
        <v/>
      </c>
      <c r="I29" s="32">
        <f>IF(OR($B29="",I$1=""),0,SUMIFS(Mapa_MinOcup,Mapa_Sala,$B29,Mapa_Turno,$C29,Mapa_Esp,I$1))</f>
        <v/>
      </c>
      <c r="J29" s="32">
        <f>IF(OR($B29="",J$1=""),0,SUMIFS(Mapa_MinOcup,Mapa_Sala,$B29,Mapa_Turno,$C29,Mapa_Esp,J$1))</f>
        <v/>
      </c>
      <c r="K29" s="32">
        <f>IF(OR($B29="",K$1=""),0,SUMIFS(Mapa_MinOcup,Mapa_Sala,$B29,Mapa_Turno,$C29,Mapa_Esp,K$1))</f>
        <v/>
      </c>
      <c r="L29" s="32">
        <f>IF(OR($B29="",L$1=""),0,SUMIFS(Mapa_MinOcup,Mapa_Sala,$B29,Mapa_Turno,$C29,Mapa_Esp,L$1))</f>
        <v/>
      </c>
      <c r="M29" s="32">
        <f>IF(OR($B29="",M$1=""),0,SUMIFS(Mapa_MinOcup,Mapa_Sala,$B29,Mapa_Turno,$C29,Mapa_Esp,M$1))</f>
        <v/>
      </c>
      <c r="N29" s="32">
        <f>IF(OR($B29="",N$1=""),0,SUMIFS(Mapa_MinOcup,Mapa_Sala,$B29,Mapa_Turno,$C29,Mapa_Esp,N$1))</f>
        <v/>
      </c>
      <c r="O29" s="32">
        <f>IF(OR($B29="",O$1=""),0,SUMIFS(Mapa_MinOcup,Mapa_Sala,$B29,Mapa_Turno,$C29,Mapa_Esp,O$1))</f>
        <v/>
      </c>
      <c r="P29" s="32">
        <f>IF(OR($B29="",P$1=""),0,SUMIFS(Mapa_MinOcup,Mapa_Sala,$B29,Mapa_Turno,$C29,Mapa_Esp,P$1))</f>
        <v/>
      </c>
      <c r="Q29" s="32">
        <f>IF(OR($B29="",Q$1=""),0,SUMIFS(Mapa_MinOcup,Mapa_Sala,$B29,Mapa_Turno,$C29,Mapa_Esp,Q$1))</f>
        <v/>
      </c>
      <c r="R29" s="32">
        <f>IF(OR($B29="",R$1=""),0,SUMIFS(Mapa_MinOcup,Mapa_Sala,$B29,Mapa_Turno,$C29,Mapa_Esp,R$1))</f>
        <v/>
      </c>
      <c r="S29" s="32">
        <f>IF(OR($B29="",S$1=""),0,SUMIFS(Mapa_MinOcup,Mapa_Sala,$B29,Mapa_Turno,$C29,Mapa_Esp,S$1))</f>
        <v/>
      </c>
      <c r="T29" s="32">
        <f>IF(OR($B29="",T$1=""),0,SUMIFS(Mapa_MinOcup,Mapa_Sala,$B29,Mapa_Turno,$C29,Mapa_Esp,T$1))</f>
        <v/>
      </c>
      <c r="U29" s="32">
        <f>IF(OR($B29="",U$1=""),0,SUMIFS(Mapa_MinOcup,Mapa_Sala,$B29,Mapa_Turno,$C29,Mapa_Esp,U$1))</f>
        <v/>
      </c>
      <c r="V29" s="32">
        <f>IF(OR($B29="",V$1=""),0,SUMIFS(Mapa_MinOcup,Mapa_Sala,$B29,Mapa_Turno,$C29,Mapa_Esp,V$1))</f>
        <v/>
      </c>
      <c r="W29" s="32">
        <f>IF(OR($B29="",W$1=""),0,SUMIFS(Mapa_MinOcup,Mapa_Sala,$B29,Mapa_Turno,$C29,Mapa_Esp,W$1))</f>
        <v/>
      </c>
      <c r="X29" s="32">
        <f>IF($B29="",0,SUM(D29:W29))</f>
        <v/>
      </c>
      <c r="Y29" s="32">
        <f>IF($B29="",0,IFERROR(INDEX(Turnos_Min,MATCH($C29,Turnos_Nome,0)),0))</f>
        <v/>
      </c>
      <c r="Z29" s="33">
        <f>IF(OR($B29="",Y29=0),"",X29/Y29)</f>
        <v/>
      </c>
    </row>
    <row r="30">
      <c r="A30" s="27">
        <f>IF($B30="","",$B30&amp;" | "&amp;$C30)</f>
        <v/>
      </c>
      <c r="B30" s="27">
        <f>IF('Salas'!$A$11="","",'Salas'!$A$11)</f>
        <v/>
      </c>
      <c r="C30" s="27">
        <f>IF($B30="","",'Parâmetros'!$A$33)</f>
        <v/>
      </c>
      <c r="D30" s="32">
        <f>IF(OR($B30="",D$1=""),0,SUMIFS(Mapa_MinOcup,Mapa_Sala,$B30,Mapa_Turno,$C30,Mapa_Esp,D$1))</f>
        <v/>
      </c>
      <c r="E30" s="32">
        <f>IF(OR($B30="",E$1=""),0,SUMIFS(Mapa_MinOcup,Mapa_Sala,$B30,Mapa_Turno,$C30,Mapa_Esp,E$1))</f>
        <v/>
      </c>
      <c r="F30" s="32">
        <f>IF(OR($B30="",F$1=""),0,SUMIFS(Mapa_MinOcup,Mapa_Sala,$B30,Mapa_Turno,$C30,Mapa_Esp,F$1))</f>
        <v/>
      </c>
      <c r="G30" s="32">
        <f>IF(OR($B30="",G$1=""),0,SUMIFS(Mapa_MinOcup,Mapa_Sala,$B30,Mapa_Turno,$C30,Mapa_Esp,G$1))</f>
        <v/>
      </c>
      <c r="H30" s="32">
        <f>IF(OR($B30="",H$1=""),0,SUMIFS(Mapa_MinOcup,Mapa_Sala,$B30,Mapa_Turno,$C30,Mapa_Esp,H$1))</f>
        <v/>
      </c>
      <c r="I30" s="32">
        <f>IF(OR($B30="",I$1=""),0,SUMIFS(Mapa_MinOcup,Mapa_Sala,$B30,Mapa_Turno,$C30,Mapa_Esp,I$1))</f>
        <v/>
      </c>
      <c r="J30" s="32">
        <f>IF(OR($B30="",J$1=""),0,SUMIFS(Mapa_MinOcup,Mapa_Sala,$B30,Mapa_Turno,$C30,Mapa_Esp,J$1))</f>
        <v/>
      </c>
      <c r="K30" s="32">
        <f>IF(OR($B30="",K$1=""),0,SUMIFS(Mapa_MinOcup,Mapa_Sala,$B30,Mapa_Turno,$C30,Mapa_Esp,K$1))</f>
        <v/>
      </c>
      <c r="L30" s="32">
        <f>IF(OR($B30="",L$1=""),0,SUMIFS(Mapa_MinOcup,Mapa_Sala,$B30,Mapa_Turno,$C30,Mapa_Esp,L$1))</f>
        <v/>
      </c>
      <c r="M30" s="32">
        <f>IF(OR($B30="",M$1=""),0,SUMIFS(Mapa_MinOcup,Mapa_Sala,$B30,Mapa_Turno,$C30,Mapa_Esp,M$1))</f>
        <v/>
      </c>
      <c r="N30" s="32">
        <f>IF(OR($B30="",N$1=""),0,SUMIFS(Mapa_MinOcup,Mapa_Sala,$B30,Mapa_Turno,$C30,Mapa_Esp,N$1))</f>
        <v/>
      </c>
      <c r="O30" s="32">
        <f>IF(OR($B30="",O$1=""),0,SUMIFS(Mapa_MinOcup,Mapa_Sala,$B30,Mapa_Turno,$C30,Mapa_Esp,O$1))</f>
        <v/>
      </c>
      <c r="P30" s="32">
        <f>IF(OR($B30="",P$1=""),0,SUMIFS(Mapa_MinOcup,Mapa_Sala,$B30,Mapa_Turno,$C30,Mapa_Esp,P$1))</f>
        <v/>
      </c>
      <c r="Q30" s="32">
        <f>IF(OR($B30="",Q$1=""),0,SUMIFS(Mapa_MinOcup,Mapa_Sala,$B30,Mapa_Turno,$C30,Mapa_Esp,Q$1))</f>
        <v/>
      </c>
      <c r="R30" s="32">
        <f>IF(OR($B30="",R$1=""),0,SUMIFS(Mapa_MinOcup,Mapa_Sala,$B30,Mapa_Turno,$C30,Mapa_Esp,R$1))</f>
        <v/>
      </c>
      <c r="S30" s="32">
        <f>IF(OR($B30="",S$1=""),0,SUMIFS(Mapa_MinOcup,Mapa_Sala,$B30,Mapa_Turno,$C30,Mapa_Esp,S$1))</f>
        <v/>
      </c>
      <c r="T30" s="32">
        <f>IF(OR($B30="",T$1=""),0,SUMIFS(Mapa_MinOcup,Mapa_Sala,$B30,Mapa_Turno,$C30,Mapa_Esp,T$1))</f>
        <v/>
      </c>
      <c r="U30" s="32">
        <f>IF(OR($B30="",U$1=""),0,SUMIFS(Mapa_MinOcup,Mapa_Sala,$B30,Mapa_Turno,$C30,Mapa_Esp,U$1))</f>
        <v/>
      </c>
      <c r="V30" s="32">
        <f>IF(OR($B30="",V$1=""),0,SUMIFS(Mapa_MinOcup,Mapa_Sala,$B30,Mapa_Turno,$C30,Mapa_Esp,V$1))</f>
        <v/>
      </c>
      <c r="W30" s="32">
        <f>IF(OR($B30="",W$1=""),0,SUMIFS(Mapa_MinOcup,Mapa_Sala,$B30,Mapa_Turno,$C30,Mapa_Esp,W$1))</f>
        <v/>
      </c>
      <c r="X30" s="32">
        <f>IF($B30="",0,SUM(D30:W30))</f>
        <v/>
      </c>
      <c r="Y30" s="32">
        <f>IF($B30="",0,IFERROR(INDEX(Turnos_Min,MATCH($C30,Turnos_Nome,0)),0))</f>
        <v/>
      </c>
      <c r="Z30" s="33">
        <f>IF(OR($B30="",Y30=0),"",X30/Y30)</f>
        <v/>
      </c>
    </row>
    <row r="31">
      <c r="A31" s="27">
        <f>IF($B31="","",$B31&amp;" | "&amp;$C31)</f>
        <v/>
      </c>
      <c r="B31" s="27">
        <f>IF('Salas'!$A$11="","",'Salas'!$A$11)</f>
        <v/>
      </c>
      <c r="C31" s="27">
        <f>IF($B31="","",'Parâmetros'!$A$34)</f>
        <v/>
      </c>
      <c r="D31" s="32">
        <f>IF(OR($B31="",D$1=""),0,SUMIFS(Mapa_MinOcup,Mapa_Sala,$B31,Mapa_Turno,$C31,Mapa_Esp,D$1))</f>
        <v/>
      </c>
      <c r="E31" s="32">
        <f>IF(OR($B31="",E$1=""),0,SUMIFS(Mapa_MinOcup,Mapa_Sala,$B31,Mapa_Turno,$C31,Mapa_Esp,E$1))</f>
        <v/>
      </c>
      <c r="F31" s="32">
        <f>IF(OR($B31="",F$1=""),0,SUMIFS(Mapa_MinOcup,Mapa_Sala,$B31,Mapa_Turno,$C31,Mapa_Esp,F$1))</f>
        <v/>
      </c>
      <c r="G31" s="32">
        <f>IF(OR($B31="",G$1=""),0,SUMIFS(Mapa_MinOcup,Mapa_Sala,$B31,Mapa_Turno,$C31,Mapa_Esp,G$1))</f>
        <v/>
      </c>
      <c r="H31" s="32">
        <f>IF(OR($B31="",H$1=""),0,SUMIFS(Mapa_MinOcup,Mapa_Sala,$B31,Mapa_Turno,$C31,Mapa_Esp,H$1))</f>
        <v/>
      </c>
      <c r="I31" s="32">
        <f>IF(OR($B31="",I$1=""),0,SUMIFS(Mapa_MinOcup,Mapa_Sala,$B31,Mapa_Turno,$C31,Mapa_Esp,I$1))</f>
        <v/>
      </c>
      <c r="J31" s="32">
        <f>IF(OR($B31="",J$1=""),0,SUMIFS(Mapa_MinOcup,Mapa_Sala,$B31,Mapa_Turno,$C31,Mapa_Esp,J$1))</f>
        <v/>
      </c>
      <c r="K31" s="32">
        <f>IF(OR($B31="",K$1=""),0,SUMIFS(Mapa_MinOcup,Mapa_Sala,$B31,Mapa_Turno,$C31,Mapa_Esp,K$1))</f>
        <v/>
      </c>
      <c r="L31" s="32">
        <f>IF(OR($B31="",L$1=""),0,SUMIFS(Mapa_MinOcup,Mapa_Sala,$B31,Mapa_Turno,$C31,Mapa_Esp,L$1))</f>
        <v/>
      </c>
      <c r="M31" s="32">
        <f>IF(OR($B31="",M$1=""),0,SUMIFS(Mapa_MinOcup,Mapa_Sala,$B31,Mapa_Turno,$C31,Mapa_Esp,M$1))</f>
        <v/>
      </c>
      <c r="N31" s="32">
        <f>IF(OR($B31="",N$1=""),0,SUMIFS(Mapa_MinOcup,Mapa_Sala,$B31,Mapa_Turno,$C31,Mapa_Esp,N$1))</f>
        <v/>
      </c>
      <c r="O31" s="32">
        <f>IF(OR($B31="",O$1=""),0,SUMIFS(Mapa_MinOcup,Mapa_Sala,$B31,Mapa_Turno,$C31,Mapa_Esp,O$1))</f>
        <v/>
      </c>
      <c r="P31" s="32">
        <f>IF(OR($B31="",P$1=""),0,SUMIFS(Mapa_MinOcup,Mapa_Sala,$B31,Mapa_Turno,$C31,Mapa_Esp,P$1))</f>
        <v/>
      </c>
      <c r="Q31" s="32">
        <f>IF(OR($B31="",Q$1=""),0,SUMIFS(Mapa_MinOcup,Mapa_Sala,$B31,Mapa_Turno,$C31,Mapa_Esp,Q$1))</f>
        <v/>
      </c>
      <c r="R31" s="32">
        <f>IF(OR($B31="",R$1=""),0,SUMIFS(Mapa_MinOcup,Mapa_Sala,$B31,Mapa_Turno,$C31,Mapa_Esp,R$1))</f>
        <v/>
      </c>
      <c r="S31" s="32">
        <f>IF(OR($B31="",S$1=""),0,SUMIFS(Mapa_MinOcup,Mapa_Sala,$B31,Mapa_Turno,$C31,Mapa_Esp,S$1))</f>
        <v/>
      </c>
      <c r="T31" s="32">
        <f>IF(OR($B31="",T$1=""),0,SUMIFS(Mapa_MinOcup,Mapa_Sala,$B31,Mapa_Turno,$C31,Mapa_Esp,T$1))</f>
        <v/>
      </c>
      <c r="U31" s="32">
        <f>IF(OR($B31="",U$1=""),0,SUMIFS(Mapa_MinOcup,Mapa_Sala,$B31,Mapa_Turno,$C31,Mapa_Esp,U$1))</f>
        <v/>
      </c>
      <c r="V31" s="32">
        <f>IF(OR($B31="",V$1=""),0,SUMIFS(Mapa_MinOcup,Mapa_Sala,$B31,Mapa_Turno,$C31,Mapa_Esp,V$1))</f>
        <v/>
      </c>
      <c r="W31" s="32">
        <f>IF(OR($B31="",W$1=""),0,SUMIFS(Mapa_MinOcup,Mapa_Sala,$B31,Mapa_Turno,$C31,Mapa_Esp,W$1))</f>
        <v/>
      </c>
      <c r="X31" s="32">
        <f>IF($B31="",0,SUM(D31:W31))</f>
        <v/>
      </c>
      <c r="Y31" s="32">
        <f>IF($B31="",0,IFERROR(INDEX(Turnos_Min,MATCH($C31,Turnos_Nome,0)),0))</f>
        <v/>
      </c>
      <c r="Z31" s="33">
        <f>IF(OR($B31="",Y31=0),"",X31/Y31)</f>
        <v/>
      </c>
    </row>
    <row r="32">
      <c r="A32" s="27">
        <f>IF($B32="","",$B32&amp;" | "&amp;$C32)</f>
        <v/>
      </c>
      <c r="B32" s="27">
        <f>IF('Salas'!$A$12="","",'Salas'!$A$12)</f>
        <v/>
      </c>
      <c r="C32" s="27">
        <f>IF($B32="","",'Parâmetros'!$A$32)</f>
        <v/>
      </c>
      <c r="D32" s="32">
        <f>IF(OR($B32="",D$1=""),0,SUMIFS(Mapa_MinOcup,Mapa_Sala,$B32,Mapa_Turno,$C32,Mapa_Esp,D$1))</f>
        <v/>
      </c>
      <c r="E32" s="32">
        <f>IF(OR($B32="",E$1=""),0,SUMIFS(Mapa_MinOcup,Mapa_Sala,$B32,Mapa_Turno,$C32,Mapa_Esp,E$1))</f>
        <v/>
      </c>
      <c r="F32" s="32">
        <f>IF(OR($B32="",F$1=""),0,SUMIFS(Mapa_MinOcup,Mapa_Sala,$B32,Mapa_Turno,$C32,Mapa_Esp,F$1))</f>
        <v/>
      </c>
      <c r="G32" s="32">
        <f>IF(OR($B32="",G$1=""),0,SUMIFS(Mapa_MinOcup,Mapa_Sala,$B32,Mapa_Turno,$C32,Mapa_Esp,G$1))</f>
        <v/>
      </c>
      <c r="H32" s="32">
        <f>IF(OR($B32="",H$1=""),0,SUMIFS(Mapa_MinOcup,Mapa_Sala,$B32,Mapa_Turno,$C32,Mapa_Esp,H$1))</f>
        <v/>
      </c>
      <c r="I32" s="32">
        <f>IF(OR($B32="",I$1=""),0,SUMIFS(Mapa_MinOcup,Mapa_Sala,$B32,Mapa_Turno,$C32,Mapa_Esp,I$1))</f>
        <v/>
      </c>
      <c r="J32" s="32">
        <f>IF(OR($B32="",J$1=""),0,SUMIFS(Mapa_MinOcup,Mapa_Sala,$B32,Mapa_Turno,$C32,Mapa_Esp,J$1))</f>
        <v/>
      </c>
      <c r="K32" s="32">
        <f>IF(OR($B32="",K$1=""),0,SUMIFS(Mapa_MinOcup,Mapa_Sala,$B32,Mapa_Turno,$C32,Mapa_Esp,K$1))</f>
        <v/>
      </c>
      <c r="L32" s="32">
        <f>IF(OR($B32="",L$1=""),0,SUMIFS(Mapa_MinOcup,Mapa_Sala,$B32,Mapa_Turno,$C32,Mapa_Esp,L$1))</f>
        <v/>
      </c>
      <c r="M32" s="32">
        <f>IF(OR($B32="",M$1=""),0,SUMIFS(Mapa_MinOcup,Mapa_Sala,$B32,Mapa_Turno,$C32,Mapa_Esp,M$1))</f>
        <v/>
      </c>
      <c r="N32" s="32">
        <f>IF(OR($B32="",N$1=""),0,SUMIFS(Mapa_MinOcup,Mapa_Sala,$B32,Mapa_Turno,$C32,Mapa_Esp,N$1))</f>
        <v/>
      </c>
      <c r="O32" s="32">
        <f>IF(OR($B32="",O$1=""),0,SUMIFS(Mapa_MinOcup,Mapa_Sala,$B32,Mapa_Turno,$C32,Mapa_Esp,O$1))</f>
        <v/>
      </c>
      <c r="P32" s="32">
        <f>IF(OR($B32="",P$1=""),0,SUMIFS(Mapa_MinOcup,Mapa_Sala,$B32,Mapa_Turno,$C32,Mapa_Esp,P$1))</f>
        <v/>
      </c>
      <c r="Q32" s="32">
        <f>IF(OR($B32="",Q$1=""),0,SUMIFS(Mapa_MinOcup,Mapa_Sala,$B32,Mapa_Turno,$C32,Mapa_Esp,Q$1))</f>
        <v/>
      </c>
      <c r="R32" s="32">
        <f>IF(OR($B32="",R$1=""),0,SUMIFS(Mapa_MinOcup,Mapa_Sala,$B32,Mapa_Turno,$C32,Mapa_Esp,R$1))</f>
        <v/>
      </c>
      <c r="S32" s="32">
        <f>IF(OR($B32="",S$1=""),0,SUMIFS(Mapa_MinOcup,Mapa_Sala,$B32,Mapa_Turno,$C32,Mapa_Esp,S$1))</f>
        <v/>
      </c>
      <c r="T32" s="32">
        <f>IF(OR($B32="",T$1=""),0,SUMIFS(Mapa_MinOcup,Mapa_Sala,$B32,Mapa_Turno,$C32,Mapa_Esp,T$1))</f>
        <v/>
      </c>
      <c r="U32" s="32">
        <f>IF(OR($B32="",U$1=""),0,SUMIFS(Mapa_MinOcup,Mapa_Sala,$B32,Mapa_Turno,$C32,Mapa_Esp,U$1))</f>
        <v/>
      </c>
      <c r="V32" s="32">
        <f>IF(OR($B32="",V$1=""),0,SUMIFS(Mapa_MinOcup,Mapa_Sala,$B32,Mapa_Turno,$C32,Mapa_Esp,V$1))</f>
        <v/>
      </c>
      <c r="W32" s="32">
        <f>IF(OR($B32="",W$1=""),0,SUMIFS(Mapa_MinOcup,Mapa_Sala,$B32,Mapa_Turno,$C32,Mapa_Esp,W$1))</f>
        <v/>
      </c>
      <c r="X32" s="32">
        <f>IF($B32="",0,SUM(D32:W32))</f>
        <v/>
      </c>
      <c r="Y32" s="32">
        <f>IF($B32="",0,IFERROR(INDEX(Turnos_Min,MATCH($C32,Turnos_Nome,0)),0))</f>
        <v/>
      </c>
      <c r="Z32" s="33">
        <f>IF(OR($B32="",Y32=0),"",X32/Y32)</f>
        <v/>
      </c>
    </row>
    <row r="33">
      <c r="A33" s="27">
        <f>IF($B33="","",$B33&amp;" | "&amp;$C33)</f>
        <v/>
      </c>
      <c r="B33" s="27">
        <f>IF('Salas'!$A$12="","",'Salas'!$A$12)</f>
        <v/>
      </c>
      <c r="C33" s="27">
        <f>IF($B33="","",'Parâmetros'!$A$33)</f>
        <v/>
      </c>
      <c r="D33" s="32">
        <f>IF(OR($B33="",D$1=""),0,SUMIFS(Mapa_MinOcup,Mapa_Sala,$B33,Mapa_Turno,$C33,Mapa_Esp,D$1))</f>
        <v/>
      </c>
      <c r="E33" s="32">
        <f>IF(OR($B33="",E$1=""),0,SUMIFS(Mapa_MinOcup,Mapa_Sala,$B33,Mapa_Turno,$C33,Mapa_Esp,E$1))</f>
        <v/>
      </c>
      <c r="F33" s="32">
        <f>IF(OR($B33="",F$1=""),0,SUMIFS(Mapa_MinOcup,Mapa_Sala,$B33,Mapa_Turno,$C33,Mapa_Esp,F$1))</f>
        <v/>
      </c>
      <c r="G33" s="32">
        <f>IF(OR($B33="",G$1=""),0,SUMIFS(Mapa_MinOcup,Mapa_Sala,$B33,Mapa_Turno,$C33,Mapa_Esp,G$1))</f>
        <v/>
      </c>
      <c r="H33" s="32">
        <f>IF(OR($B33="",H$1=""),0,SUMIFS(Mapa_MinOcup,Mapa_Sala,$B33,Mapa_Turno,$C33,Mapa_Esp,H$1))</f>
        <v/>
      </c>
      <c r="I33" s="32">
        <f>IF(OR($B33="",I$1=""),0,SUMIFS(Mapa_MinOcup,Mapa_Sala,$B33,Mapa_Turno,$C33,Mapa_Esp,I$1))</f>
        <v/>
      </c>
      <c r="J33" s="32">
        <f>IF(OR($B33="",J$1=""),0,SUMIFS(Mapa_MinOcup,Mapa_Sala,$B33,Mapa_Turno,$C33,Mapa_Esp,J$1))</f>
        <v/>
      </c>
      <c r="K33" s="32">
        <f>IF(OR($B33="",K$1=""),0,SUMIFS(Mapa_MinOcup,Mapa_Sala,$B33,Mapa_Turno,$C33,Mapa_Esp,K$1))</f>
        <v/>
      </c>
      <c r="L33" s="32">
        <f>IF(OR($B33="",L$1=""),0,SUMIFS(Mapa_MinOcup,Mapa_Sala,$B33,Mapa_Turno,$C33,Mapa_Esp,L$1))</f>
        <v/>
      </c>
      <c r="M33" s="32">
        <f>IF(OR($B33="",M$1=""),0,SUMIFS(Mapa_MinOcup,Mapa_Sala,$B33,Mapa_Turno,$C33,Mapa_Esp,M$1))</f>
        <v/>
      </c>
      <c r="N33" s="32">
        <f>IF(OR($B33="",N$1=""),0,SUMIFS(Mapa_MinOcup,Mapa_Sala,$B33,Mapa_Turno,$C33,Mapa_Esp,N$1))</f>
        <v/>
      </c>
      <c r="O33" s="32">
        <f>IF(OR($B33="",O$1=""),0,SUMIFS(Mapa_MinOcup,Mapa_Sala,$B33,Mapa_Turno,$C33,Mapa_Esp,O$1))</f>
        <v/>
      </c>
      <c r="P33" s="32">
        <f>IF(OR($B33="",P$1=""),0,SUMIFS(Mapa_MinOcup,Mapa_Sala,$B33,Mapa_Turno,$C33,Mapa_Esp,P$1))</f>
        <v/>
      </c>
      <c r="Q33" s="32">
        <f>IF(OR($B33="",Q$1=""),0,SUMIFS(Mapa_MinOcup,Mapa_Sala,$B33,Mapa_Turno,$C33,Mapa_Esp,Q$1))</f>
        <v/>
      </c>
      <c r="R33" s="32">
        <f>IF(OR($B33="",R$1=""),0,SUMIFS(Mapa_MinOcup,Mapa_Sala,$B33,Mapa_Turno,$C33,Mapa_Esp,R$1))</f>
        <v/>
      </c>
      <c r="S33" s="32">
        <f>IF(OR($B33="",S$1=""),0,SUMIFS(Mapa_MinOcup,Mapa_Sala,$B33,Mapa_Turno,$C33,Mapa_Esp,S$1))</f>
        <v/>
      </c>
      <c r="T33" s="32">
        <f>IF(OR($B33="",T$1=""),0,SUMIFS(Mapa_MinOcup,Mapa_Sala,$B33,Mapa_Turno,$C33,Mapa_Esp,T$1))</f>
        <v/>
      </c>
      <c r="U33" s="32">
        <f>IF(OR($B33="",U$1=""),0,SUMIFS(Mapa_MinOcup,Mapa_Sala,$B33,Mapa_Turno,$C33,Mapa_Esp,U$1))</f>
        <v/>
      </c>
      <c r="V33" s="32">
        <f>IF(OR($B33="",V$1=""),0,SUMIFS(Mapa_MinOcup,Mapa_Sala,$B33,Mapa_Turno,$C33,Mapa_Esp,V$1))</f>
        <v/>
      </c>
      <c r="W33" s="32">
        <f>IF(OR($B33="",W$1=""),0,SUMIFS(Mapa_MinOcup,Mapa_Sala,$B33,Mapa_Turno,$C33,Mapa_Esp,W$1))</f>
        <v/>
      </c>
      <c r="X33" s="32">
        <f>IF($B33="",0,SUM(D33:W33))</f>
        <v/>
      </c>
      <c r="Y33" s="32">
        <f>IF($B33="",0,IFERROR(INDEX(Turnos_Min,MATCH($C33,Turnos_Nome,0)),0))</f>
        <v/>
      </c>
      <c r="Z33" s="33">
        <f>IF(OR($B33="",Y33=0),"",X33/Y33)</f>
        <v/>
      </c>
    </row>
    <row r="34">
      <c r="A34" s="27">
        <f>IF($B34="","",$B34&amp;" | "&amp;$C34)</f>
        <v/>
      </c>
      <c r="B34" s="27">
        <f>IF('Salas'!$A$12="","",'Salas'!$A$12)</f>
        <v/>
      </c>
      <c r="C34" s="27">
        <f>IF($B34="","",'Parâmetros'!$A$34)</f>
        <v/>
      </c>
      <c r="D34" s="32">
        <f>IF(OR($B34="",D$1=""),0,SUMIFS(Mapa_MinOcup,Mapa_Sala,$B34,Mapa_Turno,$C34,Mapa_Esp,D$1))</f>
        <v/>
      </c>
      <c r="E34" s="32">
        <f>IF(OR($B34="",E$1=""),0,SUMIFS(Mapa_MinOcup,Mapa_Sala,$B34,Mapa_Turno,$C34,Mapa_Esp,E$1))</f>
        <v/>
      </c>
      <c r="F34" s="32">
        <f>IF(OR($B34="",F$1=""),0,SUMIFS(Mapa_MinOcup,Mapa_Sala,$B34,Mapa_Turno,$C34,Mapa_Esp,F$1))</f>
        <v/>
      </c>
      <c r="G34" s="32">
        <f>IF(OR($B34="",G$1=""),0,SUMIFS(Mapa_MinOcup,Mapa_Sala,$B34,Mapa_Turno,$C34,Mapa_Esp,G$1))</f>
        <v/>
      </c>
      <c r="H34" s="32">
        <f>IF(OR($B34="",H$1=""),0,SUMIFS(Mapa_MinOcup,Mapa_Sala,$B34,Mapa_Turno,$C34,Mapa_Esp,H$1))</f>
        <v/>
      </c>
      <c r="I34" s="32">
        <f>IF(OR($B34="",I$1=""),0,SUMIFS(Mapa_MinOcup,Mapa_Sala,$B34,Mapa_Turno,$C34,Mapa_Esp,I$1))</f>
        <v/>
      </c>
      <c r="J34" s="32">
        <f>IF(OR($B34="",J$1=""),0,SUMIFS(Mapa_MinOcup,Mapa_Sala,$B34,Mapa_Turno,$C34,Mapa_Esp,J$1))</f>
        <v/>
      </c>
      <c r="K34" s="32">
        <f>IF(OR($B34="",K$1=""),0,SUMIFS(Mapa_MinOcup,Mapa_Sala,$B34,Mapa_Turno,$C34,Mapa_Esp,K$1))</f>
        <v/>
      </c>
      <c r="L34" s="32">
        <f>IF(OR($B34="",L$1=""),0,SUMIFS(Mapa_MinOcup,Mapa_Sala,$B34,Mapa_Turno,$C34,Mapa_Esp,L$1))</f>
        <v/>
      </c>
      <c r="M34" s="32">
        <f>IF(OR($B34="",M$1=""),0,SUMIFS(Mapa_MinOcup,Mapa_Sala,$B34,Mapa_Turno,$C34,Mapa_Esp,M$1))</f>
        <v/>
      </c>
      <c r="N34" s="32">
        <f>IF(OR($B34="",N$1=""),0,SUMIFS(Mapa_MinOcup,Mapa_Sala,$B34,Mapa_Turno,$C34,Mapa_Esp,N$1))</f>
        <v/>
      </c>
      <c r="O34" s="32">
        <f>IF(OR($B34="",O$1=""),0,SUMIFS(Mapa_MinOcup,Mapa_Sala,$B34,Mapa_Turno,$C34,Mapa_Esp,O$1))</f>
        <v/>
      </c>
      <c r="P34" s="32">
        <f>IF(OR($B34="",P$1=""),0,SUMIFS(Mapa_MinOcup,Mapa_Sala,$B34,Mapa_Turno,$C34,Mapa_Esp,P$1))</f>
        <v/>
      </c>
      <c r="Q34" s="32">
        <f>IF(OR($B34="",Q$1=""),0,SUMIFS(Mapa_MinOcup,Mapa_Sala,$B34,Mapa_Turno,$C34,Mapa_Esp,Q$1))</f>
        <v/>
      </c>
      <c r="R34" s="32">
        <f>IF(OR($B34="",R$1=""),0,SUMIFS(Mapa_MinOcup,Mapa_Sala,$B34,Mapa_Turno,$C34,Mapa_Esp,R$1))</f>
        <v/>
      </c>
      <c r="S34" s="32">
        <f>IF(OR($B34="",S$1=""),0,SUMIFS(Mapa_MinOcup,Mapa_Sala,$B34,Mapa_Turno,$C34,Mapa_Esp,S$1))</f>
        <v/>
      </c>
      <c r="T34" s="32">
        <f>IF(OR($B34="",T$1=""),0,SUMIFS(Mapa_MinOcup,Mapa_Sala,$B34,Mapa_Turno,$C34,Mapa_Esp,T$1))</f>
        <v/>
      </c>
      <c r="U34" s="32">
        <f>IF(OR($B34="",U$1=""),0,SUMIFS(Mapa_MinOcup,Mapa_Sala,$B34,Mapa_Turno,$C34,Mapa_Esp,U$1))</f>
        <v/>
      </c>
      <c r="V34" s="32">
        <f>IF(OR($B34="",V$1=""),0,SUMIFS(Mapa_MinOcup,Mapa_Sala,$B34,Mapa_Turno,$C34,Mapa_Esp,V$1))</f>
        <v/>
      </c>
      <c r="W34" s="32">
        <f>IF(OR($B34="",W$1=""),0,SUMIFS(Mapa_MinOcup,Mapa_Sala,$B34,Mapa_Turno,$C34,Mapa_Esp,W$1))</f>
        <v/>
      </c>
      <c r="X34" s="32">
        <f>IF($B34="",0,SUM(D34:W34))</f>
        <v/>
      </c>
      <c r="Y34" s="32">
        <f>IF($B34="",0,IFERROR(INDEX(Turnos_Min,MATCH($C34,Turnos_Nome,0)),0))</f>
        <v/>
      </c>
      <c r="Z34" s="33">
        <f>IF(OR($B34="",Y34=0),"",X34/Y34)</f>
        <v/>
      </c>
    </row>
    <row r="35">
      <c r="A35" s="27">
        <f>IF($B35="","",$B35&amp;" | "&amp;$C35)</f>
        <v/>
      </c>
      <c r="B35" s="27">
        <f>IF('Salas'!$A$13="","",'Salas'!$A$13)</f>
        <v/>
      </c>
      <c r="C35" s="27">
        <f>IF($B35="","",'Parâmetros'!$A$32)</f>
        <v/>
      </c>
      <c r="D35" s="32">
        <f>IF(OR($B35="",D$1=""),0,SUMIFS(Mapa_MinOcup,Mapa_Sala,$B35,Mapa_Turno,$C35,Mapa_Esp,D$1))</f>
        <v/>
      </c>
      <c r="E35" s="32">
        <f>IF(OR($B35="",E$1=""),0,SUMIFS(Mapa_MinOcup,Mapa_Sala,$B35,Mapa_Turno,$C35,Mapa_Esp,E$1))</f>
        <v/>
      </c>
      <c r="F35" s="32">
        <f>IF(OR($B35="",F$1=""),0,SUMIFS(Mapa_MinOcup,Mapa_Sala,$B35,Mapa_Turno,$C35,Mapa_Esp,F$1))</f>
        <v/>
      </c>
      <c r="G35" s="32">
        <f>IF(OR($B35="",G$1=""),0,SUMIFS(Mapa_MinOcup,Mapa_Sala,$B35,Mapa_Turno,$C35,Mapa_Esp,G$1))</f>
        <v/>
      </c>
      <c r="H35" s="32">
        <f>IF(OR($B35="",H$1=""),0,SUMIFS(Mapa_MinOcup,Mapa_Sala,$B35,Mapa_Turno,$C35,Mapa_Esp,H$1))</f>
        <v/>
      </c>
      <c r="I35" s="32">
        <f>IF(OR($B35="",I$1=""),0,SUMIFS(Mapa_MinOcup,Mapa_Sala,$B35,Mapa_Turno,$C35,Mapa_Esp,I$1))</f>
        <v/>
      </c>
      <c r="J35" s="32">
        <f>IF(OR($B35="",J$1=""),0,SUMIFS(Mapa_MinOcup,Mapa_Sala,$B35,Mapa_Turno,$C35,Mapa_Esp,J$1))</f>
        <v/>
      </c>
      <c r="K35" s="32">
        <f>IF(OR($B35="",K$1=""),0,SUMIFS(Mapa_MinOcup,Mapa_Sala,$B35,Mapa_Turno,$C35,Mapa_Esp,K$1))</f>
        <v/>
      </c>
      <c r="L35" s="32">
        <f>IF(OR($B35="",L$1=""),0,SUMIFS(Mapa_MinOcup,Mapa_Sala,$B35,Mapa_Turno,$C35,Mapa_Esp,L$1))</f>
        <v/>
      </c>
      <c r="M35" s="32">
        <f>IF(OR($B35="",M$1=""),0,SUMIFS(Mapa_MinOcup,Mapa_Sala,$B35,Mapa_Turno,$C35,Mapa_Esp,M$1))</f>
        <v/>
      </c>
      <c r="N35" s="32">
        <f>IF(OR($B35="",N$1=""),0,SUMIFS(Mapa_MinOcup,Mapa_Sala,$B35,Mapa_Turno,$C35,Mapa_Esp,N$1))</f>
        <v/>
      </c>
      <c r="O35" s="32">
        <f>IF(OR($B35="",O$1=""),0,SUMIFS(Mapa_MinOcup,Mapa_Sala,$B35,Mapa_Turno,$C35,Mapa_Esp,O$1))</f>
        <v/>
      </c>
      <c r="P35" s="32">
        <f>IF(OR($B35="",P$1=""),0,SUMIFS(Mapa_MinOcup,Mapa_Sala,$B35,Mapa_Turno,$C35,Mapa_Esp,P$1))</f>
        <v/>
      </c>
      <c r="Q35" s="32">
        <f>IF(OR($B35="",Q$1=""),0,SUMIFS(Mapa_MinOcup,Mapa_Sala,$B35,Mapa_Turno,$C35,Mapa_Esp,Q$1))</f>
        <v/>
      </c>
      <c r="R35" s="32">
        <f>IF(OR($B35="",R$1=""),0,SUMIFS(Mapa_MinOcup,Mapa_Sala,$B35,Mapa_Turno,$C35,Mapa_Esp,R$1))</f>
        <v/>
      </c>
      <c r="S35" s="32">
        <f>IF(OR($B35="",S$1=""),0,SUMIFS(Mapa_MinOcup,Mapa_Sala,$B35,Mapa_Turno,$C35,Mapa_Esp,S$1))</f>
        <v/>
      </c>
      <c r="T35" s="32">
        <f>IF(OR($B35="",T$1=""),0,SUMIFS(Mapa_MinOcup,Mapa_Sala,$B35,Mapa_Turno,$C35,Mapa_Esp,T$1))</f>
        <v/>
      </c>
      <c r="U35" s="32">
        <f>IF(OR($B35="",U$1=""),0,SUMIFS(Mapa_MinOcup,Mapa_Sala,$B35,Mapa_Turno,$C35,Mapa_Esp,U$1))</f>
        <v/>
      </c>
      <c r="V35" s="32">
        <f>IF(OR($B35="",V$1=""),0,SUMIFS(Mapa_MinOcup,Mapa_Sala,$B35,Mapa_Turno,$C35,Mapa_Esp,V$1))</f>
        <v/>
      </c>
      <c r="W35" s="32">
        <f>IF(OR($B35="",W$1=""),0,SUMIFS(Mapa_MinOcup,Mapa_Sala,$B35,Mapa_Turno,$C35,Mapa_Esp,W$1))</f>
        <v/>
      </c>
      <c r="X35" s="32">
        <f>IF($B35="",0,SUM(D35:W35))</f>
        <v/>
      </c>
      <c r="Y35" s="32">
        <f>IF($B35="",0,IFERROR(INDEX(Turnos_Min,MATCH($C35,Turnos_Nome,0)),0))</f>
        <v/>
      </c>
      <c r="Z35" s="33">
        <f>IF(OR($B35="",Y35=0),"",X35/Y35)</f>
        <v/>
      </c>
    </row>
    <row r="36">
      <c r="A36" s="27">
        <f>IF($B36="","",$B36&amp;" | "&amp;$C36)</f>
        <v/>
      </c>
      <c r="B36" s="27">
        <f>IF('Salas'!$A$13="","",'Salas'!$A$13)</f>
        <v/>
      </c>
      <c r="C36" s="27">
        <f>IF($B36="","",'Parâmetros'!$A$33)</f>
        <v/>
      </c>
      <c r="D36" s="32">
        <f>IF(OR($B36="",D$1=""),0,SUMIFS(Mapa_MinOcup,Mapa_Sala,$B36,Mapa_Turno,$C36,Mapa_Esp,D$1))</f>
        <v/>
      </c>
      <c r="E36" s="32">
        <f>IF(OR($B36="",E$1=""),0,SUMIFS(Mapa_MinOcup,Mapa_Sala,$B36,Mapa_Turno,$C36,Mapa_Esp,E$1))</f>
        <v/>
      </c>
      <c r="F36" s="32">
        <f>IF(OR($B36="",F$1=""),0,SUMIFS(Mapa_MinOcup,Mapa_Sala,$B36,Mapa_Turno,$C36,Mapa_Esp,F$1))</f>
        <v/>
      </c>
      <c r="G36" s="32">
        <f>IF(OR($B36="",G$1=""),0,SUMIFS(Mapa_MinOcup,Mapa_Sala,$B36,Mapa_Turno,$C36,Mapa_Esp,G$1))</f>
        <v/>
      </c>
      <c r="H36" s="32">
        <f>IF(OR($B36="",H$1=""),0,SUMIFS(Mapa_MinOcup,Mapa_Sala,$B36,Mapa_Turno,$C36,Mapa_Esp,H$1))</f>
        <v/>
      </c>
      <c r="I36" s="32">
        <f>IF(OR($B36="",I$1=""),0,SUMIFS(Mapa_MinOcup,Mapa_Sala,$B36,Mapa_Turno,$C36,Mapa_Esp,I$1))</f>
        <v/>
      </c>
      <c r="J36" s="32">
        <f>IF(OR($B36="",J$1=""),0,SUMIFS(Mapa_MinOcup,Mapa_Sala,$B36,Mapa_Turno,$C36,Mapa_Esp,J$1))</f>
        <v/>
      </c>
      <c r="K36" s="32">
        <f>IF(OR($B36="",K$1=""),0,SUMIFS(Mapa_MinOcup,Mapa_Sala,$B36,Mapa_Turno,$C36,Mapa_Esp,K$1))</f>
        <v/>
      </c>
      <c r="L36" s="32">
        <f>IF(OR($B36="",L$1=""),0,SUMIFS(Mapa_MinOcup,Mapa_Sala,$B36,Mapa_Turno,$C36,Mapa_Esp,L$1))</f>
        <v/>
      </c>
      <c r="M36" s="32">
        <f>IF(OR($B36="",M$1=""),0,SUMIFS(Mapa_MinOcup,Mapa_Sala,$B36,Mapa_Turno,$C36,Mapa_Esp,M$1))</f>
        <v/>
      </c>
      <c r="N36" s="32">
        <f>IF(OR($B36="",N$1=""),0,SUMIFS(Mapa_MinOcup,Mapa_Sala,$B36,Mapa_Turno,$C36,Mapa_Esp,N$1))</f>
        <v/>
      </c>
      <c r="O36" s="32">
        <f>IF(OR($B36="",O$1=""),0,SUMIFS(Mapa_MinOcup,Mapa_Sala,$B36,Mapa_Turno,$C36,Mapa_Esp,O$1))</f>
        <v/>
      </c>
      <c r="P36" s="32">
        <f>IF(OR($B36="",P$1=""),0,SUMIFS(Mapa_MinOcup,Mapa_Sala,$B36,Mapa_Turno,$C36,Mapa_Esp,P$1))</f>
        <v/>
      </c>
      <c r="Q36" s="32">
        <f>IF(OR($B36="",Q$1=""),0,SUMIFS(Mapa_MinOcup,Mapa_Sala,$B36,Mapa_Turno,$C36,Mapa_Esp,Q$1))</f>
        <v/>
      </c>
      <c r="R36" s="32">
        <f>IF(OR($B36="",R$1=""),0,SUMIFS(Mapa_MinOcup,Mapa_Sala,$B36,Mapa_Turno,$C36,Mapa_Esp,R$1))</f>
        <v/>
      </c>
      <c r="S36" s="32">
        <f>IF(OR($B36="",S$1=""),0,SUMIFS(Mapa_MinOcup,Mapa_Sala,$B36,Mapa_Turno,$C36,Mapa_Esp,S$1))</f>
        <v/>
      </c>
      <c r="T36" s="32">
        <f>IF(OR($B36="",T$1=""),0,SUMIFS(Mapa_MinOcup,Mapa_Sala,$B36,Mapa_Turno,$C36,Mapa_Esp,T$1))</f>
        <v/>
      </c>
      <c r="U36" s="32">
        <f>IF(OR($B36="",U$1=""),0,SUMIFS(Mapa_MinOcup,Mapa_Sala,$B36,Mapa_Turno,$C36,Mapa_Esp,U$1))</f>
        <v/>
      </c>
      <c r="V36" s="32">
        <f>IF(OR($B36="",V$1=""),0,SUMIFS(Mapa_MinOcup,Mapa_Sala,$B36,Mapa_Turno,$C36,Mapa_Esp,V$1))</f>
        <v/>
      </c>
      <c r="W36" s="32">
        <f>IF(OR($B36="",W$1=""),0,SUMIFS(Mapa_MinOcup,Mapa_Sala,$B36,Mapa_Turno,$C36,Mapa_Esp,W$1))</f>
        <v/>
      </c>
      <c r="X36" s="32">
        <f>IF($B36="",0,SUM(D36:W36))</f>
        <v/>
      </c>
      <c r="Y36" s="32">
        <f>IF($B36="",0,IFERROR(INDEX(Turnos_Min,MATCH($C36,Turnos_Nome,0)),0))</f>
        <v/>
      </c>
      <c r="Z36" s="33">
        <f>IF(OR($B36="",Y36=0),"",X36/Y36)</f>
        <v/>
      </c>
    </row>
    <row r="37">
      <c r="A37" s="27">
        <f>IF($B37="","",$B37&amp;" | "&amp;$C37)</f>
        <v/>
      </c>
      <c r="B37" s="27">
        <f>IF('Salas'!$A$13="","",'Salas'!$A$13)</f>
        <v/>
      </c>
      <c r="C37" s="27">
        <f>IF($B37="","",'Parâmetros'!$A$34)</f>
        <v/>
      </c>
      <c r="D37" s="32">
        <f>IF(OR($B37="",D$1=""),0,SUMIFS(Mapa_MinOcup,Mapa_Sala,$B37,Mapa_Turno,$C37,Mapa_Esp,D$1))</f>
        <v/>
      </c>
      <c r="E37" s="32">
        <f>IF(OR($B37="",E$1=""),0,SUMIFS(Mapa_MinOcup,Mapa_Sala,$B37,Mapa_Turno,$C37,Mapa_Esp,E$1))</f>
        <v/>
      </c>
      <c r="F37" s="32">
        <f>IF(OR($B37="",F$1=""),0,SUMIFS(Mapa_MinOcup,Mapa_Sala,$B37,Mapa_Turno,$C37,Mapa_Esp,F$1))</f>
        <v/>
      </c>
      <c r="G37" s="32">
        <f>IF(OR($B37="",G$1=""),0,SUMIFS(Mapa_MinOcup,Mapa_Sala,$B37,Mapa_Turno,$C37,Mapa_Esp,G$1))</f>
        <v/>
      </c>
      <c r="H37" s="32">
        <f>IF(OR($B37="",H$1=""),0,SUMIFS(Mapa_MinOcup,Mapa_Sala,$B37,Mapa_Turno,$C37,Mapa_Esp,H$1))</f>
        <v/>
      </c>
      <c r="I37" s="32">
        <f>IF(OR($B37="",I$1=""),0,SUMIFS(Mapa_MinOcup,Mapa_Sala,$B37,Mapa_Turno,$C37,Mapa_Esp,I$1))</f>
        <v/>
      </c>
      <c r="J37" s="32">
        <f>IF(OR($B37="",J$1=""),0,SUMIFS(Mapa_MinOcup,Mapa_Sala,$B37,Mapa_Turno,$C37,Mapa_Esp,J$1))</f>
        <v/>
      </c>
      <c r="K37" s="32">
        <f>IF(OR($B37="",K$1=""),0,SUMIFS(Mapa_MinOcup,Mapa_Sala,$B37,Mapa_Turno,$C37,Mapa_Esp,K$1))</f>
        <v/>
      </c>
      <c r="L37" s="32">
        <f>IF(OR($B37="",L$1=""),0,SUMIFS(Mapa_MinOcup,Mapa_Sala,$B37,Mapa_Turno,$C37,Mapa_Esp,L$1))</f>
        <v/>
      </c>
      <c r="M37" s="32">
        <f>IF(OR($B37="",M$1=""),0,SUMIFS(Mapa_MinOcup,Mapa_Sala,$B37,Mapa_Turno,$C37,Mapa_Esp,M$1))</f>
        <v/>
      </c>
      <c r="N37" s="32">
        <f>IF(OR($B37="",N$1=""),0,SUMIFS(Mapa_MinOcup,Mapa_Sala,$B37,Mapa_Turno,$C37,Mapa_Esp,N$1))</f>
        <v/>
      </c>
      <c r="O37" s="32">
        <f>IF(OR($B37="",O$1=""),0,SUMIFS(Mapa_MinOcup,Mapa_Sala,$B37,Mapa_Turno,$C37,Mapa_Esp,O$1))</f>
        <v/>
      </c>
      <c r="P37" s="32">
        <f>IF(OR($B37="",P$1=""),0,SUMIFS(Mapa_MinOcup,Mapa_Sala,$B37,Mapa_Turno,$C37,Mapa_Esp,P$1))</f>
        <v/>
      </c>
      <c r="Q37" s="32">
        <f>IF(OR($B37="",Q$1=""),0,SUMIFS(Mapa_MinOcup,Mapa_Sala,$B37,Mapa_Turno,$C37,Mapa_Esp,Q$1))</f>
        <v/>
      </c>
      <c r="R37" s="32">
        <f>IF(OR($B37="",R$1=""),0,SUMIFS(Mapa_MinOcup,Mapa_Sala,$B37,Mapa_Turno,$C37,Mapa_Esp,R$1))</f>
        <v/>
      </c>
      <c r="S37" s="32">
        <f>IF(OR($B37="",S$1=""),0,SUMIFS(Mapa_MinOcup,Mapa_Sala,$B37,Mapa_Turno,$C37,Mapa_Esp,S$1))</f>
        <v/>
      </c>
      <c r="T37" s="32">
        <f>IF(OR($B37="",T$1=""),0,SUMIFS(Mapa_MinOcup,Mapa_Sala,$B37,Mapa_Turno,$C37,Mapa_Esp,T$1))</f>
        <v/>
      </c>
      <c r="U37" s="32">
        <f>IF(OR($B37="",U$1=""),0,SUMIFS(Mapa_MinOcup,Mapa_Sala,$B37,Mapa_Turno,$C37,Mapa_Esp,U$1))</f>
        <v/>
      </c>
      <c r="V37" s="32">
        <f>IF(OR($B37="",V$1=""),0,SUMIFS(Mapa_MinOcup,Mapa_Sala,$B37,Mapa_Turno,$C37,Mapa_Esp,V$1))</f>
        <v/>
      </c>
      <c r="W37" s="32">
        <f>IF(OR($B37="",W$1=""),0,SUMIFS(Mapa_MinOcup,Mapa_Sala,$B37,Mapa_Turno,$C37,Mapa_Esp,W$1))</f>
        <v/>
      </c>
      <c r="X37" s="32">
        <f>IF($B37="",0,SUM(D37:W37))</f>
        <v/>
      </c>
      <c r="Y37" s="32">
        <f>IF($B37="",0,IFERROR(INDEX(Turnos_Min,MATCH($C37,Turnos_Nome,0)),0))</f>
        <v/>
      </c>
      <c r="Z37" s="33">
        <f>IF(OR($B37="",Y37=0),"",X37/Y37)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15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11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</cols>
  <sheetData>
    <row r="1" ht="96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Status</t>
        </is>
      </c>
      <c r="D1" s="14" t="inlineStr">
        <is>
          <t>Turno preferencial</t>
        </is>
      </c>
      <c r="E1" s="26">
        <f>IF('Calc_Mix'!$A$2="","",'Calc_Mix'!$A$2)</f>
        <v/>
      </c>
      <c r="F1" s="26">
        <f>IF('Calc_Mix'!$A$3="","",'Calc_Mix'!$A$3)</f>
        <v/>
      </c>
      <c r="G1" s="26">
        <f>IF('Calc_Mix'!$A$4="","",'Calc_Mix'!$A$4)</f>
        <v/>
      </c>
      <c r="H1" s="26">
        <f>IF('Calc_Mix'!$A$5="","",'Calc_Mix'!$A$5)</f>
        <v/>
      </c>
      <c r="I1" s="26">
        <f>IF('Calc_Mix'!$A$6="","",'Calc_Mix'!$A$6)</f>
        <v/>
      </c>
      <c r="J1" s="26">
        <f>IF('Calc_Mix'!$A$7="","",'Calc_Mix'!$A$7)</f>
        <v/>
      </c>
      <c r="K1" s="26">
        <f>IF('Calc_Mix'!$A$8="","",'Calc_Mix'!$A$8)</f>
        <v/>
      </c>
      <c r="L1" s="26">
        <f>IF('Calc_Mix'!$A$9="","",'Calc_Mix'!$A$9)</f>
        <v/>
      </c>
      <c r="M1" s="26">
        <f>IF('Calc_Mix'!$A$10="","",'Calc_Mix'!$A$10)</f>
        <v/>
      </c>
      <c r="N1" s="26">
        <f>IF('Calc_Mix'!$A$11="","",'Calc_Mix'!$A$11)</f>
        <v/>
      </c>
      <c r="O1" s="26">
        <f>IF('Calc_Mix'!$A$12="","",'Calc_Mix'!$A$12)</f>
        <v/>
      </c>
      <c r="P1" s="26">
        <f>IF('Calc_Mix'!$A$13="","",'Calc_Mix'!$A$13)</f>
        <v/>
      </c>
      <c r="Q1" s="26">
        <f>IF('Calc_Mix'!$A$14="","",'Calc_Mix'!$A$14)</f>
        <v/>
      </c>
      <c r="R1" s="26">
        <f>IF('Calc_Mix'!$A$15="","",'Calc_Mix'!$A$15)</f>
        <v/>
      </c>
      <c r="S1" s="26">
        <f>IF('Calc_Mix'!$A$16="","",'Calc_Mix'!$A$16)</f>
        <v/>
      </c>
      <c r="T1" s="26">
        <f>IF('Calc_Mix'!$A$17="","",'Calc_Mix'!$A$17)</f>
        <v/>
      </c>
      <c r="U1" s="26">
        <f>IF('Calc_Mix'!$A$18="","",'Calc_Mix'!$A$18)</f>
        <v/>
      </c>
      <c r="V1" s="26">
        <f>IF('Calc_Mix'!$A$19="","",'Calc_Mix'!$A$19)</f>
        <v/>
      </c>
      <c r="W1" s="26">
        <f>IF('Calc_Mix'!$A$20="","",'Calc_Mix'!$A$20)</f>
        <v/>
      </c>
      <c r="X1" s="26">
        <f>IF('Calc_Mix'!$A$21="","",'Calc_Mix'!$A$21)</f>
        <v/>
      </c>
      <c r="Y1" s="26">
        <f>IF('Calc_Mix'!$A$22="","",'Calc_Mix'!$A$22)</f>
        <v/>
      </c>
      <c r="Z1" s="26">
        <f>IF('Calc_Mix'!$A$23="","",'Calc_Mix'!$A$23)</f>
        <v/>
      </c>
      <c r="AA1" s="26">
        <f>IF('Calc_Mix'!$A$24="","",'Calc_Mix'!$A$24)</f>
        <v/>
      </c>
      <c r="AB1" s="26">
        <f>IF('Calc_Mix'!$A$25="","",'Calc_Mix'!$A$25)</f>
        <v/>
      </c>
      <c r="AC1" s="26">
        <f>IF('Calc_Mix'!$A$26="","",'Calc_Mix'!$A$26)</f>
        <v/>
      </c>
      <c r="AD1" s="26">
        <f>IF('Calc_Mix'!$A$27="","",'Calc_Mix'!$A$27)</f>
        <v/>
      </c>
      <c r="AE1" s="26">
        <f>IF('Calc_Mix'!$A$28="","",'Calc_Mix'!$A$28)</f>
        <v/>
      </c>
      <c r="AF1" s="26">
        <f>IF('Calc_Mix'!$A$29="","",'Calc_Mix'!$A$29)</f>
        <v/>
      </c>
      <c r="AG1" s="26">
        <f>IF('Calc_Mix'!$A$30="","",'Calc_Mix'!$A$30)</f>
        <v/>
      </c>
      <c r="AH1" s="26">
        <f>IF('Calc_Mix'!$A$31="","",'Calc_Mix'!$A$31)</f>
        <v/>
      </c>
      <c r="AI1" s="26">
        <f>IF('Calc_Mix'!$A$32="","",'Calc_Mix'!$A$32)</f>
        <v/>
      </c>
      <c r="AJ1" s="26">
        <f>IF('Calc_Mix'!$A$33="","",'Calc_Mix'!$A$33)</f>
        <v/>
      </c>
      <c r="AK1" s="26">
        <f>IF('Calc_Mix'!$A$34="","",'Calc_Mix'!$A$34)</f>
        <v/>
      </c>
      <c r="AL1" s="26">
        <f>IF('Calc_Mix'!$A$35="","",'Calc_Mix'!$A$35)</f>
        <v/>
      </c>
      <c r="AM1" s="26">
        <f>IF('Calc_Mix'!$A$36="","",'Calc_Mix'!$A$36)</f>
        <v/>
      </c>
      <c r="AN1" s="26">
        <f>IF('Calc_Mix'!$A$37="","",'Calc_Mix'!$A$37)</f>
        <v/>
      </c>
    </row>
    <row r="2">
      <c r="A2" s="27">
        <f>IF('Matriz_Habilidades'!A2="","",'Matriz_Habilidades'!A2)</f>
        <v/>
      </c>
      <c r="B2" s="28">
        <f>IF('Matriz_Habilidades'!B2="","",'Matriz_Habilidades'!B2)</f>
        <v/>
      </c>
      <c r="C2" s="27">
        <f>IF($A2="","",IFERROR(INDEX(Equipe_Status,MATCH($B2,Equipe_Nome,0)),"?"))</f>
        <v/>
      </c>
      <c r="D2" s="27">
        <f>IF($A2="","",IFERROR(INDEX(Equipe_Turno,MATCH($B2,Equipe_Nome,0)),"?"))</f>
        <v/>
      </c>
      <c r="E2" s="34">
        <f>IF(OR($B2="",$C2&lt;&gt;"Ativo",$D2&lt;&gt;'Calc_Mix'!$C$2,'Calc_Mix'!$X$2=0,COUNTIFS(Esc_Turno,'Calc_Mix'!$C$2,Esc_Circ,$B2)+COUNTIFS(Esc_Turno,'Calc_Mix'!$C$2,Esc_Instr,$B2)&gt;0),"",IF(SUMPRODUCT('Calc_Mix'!$D$2:$W$2,'Matriz_Habilidades'!$D2:$W2)=0,"",SUMPRODUCT('Calc_Mix'!$D$2:$W$2,'Matriz_Habilidades'!$D2:$W2)/'Calc_Mix'!$X$2+ROW()*0.000001))</f>
        <v/>
      </c>
      <c r="F2" s="34">
        <f>IF(OR($B2="",$C2&lt;&gt;"Ativo",$D2&lt;&gt;'Calc_Mix'!$C$3,'Calc_Mix'!$X$3=0,COUNTIFS(Esc_Turno,'Calc_Mix'!$C$3,Esc_Circ,$B2)+COUNTIFS(Esc_Turno,'Calc_Mix'!$C$3,Esc_Instr,$B2)&gt;0),"",IF(SUMPRODUCT('Calc_Mix'!$D$3:$W$3,'Matriz_Habilidades'!$D2:$W2)=0,"",SUMPRODUCT('Calc_Mix'!$D$3:$W$3,'Matriz_Habilidades'!$D2:$W2)/'Calc_Mix'!$X$3+ROW()*0.000001))</f>
        <v/>
      </c>
      <c r="G2" s="34">
        <f>IF(OR($B2="",$C2&lt;&gt;"Ativo",$D2&lt;&gt;'Calc_Mix'!$C$4,'Calc_Mix'!$X$4=0,COUNTIFS(Esc_Turno,'Calc_Mix'!$C$4,Esc_Circ,$B2)+COUNTIFS(Esc_Turno,'Calc_Mix'!$C$4,Esc_Instr,$B2)&gt;0),"",IF(SUMPRODUCT('Calc_Mix'!$D$4:$W$4,'Matriz_Habilidades'!$D2:$W2)=0,"",SUMPRODUCT('Calc_Mix'!$D$4:$W$4,'Matriz_Habilidades'!$D2:$W2)/'Calc_Mix'!$X$4+ROW()*0.000001))</f>
        <v/>
      </c>
      <c r="H2" s="34">
        <f>IF(OR($B2="",$C2&lt;&gt;"Ativo",$D2&lt;&gt;'Calc_Mix'!$C$5,'Calc_Mix'!$X$5=0,COUNTIFS(Esc_Turno,'Calc_Mix'!$C$5,Esc_Circ,$B2)+COUNTIFS(Esc_Turno,'Calc_Mix'!$C$5,Esc_Instr,$B2)&gt;0),"",IF(SUMPRODUCT('Calc_Mix'!$D$5:$W$5,'Matriz_Habilidades'!$D2:$W2)=0,"",SUMPRODUCT('Calc_Mix'!$D$5:$W$5,'Matriz_Habilidades'!$D2:$W2)/'Calc_Mix'!$X$5+ROW()*0.000001))</f>
        <v/>
      </c>
      <c r="I2" s="34">
        <f>IF(OR($B2="",$C2&lt;&gt;"Ativo",$D2&lt;&gt;'Calc_Mix'!$C$6,'Calc_Mix'!$X$6=0,COUNTIFS(Esc_Turno,'Calc_Mix'!$C$6,Esc_Circ,$B2)+COUNTIFS(Esc_Turno,'Calc_Mix'!$C$6,Esc_Instr,$B2)&gt;0),"",IF(SUMPRODUCT('Calc_Mix'!$D$6:$W$6,'Matriz_Habilidades'!$D2:$W2)=0,"",SUMPRODUCT('Calc_Mix'!$D$6:$W$6,'Matriz_Habilidades'!$D2:$W2)/'Calc_Mix'!$X$6+ROW()*0.000001))</f>
        <v/>
      </c>
      <c r="J2" s="34">
        <f>IF(OR($B2="",$C2&lt;&gt;"Ativo",$D2&lt;&gt;'Calc_Mix'!$C$7,'Calc_Mix'!$X$7=0,COUNTIFS(Esc_Turno,'Calc_Mix'!$C$7,Esc_Circ,$B2)+COUNTIFS(Esc_Turno,'Calc_Mix'!$C$7,Esc_Instr,$B2)&gt;0),"",IF(SUMPRODUCT('Calc_Mix'!$D$7:$W$7,'Matriz_Habilidades'!$D2:$W2)=0,"",SUMPRODUCT('Calc_Mix'!$D$7:$W$7,'Matriz_Habilidades'!$D2:$W2)/'Calc_Mix'!$X$7+ROW()*0.000001))</f>
        <v/>
      </c>
      <c r="K2" s="34">
        <f>IF(OR($B2="",$C2&lt;&gt;"Ativo",$D2&lt;&gt;'Calc_Mix'!$C$8,'Calc_Mix'!$X$8=0,COUNTIFS(Esc_Turno,'Calc_Mix'!$C$8,Esc_Circ,$B2)+COUNTIFS(Esc_Turno,'Calc_Mix'!$C$8,Esc_Instr,$B2)&gt;0),"",IF(SUMPRODUCT('Calc_Mix'!$D$8:$W$8,'Matriz_Habilidades'!$D2:$W2)=0,"",SUMPRODUCT('Calc_Mix'!$D$8:$W$8,'Matriz_Habilidades'!$D2:$W2)/'Calc_Mix'!$X$8+ROW()*0.000001))</f>
        <v/>
      </c>
      <c r="L2" s="34">
        <f>IF(OR($B2="",$C2&lt;&gt;"Ativo",$D2&lt;&gt;'Calc_Mix'!$C$9,'Calc_Mix'!$X$9=0,COUNTIFS(Esc_Turno,'Calc_Mix'!$C$9,Esc_Circ,$B2)+COUNTIFS(Esc_Turno,'Calc_Mix'!$C$9,Esc_Instr,$B2)&gt;0),"",IF(SUMPRODUCT('Calc_Mix'!$D$9:$W$9,'Matriz_Habilidades'!$D2:$W2)=0,"",SUMPRODUCT('Calc_Mix'!$D$9:$W$9,'Matriz_Habilidades'!$D2:$W2)/'Calc_Mix'!$X$9+ROW()*0.000001))</f>
        <v/>
      </c>
      <c r="M2" s="34">
        <f>IF(OR($B2="",$C2&lt;&gt;"Ativo",$D2&lt;&gt;'Calc_Mix'!$C$10,'Calc_Mix'!$X$10=0,COUNTIFS(Esc_Turno,'Calc_Mix'!$C$10,Esc_Circ,$B2)+COUNTIFS(Esc_Turno,'Calc_Mix'!$C$10,Esc_Instr,$B2)&gt;0),"",IF(SUMPRODUCT('Calc_Mix'!$D$10:$W$10,'Matriz_Habilidades'!$D2:$W2)=0,"",SUMPRODUCT('Calc_Mix'!$D$10:$W$10,'Matriz_Habilidades'!$D2:$W2)/'Calc_Mix'!$X$10+ROW()*0.000001))</f>
        <v/>
      </c>
      <c r="N2" s="34">
        <f>IF(OR($B2="",$C2&lt;&gt;"Ativo",$D2&lt;&gt;'Calc_Mix'!$C$11,'Calc_Mix'!$X$11=0,COUNTIFS(Esc_Turno,'Calc_Mix'!$C$11,Esc_Circ,$B2)+COUNTIFS(Esc_Turno,'Calc_Mix'!$C$11,Esc_Instr,$B2)&gt;0),"",IF(SUMPRODUCT('Calc_Mix'!$D$11:$W$11,'Matriz_Habilidades'!$D2:$W2)=0,"",SUMPRODUCT('Calc_Mix'!$D$11:$W$11,'Matriz_Habilidades'!$D2:$W2)/'Calc_Mix'!$X$11+ROW()*0.000001))</f>
        <v/>
      </c>
      <c r="O2" s="34">
        <f>IF(OR($B2="",$C2&lt;&gt;"Ativo",$D2&lt;&gt;'Calc_Mix'!$C$12,'Calc_Mix'!$X$12=0,COUNTIFS(Esc_Turno,'Calc_Mix'!$C$12,Esc_Circ,$B2)+COUNTIFS(Esc_Turno,'Calc_Mix'!$C$12,Esc_Instr,$B2)&gt;0),"",IF(SUMPRODUCT('Calc_Mix'!$D$12:$W$12,'Matriz_Habilidades'!$D2:$W2)=0,"",SUMPRODUCT('Calc_Mix'!$D$12:$W$12,'Matriz_Habilidades'!$D2:$W2)/'Calc_Mix'!$X$12+ROW()*0.000001))</f>
        <v/>
      </c>
      <c r="P2" s="34">
        <f>IF(OR($B2="",$C2&lt;&gt;"Ativo",$D2&lt;&gt;'Calc_Mix'!$C$13,'Calc_Mix'!$X$13=0,COUNTIFS(Esc_Turno,'Calc_Mix'!$C$13,Esc_Circ,$B2)+COUNTIFS(Esc_Turno,'Calc_Mix'!$C$13,Esc_Instr,$B2)&gt;0),"",IF(SUMPRODUCT('Calc_Mix'!$D$13:$W$13,'Matriz_Habilidades'!$D2:$W2)=0,"",SUMPRODUCT('Calc_Mix'!$D$13:$W$13,'Matriz_Habilidades'!$D2:$W2)/'Calc_Mix'!$X$13+ROW()*0.000001))</f>
        <v/>
      </c>
      <c r="Q2" s="34">
        <f>IF(OR($B2="",$C2&lt;&gt;"Ativo",$D2&lt;&gt;'Calc_Mix'!$C$14,'Calc_Mix'!$X$14=0,COUNTIFS(Esc_Turno,'Calc_Mix'!$C$14,Esc_Circ,$B2)+COUNTIFS(Esc_Turno,'Calc_Mix'!$C$14,Esc_Instr,$B2)&gt;0),"",IF(SUMPRODUCT('Calc_Mix'!$D$14:$W$14,'Matriz_Habilidades'!$D2:$W2)=0,"",SUMPRODUCT('Calc_Mix'!$D$14:$W$14,'Matriz_Habilidades'!$D2:$W2)/'Calc_Mix'!$X$14+ROW()*0.000001))</f>
        <v/>
      </c>
      <c r="R2" s="34">
        <f>IF(OR($B2="",$C2&lt;&gt;"Ativo",$D2&lt;&gt;'Calc_Mix'!$C$15,'Calc_Mix'!$X$15=0,COUNTIFS(Esc_Turno,'Calc_Mix'!$C$15,Esc_Circ,$B2)+COUNTIFS(Esc_Turno,'Calc_Mix'!$C$15,Esc_Instr,$B2)&gt;0),"",IF(SUMPRODUCT('Calc_Mix'!$D$15:$W$15,'Matriz_Habilidades'!$D2:$W2)=0,"",SUMPRODUCT('Calc_Mix'!$D$15:$W$15,'Matriz_Habilidades'!$D2:$W2)/'Calc_Mix'!$X$15+ROW()*0.000001))</f>
        <v/>
      </c>
      <c r="S2" s="34">
        <f>IF(OR($B2="",$C2&lt;&gt;"Ativo",$D2&lt;&gt;'Calc_Mix'!$C$16,'Calc_Mix'!$X$16=0,COUNTIFS(Esc_Turno,'Calc_Mix'!$C$16,Esc_Circ,$B2)+COUNTIFS(Esc_Turno,'Calc_Mix'!$C$16,Esc_Instr,$B2)&gt;0),"",IF(SUMPRODUCT('Calc_Mix'!$D$16:$W$16,'Matriz_Habilidades'!$D2:$W2)=0,"",SUMPRODUCT('Calc_Mix'!$D$16:$W$16,'Matriz_Habilidades'!$D2:$W2)/'Calc_Mix'!$X$16+ROW()*0.000001))</f>
        <v/>
      </c>
      <c r="T2" s="34">
        <f>IF(OR($B2="",$C2&lt;&gt;"Ativo",$D2&lt;&gt;'Calc_Mix'!$C$17,'Calc_Mix'!$X$17=0,COUNTIFS(Esc_Turno,'Calc_Mix'!$C$17,Esc_Circ,$B2)+COUNTIFS(Esc_Turno,'Calc_Mix'!$C$17,Esc_Instr,$B2)&gt;0),"",IF(SUMPRODUCT('Calc_Mix'!$D$17:$W$17,'Matriz_Habilidades'!$D2:$W2)=0,"",SUMPRODUCT('Calc_Mix'!$D$17:$W$17,'Matriz_Habilidades'!$D2:$W2)/'Calc_Mix'!$X$17+ROW()*0.000001))</f>
        <v/>
      </c>
      <c r="U2" s="34">
        <f>IF(OR($B2="",$C2&lt;&gt;"Ativo",$D2&lt;&gt;'Calc_Mix'!$C$18,'Calc_Mix'!$X$18=0,COUNTIFS(Esc_Turno,'Calc_Mix'!$C$18,Esc_Circ,$B2)+COUNTIFS(Esc_Turno,'Calc_Mix'!$C$18,Esc_Instr,$B2)&gt;0),"",IF(SUMPRODUCT('Calc_Mix'!$D$18:$W$18,'Matriz_Habilidades'!$D2:$W2)=0,"",SUMPRODUCT('Calc_Mix'!$D$18:$W$18,'Matriz_Habilidades'!$D2:$W2)/'Calc_Mix'!$X$18+ROW()*0.000001))</f>
        <v/>
      </c>
      <c r="V2" s="34">
        <f>IF(OR($B2="",$C2&lt;&gt;"Ativo",$D2&lt;&gt;'Calc_Mix'!$C$19,'Calc_Mix'!$X$19=0,COUNTIFS(Esc_Turno,'Calc_Mix'!$C$19,Esc_Circ,$B2)+COUNTIFS(Esc_Turno,'Calc_Mix'!$C$19,Esc_Instr,$B2)&gt;0),"",IF(SUMPRODUCT('Calc_Mix'!$D$19:$W$19,'Matriz_Habilidades'!$D2:$W2)=0,"",SUMPRODUCT('Calc_Mix'!$D$19:$W$19,'Matriz_Habilidades'!$D2:$W2)/'Calc_Mix'!$X$19+ROW()*0.000001))</f>
        <v/>
      </c>
      <c r="W2" s="34">
        <f>IF(OR($B2="",$C2&lt;&gt;"Ativo",$D2&lt;&gt;'Calc_Mix'!$C$20,'Calc_Mix'!$X$20=0,COUNTIFS(Esc_Turno,'Calc_Mix'!$C$20,Esc_Circ,$B2)+COUNTIFS(Esc_Turno,'Calc_Mix'!$C$20,Esc_Instr,$B2)&gt;0),"",IF(SUMPRODUCT('Calc_Mix'!$D$20:$W$20,'Matriz_Habilidades'!$D2:$W2)=0,"",SUMPRODUCT('Calc_Mix'!$D$20:$W$20,'Matriz_Habilidades'!$D2:$W2)/'Calc_Mix'!$X$20+ROW()*0.000001))</f>
        <v/>
      </c>
      <c r="X2" s="34">
        <f>IF(OR($B2="",$C2&lt;&gt;"Ativo",$D2&lt;&gt;'Calc_Mix'!$C$21,'Calc_Mix'!$X$21=0,COUNTIFS(Esc_Turno,'Calc_Mix'!$C$21,Esc_Circ,$B2)+COUNTIFS(Esc_Turno,'Calc_Mix'!$C$21,Esc_Instr,$B2)&gt;0),"",IF(SUMPRODUCT('Calc_Mix'!$D$21:$W$21,'Matriz_Habilidades'!$D2:$W2)=0,"",SUMPRODUCT('Calc_Mix'!$D$21:$W$21,'Matriz_Habilidades'!$D2:$W2)/'Calc_Mix'!$X$21+ROW()*0.000001))</f>
        <v/>
      </c>
      <c r="Y2" s="34">
        <f>IF(OR($B2="",$C2&lt;&gt;"Ativo",$D2&lt;&gt;'Calc_Mix'!$C$22,'Calc_Mix'!$X$22=0,COUNTIFS(Esc_Turno,'Calc_Mix'!$C$22,Esc_Circ,$B2)+COUNTIFS(Esc_Turno,'Calc_Mix'!$C$22,Esc_Instr,$B2)&gt;0),"",IF(SUMPRODUCT('Calc_Mix'!$D$22:$W$22,'Matriz_Habilidades'!$D2:$W2)=0,"",SUMPRODUCT('Calc_Mix'!$D$22:$W$22,'Matriz_Habilidades'!$D2:$W2)/'Calc_Mix'!$X$22+ROW()*0.000001))</f>
        <v/>
      </c>
      <c r="Z2" s="34">
        <f>IF(OR($B2="",$C2&lt;&gt;"Ativo",$D2&lt;&gt;'Calc_Mix'!$C$23,'Calc_Mix'!$X$23=0,COUNTIFS(Esc_Turno,'Calc_Mix'!$C$23,Esc_Circ,$B2)+COUNTIFS(Esc_Turno,'Calc_Mix'!$C$23,Esc_Instr,$B2)&gt;0),"",IF(SUMPRODUCT('Calc_Mix'!$D$23:$W$23,'Matriz_Habilidades'!$D2:$W2)=0,"",SUMPRODUCT('Calc_Mix'!$D$23:$W$23,'Matriz_Habilidades'!$D2:$W2)/'Calc_Mix'!$X$23+ROW()*0.000001))</f>
        <v/>
      </c>
      <c r="AA2" s="34">
        <f>IF(OR($B2="",$C2&lt;&gt;"Ativo",$D2&lt;&gt;'Calc_Mix'!$C$24,'Calc_Mix'!$X$24=0,COUNTIFS(Esc_Turno,'Calc_Mix'!$C$24,Esc_Circ,$B2)+COUNTIFS(Esc_Turno,'Calc_Mix'!$C$24,Esc_Instr,$B2)&gt;0),"",IF(SUMPRODUCT('Calc_Mix'!$D$24:$W$24,'Matriz_Habilidades'!$D2:$W2)=0,"",SUMPRODUCT('Calc_Mix'!$D$24:$W$24,'Matriz_Habilidades'!$D2:$W2)/'Calc_Mix'!$X$24+ROW()*0.000001))</f>
        <v/>
      </c>
      <c r="AB2" s="34">
        <f>IF(OR($B2="",$C2&lt;&gt;"Ativo",$D2&lt;&gt;'Calc_Mix'!$C$25,'Calc_Mix'!$X$25=0,COUNTIFS(Esc_Turno,'Calc_Mix'!$C$25,Esc_Circ,$B2)+COUNTIFS(Esc_Turno,'Calc_Mix'!$C$25,Esc_Instr,$B2)&gt;0),"",IF(SUMPRODUCT('Calc_Mix'!$D$25:$W$25,'Matriz_Habilidades'!$D2:$W2)=0,"",SUMPRODUCT('Calc_Mix'!$D$25:$W$25,'Matriz_Habilidades'!$D2:$W2)/'Calc_Mix'!$X$25+ROW()*0.000001))</f>
        <v/>
      </c>
      <c r="AC2" s="34">
        <f>IF(OR($B2="",$C2&lt;&gt;"Ativo",$D2&lt;&gt;'Calc_Mix'!$C$26,'Calc_Mix'!$X$26=0,COUNTIFS(Esc_Turno,'Calc_Mix'!$C$26,Esc_Circ,$B2)+COUNTIFS(Esc_Turno,'Calc_Mix'!$C$26,Esc_Instr,$B2)&gt;0),"",IF(SUMPRODUCT('Calc_Mix'!$D$26:$W$26,'Matriz_Habilidades'!$D2:$W2)=0,"",SUMPRODUCT('Calc_Mix'!$D$26:$W$26,'Matriz_Habilidades'!$D2:$W2)/'Calc_Mix'!$X$26+ROW()*0.000001))</f>
        <v/>
      </c>
      <c r="AD2" s="34">
        <f>IF(OR($B2="",$C2&lt;&gt;"Ativo",$D2&lt;&gt;'Calc_Mix'!$C$27,'Calc_Mix'!$X$27=0,COUNTIFS(Esc_Turno,'Calc_Mix'!$C$27,Esc_Circ,$B2)+COUNTIFS(Esc_Turno,'Calc_Mix'!$C$27,Esc_Instr,$B2)&gt;0),"",IF(SUMPRODUCT('Calc_Mix'!$D$27:$W$27,'Matriz_Habilidades'!$D2:$W2)=0,"",SUMPRODUCT('Calc_Mix'!$D$27:$W$27,'Matriz_Habilidades'!$D2:$W2)/'Calc_Mix'!$X$27+ROW()*0.000001))</f>
        <v/>
      </c>
      <c r="AE2" s="34">
        <f>IF(OR($B2="",$C2&lt;&gt;"Ativo",$D2&lt;&gt;'Calc_Mix'!$C$28,'Calc_Mix'!$X$28=0,COUNTIFS(Esc_Turno,'Calc_Mix'!$C$28,Esc_Circ,$B2)+COUNTIFS(Esc_Turno,'Calc_Mix'!$C$28,Esc_Instr,$B2)&gt;0),"",IF(SUMPRODUCT('Calc_Mix'!$D$28:$W$28,'Matriz_Habilidades'!$D2:$W2)=0,"",SUMPRODUCT('Calc_Mix'!$D$28:$W$28,'Matriz_Habilidades'!$D2:$W2)/'Calc_Mix'!$X$28+ROW()*0.000001))</f>
        <v/>
      </c>
      <c r="AF2" s="34">
        <f>IF(OR($B2="",$C2&lt;&gt;"Ativo",$D2&lt;&gt;'Calc_Mix'!$C$29,'Calc_Mix'!$X$29=0,COUNTIFS(Esc_Turno,'Calc_Mix'!$C$29,Esc_Circ,$B2)+COUNTIFS(Esc_Turno,'Calc_Mix'!$C$29,Esc_Instr,$B2)&gt;0),"",IF(SUMPRODUCT('Calc_Mix'!$D$29:$W$29,'Matriz_Habilidades'!$D2:$W2)=0,"",SUMPRODUCT('Calc_Mix'!$D$29:$W$29,'Matriz_Habilidades'!$D2:$W2)/'Calc_Mix'!$X$29+ROW()*0.000001))</f>
        <v/>
      </c>
      <c r="AG2" s="34">
        <f>IF(OR($B2="",$C2&lt;&gt;"Ativo",$D2&lt;&gt;'Calc_Mix'!$C$30,'Calc_Mix'!$X$30=0,COUNTIFS(Esc_Turno,'Calc_Mix'!$C$30,Esc_Circ,$B2)+COUNTIFS(Esc_Turno,'Calc_Mix'!$C$30,Esc_Instr,$B2)&gt;0),"",IF(SUMPRODUCT('Calc_Mix'!$D$30:$W$30,'Matriz_Habilidades'!$D2:$W2)=0,"",SUMPRODUCT('Calc_Mix'!$D$30:$W$30,'Matriz_Habilidades'!$D2:$W2)/'Calc_Mix'!$X$30+ROW()*0.000001))</f>
        <v/>
      </c>
      <c r="AH2" s="34">
        <f>IF(OR($B2="",$C2&lt;&gt;"Ativo",$D2&lt;&gt;'Calc_Mix'!$C$31,'Calc_Mix'!$X$31=0,COUNTIFS(Esc_Turno,'Calc_Mix'!$C$31,Esc_Circ,$B2)+COUNTIFS(Esc_Turno,'Calc_Mix'!$C$31,Esc_Instr,$B2)&gt;0),"",IF(SUMPRODUCT('Calc_Mix'!$D$31:$W$31,'Matriz_Habilidades'!$D2:$W2)=0,"",SUMPRODUCT('Calc_Mix'!$D$31:$W$31,'Matriz_Habilidades'!$D2:$W2)/'Calc_Mix'!$X$31+ROW()*0.000001))</f>
        <v/>
      </c>
      <c r="AI2" s="34">
        <f>IF(OR($B2="",$C2&lt;&gt;"Ativo",$D2&lt;&gt;'Calc_Mix'!$C$32,'Calc_Mix'!$X$32=0,COUNTIFS(Esc_Turno,'Calc_Mix'!$C$32,Esc_Circ,$B2)+COUNTIFS(Esc_Turno,'Calc_Mix'!$C$32,Esc_Instr,$B2)&gt;0),"",IF(SUMPRODUCT('Calc_Mix'!$D$32:$W$32,'Matriz_Habilidades'!$D2:$W2)=0,"",SUMPRODUCT('Calc_Mix'!$D$32:$W$32,'Matriz_Habilidades'!$D2:$W2)/'Calc_Mix'!$X$32+ROW()*0.000001))</f>
        <v/>
      </c>
      <c r="AJ2" s="34">
        <f>IF(OR($B2="",$C2&lt;&gt;"Ativo",$D2&lt;&gt;'Calc_Mix'!$C$33,'Calc_Mix'!$X$33=0,COUNTIFS(Esc_Turno,'Calc_Mix'!$C$33,Esc_Circ,$B2)+COUNTIFS(Esc_Turno,'Calc_Mix'!$C$33,Esc_Instr,$B2)&gt;0),"",IF(SUMPRODUCT('Calc_Mix'!$D$33:$W$33,'Matriz_Habilidades'!$D2:$W2)=0,"",SUMPRODUCT('Calc_Mix'!$D$33:$W$33,'Matriz_Habilidades'!$D2:$W2)/'Calc_Mix'!$X$33+ROW()*0.000001))</f>
        <v/>
      </c>
      <c r="AK2" s="34">
        <f>IF(OR($B2="",$C2&lt;&gt;"Ativo",$D2&lt;&gt;'Calc_Mix'!$C$34,'Calc_Mix'!$X$34=0,COUNTIFS(Esc_Turno,'Calc_Mix'!$C$34,Esc_Circ,$B2)+COUNTIFS(Esc_Turno,'Calc_Mix'!$C$34,Esc_Instr,$B2)&gt;0),"",IF(SUMPRODUCT('Calc_Mix'!$D$34:$W$34,'Matriz_Habilidades'!$D2:$W2)=0,"",SUMPRODUCT('Calc_Mix'!$D$34:$W$34,'Matriz_Habilidades'!$D2:$W2)/'Calc_Mix'!$X$34+ROW()*0.000001))</f>
        <v/>
      </c>
      <c r="AL2" s="34">
        <f>IF(OR($B2="",$C2&lt;&gt;"Ativo",$D2&lt;&gt;'Calc_Mix'!$C$35,'Calc_Mix'!$X$35=0,COUNTIFS(Esc_Turno,'Calc_Mix'!$C$35,Esc_Circ,$B2)+COUNTIFS(Esc_Turno,'Calc_Mix'!$C$35,Esc_Instr,$B2)&gt;0),"",IF(SUMPRODUCT('Calc_Mix'!$D$35:$W$35,'Matriz_Habilidades'!$D2:$W2)=0,"",SUMPRODUCT('Calc_Mix'!$D$35:$W$35,'Matriz_Habilidades'!$D2:$W2)/'Calc_Mix'!$X$35+ROW()*0.000001))</f>
        <v/>
      </c>
      <c r="AM2" s="34">
        <f>IF(OR($B2="",$C2&lt;&gt;"Ativo",$D2&lt;&gt;'Calc_Mix'!$C$36,'Calc_Mix'!$X$36=0,COUNTIFS(Esc_Turno,'Calc_Mix'!$C$36,Esc_Circ,$B2)+COUNTIFS(Esc_Turno,'Calc_Mix'!$C$36,Esc_Instr,$B2)&gt;0),"",IF(SUMPRODUCT('Calc_Mix'!$D$36:$W$36,'Matriz_Habilidades'!$D2:$W2)=0,"",SUMPRODUCT('Calc_Mix'!$D$36:$W$36,'Matriz_Habilidades'!$D2:$W2)/'Calc_Mix'!$X$36+ROW()*0.000001))</f>
        <v/>
      </c>
      <c r="AN2" s="34">
        <f>IF(OR($B2="",$C2&lt;&gt;"Ativo",$D2&lt;&gt;'Calc_Mix'!$C$37,'Calc_Mix'!$X$37=0,COUNTIFS(Esc_Turno,'Calc_Mix'!$C$37,Esc_Circ,$B2)+COUNTIFS(Esc_Turno,'Calc_Mix'!$C$37,Esc_Instr,$B2)&gt;0),"",IF(SUMPRODUCT('Calc_Mix'!$D$37:$W$37,'Matriz_Habilidades'!$D2:$W2)=0,"",SUMPRODUCT('Calc_Mix'!$D$37:$W$37,'Matriz_Habilidades'!$D2:$W2)/'Calc_Mix'!$X$37+ROW()*0.000001))</f>
        <v/>
      </c>
    </row>
    <row r="3">
      <c r="A3" s="27">
        <f>IF('Matriz_Habilidades'!A3="","",'Matriz_Habilidades'!A3)</f>
        <v/>
      </c>
      <c r="B3" s="28">
        <f>IF('Matriz_Habilidades'!B3="","",'Matriz_Habilidades'!B3)</f>
        <v/>
      </c>
      <c r="C3" s="27">
        <f>IF($A3="","",IFERROR(INDEX(Equipe_Status,MATCH($B3,Equipe_Nome,0)),"?"))</f>
        <v/>
      </c>
      <c r="D3" s="27">
        <f>IF($A3="","",IFERROR(INDEX(Equipe_Turno,MATCH($B3,Equipe_Nome,0)),"?"))</f>
        <v/>
      </c>
      <c r="E3" s="34">
        <f>IF(OR($B3="",$C3&lt;&gt;"Ativo",$D3&lt;&gt;'Calc_Mix'!$C$2,'Calc_Mix'!$X$2=0,COUNTIFS(Esc_Turno,'Calc_Mix'!$C$2,Esc_Circ,$B3)+COUNTIFS(Esc_Turno,'Calc_Mix'!$C$2,Esc_Instr,$B3)&gt;0),"",IF(SUMPRODUCT('Calc_Mix'!$D$2:$W$2,'Matriz_Habilidades'!$D3:$W3)=0,"",SUMPRODUCT('Calc_Mix'!$D$2:$W$2,'Matriz_Habilidades'!$D3:$W3)/'Calc_Mix'!$X$2+ROW()*0.000001))</f>
        <v/>
      </c>
      <c r="F3" s="34">
        <f>IF(OR($B3="",$C3&lt;&gt;"Ativo",$D3&lt;&gt;'Calc_Mix'!$C$3,'Calc_Mix'!$X$3=0,COUNTIFS(Esc_Turno,'Calc_Mix'!$C$3,Esc_Circ,$B3)+COUNTIFS(Esc_Turno,'Calc_Mix'!$C$3,Esc_Instr,$B3)&gt;0),"",IF(SUMPRODUCT('Calc_Mix'!$D$3:$W$3,'Matriz_Habilidades'!$D3:$W3)=0,"",SUMPRODUCT('Calc_Mix'!$D$3:$W$3,'Matriz_Habilidades'!$D3:$W3)/'Calc_Mix'!$X$3+ROW()*0.000001))</f>
        <v/>
      </c>
      <c r="G3" s="34">
        <f>IF(OR($B3="",$C3&lt;&gt;"Ativo",$D3&lt;&gt;'Calc_Mix'!$C$4,'Calc_Mix'!$X$4=0,COUNTIFS(Esc_Turno,'Calc_Mix'!$C$4,Esc_Circ,$B3)+COUNTIFS(Esc_Turno,'Calc_Mix'!$C$4,Esc_Instr,$B3)&gt;0),"",IF(SUMPRODUCT('Calc_Mix'!$D$4:$W$4,'Matriz_Habilidades'!$D3:$W3)=0,"",SUMPRODUCT('Calc_Mix'!$D$4:$W$4,'Matriz_Habilidades'!$D3:$W3)/'Calc_Mix'!$X$4+ROW()*0.000001))</f>
        <v/>
      </c>
      <c r="H3" s="34">
        <f>IF(OR($B3="",$C3&lt;&gt;"Ativo",$D3&lt;&gt;'Calc_Mix'!$C$5,'Calc_Mix'!$X$5=0,COUNTIFS(Esc_Turno,'Calc_Mix'!$C$5,Esc_Circ,$B3)+COUNTIFS(Esc_Turno,'Calc_Mix'!$C$5,Esc_Instr,$B3)&gt;0),"",IF(SUMPRODUCT('Calc_Mix'!$D$5:$W$5,'Matriz_Habilidades'!$D3:$W3)=0,"",SUMPRODUCT('Calc_Mix'!$D$5:$W$5,'Matriz_Habilidades'!$D3:$W3)/'Calc_Mix'!$X$5+ROW()*0.000001))</f>
        <v/>
      </c>
      <c r="I3" s="34">
        <f>IF(OR($B3="",$C3&lt;&gt;"Ativo",$D3&lt;&gt;'Calc_Mix'!$C$6,'Calc_Mix'!$X$6=0,COUNTIFS(Esc_Turno,'Calc_Mix'!$C$6,Esc_Circ,$B3)+COUNTIFS(Esc_Turno,'Calc_Mix'!$C$6,Esc_Instr,$B3)&gt;0),"",IF(SUMPRODUCT('Calc_Mix'!$D$6:$W$6,'Matriz_Habilidades'!$D3:$W3)=0,"",SUMPRODUCT('Calc_Mix'!$D$6:$W$6,'Matriz_Habilidades'!$D3:$W3)/'Calc_Mix'!$X$6+ROW()*0.000001))</f>
        <v/>
      </c>
      <c r="J3" s="34">
        <f>IF(OR($B3="",$C3&lt;&gt;"Ativo",$D3&lt;&gt;'Calc_Mix'!$C$7,'Calc_Mix'!$X$7=0,COUNTIFS(Esc_Turno,'Calc_Mix'!$C$7,Esc_Circ,$B3)+COUNTIFS(Esc_Turno,'Calc_Mix'!$C$7,Esc_Instr,$B3)&gt;0),"",IF(SUMPRODUCT('Calc_Mix'!$D$7:$W$7,'Matriz_Habilidades'!$D3:$W3)=0,"",SUMPRODUCT('Calc_Mix'!$D$7:$W$7,'Matriz_Habilidades'!$D3:$W3)/'Calc_Mix'!$X$7+ROW()*0.000001))</f>
        <v/>
      </c>
      <c r="K3" s="34">
        <f>IF(OR($B3="",$C3&lt;&gt;"Ativo",$D3&lt;&gt;'Calc_Mix'!$C$8,'Calc_Mix'!$X$8=0,COUNTIFS(Esc_Turno,'Calc_Mix'!$C$8,Esc_Circ,$B3)+COUNTIFS(Esc_Turno,'Calc_Mix'!$C$8,Esc_Instr,$B3)&gt;0),"",IF(SUMPRODUCT('Calc_Mix'!$D$8:$W$8,'Matriz_Habilidades'!$D3:$W3)=0,"",SUMPRODUCT('Calc_Mix'!$D$8:$W$8,'Matriz_Habilidades'!$D3:$W3)/'Calc_Mix'!$X$8+ROW()*0.000001))</f>
        <v/>
      </c>
      <c r="L3" s="34">
        <f>IF(OR($B3="",$C3&lt;&gt;"Ativo",$D3&lt;&gt;'Calc_Mix'!$C$9,'Calc_Mix'!$X$9=0,COUNTIFS(Esc_Turno,'Calc_Mix'!$C$9,Esc_Circ,$B3)+COUNTIFS(Esc_Turno,'Calc_Mix'!$C$9,Esc_Instr,$B3)&gt;0),"",IF(SUMPRODUCT('Calc_Mix'!$D$9:$W$9,'Matriz_Habilidades'!$D3:$W3)=0,"",SUMPRODUCT('Calc_Mix'!$D$9:$W$9,'Matriz_Habilidades'!$D3:$W3)/'Calc_Mix'!$X$9+ROW()*0.000001))</f>
        <v/>
      </c>
      <c r="M3" s="34">
        <f>IF(OR($B3="",$C3&lt;&gt;"Ativo",$D3&lt;&gt;'Calc_Mix'!$C$10,'Calc_Mix'!$X$10=0,COUNTIFS(Esc_Turno,'Calc_Mix'!$C$10,Esc_Circ,$B3)+COUNTIFS(Esc_Turno,'Calc_Mix'!$C$10,Esc_Instr,$B3)&gt;0),"",IF(SUMPRODUCT('Calc_Mix'!$D$10:$W$10,'Matriz_Habilidades'!$D3:$W3)=0,"",SUMPRODUCT('Calc_Mix'!$D$10:$W$10,'Matriz_Habilidades'!$D3:$W3)/'Calc_Mix'!$X$10+ROW()*0.000001))</f>
        <v/>
      </c>
      <c r="N3" s="34">
        <f>IF(OR($B3="",$C3&lt;&gt;"Ativo",$D3&lt;&gt;'Calc_Mix'!$C$11,'Calc_Mix'!$X$11=0,COUNTIFS(Esc_Turno,'Calc_Mix'!$C$11,Esc_Circ,$B3)+COUNTIFS(Esc_Turno,'Calc_Mix'!$C$11,Esc_Instr,$B3)&gt;0),"",IF(SUMPRODUCT('Calc_Mix'!$D$11:$W$11,'Matriz_Habilidades'!$D3:$W3)=0,"",SUMPRODUCT('Calc_Mix'!$D$11:$W$11,'Matriz_Habilidades'!$D3:$W3)/'Calc_Mix'!$X$11+ROW()*0.000001))</f>
        <v/>
      </c>
      <c r="O3" s="34">
        <f>IF(OR($B3="",$C3&lt;&gt;"Ativo",$D3&lt;&gt;'Calc_Mix'!$C$12,'Calc_Mix'!$X$12=0,COUNTIFS(Esc_Turno,'Calc_Mix'!$C$12,Esc_Circ,$B3)+COUNTIFS(Esc_Turno,'Calc_Mix'!$C$12,Esc_Instr,$B3)&gt;0),"",IF(SUMPRODUCT('Calc_Mix'!$D$12:$W$12,'Matriz_Habilidades'!$D3:$W3)=0,"",SUMPRODUCT('Calc_Mix'!$D$12:$W$12,'Matriz_Habilidades'!$D3:$W3)/'Calc_Mix'!$X$12+ROW()*0.000001))</f>
        <v/>
      </c>
      <c r="P3" s="34">
        <f>IF(OR($B3="",$C3&lt;&gt;"Ativo",$D3&lt;&gt;'Calc_Mix'!$C$13,'Calc_Mix'!$X$13=0,COUNTIFS(Esc_Turno,'Calc_Mix'!$C$13,Esc_Circ,$B3)+COUNTIFS(Esc_Turno,'Calc_Mix'!$C$13,Esc_Instr,$B3)&gt;0),"",IF(SUMPRODUCT('Calc_Mix'!$D$13:$W$13,'Matriz_Habilidades'!$D3:$W3)=0,"",SUMPRODUCT('Calc_Mix'!$D$13:$W$13,'Matriz_Habilidades'!$D3:$W3)/'Calc_Mix'!$X$13+ROW()*0.000001))</f>
        <v/>
      </c>
      <c r="Q3" s="34">
        <f>IF(OR($B3="",$C3&lt;&gt;"Ativo",$D3&lt;&gt;'Calc_Mix'!$C$14,'Calc_Mix'!$X$14=0,COUNTIFS(Esc_Turno,'Calc_Mix'!$C$14,Esc_Circ,$B3)+COUNTIFS(Esc_Turno,'Calc_Mix'!$C$14,Esc_Instr,$B3)&gt;0),"",IF(SUMPRODUCT('Calc_Mix'!$D$14:$W$14,'Matriz_Habilidades'!$D3:$W3)=0,"",SUMPRODUCT('Calc_Mix'!$D$14:$W$14,'Matriz_Habilidades'!$D3:$W3)/'Calc_Mix'!$X$14+ROW()*0.000001))</f>
        <v/>
      </c>
      <c r="R3" s="34">
        <f>IF(OR($B3="",$C3&lt;&gt;"Ativo",$D3&lt;&gt;'Calc_Mix'!$C$15,'Calc_Mix'!$X$15=0,COUNTIFS(Esc_Turno,'Calc_Mix'!$C$15,Esc_Circ,$B3)+COUNTIFS(Esc_Turno,'Calc_Mix'!$C$15,Esc_Instr,$B3)&gt;0),"",IF(SUMPRODUCT('Calc_Mix'!$D$15:$W$15,'Matriz_Habilidades'!$D3:$W3)=0,"",SUMPRODUCT('Calc_Mix'!$D$15:$W$15,'Matriz_Habilidades'!$D3:$W3)/'Calc_Mix'!$X$15+ROW()*0.000001))</f>
        <v/>
      </c>
      <c r="S3" s="34">
        <f>IF(OR($B3="",$C3&lt;&gt;"Ativo",$D3&lt;&gt;'Calc_Mix'!$C$16,'Calc_Mix'!$X$16=0,COUNTIFS(Esc_Turno,'Calc_Mix'!$C$16,Esc_Circ,$B3)+COUNTIFS(Esc_Turno,'Calc_Mix'!$C$16,Esc_Instr,$B3)&gt;0),"",IF(SUMPRODUCT('Calc_Mix'!$D$16:$W$16,'Matriz_Habilidades'!$D3:$W3)=0,"",SUMPRODUCT('Calc_Mix'!$D$16:$W$16,'Matriz_Habilidades'!$D3:$W3)/'Calc_Mix'!$X$16+ROW()*0.000001))</f>
        <v/>
      </c>
      <c r="T3" s="34">
        <f>IF(OR($B3="",$C3&lt;&gt;"Ativo",$D3&lt;&gt;'Calc_Mix'!$C$17,'Calc_Mix'!$X$17=0,COUNTIFS(Esc_Turno,'Calc_Mix'!$C$17,Esc_Circ,$B3)+COUNTIFS(Esc_Turno,'Calc_Mix'!$C$17,Esc_Instr,$B3)&gt;0),"",IF(SUMPRODUCT('Calc_Mix'!$D$17:$W$17,'Matriz_Habilidades'!$D3:$W3)=0,"",SUMPRODUCT('Calc_Mix'!$D$17:$W$17,'Matriz_Habilidades'!$D3:$W3)/'Calc_Mix'!$X$17+ROW()*0.000001))</f>
        <v/>
      </c>
      <c r="U3" s="34">
        <f>IF(OR($B3="",$C3&lt;&gt;"Ativo",$D3&lt;&gt;'Calc_Mix'!$C$18,'Calc_Mix'!$X$18=0,COUNTIFS(Esc_Turno,'Calc_Mix'!$C$18,Esc_Circ,$B3)+COUNTIFS(Esc_Turno,'Calc_Mix'!$C$18,Esc_Instr,$B3)&gt;0),"",IF(SUMPRODUCT('Calc_Mix'!$D$18:$W$18,'Matriz_Habilidades'!$D3:$W3)=0,"",SUMPRODUCT('Calc_Mix'!$D$18:$W$18,'Matriz_Habilidades'!$D3:$W3)/'Calc_Mix'!$X$18+ROW()*0.000001))</f>
        <v/>
      </c>
      <c r="V3" s="34">
        <f>IF(OR($B3="",$C3&lt;&gt;"Ativo",$D3&lt;&gt;'Calc_Mix'!$C$19,'Calc_Mix'!$X$19=0,COUNTIFS(Esc_Turno,'Calc_Mix'!$C$19,Esc_Circ,$B3)+COUNTIFS(Esc_Turno,'Calc_Mix'!$C$19,Esc_Instr,$B3)&gt;0),"",IF(SUMPRODUCT('Calc_Mix'!$D$19:$W$19,'Matriz_Habilidades'!$D3:$W3)=0,"",SUMPRODUCT('Calc_Mix'!$D$19:$W$19,'Matriz_Habilidades'!$D3:$W3)/'Calc_Mix'!$X$19+ROW()*0.000001))</f>
        <v/>
      </c>
      <c r="W3" s="34">
        <f>IF(OR($B3="",$C3&lt;&gt;"Ativo",$D3&lt;&gt;'Calc_Mix'!$C$20,'Calc_Mix'!$X$20=0,COUNTIFS(Esc_Turno,'Calc_Mix'!$C$20,Esc_Circ,$B3)+COUNTIFS(Esc_Turno,'Calc_Mix'!$C$20,Esc_Instr,$B3)&gt;0),"",IF(SUMPRODUCT('Calc_Mix'!$D$20:$W$20,'Matriz_Habilidades'!$D3:$W3)=0,"",SUMPRODUCT('Calc_Mix'!$D$20:$W$20,'Matriz_Habilidades'!$D3:$W3)/'Calc_Mix'!$X$20+ROW()*0.000001))</f>
        <v/>
      </c>
      <c r="X3" s="34">
        <f>IF(OR($B3="",$C3&lt;&gt;"Ativo",$D3&lt;&gt;'Calc_Mix'!$C$21,'Calc_Mix'!$X$21=0,COUNTIFS(Esc_Turno,'Calc_Mix'!$C$21,Esc_Circ,$B3)+COUNTIFS(Esc_Turno,'Calc_Mix'!$C$21,Esc_Instr,$B3)&gt;0),"",IF(SUMPRODUCT('Calc_Mix'!$D$21:$W$21,'Matriz_Habilidades'!$D3:$W3)=0,"",SUMPRODUCT('Calc_Mix'!$D$21:$W$21,'Matriz_Habilidades'!$D3:$W3)/'Calc_Mix'!$X$21+ROW()*0.000001))</f>
        <v/>
      </c>
      <c r="Y3" s="34">
        <f>IF(OR($B3="",$C3&lt;&gt;"Ativo",$D3&lt;&gt;'Calc_Mix'!$C$22,'Calc_Mix'!$X$22=0,COUNTIFS(Esc_Turno,'Calc_Mix'!$C$22,Esc_Circ,$B3)+COUNTIFS(Esc_Turno,'Calc_Mix'!$C$22,Esc_Instr,$B3)&gt;0),"",IF(SUMPRODUCT('Calc_Mix'!$D$22:$W$22,'Matriz_Habilidades'!$D3:$W3)=0,"",SUMPRODUCT('Calc_Mix'!$D$22:$W$22,'Matriz_Habilidades'!$D3:$W3)/'Calc_Mix'!$X$22+ROW()*0.000001))</f>
        <v/>
      </c>
      <c r="Z3" s="34">
        <f>IF(OR($B3="",$C3&lt;&gt;"Ativo",$D3&lt;&gt;'Calc_Mix'!$C$23,'Calc_Mix'!$X$23=0,COUNTIFS(Esc_Turno,'Calc_Mix'!$C$23,Esc_Circ,$B3)+COUNTIFS(Esc_Turno,'Calc_Mix'!$C$23,Esc_Instr,$B3)&gt;0),"",IF(SUMPRODUCT('Calc_Mix'!$D$23:$W$23,'Matriz_Habilidades'!$D3:$W3)=0,"",SUMPRODUCT('Calc_Mix'!$D$23:$W$23,'Matriz_Habilidades'!$D3:$W3)/'Calc_Mix'!$X$23+ROW()*0.000001))</f>
        <v/>
      </c>
      <c r="AA3" s="34">
        <f>IF(OR($B3="",$C3&lt;&gt;"Ativo",$D3&lt;&gt;'Calc_Mix'!$C$24,'Calc_Mix'!$X$24=0,COUNTIFS(Esc_Turno,'Calc_Mix'!$C$24,Esc_Circ,$B3)+COUNTIFS(Esc_Turno,'Calc_Mix'!$C$24,Esc_Instr,$B3)&gt;0),"",IF(SUMPRODUCT('Calc_Mix'!$D$24:$W$24,'Matriz_Habilidades'!$D3:$W3)=0,"",SUMPRODUCT('Calc_Mix'!$D$24:$W$24,'Matriz_Habilidades'!$D3:$W3)/'Calc_Mix'!$X$24+ROW()*0.000001))</f>
        <v/>
      </c>
      <c r="AB3" s="34">
        <f>IF(OR($B3="",$C3&lt;&gt;"Ativo",$D3&lt;&gt;'Calc_Mix'!$C$25,'Calc_Mix'!$X$25=0,COUNTIFS(Esc_Turno,'Calc_Mix'!$C$25,Esc_Circ,$B3)+COUNTIFS(Esc_Turno,'Calc_Mix'!$C$25,Esc_Instr,$B3)&gt;0),"",IF(SUMPRODUCT('Calc_Mix'!$D$25:$W$25,'Matriz_Habilidades'!$D3:$W3)=0,"",SUMPRODUCT('Calc_Mix'!$D$25:$W$25,'Matriz_Habilidades'!$D3:$W3)/'Calc_Mix'!$X$25+ROW()*0.000001))</f>
        <v/>
      </c>
      <c r="AC3" s="34">
        <f>IF(OR($B3="",$C3&lt;&gt;"Ativo",$D3&lt;&gt;'Calc_Mix'!$C$26,'Calc_Mix'!$X$26=0,COUNTIFS(Esc_Turno,'Calc_Mix'!$C$26,Esc_Circ,$B3)+COUNTIFS(Esc_Turno,'Calc_Mix'!$C$26,Esc_Instr,$B3)&gt;0),"",IF(SUMPRODUCT('Calc_Mix'!$D$26:$W$26,'Matriz_Habilidades'!$D3:$W3)=0,"",SUMPRODUCT('Calc_Mix'!$D$26:$W$26,'Matriz_Habilidades'!$D3:$W3)/'Calc_Mix'!$X$26+ROW()*0.000001))</f>
        <v/>
      </c>
      <c r="AD3" s="34">
        <f>IF(OR($B3="",$C3&lt;&gt;"Ativo",$D3&lt;&gt;'Calc_Mix'!$C$27,'Calc_Mix'!$X$27=0,COUNTIFS(Esc_Turno,'Calc_Mix'!$C$27,Esc_Circ,$B3)+COUNTIFS(Esc_Turno,'Calc_Mix'!$C$27,Esc_Instr,$B3)&gt;0),"",IF(SUMPRODUCT('Calc_Mix'!$D$27:$W$27,'Matriz_Habilidades'!$D3:$W3)=0,"",SUMPRODUCT('Calc_Mix'!$D$27:$W$27,'Matriz_Habilidades'!$D3:$W3)/'Calc_Mix'!$X$27+ROW()*0.000001))</f>
        <v/>
      </c>
      <c r="AE3" s="34">
        <f>IF(OR($B3="",$C3&lt;&gt;"Ativo",$D3&lt;&gt;'Calc_Mix'!$C$28,'Calc_Mix'!$X$28=0,COUNTIFS(Esc_Turno,'Calc_Mix'!$C$28,Esc_Circ,$B3)+COUNTIFS(Esc_Turno,'Calc_Mix'!$C$28,Esc_Instr,$B3)&gt;0),"",IF(SUMPRODUCT('Calc_Mix'!$D$28:$W$28,'Matriz_Habilidades'!$D3:$W3)=0,"",SUMPRODUCT('Calc_Mix'!$D$28:$W$28,'Matriz_Habilidades'!$D3:$W3)/'Calc_Mix'!$X$28+ROW()*0.000001))</f>
        <v/>
      </c>
      <c r="AF3" s="34">
        <f>IF(OR($B3="",$C3&lt;&gt;"Ativo",$D3&lt;&gt;'Calc_Mix'!$C$29,'Calc_Mix'!$X$29=0,COUNTIFS(Esc_Turno,'Calc_Mix'!$C$29,Esc_Circ,$B3)+COUNTIFS(Esc_Turno,'Calc_Mix'!$C$29,Esc_Instr,$B3)&gt;0),"",IF(SUMPRODUCT('Calc_Mix'!$D$29:$W$29,'Matriz_Habilidades'!$D3:$W3)=0,"",SUMPRODUCT('Calc_Mix'!$D$29:$W$29,'Matriz_Habilidades'!$D3:$W3)/'Calc_Mix'!$X$29+ROW()*0.000001))</f>
        <v/>
      </c>
      <c r="AG3" s="34">
        <f>IF(OR($B3="",$C3&lt;&gt;"Ativo",$D3&lt;&gt;'Calc_Mix'!$C$30,'Calc_Mix'!$X$30=0,COUNTIFS(Esc_Turno,'Calc_Mix'!$C$30,Esc_Circ,$B3)+COUNTIFS(Esc_Turno,'Calc_Mix'!$C$30,Esc_Instr,$B3)&gt;0),"",IF(SUMPRODUCT('Calc_Mix'!$D$30:$W$30,'Matriz_Habilidades'!$D3:$W3)=0,"",SUMPRODUCT('Calc_Mix'!$D$30:$W$30,'Matriz_Habilidades'!$D3:$W3)/'Calc_Mix'!$X$30+ROW()*0.000001))</f>
        <v/>
      </c>
      <c r="AH3" s="34">
        <f>IF(OR($B3="",$C3&lt;&gt;"Ativo",$D3&lt;&gt;'Calc_Mix'!$C$31,'Calc_Mix'!$X$31=0,COUNTIFS(Esc_Turno,'Calc_Mix'!$C$31,Esc_Circ,$B3)+COUNTIFS(Esc_Turno,'Calc_Mix'!$C$31,Esc_Instr,$B3)&gt;0),"",IF(SUMPRODUCT('Calc_Mix'!$D$31:$W$31,'Matriz_Habilidades'!$D3:$W3)=0,"",SUMPRODUCT('Calc_Mix'!$D$31:$W$31,'Matriz_Habilidades'!$D3:$W3)/'Calc_Mix'!$X$31+ROW()*0.000001))</f>
        <v/>
      </c>
      <c r="AI3" s="34">
        <f>IF(OR($B3="",$C3&lt;&gt;"Ativo",$D3&lt;&gt;'Calc_Mix'!$C$32,'Calc_Mix'!$X$32=0,COUNTIFS(Esc_Turno,'Calc_Mix'!$C$32,Esc_Circ,$B3)+COUNTIFS(Esc_Turno,'Calc_Mix'!$C$32,Esc_Instr,$B3)&gt;0),"",IF(SUMPRODUCT('Calc_Mix'!$D$32:$W$32,'Matriz_Habilidades'!$D3:$W3)=0,"",SUMPRODUCT('Calc_Mix'!$D$32:$W$32,'Matriz_Habilidades'!$D3:$W3)/'Calc_Mix'!$X$32+ROW()*0.000001))</f>
        <v/>
      </c>
      <c r="AJ3" s="34">
        <f>IF(OR($B3="",$C3&lt;&gt;"Ativo",$D3&lt;&gt;'Calc_Mix'!$C$33,'Calc_Mix'!$X$33=0,COUNTIFS(Esc_Turno,'Calc_Mix'!$C$33,Esc_Circ,$B3)+COUNTIFS(Esc_Turno,'Calc_Mix'!$C$33,Esc_Instr,$B3)&gt;0),"",IF(SUMPRODUCT('Calc_Mix'!$D$33:$W$33,'Matriz_Habilidades'!$D3:$W3)=0,"",SUMPRODUCT('Calc_Mix'!$D$33:$W$33,'Matriz_Habilidades'!$D3:$W3)/'Calc_Mix'!$X$33+ROW()*0.000001))</f>
        <v/>
      </c>
      <c r="AK3" s="34">
        <f>IF(OR($B3="",$C3&lt;&gt;"Ativo",$D3&lt;&gt;'Calc_Mix'!$C$34,'Calc_Mix'!$X$34=0,COUNTIFS(Esc_Turno,'Calc_Mix'!$C$34,Esc_Circ,$B3)+COUNTIFS(Esc_Turno,'Calc_Mix'!$C$34,Esc_Instr,$B3)&gt;0),"",IF(SUMPRODUCT('Calc_Mix'!$D$34:$W$34,'Matriz_Habilidades'!$D3:$W3)=0,"",SUMPRODUCT('Calc_Mix'!$D$34:$W$34,'Matriz_Habilidades'!$D3:$W3)/'Calc_Mix'!$X$34+ROW()*0.000001))</f>
        <v/>
      </c>
      <c r="AL3" s="34">
        <f>IF(OR($B3="",$C3&lt;&gt;"Ativo",$D3&lt;&gt;'Calc_Mix'!$C$35,'Calc_Mix'!$X$35=0,COUNTIFS(Esc_Turno,'Calc_Mix'!$C$35,Esc_Circ,$B3)+COUNTIFS(Esc_Turno,'Calc_Mix'!$C$35,Esc_Instr,$B3)&gt;0),"",IF(SUMPRODUCT('Calc_Mix'!$D$35:$W$35,'Matriz_Habilidades'!$D3:$W3)=0,"",SUMPRODUCT('Calc_Mix'!$D$35:$W$35,'Matriz_Habilidades'!$D3:$W3)/'Calc_Mix'!$X$35+ROW()*0.000001))</f>
        <v/>
      </c>
      <c r="AM3" s="34">
        <f>IF(OR($B3="",$C3&lt;&gt;"Ativo",$D3&lt;&gt;'Calc_Mix'!$C$36,'Calc_Mix'!$X$36=0,COUNTIFS(Esc_Turno,'Calc_Mix'!$C$36,Esc_Circ,$B3)+COUNTIFS(Esc_Turno,'Calc_Mix'!$C$36,Esc_Instr,$B3)&gt;0),"",IF(SUMPRODUCT('Calc_Mix'!$D$36:$W$36,'Matriz_Habilidades'!$D3:$W3)=0,"",SUMPRODUCT('Calc_Mix'!$D$36:$W$36,'Matriz_Habilidades'!$D3:$W3)/'Calc_Mix'!$X$36+ROW()*0.000001))</f>
        <v/>
      </c>
      <c r="AN3" s="34">
        <f>IF(OR($B3="",$C3&lt;&gt;"Ativo",$D3&lt;&gt;'Calc_Mix'!$C$37,'Calc_Mix'!$X$37=0,COUNTIFS(Esc_Turno,'Calc_Mix'!$C$37,Esc_Circ,$B3)+COUNTIFS(Esc_Turno,'Calc_Mix'!$C$37,Esc_Instr,$B3)&gt;0),"",IF(SUMPRODUCT('Calc_Mix'!$D$37:$W$37,'Matriz_Habilidades'!$D3:$W3)=0,"",SUMPRODUCT('Calc_Mix'!$D$37:$W$37,'Matriz_Habilidades'!$D3:$W3)/'Calc_Mix'!$X$37+ROW()*0.000001))</f>
        <v/>
      </c>
    </row>
    <row r="4">
      <c r="A4" s="27">
        <f>IF('Matriz_Habilidades'!A4="","",'Matriz_Habilidades'!A4)</f>
        <v/>
      </c>
      <c r="B4" s="28">
        <f>IF('Matriz_Habilidades'!B4="","",'Matriz_Habilidades'!B4)</f>
        <v/>
      </c>
      <c r="C4" s="27">
        <f>IF($A4="","",IFERROR(INDEX(Equipe_Status,MATCH($B4,Equipe_Nome,0)),"?"))</f>
        <v/>
      </c>
      <c r="D4" s="27">
        <f>IF($A4="","",IFERROR(INDEX(Equipe_Turno,MATCH($B4,Equipe_Nome,0)),"?"))</f>
        <v/>
      </c>
      <c r="E4" s="34">
        <f>IF(OR($B4="",$C4&lt;&gt;"Ativo",$D4&lt;&gt;'Calc_Mix'!$C$2,'Calc_Mix'!$X$2=0,COUNTIFS(Esc_Turno,'Calc_Mix'!$C$2,Esc_Circ,$B4)+COUNTIFS(Esc_Turno,'Calc_Mix'!$C$2,Esc_Instr,$B4)&gt;0),"",IF(SUMPRODUCT('Calc_Mix'!$D$2:$W$2,'Matriz_Habilidades'!$D4:$W4)=0,"",SUMPRODUCT('Calc_Mix'!$D$2:$W$2,'Matriz_Habilidades'!$D4:$W4)/'Calc_Mix'!$X$2+ROW()*0.000001))</f>
        <v/>
      </c>
      <c r="F4" s="34">
        <f>IF(OR($B4="",$C4&lt;&gt;"Ativo",$D4&lt;&gt;'Calc_Mix'!$C$3,'Calc_Mix'!$X$3=0,COUNTIFS(Esc_Turno,'Calc_Mix'!$C$3,Esc_Circ,$B4)+COUNTIFS(Esc_Turno,'Calc_Mix'!$C$3,Esc_Instr,$B4)&gt;0),"",IF(SUMPRODUCT('Calc_Mix'!$D$3:$W$3,'Matriz_Habilidades'!$D4:$W4)=0,"",SUMPRODUCT('Calc_Mix'!$D$3:$W$3,'Matriz_Habilidades'!$D4:$W4)/'Calc_Mix'!$X$3+ROW()*0.000001))</f>
        <v/>
      </c>
      <c r="G4" s="34">
        <f>IF(OR($B4="",$C4&lt;&gt;"Ativo",$D4&lt;&gt;'Calc_Mix'!$C$4,'Calc_Mix'!$X$4=0,COUNTIFS(Esc_Turno,'Calc_Mix'!$C$4,Esc_Circ,$B4)+COUNTIFS(Esc_Turno,'Calc_Mix'!$C$4,Esc_Instr,$B4)&gt;0),"",IF(SUMPRODUCT('Calc_Mix'!$D$4:$W$4,'Matriz_Habilidades'!$D4:$W4)=0,"",SUMPRODUCT('Calc_Mix'!$D$4:$W$4,'Matriz_Habilidades'!$D4:$W4)/'Calc_Mix'!$X$4+ROW()*0.000001))</f>
        <v/>
      </c>
      <c r="H4" s="34">
        <f>IF(OR($B4="",$C4&lt;&gt;"Ativo",$D4&lt;&gt;'Calc_Mix'!$C$5,'Calc_Mix'!$X$5=0,COUNTIFS(Esc_Turno,'Calc_Mix'!$C$5,Esc_Circ,$B4)+COUNTIFS(Esc_Turno,'Calc_Mix'!$C$5,Esc_Instr,$B4)&gt;0),"",IF(SUMPRODUCT('Calc_Mix'!$D$5:$W$5,'Matriz_Habilidades'!$D4:$W4)=0,"",SUMPRODUCT('Calc_Mix'!$D$5:$W$5,'Matriz_Habilidades'!$D4:$W4)/'Calc_Mix'!$X$5+ROW()*0.000001))</f>
        <v/>
      </c>
      <c r="I4" s="34">
        <f>IF(OR($B4="",$C4&lt;&gt;"Ativo",$D4&lt;&gt;'Calc_Mix'!$C$6,'Calc_Mix'!$X$6=0,COUNTIFS(Esc_Turno,'Calc_Mix'!$C$6,Esc_Circ,$B4)+COUNTIFS(Esc_Turno,'Calc_Mix'!$C$6,Esc_Instr,$B4)&gt;0),"",IF(SUMPRODUCT('Calc_Mix'!$D$6:$W$6,'Matriz_Habilidades'!$D4:$W4)=0,"",SUMPRODUCT('Calc_Mix'!$D$6:$W$6,'Matriz_Habilidades'!$D4:$W4)/'Calc_Mix'!$X$6+ROW()*0.000001))</f>
        <v/>
      </c>
      <c r="J4" s="34">
        <f>IF(OR($B4="",$C4&lt;&gt;"Ativo",$D4&lt;&gt;'Calc_Mix'!$C$7,'Calc_Mix'!$X$7=0,COUNTIFS(Esc_Turno,'Calc_Mix'!$C$7,Esc_Circ,$B4)+COUNTIFS(Esc_Turno,'Calc_Mix'!$C$7,Esc_Instr,$B4)&gt;0),"",IF(SUMPRODUCT('Calc_Mix'!$D$7:$W$7,'Matriz_Habilidades'!$D4:$W4)=0,"",SUMPRODUCT('Calc_Mix'!$D$7:$W$7,'Matriz_Habilidades'!$D4:$W4)/'Calc_Mix'!$X$7+ROW()*0.000001))</f>
        <v/>
      </c>
      <c r="K4" s="34">
        <f>IF(OR($B4="",$C4&lt;&gt;"Ativo",$D4&lt;&gt;'Calc_Mix'!$C$8,'Calc_Mix'!$X$8=0,COUNTIFS(Esc_Turno,'Calc_Mix'!$C$8,Esc_Circ,$B4)+COUNTIFS(Esc_Turno,'Calc_Mix'!$C$8,Esc_Instr,$B4)&gt;0),"",IF(SUMPRODUCT('Calc_Mix'!$D$8:$W$8,'Matriz_Habilidades'!$D4:$W4)=0,"",SUMPRODUCT('Calc_Mix'!$D$8:$W$8,'Matriz_Habilidades'!$D4:$W4)/'Calc_Mix'!$X$8+ROW()*0.000001))</f>
        <v/>
      </c>
      <c r="L4" s="34">
        <f>IF(OR($B4="",$C4&lt;&gt;"Ativo",$D4&lt;&gt;'Calc_Mix'!$C$9,'Calc_Mix'!$X$9=0,COUNTIFS(Esc_Turno,'Calc_Mix'!$C$9,Esc_Circ,$B4)+COUNTIFS(Esc_Turno,'Calc_Mix'!$C$9,Esc_Instr,$B4)&gt;0),"",IF(SUMPRODUCT('Calc_Mix'!$D$9:$W$9,'Matriz_Habilidades'!$D4:$W4)=0,"",SUMPRODUCT('Calc_Mix'!$D$9:$W$9,'Matriz_Habilidades'!$D4:$W4)/'Calc_Mix'!$X$9+ROW()*0.000001))</f>
        <v/>
      </c>
      <c r="M4" s="34">
        <f>IF(OR($B4="",$C4&lt;&gt;"Ativo",$D4&lt;&gt;'Calc_Mix'!$C$10,'Calc_Mix'!$X$10=0,COUNTIFS(Esc_Turno,'Calc_Mix'!$C$10,Esc_Circ,$B4)+COUNTIFS(Esc_Turno,'Calc_Mix'!$C$10,Esc_Instr,$B4)&gt;0),"",IF(SUMPRODUCT('Calc_Mix'!$D$10:$W$10,'Matriz_Habilidades'!$D4:$W4)=0,"",SUMPRODUCT('Calc_Mix'!$D$10:$W$10,'Matriz_Habilidades'!$D4:$W4)/'Calc_Mix'!$X$10+ROW()*0.000001))</f>
        <v/>
      </c>
      <c r="N4" s="34">
        <f>IF(OR($B4="",$C4&lt;&gt;"Ativo",$D4&lt;&gt;'Calc_Mix'!$C$11,'Calc_Mix'!$X$11=0,COUNTIFS(Esc_Turno,'Calc_Mix'!$C$11,Esc_Circ,$B4)+COUNTIFS(Esc_Turno,'Calc_Mix'!$C$11,Esc_Instr,$B4)&gt;0),"",IF(SUMPRODUCT('Calc_Mix'!$D$11:$W$11,'Matriz_Habilidades'!$D4:$W4)=0,"",SUMPRODUCT('Calc_Mix'!$D$11:$W$11,'Matriz_Habilidades'!$D4:$W4)/'Calc_Mix'!$X$11+ROW()*0.000001))</f>
        <v/>
      </c>
      <c r="O4" s="34">
        <f>IF(OR($B4="",$C4&lt;&gt;"Ativo",$D4&lt;&gt;'Calc_Mix'!$C$12,'Calc_Mix'!$X$12=0,COUNTIFS(Esc_Turno,'Calc_Mix'!$C$12,Esc_Circ,$B4)+COUNTIFS(Esc_Turno,'Calc_Mix'!$C$12,Esc_Instr,$B4)&gt;0),"",IF(SUMPRODUCT('Calc_Mix'!$D$12:$W$12,'Matriz_Habilidades'!$D4:$W4)=0,"",SUMPRODUCT('Calc_Mix'!$D$12:$W$12,'Matriz_Habilidades'!$D4:$W4)/'Calc_Mix'!$X$12+ROW()*0.000001))</f>
        <v/>
      </c>
      <c r="P4" s="34">
        <f>IF(OR($B4="",$C4&lt;&gt;"Ativo",$D4&lt;&gt;'Calc_Mix'!$C$13,'Calc_Mix'!$X$13=0,COUNTIFS(Esc_Turno,'Calc_Mix'!$C$13,Esc_Circ,$B4)+COUNTIFS(Esc_Turno,'Calc_Mix'!$C$13,Esc_Instr,$B4)&gt;0),"",IF(SUMPRODUCT('Calc_Mix'!$D$13:$W$13,'Matriz_Habilidades'!$D4:$W4)=0,"",SUMPRODUCT('Calc_Mix'!$D$13:$W$13,'Matriz_Habilidades'!$D4:$W4)/'Calc_Mix'!$X$13+ROW()*0.000001))</f>
        <v/>
      </c>
      <c r="Q4" s="34">
        <f>IF(OR($B4="",$C4&lt;&gt;"Ativo",$D4&lt;&gt;'Calc_Mix'!$C$14,'Calc_Mix'!$X$14=0,COUNTIFS(Esc_Turno,'Calc_Mix'!$C$14,Esc_Circ,$B4)+COUNTIFS(Esc_Turno,'Calc_Mix'!$C$14,Esc_Instr,$B4)&gt;0),"",IF(SUMPRODUCT('Calc_Mix'!$D$14:$W$14,'Matriz_Habilidades'!$D4:$W4)=0,"",SUMPRODUCT('Calc_Mix'!$D$14:$W$14,'Matriz_Habilidades'!$D4:$W4)/'Calc_Mix'!$X$14+ROW()*0.000001))</f>
        <v/>
      </c>
      <c r="R4" s="34">
        <f>IF(OR($B4="",$C4&lt;&gt;"Ativo",$D4&lt;&gt;'Calc_Mix'!$C$15,'Calc_Mix'!$X$15=0,COUNTIFS(Esc_Turno,'Calc_Mix'!$C$15,Esc_Circ,$B4)+COUNTIFS(Esc_Turno,'Calc_Mix'!$C$15,Esc_Instr,$B4)&gt;0),"",IF(SUMPRODUCT('Calc_Mix'!$D$15:$W$15,'Matriz_Habilidades'!$D4:$W4)=0,"",SUMPRODUCT('Calc_Mix'!$D$15:$W$15,'Matriz_Habilidades'!$D4:$W4)/'Calc_Mix'!$X$15+ROW()*0.000001))</f>
        <v/>
      </c>
      <c r="S4" s="34">
        <f>IF(OR($B4="",$C4&lt;&gt;"Ativo",$D4&lt;&gt;'Calc_Mix'!$C$16,'Calc_Mix'!$X$16=0,COUNTIFS(Esc_Turno,'Calc_Mix'!$C$16,Esc_Circ,$B4)+COUNTIFS(Esc_Turno,'Calc_Mix'!$C$16,Esc_Instr,$B4)&gt;0),"",IF(SUMPRODUCT('Calc_Mix'!$D$16:$W$16,'Matriz_Habilidades'!$D4:$W4)=0,"",SUMPRODUCT('Calc_Mix'!$D$16:$W$16,'Matriz_Habilidades'!$D4:$W4)/'Calc_Mix'!$X$16+ROW()*0.000001))</f>
        <v/>
      </c>
      <c r="T4" s="34">
        <f>IF(OR($B4="",$C4&lt;&gt;"Ativo",$D4&lt;&gt;'Calc_Mix'!$C$17,'Calc_Mix'!$X$17=0,COUNTIFS(Esc_Turno,'Calc_Mix'!$C$17,Esc_Circ,$B4)+COUNTIFS(Esc_Turno,'Calc_Mix'!$C$17,Esc_Instr,$B4)&gt;0),"",IF(SUMPRODUCT('Calc_Mix'!$D$17:$W$17,'Matriz_Habilidades'!$D4:$W4)=0,"",SUMPRODUCT('Calc_Mix'!$D$17:$W$17,'Matriz_Habilidades'!$D4:$W4)/'Calc_Mix'!$X$17+ROW()*0.000001))</f>
        <v/>
      </c>
      <c r="U4" s="34">
        <f>IF(OR($B4="",$C4&lt;&gt;"Ativo",$D4&lt;&gt;'Calc_Mix'!$C$18,'Calc_Mix'!$X$18=0,COUNTIFS(Esc_Turno,'Calc_Mix'!$C$18,Esc_Circ,$B4)+COUNTIFS(Esc_Turno,'Calc_Mix'!$C$18,Esc_Instr,$B4)&gt;0),"",IF(SUMPRODUCT('Calc_Mix'!$D$18:$W$18,'Matriz_Habilidades'!$D4:$W4)=0,"",SUMPRODUCT('Calc_Mix'!$D$18:$W$18,'Matriz_Habilidades'!$D4:$W4)/'Calc_Mix'!$X$18+ROW()*0.000001))</f>
        <v/>
      </c>
      <c r="V4" s="34">
        <f>IF(OR($B4="",$C4&lt;&gt;"Ativo",$D4&lt;&gt;'Calc_Mix'!$C$19,'Calc_Mix'!$X$19=0,COUNTIFS(Esc_Turno,'Calc_Mix'!$C$19,Esc_Circ,$B4)+COUNTIFS(Esc_Turno,'Calc_Mix'!$C$19,Esc_Instr,$B4)&gt;0),"",IF(SUMPRODUCT('Calc_Mix'!$D$19:$W$19,'Matriz_Habilidades'!$D4:$W4)=0,"",SUMPRODUCT('Calc_Mix'!$D$19:$W$19,'Matriz_Habilidades'!$D4:$W4)/'Calc_Mix'!$X$19+ROW()*0.000001))</f>
        <v/>
      </c>
      <c r="W4" s="34">
        <f>IF(OR($B4="",$C4&lt;&gt;"Ativo",$D4&lt;&gt;'Calc_Mix'!$C$20,'Calc_Mix'!$X$20=0,COUNTIFS(Esc_Turno,'Calc_Mix'!$C$20,Esc_Circ,$B4)+COUNTIFS(Esc_Turno,'Calc_Mix'!$C$20,Esc_Instr,$B4)&gt;0),"",IF(SUMPRODUCT('Calc_Mix'!$D$20:$W$20,'Matriz_Habilidades'!$D4:$W4)=0,"",SUMPRODUCT('Calc_Mix'!$D$20:$W$20,'Matriz_Habilidades'!$D4:$W4)/'Calc_Mix'!$X$20+ROW()*0.000001))</f>
        <v/>
      </c>
      <c r="X4" s="34">
        <f>IF(OR($B4="",$C4&lt;&gt;"Ativo",$D4&lt;&gt;'Calc_Mix'!$C$21,'Calc_Mix'!$X$21=0,COUNTIFS(Esc_Turno,'Calc_Mix'!$C$21,Esc_Circ,$B4)+COUNTIFS(Esc_Turno,'Calc_Mix'!$C$21,Esc_Instr,$B4)&gt;0),"",IF(SUMPRODUCT('Calc_Mix'!$D$21:$W$21,'Matriz_Habilidades'!$D4:$W4)=0,"",SUMPRODUCT('Calc_Mix'!$D$21:$W$21,'Matriz_Habilidades'!$D4:$W4)/'Calc_Mix'!$X$21+ROW()*0.000001))</f>
        <v/>
      </c>
      <c r="Y4" s="34">
        <f>IF(OR($B4="",$C4&lt;&gt;"Ativo",$D4&lt;&gt;'Calc_Mix'!$C$22,'Calc_Mix'!$X$22=0,COUNTIFS(Esc_Turno,'Calc_Mix'!$C$22,Esc_Circ,$B4)+COUNTIFS(Esc_Turno,'Calc_Mix'!$C$22,Esc_Instr,$B4)&gt;0),"",IF(SUMPRODUCT('Calc_Mix'!$D$22:$W$22,'Matriz_Habilidades'!$D4:$W4)=0,"",SUMPRODUCT('Calc_Mix'!$D$22:$W$22,'Matriz_Habilidades'!$D4:$W4)/'Calc_Mix'!$X$22+ROW()*0.000001))</f>
        <v/>
      </c>
      <c r="Z4" s="34">
        <f>IF(OR($B4="",$C4&lt;&gt;"Ativo",$D4&lt;&gt;'Calc_Mix'!$C$23,'Calc_Mix'!$X$23=0,COUNTIFS(Esc_Turno,'Calc_Mix'!$C$23,Esc_Circ,$B4)+COUNTIFS(Esc_Turno,'Calc_Mix'!$C$23,Esc_Instr,$B4)&gt;0),"",IF(SUMPRODUCT('Calc_Mix'!$D$23:$W$23,'Matriz_Habilidades'!$D4:$W4)=0,"",SUMPRODUCT('Calc_Mix'!$D$23:$W$23,'Matriz_Habilidades'!$D4:$W4)/'Calc_Mix'!$X$23+ROW()*0.000001))</f>
        <v/>
      </c>
      <c r="AA4" s="34">
        <f>IF(OR($B4="",$C4&lt;&gt;"Ativo",$D4&lt;&gt;'Calc_Mix'!$C$24,'Calc_Mix'!$X$24=0,COUNTIFS(Esc_Turno,'Calc_Mix'!$C$24,Esc_Circ,$B4)+COUNTIFS(Esc_Turno,'Calc_Mix'!$C$24,Esc_Instr,$B4)&gt;0),"",IF(SUMPRODUCT('Calc_Mix'!$D$24:$W$24,'Matriz_Habilidades'!$D4:$W4)=0,"",SUMPRODUCT('Calc_Mix'!$D$24:$W$24,'Matriz_Habilidades'!$D4:$W4)/'Calc_Mix'!$X$24+ROW()*0.000001))</f>
        <v/>
      </c>
      <c r="AB4" s="34">
        <f>IF(OR($B4="",$C4&lt;&gt;"Ativo",$D4&lt;&gt;'Calc_Mix'!$C$25,'Calc_Mix'!$X$25=0,COUNTIFS(Esc_Turno,'Calc_Mix'!$C$25,Esc_Circ,$B4)+COUNTIFS(Esc_Turno,'Calc_Mix'!$C$25,Esc_Instr,$B4)&gt;0),"",IF(SUMPRODUCT('Calc_Mix'!$D$25:$W$25,'Matriz_Habilidades'!$D4:$W4)=0,"",SUMPRODUCT('Calc_Mix'!$D$25:$W$25,'Matriz_Habilidades'!$D4:$W4)/'Calc_Mix'!$X$25+ROW()*0.000001))</f>
        <v/>
      </c>
      <c r="AC4" s="34">
        <f>IF(OR($B4="",$C4&lt;&gt;"Ativo",$D4&lt;&gt;'Calc_Mix'!$C$26,'Calc_Mix'!$X$26=0,COUNTIFS(Esc_Turno,'Calc_Mix'!$C$26,Esc_Circ,$B4)+COUNTIFS(Esc_Turno,'Calc_Mix'!$C$26,Esc_Instr,$B4)&gt;0),"",IF(SUMPRODUCT('Calc_Mix'!$D$26:$W$26,'Matriz_Habilidades'!$D4:$W4)=0,"",SUMPRODUCT('Calc_Mix'!$D$26:$W$26,'Matriz_Habilidades'!$D4:$W4)/'Calc_Mix'!$X$26+ROW()*0.000001))</f>
        <v/>
      </c>
      <c r="AD4" s="34">
        <f>IF(OR($B4="",$C4&lt;&gt;"Ativo",$D4&lt;&gt;'Calc_Mix'!$C$27,'Calc_Mix'!$X$27=0,COUNTIFS(Esc_Turno,'Calc_Mix'!$C$27,Esc_Circ,$B4)+COUNTIFS(Esc_Turno,'Calc_Mix'!$C$27,Esc_Instr,$B4)&gt;0),"",IF(SUMPRODUCT('Calc_Mix'!$D$27:$W$27,'Matriz_Habilidades'!$D4:$W4)=0,"",SUMPRODUCT('Calc_Mix'!$D$27:$W$27,'Matriz_Habilidades'!$D4:$W4)/'Calc_Mix'!$X$27+ROW()*0.000001))</f>
        <v/>
      </c>
      <c r="AE4" s="34">
        <f>IF(OR($B4="",$C4&lt;&gt;"Ativo",$D4&lt;&gt;'Calc_Mix'!$C$28,'Calc_Mix'!$X$28=0,COUNTIFS(Esc_Turno,'Calc_Mix'!$C$28,Esc_Circ,$B4)+COUNTIFS(Esc_Turno,'Calc_Mix'!$C$28,Esc_Instr,$B4)&gt;0),"",IF(SUMPRODUCT('Calc_Mix'!$D$28:$W$28,'Matriz_Habilidades'!$D4:$W4)=0,"",SUMPRODUCT('Calc_Mix'!$D$28:$W$28,'Matriz_Habilidades'!$D4:$W4)/'Calc_Mix'!$X$28+ROW()*0.000001))</f>
        <v/>
      </c>
      <c r="AF4" s="34">
        <f>IF(OR($B4="",$C4&lt;&gt;"Ativo",$D4&lt;&gt;'Calc_Mix'!$C$29,'Calc_Mix'!$X$29=0,COUNTIFS(Esc_Turno,'Calc_Mix'!$C$29,Esc_Circ,$B4)+COUNTIFS(Esc_Turno,'Calc_Mix'!$C$29,Esc_Instr,$B4)&gt;0),"",IF(SUMPRODUCT('Calc_Mix'!$D$29:$W$29,'Matriz_Habilidades'!$D4:$W4)=0,"",SUMPRODUCT('Calc_Mix'!$D$29:$W$29,'Matriz_Habilidades'!$D4:$W4)/'Calc_Mix'!$X$29+ROW()*0.000001))</f>
        <v/>
      </c>
      <c r="AG4" s="34">
        <f>IF(OR($B4="",$C4&lt;&gt;"Ativo",$D4&lt;&gt;'Calc_Mix'!$C$30,'Calc_Mix'!$X$30=0,COUNTIFS(Esc_Turno,'Calc_Mix'!$C$30,Esc_Circ,$B4)+COUNTIFS(Esc_Turno,'Calc_Mix'!$C$30,Esc_Instr,$B4)&gt;0),"",IF(SUMPRODUCT('Calc_Mix'!$D$30:$W$30,'Matriz_Habilidades'!$D4:$W4)=0,"",SUMPRODUCT('Calc_Mix'!$D$30:$W$30,'Matriz_Habilidades'!$D4:$W4)/'Calc_Mix'!$X$30+ROW()*0.000001))</f>
        <v/>
      </c>
      <c r="AH4" s="34">
        <f>IF(OR($B4="",$C4&lt;&gt;"Ativo",$D4&lt;&gt;'Calc_Mix'!$C$31,'Calc_Mix'!$X$31=0,COUNTIFS(Esc_Turno,'Calc_Mix'!$C$31,Esc_Circ,$B4)+COUNTIFS(Esc_Turno,'Calc_Mix'!$C$31,Esc_Instr,$B4)&gt;0),"",IF(SUMPRODUCT('Calc_Mix'!$D$31:$W$31,'Matriz_Habilidades'!$D4:$W4)=0,"",SUMPRODUCT('Calc_Mix'!$D$31:$W$31,'Matriz_Habilidades'!$D4:$W4)/'Calc_Mix'!$X$31+ROW()*0.000001))</f>
        <v/>
      </c>
      <c r="AI4" s="34">
        <f>IF(OR($B4="",$C4&lt;&gt;"Ativo",$D4&lt;&gt;'Calc_Mix'!$C$32,'Calc_Mix'!$X$32=0,COUNTIFS(Esc_Turno,'Calc_Mix'!$C$32,Esc_Circ,$B4)+COUNTIFS(Esc_Turno,'Calc_Mix'!$C$32,Esc_Instr,$B4)&gt;0),"",IF(SUMPRODUCT('Calc_Mix'!$D$32:$W$32,'Matriz_Habilidades'!$D4:$W4)=0,"",SUMPRODUCT('Calc_Mix'!$D$32:$W$32,'Matriz_Habilidades'!$D4:$W4)/'Calc_Mix'!$X$32+ROW()*0.000001))</f>
        <v/>
      </c>
      <c r="AJ4" s="34">
        <f>IF(OR($B4="",$C4&lt;&gt;"Ativo",$D4&lt;&gt;'Calc_Mix'!$C$33,'Calc_Mix'!$X$33=0,COUNTIFS(Esc_Turno,'Calc_Mix'!$C$33,Esc_Circ,$B4)+COUNTIFS(Esc_Turno,'Calc_Mix'!$C$33,Esc_Instr,$B4)&gt;0),"",IF(SUMPRODUCT('Calc_Mix'!$D$33:$W$33,'Matriz_Habilidades'!$D4:$W4)=0,"",SUMPRODUCT('Calc_Mix'!$D$33:$W$33,'Matriz_Habilidades'!$D4:$W4)/'Calc_Mix'!$X$33+ROW()*0.000001))</f>
        <v/>
      </c>
      <c r="AK4" s="34">
        <f>IF(OR($B4="",$C4&lt;&gt;"Ativo",$D4&lt;&gt;'Calc_Mix'!$C$34,'Calc_Mix'!$X$34=0,COUNTIFS(Esc_Turno,'Calc_Mix'!$C$34,Esc_Circ,$B4)+COUNTIFS(Esc_Turno,'Calc_Mix'!$C$34,Esc_Instr,$B4)&gt;0),"",IF(SUMPRODUCT('Calc_Mix'!$D$34:$W$34,'Matriz_Habilidades'!$D4:$W4)=0,"",SUMPRODUCT('Calc_Mix'!$D$34:$W$34,'Matriz_Habilidades'!$D4:$W4)/'Calc_Mix'!$X$34+ROW()*0.000001))</f>
        <v/>
      </c>
      <c r="AL4" s="34">
        <f>IF(OR($B4="",$C4&lt;&gt;"Ativo",$D4&lt;&gt;'Calc_Mix'!$C$35,'Calc_Mix'!$X$35=0,COUNTIFS(Esc_Turno,'Calc_Mix'!$C$35,Esc_Circ,$B4)+COUNTIFS(Esc_Turno,'Calc_Mix'!$C$35,Esc_Instr,$B4)&gt;0),"",IF(SUMPRODUCT('Calc_Mix'!$D$35:$W$35,'Matriz_Habilidades'!$D4:$W4)=0,"",SUMPRODUCT('Calc_Mix'!$D$35:$W$35,'Matriz_Habilidades'!$D4:$W4)/'Calc_Mix'!$X$35+ROW()*0.000001))</f>
        <v/>
      </c>
      <c r="AM4" s="34">
        <f>IF(OR($B4="",$C4&lt;&gt;"Ativo",$D4&lt;&gt;'Calc_Mix'!$C$36,'Calc_Mix'!$X$36=0,COUNTIFS(Esc_Turno,'Calc_Mix'!$C$36,Esc_Circ,$B4)+COUNTIFS(Esc_Turno,'Calc_Mix'!$C$36,Esc_Instr,$B4)&gt;0),"",IF(SUMPRODUCT('Calc_Mix'!$D$36:$W$36,'Matriz_Habilidades'!$D4:$W4)=0,"",SUMPRODUCT('Calc_Mix'!$D$36:$W$36,'Matriz_Habilidades'!$D4:$W4)/'Calc_Mix'!$X$36+ROW()*0.000001))</f>
        <v/>
      </c>
      <c r="AN4" s="34">
        <f>IF(OR($B4="",$C4&lt;&gt;"Ativo",$D4&lt;&gt;'Calc_Mix'!$C$37,'Calc_Mix'!$X$37=0,COUNTIFS(Esc_Turno,'Calc_Mix'!$C$37,Esc_Circ,$B4)+COUNTIFS(Esc_Turno,'Calc_Mix'!$C$37,Esc_Instr,$B4)&gt;0),"",IF(SUMPRODUCT('Calc_Mix'!$D$37:$W$37,'Matriz_Habilidades'!$D4:$W4)=0,"",SUMPRODUCT('Calc_Mix'!$D$37:$W$37,'Matriz_Habilidades'!$D4:$W4)/'Calc_Mix'!$X$37+ROW()*0.000001))</f>
        <v/>
      </c>
    </row>
    <row r="5">
      <c r="A5" s="27">
        <f>IF('Matriz_Habilidades'!A5="","",'Matriz_Habilidades'!A5)</f>
        <v/>
      </c>
      <c r="B5" s="28">
        <f>IF('Matriz_Habilidades'!B5="","",'Matriz_Habilidades'!B5)</f>
        <v/>
      </c>
      <c r="C5" s="27">
        <f>IF($A5="","",IFERROR(INDEX(Equipe_Status,MATCH($B5,Equipe_Nome,0)),"?"))</f>
        <v/>
      </c>
      <c r="D5" s="27">
        <f>IF($A5="","",IFERROR(INDEX(Equipe_Turno,MATCH($B5,Equipe_Nome,0)),"?"))</f>
        <v/>
      </c>
      <c r="E5" s="34">
        <f>IF(OR($B5="",$C5&lt;&gt;"Ativo",$D5&lt;&gt;'Calc_Mix'!$C$2,'Calc_Mix'!$X$2=0,COUNTIFS(Esc_Turno,'Calc_Mix'!$C$2,Esc_Circ,$B5)+COUNTIFS(Esc_Turno,'Calc_Mix'!$C$2,Esc_Instr,$B5)&gt;0),"",IF(SUMPRODUCT('Calc_Mix'!$D$2:$W$2,'Matriz_Habilidades'!$D5:$W5)=0,"",SUMPRODUCT('Calc_Mix'!$D$2:$W$2,'Matriz_Habilidades'!$D5:$W5)/'Calc_Mix'!$X$2+ROW()*0.000001))</f>
        <v/>
      </c>
      <c r="F5" s="34">
        <f>IF(OR($B5="",$C5&lt;&gt;"Ativo",$D5&lt;&gt;'Calc_Mix'!$C$3,'Calc_Mix'!$X$3=0,COUNTIFS(Esc_Turno,'Calc_Mix'!$C$3,Esc_Circ,$B5)+COUNTIFS(Esc_Turno,'Calc_Mix'!$C$3,Esc_Instr,$B5)&gt;0),"",IF(SUMPRODUCT('Calc_Mix'!$D$3:$W$3,'Matriz_Habilidades'!$D5:$W5)=0,"",SUMPRODUCT('Calc_Mix'!$D$3:$W$3,'Matriz_Habilidades'!$D5:$W5)/'Calc_Mix'!$X$3+ROW()*0.000001))</f>
        <v/>
      </c>
      <c r="G5" s="34">
        <f>IF(OR($B5="",$C5&lt;&gt;"Ativo",$D5&lt;&gt;'Calc_Mix'!$C$4,'Calc_Mix'!$X$4=0,COUNTIFS(Esc_Turno,'Calc_Mix'!$C$4,Esc_Circ,$B5)+COUNTIFS(Esc_Turno,'Calc_Mix'!$C$4,Esc_Instr,$B5)&gt;0),"",IF(SUMPRODUCT('Calc_Mix'!$D$4:$W$4,'Matriz_Habilidades'!$D5:$W5)=0,"",SUMPRODUCT('Calc_Mix'!$D$4:$W$4,'Matriz_Habilidades'!$D5:$W5)/'Calc_Mix'!$X$4+ROW()*0.000001))</f>
        <v/>
      </c>
      <c r="H5" s="34">
        <f>IF(OR($B5="",$C5&lt;&gt;"Ativo",$D5&lt;&gt;'Calc_Mix'!$C$5,'Calc_Mix'!$X$5=0,COUNTIFS(Esc_Turno,'Calc_Mix'!$C$5,Esc_Circ,$B5)+COUNTIFS(Esc_Turno,'Calc_Mix'!$C$5,Esc_Instr,$B5)&gt;0),"",IF(SUMPRODUCT('Calc_Mix'!$D$5:$W$5,'Matriz_Habilidades'!$D5:$W5)=0,"",SUMPRODUCT('Calc_Mix'!$D$5:$W$5,'Matriz_Habilidades'!$D5:$W5)/'Calc_Mix'!$X$5+ROW()*0.000001))</f>
        <v/>
      </c>
      <c r="I5" s="34">
        <f>IF(OR($B5="",$C5&lt;&gt;"Ativo",$D5&lt;&gt;'Calc_Mix'!$C$6,'Calc_Mix'!$X$6=0,COUNTIFS(Esc_Turno,'Calc_Mix'!$C$6,Esc_Circ,$B5)+COUNTIFS(Esc_Turno,'Calc_Mix'!$C$6,Esc_Instr,$B5)&gt;0),"",IF(SUMPRODUCT('Calc_Mix'!$D$6:$W$6,'Matriz_Habilidades'!$D5:$W5)=0,"",SUMPRODUCT('Calc_Mix'!$D$6:$W$6,'Matriz_Habilidades'!$D5:$W5)/'Calc_Mix'!$X$6+ROW()*0.000001))</f>
        <v/>
      </c>
      <c r="J5" s="34">
        <f>IF(OR($B5="",$C5&lt;&gt;"Ativo",$D5&lt;&gt;'Calc_Mix'!$C$7,'Calc_Mix'!$X$7=0,COUNTIFS(Esc_Turno,'Calc_Mix'!$C$7,Esc_Circ,$B5)+COUNTIFS(Esc_Turno,'Calc_Mix'!$C$7,Esc_Instr,$B5)&gt;0),"",IF(SUMPRODUCT('Calc_Mix'!$D$7:$W$7,'Matriz_Habilidades'!$D5:$W5)=0,"",SUMPRODUCT('Calc_Mix'!$D$7:$W$7,'Matriz_Habilidades'!$D5:$W5)/'Calc_Mix'!$X$7+ROW()*0.000001))</f>
        <v/>
      </c>
      <c r="K5" s="34">
        <f>IF(OR($B5="",$C5&lt;&gt;"Ativo",$D5&lt;&gt;'Calc_Mix'!$C$8,'Calc_Mix'!$X$8=0,COUNTIFS(Esc_Turno,'Calc_Mix'!$C$8,Esc_Circ,$B5)+COUNTIFS(Esc_Turno,'Calc_Mix'!$C$8,Esc_Instr,$B5)&gt;0),"",IF(SUMPRODUCT('Calc_Mix'!$D$8:$W$8,'Matriz_Habilidades'!$D5:$W5)=0,"",SUMPRODUCT('Calc_Mix'!$D$8:$W$8,'Matriz_Habilidades'!$D5:$W5)/'Calc_Mix'!$X$8+ROW()*0.000001))</f>
        <v/>
      </c>
      <c r="L5" s="34">
        <f>IF(OR($B5="",$C5&lt;&gt;"Ativo",$D5&lt;&gt;'Calc_Mix'!$C$9,'Calc_Mix'!$X$9=0,COUNTIFS(Esc_Turno,'Calc_Mix'!$C$9,Esc_Circ,$B5)+COUNTIFS(Esc_Turno,'Calc_Mix'!$C$9,Esc_Instr,$B5)&gt;0),"",IF(SUMPRODUCT('Calc_Mix'!$D$9:$W$9,'Matriz_Habilidades'!$D5:$W5)=0,"",SUMPRODUCT('Calc_Mix'!$D$9:$W$9,'Matriz_Habilidades'!$D5:$W5)/'Calc_Mix'!$X$9+ROW()*0.000001))</f>
        <v/>
      </c>
      <c r="M5" s="34">
        <f>IF(OR($B5="",$C5&lt;&gt;"Ativo",$D5&lt;&gt;'Calc_Mix'!$C$10,'Calc_Mix'!$X$10=0,COUNTIFS(Esc_Turno,'Calc_Mix'!$C$10,Esc_Circ,$B5)+COUNTIFS(Esc_Turno,'Calc_Mix'!$C$10,Esc_Instr,$B5)&gt;0),"",IF(SUMPRODUCT('Calc_Mix'!$D$10:$W$10,'Matriz_Habilidades'!$D5:$W5)=0,"",SUMPRODUCT('Calc_Mix'!$D$10:$W$10,'Matriz_Habilidades'!$D5:$W5)/'Calc_Mix'!$X$10+ROW()*0.000001))</f>
        <v/>
      </c>
      <c r="N5" s="34">
        <f>IF(OR($B5="",$C5&lt;&gt;"Ativo",$D5&lt;&gt;'Calc_Mix'!$C$11,'Calc_Mix'!$X$11=0,COUNTIFS(Esc_Turno,'Calc_Mix'!$C$11,Esc_Circ,$B5)+COUNTIFS(Esc_Turno,'Calc_Mix'!$C$11,Esc_Instr,$B5)&gt;0),"",IF(SUMPRODUCT('Calc_Mix'!$D$11:$W$11,'Matriz_Habilidades'!$D5:$W5)=0,"",SUMPRODUCT('Calc_Mix'!$D$11:$W$11,'Matriz_Habilidades'!$D5:$W5)/'Calc_Mix'!$X$11+ROW()*0.000001))</f>
        <v/>
      </c>
      <c r="O5" s="34">
        <f>IF(OR($B5="",$C5&lt;&gt;"Ativo",$D5&lt;&gt;'Calc_Mix'!$C$12,'Calc_Mix'!$X$12=0,COUNTIFS(Esc_Turno,'Calc_Mix'!$C$12,Esc_Circ,$B5)+COUNTIFS(Esc_Turno,'Calc_Mix'!$C$12,Esc_Instr,$B5)&gt;0),"",IF(SUMPRODUCT('Calc_Mix'!$D$12:$W$12,'Matriz_Habilidades'!$D5:$W5)=0,"",SUMPRODUCT('Calc_Mix'!$D$12:$W$12,'Matriz_Habilidades'!$D5:$W5)/'Calc_Mix'!$X$12+ROW()*0.000001))</f>
        <v/>
      </c>
      <c r="P5" s="34">
        <f>IF(OR($B5="",$C5&lt;&gt;"Ativo",$D5&lt;&gt;'Calc_Mix'!$C$13,'Calc_Mix'!$X$13=0,COUNTIFS(Esc_Turno,'Calc_Mix'!$C$13,Esc_Circ,$B5)+COUNTIFS(Esc_Turno,'Calc_Mix'!$C$13,Esc_Instr,$B5)&gt;0),"",IF(SUMPRODUCT('Calc_Mix'!$D$13:$W$13,'Matriz_Habilidades'!$D5:$W5)=0,"",SUMPRODUCT('Calc_Mix'!$D$13:$W$13,'Matriz_Habilidades'!$D5:$W5)/'Calc_Mix'!$X$13+ROW()*0.000001))</f>
        <v/>
      </c>
      <c r="Q5" s="34">
        <f>IF(OR($B5="",$C5&lt;&gt;"Ativo",$D5&lt;&gt;'Calc_Mix'!$C$14,'Calc_Mix'!$X$14=0,COUNTIFS(Esc_Turno,'Calc_Mix'!$C$14,Esc_Circ,$B5)+COUNTIFS(Esc_Turno,'Calc_Mix'!$C$14,Esc_Instr,$B5)&gt;0),"",IF(SUMPRODUCT('Calc_Mix'!$D$14:$W$14,'Matriz_Habilidades'!$D5:$W5)=0,"",SUMPRODUCT('Calc_Mix'!$D$14:$W$14,'Matriz_Habilidades'!$D5:$W5)/'Calc_Mix'!$X$14+ROW()*0.000001))</f>
        <v/>
      </c>
      <c r="R5" s="34">
        <f>IF(OR($B5="",$C5&lt;&gt;"Ativo",$D5&lt;&gt;'Calc_Mix'!$C$15,'Calc_Mix'!$X$15=0,COUNTIFS(Esc_Turno,'Calc_Mix'!$C$15,Esc_Circ,$B5)+COUNTIFS(Esc_Turno,'Calc_Mix'!$C$15,Esc_Instr,$B5)&gt;0),"",IF(SUMPRODUCT('Calc_Mix'!$D$15:$W$15,'Matriz_Habilidades'!$D5:$W5)=0,"",SUMPRODUCT('Calc_Mix'!$D$15:$W$15,'Matriz_Habilidades'!$D5:$W5)/'Calc_Mix'!$X$15+ROW()*0.000001))</f>
        <v/>
      </c>
      <c r="S5" s="34">
        <f>IF(OR($B5="",$C5&lt;&gt;"Ativo",$D5&lt;&gt;'Calc_Mix'!$C$16,'Calc_Mix'!$X$16=0,COUNTIFS(Esc_Turno,'Calc_Mix'!$C$16,Esc_Circ,$B5)+COUNTIFS(Esc_Turno,'Calc_Mix'!$C$16,Esc_Instr,$B5)&gt;0),"",IF(SUMPRODUCT('Calc_Mix'!$D$16:$W$16,'Matriz_Habilidades'!$D5:$W5)=0,"",SUMPRODUCT('Calc_Mix'!$D$16:$W$16,'Matriz_Habilidades'!$D5:$W5)/'Calc_Mix'!$X$16+ROW()*0.000001))</f>
        <v/>
      </c>
      <c r="T5" s="34">
        <f>IF(OR($B5="",$C5&lt;&gt;"Ativo",$D5&lt;&gt;'Calc_Mix'!$C$17,'Calc_Mix'!$X$17=0,COUNTIFS(Esc_Turno,'Calc_Mix'!$C$17,Esc_Circ,$B5)+COUNTIFS(Esc_Turno,'Calc_Mix'!$C$17,Esc_Instr,$B5)&gt;0),"",IF(SUMPRODUCT('Calc_Mix'!$D$17:$W$17,'Matriz_Habilidades'!$D5:$W5)=0,"",SUMPRODUCT('Calc_Mix'!$D$17:$W$17,'Matriz_Habilidades'!$D5:$W5)/'Calc_Mix'!$X$17+ROW()*0.000001))</f>
        <v/>
      </c>
      <c r="U5" s="34">
        <f>IF(OR($B5="",$C5&lt;&gt;"Ativo",$D5&lt;&gt;'Calc_Mix'!$C$18,'Calc_Mix'!$X$18=0,COUNTIFS(Esc_Turno,'Calc_Mix'!$C$18,Esc_Circ,$B5)+COUNTIFS(Esc_Turno,'Calc_Mix'!$C$18,Esc_Instr,$B5)&gt;0),"",IF(SUMPRODUCT('Calc_Mix'!$D$18:$W$18,'Matriz_Habilidades'!$D5:$W5)=0,"",SUMPRODUCT('Calc_Mix'!$D$18:$W$18,'Matriz_Habilidades'!$D5:$W5)/'Calc_Mix'!$X$18+ROW()*0.000001))</f>
        <v/>
      </c>
      <c r="V5" s="34">
        <f>IF(OR($B5="",$C5&lt;&gt;"Ativo",$D5&lt;&gt;'Calc_Mix'!$C$19,'Calc_Mix'!$X$19=0,COUNTIFS(Esc_Turno,'Calc_Mix'!$C$19,Esc_Circ,$B5)+COUNTIFS(Esc_Turno,'Calc_Mix'!$C$19,Esc_Instr,$B5)&gt;0),"",IF(SUMPRODUCT('Calc_Mix'!$D$19:$W$19,'Matriz_Habilidades'!$D5:$W5)=0,"",SUMPRODUCT('Calc_Mix'!$D$19:$W$19,'Matriz_Habilidades'!$D5:$W5)/'Calc_Mix'!$X$19+ROW()*0.000001))</f>
        <v/>
      </c>
      <c r="W5" s="34">
        <f>IF(OR($B5="",$C5&lt;&gt;"Ativo",$D5&lt;&gt;'Calc_Mix'!$C$20,'Calc_Mix'!$X$20=0,COUNTIFS(Esc_Turno,'Calc_Mix'!$C$20,Esc_Circ,$B5)+COUNTIFS(Esc_Turno,'Calc_Mix'!$C$20,Esc_Instr,$B5)&gt;0),"",IF(SUMPRODUCT('Calc_Mix'!$D$20:$W$20,'Matriz_Habilidades'!$D5:$W5)=0,"",SUMPRODUCT('Calc_Mix'!$D$20:$W$20,'Matriz_Habilidades'!$D5:$W5)/'Calc_Mix'!$X$20+ROW()*0.000001))</f>
        <v/>
      </c>
      <c r="X5" s="34">
        <f>IF(OR($B5="",$C5&lt;&gt;"Ativo",$D5&lt;&gt;'Calc_Mix'!$C$21,'Calc_Mix'!$X$21=0,COUNTIFS(Esc_Turno,'Calc_Mix'!$C$21,Esc_Circ,$B5)+COUNTIFS(Esc_Turno,'Calc_Mix'!$C$21,Esc_Instr,$B5)&gt;0),"",IF(SUMPRODUCT('Calc_Mix'!$D$21:$W$21,'Matriz_Habilidades'!$D5:$W5)=0,"",SUMPRODUCT('Calc_Mix'!$D$21:$W$21,'Matriz_Habilidades'!$D5:$W5)/'Calc_Mix'!$X$21+ROW()*0.000001))</f>
        <v/>
      </c>
      <c r="Y5" s="34">
        <f>IF(OR($B5="",$C5&lt;&gt;"Ativo",$D5&lt;&gt;'Calc_Mix'!$C$22,'Calc_Mix'!$X$22=0,COUNTIFS(Esc_Turno,'Calc_Mix'!$C$22,Esc_Circ,$B5)+COUNTIFS(Esc_Turno,'Calc_Mix'!$C$22,Esc_Instr,$B5)&gt;0),"",IF(SUMPRODUCT('Calc_Mix'!$D$22:$W$22,'Matriz_Habilidades'!$D5:$W5)=0,"",SUMPRODUCT('Calc_Mix'!$D$22:$W$22,'Matriz_Habilidades'!$D5:$W5)/'Calc_Mix'!$X$22+ROW()*0.000001))</f>
        <v/>
      </c>
      <c r="Z5" s="34">
        <f>IF(OR($B5="",$C5&lt;&gt;"Ativo",$D5&lt;&gt;'Calc_Mix'!$C$23,'Calc_Mix'!$X$23=0,COUNTIFS(Esc_Turno,'Calc_Mix'!$C$23,Esc_Circ,$B5)+COUNTIFS(Esc_Turno,'Calc_Mix'!$C$23,Esc_Instr,$B5)&gt;0),"",IF(SUMPRODUCT('Calc_Mix'!$D$23:$W$23,'Matriz_Habilidades'!$D5:$W5)=0,"",SUMPRODUCT('Calc_Mix'!$D$23:$W$23,'Matriz_Habilidades'!$D5:$W5)/'Calc_Mix'!$X$23+ROW()*0.000001))</f>
        <v/>
      </c>
      <c r="AA5" s="34">
        <f>IF(OR($B5="",$C5&lt;&gt;"Ativo",$D5&lt;&gt;'Calc_Mix'!$C$24,'Calc_Mix'!$X$24=0,COUNTIFS(Esc_Turno,'Calc_Mix'!$C$24,Esc_Circ,$B5)+COUNTIFS(Esc_Turno,'Calc_Mix'!$C$24,Esc_Instr,$B5)&gt;0),"",IF(SUMPRODUCT('Calc_Mix'!$D$24:$W$24,'Matriz_Habilidades'!$D5:$W5)=0,"",SUMPRODUCT('Calc_Mix'!$D$24:$W$24,'Matriz_Habilidades'!$D5:$W5)/'Calc_Mix'!$X$24+ROW()*0.000001))</f>
        <v/>
      </c>
      <c r="AB5" s="34">
        <f>IF(OR($B5="",$C5&lt;&gt;"Ativo",$D5&lt;&gt;'Calc_Mix'!$C$25,'Calc_Mix'!$X$25=0,COUNTIFS(Esc_Turno,'Calc_Mix'!$C$25,Esc_Circ,$B5)+COUNTIFS(Esc_Turno,'Calc_Mix'!$C$25,Esc_Instr,$B5)&gt;0),"",IF(SUMPRODUCT('Calc_Mix'!$D$25:$W$25,'Matriz_Habilidades'!$D5:$W5)=0,"",SUMPRODUCT('Calc_Mix'!$D$25:$W$25,'Matriz_Habilidades'!$D5:$W5)/'Calc_Mix'!$X$25+ROW()*0.000001))</f>
        <v/>
      </c>
      <c r="AC5" s="34">
        <f>IF(OR($B5="",$C5&lt;&gt;"Ativo",$D5&lt;&gt;'Calc_Mix'!$C$26,'Calc_Mix'!$X$26=0,COUNTIFS(Esc_Turno,'Calc_Mix'!$C$26,Esc_Circ,$B5)+COUNTIFS(Esc_Turno,'Calc_Mix'!$C$26,Esc_Instr,$B5)&gt;0),"",IF(SUMPRODUCT('Calc_Mix'!$D$26:$W$26,'Matriz_Habilidades'!$D5:$W5)=0,"",SUMPRODUCT('Calc_Mix'!$D$26:$W$26,'Matriz_Habilidades'!$D5:$W5)/'Calc_Mix'!$X$26+ROW()*0.000001))</f>
        <v/>
      </c>
      <c r="AD5" s="34">
        <f>IF(OR($B5="",$C5&lt;&gt;"Ativo",$D5&lt;&gt;'Calc_Mix'!$C$27,'Calc_Mix'!$X$27=0,COUNTIFS(Esc_Turno,'Calc_Mix'!$C$27,Esc_Circ,$B5)+COUNTIFS(Esc_Turno,'Calc_Mix'!$C$27,Esc_Instr,$B5)&gt;0),"",IF(SUMPRODUCT('Calc_Mix'!$D$27:$W$27,'Matriz_Habilidades'!$D5:$W5)=0,"",SUMPRODUCT('Calc_Mix'!$D$27:$W$27,'Matriz_Habilidades'!$D5:$W5)/'Calc_Mix'!$X$27+ROW()*0.000001))</f>
        <v/>
      </c>
      <c r="AE5" s="34">
        <f>IF(OR($B5="",$C5&lt;&gt;"Ativo",$D5&lt;&gt;'Calc_Mix'!$C$28,'Calc_Mix'!$X$28=0,COUNTIFS(Esc_Turno,'Calc_Mix'!$C$28,Esc_Circ,$B5)+COUNTIFS(Esc_Turno,'Calc_Mix'!$C$28,Esc_Instr,$B5)&gt;0),"",IF(SUMPRODUCT('Calc_Mix'!$D$28:$W$28,'Matriz_Habilidades'!$D5:$W5)=0,"",SUMPRODUCT('Calc_Mix'!$D$28:$W$28,'Matriz_Habilidades'!$D5:$W5)/'Calc_Mix'!$X$28+ROW()*0.000001))</f>
        <v/>
      </c>
      <c r="AF5" s="34">
        <f>IF(OR($B5="",$C5&lt;&gt;"Ativo",$D5&lt;&gt;'Calc_Mix'!$C$29,'Calc_Mix'!$X$29=0,COUNTIFS(Esc_Turno,'Calc_Mix'!$C$29,Esc_Circ,$B5)+COUNTIFS(Esc_Turno,'Calc_Mix'!$C$29,Esc_Instr,$B5)&gt;0),"",IF(SUMPRODUCT('Calc_Mix'!$D$29:$W$29,'Matriz_Habilidades'!$D5:$W5)=0,"",SUMPRODUCT('Calc_Mix'!$D$29:$W$29,'Matriz_Habilidades'!$D5:$W5)/'Calc_Mix'!$X$29+ROW()*0.000001))</f>
        <v/>
      </c>
      <c r="AG5" s="34">
        <f>IF(OR($B5="",$C5&lt;&gt;"Ativo",$D5&lt;&gt;'Calc_Mix'!$C$30,'Calc_Mix'!$X$30=0,COUNTIFS(Esc_Turno,'Calc_Mix'!$C$30,Esc_Circ,$B5)+COUNTIFS(Esc_Turno,'Calc_Mix'!$C$30,Esc_Instr,$B5)&gt;0),"",IF(SUMPRODUCT('Calc_Mix'!$D$30:$W$30,'Matriz_Habilidades'!$D5:$W5)=0,"",SUMPRODUCT('Calc_Mix'!$D$30:$W$30,'Matriz_Habilidades'!$D5:$W5)/'Calc_Mix'!$X$30+ROW()*0.000001))</f>
        <v/>
      </c>
      <c r="AH5" s="34">
        <f>IF(OR($B5="",$C5&lt;&gt;"Ativo",$D5&lt;&gt;'Calc_Mix'!$C$31,'Calc_Mix'!$X$31=0,COUNTIFS(Esc_Turno,'Calc_Mix'!$C$31,Esc_Circ,$B5)+COUNTIFS(Esc_Turno,'Calc_Mix'!$C$31,Esc_Instr,$B5)&gt;0),"",IF(SUMPRODUCT('Calc_Mix'!$D$31:$W$31,'Matriz_Habilidades'!$D5:$W5)=0,"",SUMPRODUCT('Calc_Mix'!$D$31:$W$31,'Matriz_Habilidades'!$D5:$W5)/'Calc_Mix'!$X$31+ROW()*0.000001))</f>
        <v/>
      </c>
      <c r="AI5" s="34">
        <f>IF(OR($B5="",$C5&lt;&gt;"Ativo",$D5&lt;&gt;'Calc_Mix'!$C$32,'Calc_Mix'!$X$32=0,COUNTIFS(Esc_Turno,'Calc_Mix'!$C$32,Esc_Circ,$B5)+COUNTIFS(Esc_Turno,'Calc_Mix'!$C$32,Esc_Instr,$B5)&gt;0),"",IF(SUMPRODUCT('Calc_Mix'!$D$32:$W$32,'Matriz_Habilidades'!$D5:$W5)=0,"",SUMPRODUCT('Calc_Mix'!$D$32:$W$32,'Matriz_Habilidades'!$D5:$W5)/'Calc_Mix'!$X$32+ROW()*0.000001))</f>
        <v/>
      </c>
      <c r="AJ5" s="34">
        <f>IF(OR($B5="",$C5&lt;&gt;"Ativo",$D5&lt;&gt;'Calc_Mix'!$C$33,'Calc_Mix'!$X$33=0,COUNTIFS(Esc_Turno,'Calc_Mix'!$C$33,Esc_Circ,$B5)+COUNTIFS(Esc_Turno,'Calc_Mix'!$C$33,Esc_Instr,$B5)&gt;0),"",IF(SUMPRODUCT('Calc_Mix'!$D$33:$W$33,'Matriz_Habilidades'!$D5:$W5)=0,"",SUMPRODUCT('Calc_Mix'!$D$33:$W$33,'Matriz_Habilidades'!$D5:$W5)/'Calc_Mix'!$X$33+ROW()*0.000001))</f>
        <v/>
      </c>
      <c r="AK5" s="34">
        <f>IF(OR($B5="",$C5&lt;&gt;"Ativo",$D5&lt;&gt;'Calc_Mix'!$C$34,'Calc_Mix'!$X$34=0,COUNTIFS(Esc_Turno,'Calc_Mix'!$C$34,Esc_Circ,$B5)+COUNTIFS(Esc_Turno,'Calc_Mix'!$C$34,Esc_Instr,$B5)&gt;0),"",IF(SUMPRODUCT('Calc_Mix'!$D$34:$W$34,'Matriz_Habilidades'!$D5:$W5)=0,"",SUMPRODUCT('Calc_Mix'!$D$34:$W$34,'Matriz_Habilidades'!$D5:$W5)/'Calc_Mix'!$X$34+ROW()*0.000001))</f>
        <v/>
      </c>
      <c r="AL5" s="34">
        <f>IF(OR($B5="",$C5&lt;&gt;"Ativo",$D5&lt;&gt;'Calc_Mix'!$C$35,'Calc_Mix'!$X$35=0,COUNTIFS(Esc_Turno,'Calc_Mix'!$C$35,Esc_Circ,$B5)+COUNTIFS(Esc_Turno,'Calc_Mix'!$C$35,Esc_Instr,$B5)&gt;0),"",IF(SUMPRODUCT('Calc_Mix'!$D$35:$W$35,'Matriz_Habilidades'!$D5:$W5)=0,"",SUMPRODUCT('Calc_Mix'!$D$35:$W$35,'Matriz_Habilidades'!$D5:$W5)/'Calc_Mix'!$X$35+ROW()*0.000001))</f>
        <v/>
      </c>
      <c r="AM5" s="34">
        <f>IF(OR($B5="",$C5&lt;&gt;"Ativo",$D5&lt;&gt;'Calc_Mix'!$C$36,'Calc_Mix'!$X$36=0,COUNTIFS(Esc_Turno,'Calc_Mix'!$C$36,Esc_Circ,$B5)+COUNTIFS(Esc_Turno,'Calc_Mix'!$C$36,Esc_Instr,$B5)&gt;0),"",IF(SUMPRODUCT('Calc_Mix'!$D$36:$W$36,'Matriz_Habilidades'!$D5:$W5)=0,"",SUMPRODUCT('Calc_Mix'!$D$36:$W$36,'Matriz_Habilidades'!$D5:$W5)/'Calc_Mix'!$X$36+ROW()*0.000001))</f>
        <v/>
      </c>
      <c r="AN5" s="34">
        <f>IF(OR($B5="",$C5&lt;&gt;"Ativo",$D5&lt;&gt;'Calc_Mix'!$C$37,'Calc_Mix'!$X$37=0,COUNTIFS(Esc_Turno,'Calc_Mix'!$C$37,Esc_Circ,$B5)+COUNTIFS(Esc_Turno,'Calc_Mix'!$C$37,Esc_Instr,$B5)&gt;0),"",IF(SUMPRODUCT('Calc_Mix'!$D$37:$W$37,'Matriz_Habilidades'!$D5:$W5)=0,"",SUMPRODUCT('Calc_Mix'!$D$37:$W$37,'Matriz_Habilidades'!$D5:$W5)/'Calc_Mix'!$X$37+ROW()*0.000001))</f>
        <v/>
      </c>
    </row>
    <row r="6">
      <c r="A6" s="27">
        <f>IF('Matriz_Habilidades'!A6="","",'Matriz_Habilidades'!A6)</f>
        <v/>
      </c>
      <c r="B6" s="28">
        <f>IF('Matriz_Habilidades'!B6="","",'Matriz_Habilidades'!B6)</f>
        <v/>
      </c>
      <c r="C6" s="27">
        <f>IF($A6="","",IFERROR(INDEX(Equipe_Status,MATCH($B6,Equipe_Nome,0)),"?"))</f>
        <v/>
      </c>
      <c r="D6" s="27">
        <f>IF($A6="","",IFERROR(INDEX(Equipe_Turno,MATCH($B6,Equipe_Nome,0)),"?"))</f>
        <v/>
      </c>
      <c r="E6" s="34">
        <f>IF(OR($B6="",$C6&lt;&gt;"Ativo",$D6&lt;&gt;'Calc_Mix'!$C$2,'Calc_Mix'!$X$2=0,COUNTIFS(Esc_Turno,'Calc_Mix'!$C$2,Esc_Circ,$B6)+COUNTIFS(Esc_Turno,'Calc_Mix'!$C$2,Esc_Instr,$B6)&gt;0),"",IF(SUMPRODUCT('Calc_Mix'!$D$2:$W$2,'Matriz_Habilidades'!$D6:$W6)=0,"",SUMPRODUCT('Calc_Mix'!$D$2:$W$2,'Matriz_Habilidades'!$D6:$W6)/'Calc_Mix'!$X$2+ROW()*0.000001))</f>
        <v/>
      </c>
      <c r="F6" s="34">
        <f>IF(OR($B6="",$C6&lt;&gt;"Ativo",$D6&lt;&gt;'Calc_Mix'!$C$3,'Calc_Mix'!$X$3=0,COUNTIFS(Esc_Turno,'Calc_Mix'!$C$3,Esc_Circ,$B6)+COUNTIFS(Esc_Turno,'Calc_Mix'!$C$3,Esc_Instr,$B6)&gt;0),"",IF(SUMPRODUCT('Calc_Mix'!$D$3:$W$3,'Matriz_Habilidades'!$D6:$W6)=0,"",SUMPRODUCT('Calc_Mix'!$D$3:$W$3,'Matriz_Habilidades'!$D6:$W6)/'Calc_Mix'!$X$3+ROW()*0.000001))</f>
        <v/>
      </c>
      <c r="G6" s="34">
        <f>IF(OR($B6="",$C6&lt;&gt;"Ativo",$D6&lt;&gt;'Calc_Mix'!$C$4,'Calc_Mix'!$X$4=0,COUNTIFS(Esc_Turno,'Calc_Mix'!$C$4,Esc_Circ,$B6)+COUNTIFS(Esc_Turno,'Calc_Mix'!$C$4,Esc_Instr,$B6)&gt;0),"",IF(SUMPRODUCT('Calc_Mix'!$D$4:$W$4,'Matriz_Habilidades'!$D6:$W6)=0,"",SUMPRODUCT('Calc_Mix'!$D$4:$W$4,'Matriz_Habilidades'!$D6:$W6)/'Calc_Mix'!$X$4+ROW()*0.000001))</f>
        <v/>
      </c>
      <c r="H6" s="34">
        <f>IF(OR($B6="",$C6&lt;&gt;"Ativo",$D6&lt;&gt;'Calc_Mix'!$C$5,'Calc_Mix'!$X$5=0,COUNTIFS(Esc_Turno,'Calc_Mix'!$C$5,Esc_Circ,$B6)+COUNTIFS(Esc_Turno,'Calc_Mix'!$C$5,Esc_Instr,$B6)&gt;0),"",IF(SUMPRODUCT('Calc_Mix'!$D$5:$W$5,'Matriz_Habilidades'!$D6:$W6)=0,"",SUMPRODUCT('Calc_Mix'!$D$5:$W$5,'Matriz_Habilidades'!$D6:$W6)/'Calc_Mix'!$X$5+ROW()*0.000001))</f>
        <v/>
      </c>
      <c r="I6" s="34">
        <f>IF(OR($B6="",$C6&lt;&gt;"Ativo",$D6&lt;&gt;'Calc_Mix'!$C$6,'Calc_Mix'!$X$6=0,COUNTIFS(Esc_Turno,'Calc_Mix'!$C$6,Esc_Circ,$B6)+COUNTIFS(Esc_Turno,'Calc_Mix'!$C$6,Esc_Instr,$B6)&gt;0),"",IF(SUMPRODUCT('Calc_Mix'!$D$6:$W$6,'Matriz_Habilidades'!$D6:$W6)=0,"",SUMPRODUCT('Calc_Mix'!$D$6:$W$6,'Matriz_Habilidades'!$D6:$W6)/'Calc_Mix'!$X$6+ROW()*0.000001))</f>
        <v/>
      </c>
      <c r="J6" s="34">
        <f>IF(OR($B6="",$C6&lt;&gt;"Ativo",$D6&lt;&gt;'Calc_Mix'!$C$7,'Calc_Mix'!$X$7=0,COUNTIFS(Esc_Turno,'Calc_Mix'!$C$7,Esc_Circ,$B6)+COUNTIFS(Esc_Turno,'Calc_Mix'!$C$7,Esc_Instr,$B6)&gt;0),"",IF(SUMPRODUCT('Calc_Mix'!$D$7:$W$7,'Matriz_Habilidades'!$D6:$W6)=0,"",SUMPRODUCT('Calc_Mix'!$D$7:$W$7,'Matriz_Habilidades'!$D6:$W6)/'Calc_Mix'!$X$7+ROW()*0.000001))</f>
        <v/>
      </c>
      <c r="K6" s="34">
        <f>IF(OR($B6="",$C6&lt;&gt;"Ativo",$D6&lt;&gt;'Calc_Mix'!$C$8,'Calc_Mix'!$X$8=0,COUNTIFS(Esc_Turno,'Calc_Mix'!$C$8,Esc_Circ,$B6)+COUNTIFS(Esc_Turno,'Calc_Mix'!$C$8,Esc_Instr,$B6)&gt;0),"",IF(SUMPRODUCT('Calc_Mix'!$D$8:$W$8,'Matriz_Habilidades'!$D6:$W6)=0,"",SUMPRODUCT('Calc_Mix'!$D$8:$W$8,'Matriz_Habilidades'!$D6:$W6)/'Calc_Mix'!$X$8+ROW()*0.000001))</f>
        <v/>
      </c>
      <c r="L6" s="34">
        <f>IF(OR($B6="",$C6&lt;&gt;"Ativo",$D6&lt;&gt;'Calc_Mix'!$C$9,'Calc_Mix'!$X$9=0,COUNTIFS(Esc_Turno,'Calc_Mix'!$C$9,Esc_Circ,$B6)+COUNTIFS(Esc_Turno,'Calc_Mix'!$C$9,Esc_Instr,$B6)&gt;0),"",IF(SUMPRODUCT('Calc_Mix'!$D$9:$W$9,'Matriz_Habilidades'!$D6:$W6)=0,"",SUMPRODUCT('Calc_Mix'!$D$9:$W$9,'Matriz_Habilidades'!$D6:$W6)/'Calc_Mix'!$X$9+ROW()*0.000001))</f>
        <v/>
      </c>
      <c r="M6" s="34">
        <f>IF(OR($B6="",$C6&lt;&gt;"Ativo",$D6&lt;&gt;'Calc_Mix'!$C$10,'Calc_Mix'!$X$10=0,COUNTIFS(Esc_Turno,'Calc_Mix'!$C$10,Esc_Circ,$B6)+COUNTIFS(Esc_Turno,'Calc_Mix'!$C$10,Esc_Instr,$B6)&gt;0),"",IF(SUMPRODUCT('Calc_Mix'!$D$10:$W$10,'Matriz_Habilidades'!$D6:$W6)=0,"",SUMPRODUCT('Calc_Mix'!$D$10:$W$10,'Matriz_Habilidades'!$D6:$W6)/'Calc_Mix'!$X$10+ROW()*0.000001))</f>
        <v/>
      </c>
      <c r="N6" s="34">
        <f>IF(OR($B6="",$C6&lt;&gt;"Ativo",$D6&lt;&gt;'Calc_Mix'!$C$11,'Calc_Mix'!$X$11=0,COUNTIFS(Esc_Turno,'Calc_Mix'!$C$11,Esc_Circ,$B6)+COUNTIFS(Esc_Turno,'Calc_Mix'!$C$11,Esc_Instr,$B6)&gt;0),"",IF(SUMPRODUCT('Calc_Mix'!$D$11:$W$11,'Matriz_Habilidades'!$D6:$W6)=0,"",SUMPRODUCT('Calc_Mix'!$D$11:$W$11,'Matriz_Habilidades'!$D6:$W6)/'Calc_Mix'!$X$11+ROW()*0.000001))</f>
        <v/>
      </c>
      <c r="O6" s="34">
        <f>IF(OR($B6="",$C6&lt;&gt;"Ativo",$D6&lt;&gt;'Calc_Mix'!$C$12,'Calc_Mix'!$X$12=0,COUNTIFS(Esc_Turno,'Calc_Mix'!$C$12,Esc_Circ,$B6)+COUNTIFS(Esc_Turno,'Calc_Mix'!$C$12,Esc_Instr,$B6)&gt;0),"",IF(SUMPRODUCT('Calc_Mix'!$D$12:$W$12,'Matriz_Habilidades'!$D6:$W6)=0,"",SUMPRODUCT('Calc_Mix'!$D$12:$W$12,'Matriz_Habilidades'!$D6:$W6)/'Calc_Mix'!$X$12+ROW()*0.000001))</f>
        <v/>
      </c>
      <c r="P6" s="34">
        <f>IF(OR($B6="",$C6&lt;&gt;"Ativo",$D6&lt;&gt;'Calc_Mix'!$C$13,'Calc_Mix'!$X$13=0,COUNTIFS(Esc_Turno,'Calc_Mix'!$C$13,Esc_Circ,$B6)+COUNTIFS(Esc_Turno,'Calc_Mix'!$C$13,Esc_Instr,$B6)&gt;0),"",IF(SUMPRODUCT('Calc_Mix'!$D$13:$W$13,'Matriz_Habilidades'!$D6:$W6)=0,"",SUMPRODUCT('Calc_Mix'!$D$13:$W$13,'Matriz_Habilidades'!$D6:$W6)/'Calc_Mix'!$X$13+ROW()*0.000001))</f>
        <v/>
      </c>
      <c r="Q6" s="34">
        <f>IF(OR($B6="",$C6&lt;&gt;"Ativo",$D6&lt;&gt;'Calc_Mix'!$C$14,'Calc_Mix'!$X$14=0,COUNTIFS(Esc_Turno,'Calc_Mix'!$C$14,Esc_Circ,$B6)+COUNTIFS(Esc_Turno,'Calc_Mix'!$C$14,Esc_Instr,$B6)&gt;0),"",IF(SUMPRODUCT('Calc_Mix'!$D$14:$W$14,'Matriz_Habilidades'!$D6:$W6)=0,"",SUMPRODUCT('Calc_Mix'!$D$14:$W$14,'Matriz_Habilidades'!$D6:$W6)/'Calc_Mix'!$X$14+ROW()*0.000001))</f>
        <v/>
      </c>
      <c r="R6" s="34">
        <f>IF(OR($B6="",$C6&lt;&gt;"Ativo",$D6&lt;&gt;'Calc_Mix'!$C$15,'Calc_Mix'!$X$15=0,COUNTIFS(Esc_Turno,'Calc_Mix'!$C$15,Esc_Circ,$B6)+COUNTIFS(Esc_Turno,'Calc_Mix'!$C$15,Esc_Instr,$B6)&gt;0),"",IF(SUMPRODUCT('Calc_Mix'!$D$15:$W$15,'Matriz_Habilidades'!$D6:$W6)=0,"",SUMPRODUCT('Calc_Mix'!$D$15:$W$15,'Matriz_Habilidades'!$D6:$W6)/'Calc_Mix'!$X$15+ROW()*0.000001))</f>
        <v/>
      </c>
      <c r="S6" s="34">
        <f>IF(OR($B6="",$C6&lt;&gt;"Ativo",$D6&lt;&gt;'Calc_Mix'!$C$16,'Calc_Mix'!$X$16=0,COUNTIFS(Esc_Turno,'Calc_Mix'!$C$16,Esc_Circ,$B6)+COUNTIFS(Esc_Turno,'Calc_Mix'!$C$16,Esc_Instr,$B6)&gt;0),"",IF(SUMPRODUCT('Calc_Mix'!$D$16:$W$16,'Matriz_Habilidades'!$D6:$W6)=0,"",SUMPRODUCT('Calc_Mix'!$D$16:$W$16,'Matriz_Habilidades'!$D6:$W6)/'Calc_Mix'!$X$16+ROW()*0.000001))</f>
        <v/>
      </c>
      <c r="T6" s="34">
        <f>IF(OR($B6="",$C6&lt;&gt;"Ativo",$D6&lt;&gt;'Calc_Mix'!$C$17,'Calc_Mix'!$X$17=0,COUNTIFS(Esc_Turno,'Calc_Mix'!$C$17,Esc_Circ,$B6)+COUNTIFS(Esc_Turno,'Calc_Mix'!$C$17,Esc_Instr,$B6)&gt;0),"",IF(SUMPRODUCT('Calc_Mix'!$D$17:$W$17,'Matriz_Habilidades'!$D6:$W6)=0,"",SUMPRODUCT('Calc_Mix'!$D$17:$W$17,'Matriz_Habilidades'!$D6:$W6)/'Calc_Mix'!$X$17+ROW()*0.000001))</f>
        <v/>
      </c>
      <c r="U6" s="34">
        <f>IF(OR($B6="",$C6&lt;&gt;"Ativo",$D6&lt;&gt;'Calc_Mix'!$C$18,'Calc_Mix'!$X$18=0,COUNTIFS(Esc_Turno,'Calc_Mix'!$C$18,Esc_Circ,$B6)+COUNTIFS(Esc_Turno,'Calc_Mix'!$C$18,Esc_Instr,$B6)&gt;0),"",IF(SUMPRODUCT('Calc_Mix'!$D$18:$W$18,'Matriz_Habilidades'!$D6:$W6)=0,"",SUMPRODUCT('Calc_Mix'!$D$18:$W$18,'Matriz_Habilidades'!$D6:$W6)/'Calc_Mix'!$X$18+ROW()*0.000001))</f>
        <v/>
      </c>
      <c r="V6" s="34">
        <f>IF(OR($B6="",$C6&lt;&gt;"Ativo",$D6&lt;&gt;'Calc_Mix'!$C$19,'Calc_Mix'!$X$19=0,COUNTIFS(Esc_Turno,'Calc_Mix'!$C$19,Esc_Circ,$B6)+COUNTIFS(Esc_Turno,'Calc_Mix'!$C$19,Esc_Instr,$B6)&gt;0),"",IF(SUMPRODUCT('Calc_Mix'!$D$19:$W$19,'Matriz_Habilidades'!$D6:$W6)=0,"",SUMPRODUCT('Calc_Mix'!$D$19:$W$19,'Matriz_Habilidades'!$D6:$W6)/'Calc_Mix'!$X$19+ROW()*0.000001))</f>
        <v/>
      </c>
      <c r="W6" s="34">
        <f>IF(OR($B6="",$C6&lt;&gt;"Ativo",$D6&lt;&gt;'Calc_Mix'!$C$20,'Calc_Mix'!$X$20=0,COUNTIFS(Esc_Turno,'Calc_Mix'!$C$20,Esc_Circ,$B6)+COUNTIFS(Esc_Turno,'Calc_Mix'!$C$20,Esc_Instr,$B6)&gt;0),"",IF(SUMPRODUCT('Calc_Mix'!$D$20:$W$20,'Matriz_Habilidades'!$D6:$W6)=0,"",SUMPRODUCT('Calc_Mix'!$D$20:$W$20,'Matriz_Habilidades'!$D6:$W6)/'Calc_Mix'!$X$20+ROW()*0.000001))</f>
        <v/>
      </c>
      <c r="X6" s="34">
        <f>IF(OR($B6="",$C6&lt;&gt;"Ativo",$D6&lt;&gt;'Calc_Mix'!$C$21,'Calc_Mix'!$X$21=0,COUNTIFS(Esc_Turno,'Calc_Mix'!$C$21,Esc_Circ,$B6)+COUNTIFS(Esc_Turno,'Calc_Mix'!$C$21,Esc_Instr,$B6)&gt;0),"",IF(SUMPRODUCT('Calc_Mix'!$D$21:$W$21,'Matriz_Habilidades'!$D6:$W6)=0,"",SUMPRODUCT('Calc_Mix'!$D$21:$W$21,'Matriz_Habilidades'!$D6:$W6)/'Calc_Mix'!$X$21+ROW()*0.000001))</f>
        <v/>
      </c>
      <c r="Y6" s="34">
        <f>IF(OR($B6="",$C6&lt;&gt;"Ativo",$D6&lt;&gt;'Calc_Mix'!$C$22,'Calc_Mix'!$X$22=0,COUNTIFS(Esc_Turno,'Calc_Mix'!$C$22,Esc_Circ,$B6)+COUNTIFS(Esc_Turno,'Calc_Mix'!$C$22,Esc_Instr,$B6)&gt;0),"",IF(SUMPRODUCT('Calc_Mix'!$D$22:$W$22,'Matriz_Habilidades'!$D6:$W6)=0,"",SUMPRODUCT('Calc_Mix'!$D$22:$W$22,'Matriz_Habilidades'!$D6:$W6)/'Calc_Mix'!$X$22+ROW()*0.000001))</f>
        <v/>
      </c>
      <c r="Z6" s="34">
        <f>IF(OR($B6="",$C6&lt;&gt;"Ativo",$D6&lt;&gt;'Calc_Mix'!$C$23,'Calc_Mix'!$X$23=0,COUNTIFS(Esc_Turno,'Calc_Mix'!$C$23,Esc_Circ,$B6)+COUNTIFS(Esc_Turno,'Calc_Mix'!$C$23,Esc_Instr,$B6)&gt;0),"",IF(SUMPRODUCT('Calc_Mix'!$D$23:$W$23,'Matriz_Habilidades'!$D6:$W6)=0,"",SUMPRODUCT('Calc_Mix'!$D$23:$W$23,'Matriz_Habilidades'!$D6:$W6)/'Calc_Mix'!$X$23+ROW()*0.000001))</f>
        <v/>
      </c>
      <c r="AA6" s="34">
        <f>IF(OR($B6="",$C6&lt;&gt;"Ativo",$D6&lt;&gt;'Calc_Mix'!$C$24,'Calc_Mix'!$X$24=0,COUNTIFS(Esc_Turno,'Calc_Mix'!$C$24,Esc_Circ,$B6)+COUNTIFS(Esc_Turno,'Calc_Mix'!$C$24,Esc_Instr,$B6)&gt;0),"",IF(SUMPRODUCT('Calc_Mix'!$D$24:$W$24,'Matriz_Habilidades'!$D6:$W6)=0,"",SUMPRODUCT('Calc_Mix'!$D$24:$W$24,'Matriz_Habilidades'!$D6:$W6)/'Calc_Mix'!$X$24+ROW()*0.000001))</f>
        <v/>
      </c>
      <c r="AB6" s="34">
        <f>IF(OR($B6="",$C6&lt;&gt;"Ativo",$D6&lt;&gt;'Calc_Mix'!$C$25,'Calc_Mix'!$X$25=0,COUNTIFS(Esc_Turno,'Calc_Mix'!$C$25,Esc_Circ,$B6)+COUNTIFS(Esc_Turno,'Calc_Mix'!$C$25,Esc_Instr,$B6)&gt;0),"",IF(SUMPRODUCT('Calc_Mix'!$D$25:$W$25,'Matriz_Habilidades'!$D6:$W6)=0,"",SUMPRODUCT('Calc_Mix'!$D$25:$W$25,'Matriz_Habilidades'!$D6:$W6)/'Calc_Mix'!$X$25+ROW()*0.000001))</f>
        <v/>
      </c>
      <c r="AC6" s="34">
        <f>IF(OR($B6="",$C6&lt;&gt;"Ativo",$D6&lt;&gt;'Calc_Mix'!$C$26,'Calc_Mix'!$X$26=0,COUNTIFS(Esc_Turno,'Calc_Mix'!$C$26,Esc_Circ,$B6)+COUNTIFS(Esc_Turno,'Calc_Mix'!$C$26,Esc_Instr,$B6)&gt;0),"",IF(SUMPRODUCT('Calc_Mix'!$D$26:$W$26,'Matriz_Habilidades'!$D6:$W6)=0,"",SUMPRODUCT('Calc_Mix'!$D$26:$W$26,'Matriz_Habilidades'!$D6:$W6)/'Calc_Mix'!$X$26+ROW()*0.000001))</f>
        <v/>
      </c>
      <c r="AD6" s="34">
        <f>IF(OR($B6="",$C6&lt;&gt;"Ativo",$D6&lt;&gt;'Calc_Mix'!$C$27,'Calc_Mix'!$X$27=0,COUNTIFS(Esc_Turno,'Calc_Mix'!$C$27,Esc_Circ,$B6)+COUNTIFS(Esc_Turno,'Calc_Mix'!$C$27,Esc_Instr,$B6)&gt;0),"",IF(SUMPRODUCT('Calc_Mix'!$D$27:$W$27,'Matriz_Habilidades'!$D6:$W6)=0,"",SUMPRODUCT('Calc_Mix'!$D$27:$W$27,'Matriz_Habilidades'!$D6:$W6)/'Calc_Mix'!$X$27+ROW()*0.000001))</f>
        <v/>
      </c>
      <c r="AE6" s="34">
        <f>IF(OR($B6="",$C6&lt;&gt;"Ativo",$D6&lt;&gt;'Calc_Mix'!$C$28,'Calc_Mix'!$X$28=0,COUNTIFS(Esc_Turno,'Calc_Mix'!$C$28,Esc_Circ,$B6)+COUNTIFS(Esc_Turno,'Calc_Mix'!$C$28,Esc_Instr,$B6)&gt;0),"",IF(SUMPRODUCT('Calc_Mix'!$D$28:$W$28,'Matriz_Habilidades'!$D6:$W6)=0,"",SUMPRODUCT('Calc_Mix'!$D$28:$W$28,'Matriz_Habilidades'!$D6:$W6)/'Calc_Mix'!$X$28+ROW()*0.000001))</f>
        <v/>
      </c>
      <c r="AF6" s="34">
        <f>IF(OR($B6="",$C6&lt;&gt;"Ativo",$D6&lt;&gt;'Calc_Mix'!$C$29,'Calc_Mix'!$X$29=0,COUNTIFS(Esc_Turno,'Calc_Mix'!$C$29,Esc_Circ,$B6)+COUNTIFS(Esc_Turno,'Calc_Mix'!$C$29,Esc_Instr,$B6)&gt;0),"",IF(SUMPRODUCT('Calc_Mix'!$D$29:$W$29,'Matriz_Habilidades'!$D6:$W6)=0,"",SUMPRODUCT('Calc_Mix'!$D$29:$W$29,'Matriz_Habilidades'!$D6:$W6)/'Calc_Mix'!$X$29+ROW()*0.000001))</f>
        <v/>
      </c>
      <c r="AG6" s="34">
        <f>IF(OR($B6="",$C6&lt;&gt;"Ativo",$D6&lt;&gt;'Calc_Mix'!$C$30,'Calc_Mix'!$X$30=0,COUNTIFS(Esc_Turno,'Calc_Mix'!$C$30,Esc_Circ,$B6)+COUNTIFS(Esc_Turno,'Calc_Mix'!$C$30,Esc_Instr,$B6)&gt;0),"",IF(SUMPRODUCT('Calc_Mix'!$D$30:$W$30,'Matriz_Habilidades'!$D6:$W6)=0,"",SUMPRODUCT('Calc_Mix'!$D$30:$W$30,'Matriz_Habilidades'!$D6:$W6)/'Calc_Mix'!$X$30+ROW()*0.000001))</f>
        <v/>
      </c>
      <c r="AH6" s="34">
        <f>IF(OR($B6="",$C6&lt;&gt;"Ativo",$D6&lt;&gt;'Calc_Mix'!$C$31,'Calc_Mix'!$X$31=0,COUNTIFS(Esc_Turno,'Calc_Mix'!$C$31,Esc_Circ,$B6)+COUNTIFS(Esc_Turno,'Calc_Mix'!$C$31,Esc_Instr,$B6)&gt;0),"",IF(SUMPRODUCT('Calc_Mix'!$D$31:$W$31,'Matriz_Habilidades'!$D6:$W6)=0,"",SUMPRODUCT('Calc_Mix'!$D$31:$W$31,'Matriz_Habilidades'!$D6:$W6)/'Calc_Mix'!$X$31+ROW()*0.000001))</f>
        <v/>
      </c>
      <c r="AI6" s="34">
        <f>IF(OR($B6="",$C6&lt;&gt;"Ativo",$D6&lt;&gt;'Calc_Mix'!$C$32,'Calc_Mix'!$X$32=0,COUNTIFS(Esc_Turno,'Calc_Mix'!$C$32,Esc_Circ,$B6)+COUNTIFS(Esc_Turno,'Calc_Mix'!$C$32,Esc_Instr,$B6)&gt;0),"",IF(SUMPRODUCT('Calc_Mix'!$D$32:$W$32,'Matriz_Habilidades'!$D6:$W6)=0,"",SUMPRODUCT('Calc_Mix'!$D$32:$W$32,'Matriz_Habilidades'!$D6:$W6)/'Calc_Mix'!$X$32+ROW()*0.000001))</f>
        <v/>
      </c>
      <c r="AJ6" s="34">
        <f>IF(OR($B6="",$C6&lt;&gt;"Ativo",$D6&lt;&gt;'Calc_Mix'!$C$33,'Calc_Mix'!$X$33=0,COUNTIFS(Esc_Turno,'Calc_Mix'!$C$33,Esc_Circ,$B6)+COUNTIFS(Esc_Turno,'Calc_Mix'!$C$33,Esc_Instr,$B6)&gt;0),"",IF(SUMPRODUCT('Calc_Mix'!$D$33:$W$33,'Matriz_Habilidades'!$D6:$W6)=0,"",SUMPRODUCT('Calc_Mix'!$D$33:$W$33,'Matriz_Habilidades'!$D6:$W6)/'Calc_Mix'!$X$33+ROW()*0.000001))</f>
        <v/>
      </c>
      <c r="AK6" s="34">
        <f>IF(OR($B6="",$C6&lt;&gt;"Ativo",$D6&lt;&gt;'Calc_Mix'!$C$34,'Calc_Mix'!$X$34=0,COUNTIFS(Esc_Turno,'Calc_Mix'!$C$34,Esc_Circ,$B6)+COUNTIFS(Esc_Turno,'Calc_Mix'!$C$34,Esc_Instr,$B6)&gt;0),"",IF(SUMPRODUCT('Calc_Mix'!$D$34:$W$34,'Matriz_Habilidades'!$D6:$W6)=0,"",SUMPRODUCT('Calc_Mix'!$D$34:$W$34,'Matriz_Habilidades'!$D6:$W6)/'Calc_Mix'!$X$34+ROW()*0.000001))</f>
        <v/>
      </c>
      <c r="AL6" s="34">
        <f>IF(OR($B6="",$C6&lt;&gt;"Ativo",$D6&lt;&gt;'Calc_Mix'!$C$35,'Calc_Mix'!$X$35=0,COUNTIFS(Esc_Turno,'Calc_Mix'!$C$35,Esc_Circ,$B6)+COUNTIFS(Esc_Turno,'Calc_Mix'!$C$35,Esc_Instr,$B6)&gt;0),"",IF(SUMPRODUCT('Calc_Mix'!$D$35:$W$35,'Matriz_Habilidades'!$D6:$W6)=0,"",SUMPRODUCT('Calc_Mix'!$D$35:$W$35,'Matriz_Habilidades'!$D6:$W6)/'Calc_Mix'!$X$35+ROW()*0.000001))</f>
        <v/>
      </c>
      <c r="AM6" s="34">
        <f>IF(OR($B6="",$C6&lt;&gt;"Ativo",$D6&lt;&gt;'Calc_Mix'!$C$36,'Calc_Mix'!$X$36=0,COUNTIFS(Esc_Turno,'Calc_Mix'!$C$36,Esc_Circ,$B6)+COUNTIFS(Esc_Turno,'Calc_Mix'!$C$36,Esc_Instr,$B6)&gt;0),"",IF(SUMPRODUCT('Calc_Mix'!$D$36:$W$36,'Matriz_Habilidades'!$D6:$W6)=0,"",SUMPRODUCT('Calc_Mix'!$D$36:$W$36,'Matriz_Habilidades'!$D6:$W6)/'Calc_Mix'!$X$36+ROW()*0.000001))</f>
        <v/>
      </c>
      <c r="AN6" s="34">
        <f>IF(OR($B6="",$C6&lt;&gt;"Ativo",$D6&lt;&gt;'Calc_Mix'!$C$37,'Calc_Mix'!$X$37=0,COUNTIFS(Esc_Turno,'Calc_Mix'!$C$37,Esc_Circ,$B6)+COUNTIFS(Esc_Turno,'Calc_Mix'!$C$37,Esc_Instr,$B6)&gt;0),"",IF(SUMPRODUCT('Calc_Mix'!$D$37:$W$37,'Matriz_Habilidades'!$D6:$W6)=0,"",SUMPRODUCT('Calc_Mix'!$D$37:$W$37,'Matriz_Habilidades'!$D6:$W6)/'Calc_Mix'!$X$37+ROW()*0.000001))</f>
        <v/>
      </c>
    </row>
    <row r="7">
      <c r="A7" s="27">
        <f>IF('Matriz_Habilidades'!A7="","",'Matriz_Habilidades'!A7)</f>
        <v/>
      </c>
      <c r="B7" s="28">
        <f>IF('Matriz_Habilidades'!B7="","",'Matriz_Habilidades'!B7)</f>
        <v/>
      </c>
      <c r="C7" s="27">
        <f>IF($A7="","",IFERROR(INDEX(Equipe_Status,MATCH($B7,Equipe_Nome,0)),"?"))</f>
        <v/>
      </c>
      <c r="D7" s="27">
        <f>IF($A7="","",IFERROR(INDEX(Equipe_Turno,MATCH($B7,Equipe_Nome,0)),"?"))</f>
        <v/>
      </c>
      <c r="E7" s="34">
        <f>IF(OR($B7="",$C7&lt;&gt;"Ativo",$D7&lt;&gt;'Calc_Mix'!$C$2,'Calc_Mix'!$X$2=0,COUNTIFS(Esc_Turno,'Calc_Mix'!$C$2,Esc_Circ,$B7)+COUNTIFS(Esc_Turno,'Calc_Mix'!$C$2,Esc_Instr,$B7)&gt;0),"",IF(SUMPRODUCT('Calc_Mix'!$D$2:$W$2,'Matriz_Habilidades'!$D7:$W7)=0,"",SUMPRODUCT('Calc_Mix'!$D$2:$W$2,'Matriz_Habilidades'!$D7:$W7)/'Calc_Mix'!$X$2+ROW()*0.000001))</f>
        <v/>
      </c>
      <c r="F7" s="34">
        <f>IF(OR($B7="",$C7&lt;&gt;"Ativo",$D7&lt;&gt;'Calc_Mix'!$C$3,'Calc_Mix'!$X$3=0,COUNTIFS(Esc_Turno,'Calc_Mix'!$C$3,Esc_Circ,$B7)+COUNTIFS(Esc_Turno,'Calc_Mix'!$C$3,Esc_Instr,$B7)&gt;0),"",IF(SUMPRODUCT('Calc_Mix'!$D$3:$W$3,'Matriz_Habilidades'!$D7:$W7)=0,"",SUMPRODUCT('Calc_Mix'!$D$3:$W$3,'Matriz_Habilidades'!$D7:$W7)/'Calc_Mix'!$X$3+ROW()*0.000001))</f>
        <v/>
      </c>
      <c r="G7" s="34">
        <f>IF(OR($B7="",$C7&lt;&gt;"Ativo",$D7&lt;&gt;'Calc_Mix'!$C$4,'Calc_Mix'!$X$4=0,COUNTIFS(Esc_Turno,'Calc_Mix'!$C$4,Esc_Circ,$B7)+COUNTIFS(Esc_Turno,'Calc_Mix'!$C$4,Esc_Instr,$B7)&gt;0),"",IF(SUMPRODUCT('Calc_Mix'!$D$4:$W$4,'Matriz_Habilidades'!$D7:$W7)=0,"",SUMPRODUCT('Calc_Mix'!$D$4:$W$4,'Matriz_Habilidades'!$D7:$W7)/'Calc_Mix'!$X$4+ROW()*0.000001))</f>
        <v/>
      </c>
      <c r="H7" s="34">
        <f>IF(OR($B7="",$C7&lt;&gt;"Ativo",$D7&lt;&gt;'Calc_Mix'!$C$5,'Calc_Mix'!$X$5=0,COUNTIFS(Esc_Turno,'Calc_Mix'!$C$5,Esc_Circ,$B7)+COUNTIFS(Esc_Turno,'Calc_Mix'!$C$5,Esc_Instr,$B7)&gt;0),"",IF(SUMPRODUCT('Calc_Mix'!$D$5:$W$5,'Matriz_Habilidades'!$D7:$W7)=0,"",SUMPRODUCT('Calc_Mix'!$D$5:$W$5,'Matriz_Habilidades'!$D7:$W7)/'Calc_Mix'!$X$5+ROW()*0.000001))</f>
        <v/>
      </c>
      <c r="I7" s="34">
        <f>IF(OR($B7="",$C7&lt;&gt;"Ativo",$D7&lt;&gt;'Calc_Mix'!$C$6,'Calc_Mix'!$X$6=0,COUNTIFS(Esc_Turno,'Calc_Mix'!$C$6,Esc_Circ,$B7)+COUNTIFS(Esc_Turno,'Calc_Mix'!$C$6,Esc_Instr,$B7)&gt;0),"",IF(SUMPRODUCT('Calc_Mix'!$D$6:$W$6,'Matriz_Habilidades'!$D7:$W7)=0,"",SUMPRODUCT('Calc_Mix'!$D$6:$W$6,'Matriz_Habilidades'!$D7:$W7)/'Calc_Mix'!$X$6+ROW()*0.000001))</f>
        <v/>
      </c>
      <c r="J7" s="34">
        <f>IF(OR($B7="",$C7&lt;&gt;"Ativo",$D7&lt;&gt;'Calc_Mix'!$C$7,'Calc_Mix'!$X$7=0,COUNTIFS(Esc_Turno,'Calc_Mix'!$C$7,Esc_Circ,$B7)+COUNTIFS(Esc_Turno,'Calc_Mix'!$C$7,Esc_Instr,$B7)&gt;0),"",IF(SUMPRODUCT('Calc_Mix'!$D$7:$W$7,'Matriz_Habilidades'!$D7:$W7)=0,"",SUMPRODUCT('Calc_Mix'!$D$7:$W$7,'Matriz_Habilidades'!$D7:$W7)/'Calc_Mix'!$X$7+ROW()*0.000001))</f>
        <v/>
      </c>
      <c r="K7" s="34">
        <f>IF(OR($B7="",$C7&lt;&gt;"Ativo",$D7&lt;&gt;'Calc_Mix'!$C$8,'Calc_Mix'!$X$8=0,COUNTIFS(Esc_Turno,'Calc_Mix'!$C$8,Esc_Circ,$B7)+COUNTIFS(Esc_Turno,'Calc_Mix'!$C$8,Esc_Instr,$B7)&gt;0),"",IF(SUMPRODUCT('Calc_Mix'!$D$8:$W$8,'Matriz_Habilidades'!$D7:$W7)=0,"",SUMPRODUCT('Calc_Mix'!$D$8:$W$8,'Matriz_Habilidades'!$D7:$W7)/'Calc_Mix'!$X$8+ROW()*0.000001))</f>
        <v/>
      </c>
      <c r="L7" s="34">
        <f>IF(OR($B7="",$C7&lt;&gt;"Ativo",$D7&lt;&gt;'Calc_Mix'!$C$9,'Calc_Mix'!$X$9=0,COUNTIFS(Esc_Turno,'Calc_Mix'!$C$9,Esc_Circ,$B7)+COUNTIFS(Esc_Turno,'Calc_Mix'!$C$9,Esc_Instr,$B7)&gt;0),"",IF(SUMPRODUCT('Calc_Mix'!$D$9:$W$9,'Matriz_Habilidades'!$D7:$W7)=0,"",SUMPRODUCT('Calc_Mix'!$D$9:$W$9,'Matriz_Habilidades'!$D7:$W7)/'Calc_Mix'!$X$9+ROW()*0.000001))</f>
        <v/>
      </c>
      <c r="M7" s="34">
        <f>IF(OR($B7="",$C7&lt;&gt;"Ativo",$D7&lt;&gt;'Calc_Mix'!$C$10,'Calc_Mix'!$X$10=0,COUNTIFS(Esc_Turno,'Calc_Mix'!$C$10,Esc_Circ,$B7)+COUNTIFS(Esc_Turno,'Calc_Mix'!$C$10,Esc_Instr,$B7)&gt;0),"",IF(SUMPRODUCT('Calc_Mix'!$D$10:$W$10,'Matriz_Habilidades'!$D7:$W7)=0,"",SUMPRODUCT('Calc_Mix'!$D$10:$W$10,'Matriz_Habilidades'!$D7:$W7)/'Calc_Mix'!$X$10+ROW()*0.000001))</f>
        <v/>
      </c>
      <c r="N7" s="34">
        <f>IF(OR($B7="",$C7&lt;&gt;"Ativo",$D7&lt;&gt;'Calc_Mix'!$C$11,'Calc_Mix'!$X$11=0,COUNTIFS(Esc_Turno,'Calc_Mix'!$C$11,Esc_Circ,$B7)+COUNTIFS(Esc_Turno,'Calc_Mix'!$C$11,Esc_Instr,$B7)&gt;0),"",IF(SUMPRODUCT('Calc_Mix'!$D$11:$W$11,'Matriz_Habilidades'!$D7:$W7)=0,"",SUMPRODUCT('Calc_Mix'!$D$11:$W$11,'Matriz_Habilidades'!$D7:$W7)/'Calc_Mix'!$X$11+ROW()*0.000001))</f>
        <v/>
      </c>
      <c r="O7" s="34">
        <f>IF(OR($B7="",$C7&lt;&gt;"Ativo",$D7&lt;&gt;'Calc_Mix'!$C$12,'Calc_Mix'!$X$12=0,COUNTIFS(Esc_Turno,'Calc_Mix'!$C$12,Esc_Circ,$B7)+COUNTIFS(Esc_Turno,'Calc_Mix'!$C$12,Esc_Instr,$B7)&gt;0),"",IF(SUMPRODUCT('Calc_Mix'!$D$12:$W$12,'Matriz_Habilidades'!$D7:$W7)=0,"",SUMPRODUCT('Calc_Mix'!$D$12:$W$12,'Matriz_Habilidades'!$D7:$W7)/'Calc_Mix'!$X$12+ROW()*0.000001))</f>
        <v/>
      </c>
      <c r="P7" s="34">
        <f>IF(OR($B7="",$C7&lt;&gt;"Ativo",$D7&lt;&gt;'Calc_Mix'!$C$13,'Calc_Mix'!$X$13=0,COUNTIFS(Esc_Turno,'Calc_Mix'!$C$13,Esc_Circ,$B7)+COUNTIFS(Esc_Turno,'Calc_Mix'!$C$13,Esc_Instr,$B7)&gt;0),"",IF(SUMPRODUCT('Calc_Mix'!$D$13:$W$13,'Matriz_Habilidades'!$D7:$W7)=0,"",SUMPRODUCT('Calc_Mix'!$D$13:$W$13,'Matriz_Habilidades'!$D7:$W7)/'Calc_Mix'!$X$13+ROW()*0.000001))</f>
        <v/>
      </c>
      <c r="Q7" s="34">
        <f>IF(OR($B7="",$C7&lt;&gt;"Ativo",$D7&lt;&gt;'Calc_Mix'!$C$14,'Calc_Mix'!$X$14=0,COUNTIFS(Esc_Turno,'Calc_Mix'!$C$14,Esc_Circ,$B7)+COUNTIFS(Esc_Turno,'Calc_Mix'!$C$14,Esc_Instr,$B7)&gt;0),"",IF(SUMPRODUCT('Calc_Mix'!$D$14:$W$14,'Matriz_Habilidades'!$D7:$W7)=0,"",SUMPRODUCT('Calc_Mix'!$D$14:$W$14,'Matriz_Habilidades'!$D7:$W7)/'Calc_Mix'!$X$14+ROW()*0.000001))</f>
        <v/>
      </c>
      <c r="R7" s="34">
        <f>IF(OR($B7="",$C7&lt;&gt;"Ativo",$D7&lt;&gt;'Calc_Mix'!$C$15,'Calc_Mix'!$X$15=0,COUNTIFS(Esc_Turno,'Calc_Mix'!$C$15,Esc_Circ,$B7)+COUNTIFS(Esc_Turno,'Calc_Mix'!$C$15,Esc_Instr,$B7)&gt;0),"",IF(SUMPRODUCT('Calc_Mix'!$D$15:$W$15,'Matriz_Habilidades'!$D7:$W7)=0,"",SUMPRODUCT('Calc_Mix'!$D$15:$W$15,'Matriz_Habilidades'!$D7:$W7)/'Calc_Mix'!$X$15+ROW()*0.000001))</f>
        <v/>
      </c>
      <c r="S7" s="34">
        <f>IF(OR($B7="",$C7&lt;&gt;"Ativo",$D7&lt;&gt;'Calc_Mix'!$C$16,'Calc_Mix'!$X$16=0,COUNTIFS(Esc_Turno,'Calc_Mix'!$C$16,Esc_Circ,$B7)+COUNTIFS(Esc_Turno,'Calc_Mix'!$C$16,Esc_Instr,$B7)&gt;0),"",IF(SUMPRODUCT('Calc_Mix'!$D$16:$W$16,'Matriz_Habilidades'!$D7:$W7)=0,"",SUMPRODUCT('Calc_Mix'!$D$16:$W$16,'Matriz_Habilidades'!$D7:$W7)/'Calc_Mix'!$X$16+ROW()*0.000001))</f>
        <v/>
      </c>
      <c r="T7" s="34">
        <f>IF(OR($B7="",$C7&lt;&gt;"Ativo",$D7&lt;&gt;'Calc_Mix'!$C$17,'Calc_Mix'!$X$17=0,COUNTIFS(Esc_Turno,'Calc_Mix'!$C$17,Esc_Circ,$B7)+COUNTIFS(Esc_Turno,'Calc_Mix'!$C$17,Esc_Instr,$B7)&gt;0),"",IF(SUMPRODUCT('Calc_Mix'!$D$17:$W$17,'Matriz_Habilidades'!$D7:$W7)=0,"",SUMPRODUCT('Calc_Mix'!$D$17:$W$17,'Matriz_Habilidades'!$D7:$W7)/'Calc_Mix'!$X$17+ROW()*0.000001))</f>
        <v/>
      </c>
      <c r="U7" s="34">
        <f>IF(OR($B7="",$C7&lt;&gt;"Ativo",$D7&lt;&gt;'Calc_Mix'!$C$18,'Calc_Mix'!$X$18=0,COUNTIFS(Esc_Turno,'Calc_Mix'!$C$18,Esc_Circ,$B7)+COUNTIFS(Esc_Turno,'Calc_Mix'!$C$18,Esc_Instr,$B7)&gt;0),"",IF(SUMPRODUCT('Calc_Mix'!$D$18:$W$18,'Matriz_Habilidades'!$D7:$W7)=0,"",SUMPRODUCT('Calc_Mix'!$D$18:$W$18,'Matriz_Habilidades'!$D7:$W7)/'Calc_Mix'!$X$18+ROW()*0.000001))</f>
        <v/>
      </c>
      <c r="V7" s="34">
        <f>IF(OR($B7="",$C7&lt;&gt;"Ativo",$D7&lt;&gt;'Calc_Mix'!$C$19,'Calc_Mix'!$X$19=0,COUNTIFS(Esc_Turno,'Calc_Mix'!$C$19,Esc_Circ,$B7)+COUNTIFS(Esc_Turno,'Calc_Mix'!$C$19,Esc_Instr,$B7)&gt;0),"",IF(SUMPRODUCT('Calc_Mix'!$D$19:$W$19,'Matriz_Habilidades'!$D7:$W7)=0,"",SUMPRODUCT('Calc_Mix'!$D$19:$W$19,'Matriz_Habilidades'!$D7:$W7)/'Calc_Mix'!$X$19+ROW()*0.000001))</f>
        <v/>
      </c>
      <c r="W7" s="34">
        <f>IF(OR($B7="",$C7&lt;&gt;"Ativo",$D7&lt;&gt;'Calc_Mix'!$C$20,'Calc_Mix'!$X$20=0,COUNTIFS(Esc_Turno,'Calc_Mix'!$C$20,Esc_Circ,$B7)+COUNTIFS(Esc_Turno,'Calc_Mix'!$C$20,Esc_Instr,$B7)&gt;0),"",IF(SUMPRODUCT('Calc_Mix'!$D$20:$W$20,'Matriz_Habilidades'!$D7:$W7)=0,"",SUMPRODUCT('Calc_Mix'!$D$20:$W$20,'Matriz_Habilidades'!$D7:$W7)/'Calc_Mix'!$X$20+ROW()*0.000001))</f>
        <v/>
      </c>
      <c r="X7" s="34">
        <f>IF(OR($B7="",$C7&lt;&gt;"Ativo",$D7&lt;&gt;'Calc_Mix'!$C$21,'Calc_Mix'!$X$21=0,COUNTIFS(Esc_Turno,'Calc_Mix'!$C$21,Esc_Circ,$B7)+COUNTIFS(Esc_Turno,'Calc_Mix'!$C$21,Esc_Instr,$B7)&gt;0),"",IF(SUMPRODUCT('Calc_Mix'!$D$21:$W$21,'Matriz_Habilidades'!$D7:$W7)=0,"",SUMPRODUCT('Calc_Mix'!$D$21:$W$21,'Matriz_Habilidades'!$D7:$W7)/'Calc_Mix'!$X$21+ROW()*0.000001))</f>
        <v/>
      </c>
      <c r="Y7" s="34">
        <f>IF(OR($B7="",$C7&lt;&gt;"Ativo",$D7&lt;&gt;'Calc_Mix'!$C$22,'Calc_Mix'!$X$22=0,COUNTIFS(Esc_Turno,'Calc_Mix'!$C$22,Esc_Circ,$B7)+COUNTIFS(Esc_Turno,'Calc_Mix'!$C$22,Esc_Instr,$B7)&gt;0),"",IF(SUMPRODUCT('Calc_Mix'!$D$22:$W$22,'Matriz_Habilidades'!$D7:$W7)=0,"",SUMPRODUCT('Calc_Mix'!$D$22:$W$22,'Matriz_Habilidades'!$D7:$W7)/'Calc_Mix'!$X$22+ROW()*0.000001))</f>
        <v/>
      </c>
      <c r="Z7" s="34">
        <f>IF(OR($B7="",$C7&lt;&gt;"Ativo",$D7&lt;&gt;'Calc_Mix'!$C$23,'Calc_Mix'!$X$23=0,COUNTIFS(Esc_Turno,'Calc_Mix'!$C$23,Esc_Circ,$B7)+COUNTIFS(Esc_Turno,'Calc_Mix'!$C$23,Esc_Instr,$B7)&gt;0),"",IF(SUMPRODUCT('Calc_Mix'!$D$23:$W$23,'Matriz_Habilidades'!$D7:$W7)=0,"",SUMPRODUCT('Calc_Mix'!$D$23:$W$23,'Matriz_Habilidades'!$D7:$W7)/'Calc_Mix'!$X$23+ROW()*0.000001))</f>
        <v/>
      </c>
      <c r="AA7" s="34">
        <f>IF(OR($B7="",$C7&lt;&gt;"Ativo",$D7&lt;&gt;'Calc_Mix'!$C$24,'Calc_Mix'!$X$24=0,COUNTIFS(Esc_Turno,'Calc_Mix'!$C$24,Esc_Circ,$B7)+COUNTIFS(Esc_Turno,'Calc_Mix'!$C$24,Esc_Instr,$B7)&gt;0),"",IF(SUMPRODUCT('Calc_Mix'!$D$24:$W$24,'Matriz_Habilidades'!$D7:$W7)=0,"",SUMPRODUCT('Calc_Mix'!$D$24:$W$24,'Matriz_Habilidades'!$D7:$W7)/'Calc_Mix'!$X$24+ROW()*0.000001))</f>
        <v/>
      </c>
      <c r="AB7" s="34">
        <f>IF(OR($B7="",$C7&lt;&gt;"Ativo",$D7&lt;&gt;'Calc_Mix'!$C$25,'Calc_Mix'!$X$25=0,COUNTIFS(Esc_Turno,'Calc_Mix'!$C$25,Esc_Circ,$B7)+COUNTIFS(Esc_Turno,'Calc_Mix'!$C$25,Esc_Instr,$B7)&gt;0),"",IF(SUMPRODUCT('Calc_Mix'!$D$25:$W$25,'Matriz_Habilidades'!$D7:$W7)=0,"",SUMPRODUCT('Calc_Mix'!$D$25:$W$25,'Matriz_Habilidades'!$D7:$W7)/'Calc_Mix'!$X$25+ROW()*0.000001))</f>
        <v/>
      </c>
      <c r="AC7" s="34">
        <f>IF(OR($B7="",$C7&lt;&gt;"Ativo",$D7&lt;&gt;'Calc_Mix'!$C$26,'Calc_Mix'!$X$26=0,COUNTIFS(Esc_Turno,'Calc_Mix'!$C$26,Esc_Circ,$B7)+COUNTIFS(Esc_Turno,'Calc_Mix'!$C$26,Esc_Instr,$B7)&gt;0),"",IF(SUMPRODUCT('Calc_Mix'!$D$26:$W$26,'Matriz_Habilidades'!$D7:$W7)=0,"",SUMPRODUCT('Calc_Mix'!$D$26:$W$26,'Matriz_Habilidades'!$D7:$W7)/'Calc_Mix'!$X$26+ROW()*0.000001))</f>
        <v/>
      </c>
      <c r="AD7" s="34">
        <f>IF(OR($B7="",$C7&lt;&gt;"Ativo",$D7&lt;&gt;'Calc_Mix'!$C$27,'Calc_Mix'!$X$27=0,COUNTIFS(Esc_Turno,'Calc_Mix'!$C$27,Esc_Circ,$B7)+COUNTIFS(Esc_Turno,'Calc_Mix'!$C$27,Esc_Instr,$B7)&gt;0),"",IF(SUMPRODUCT('Calc_Mix'!$D$27:$W$27,'Matriz_Habilidades'!$D7:$W7)=0,"",SUMPRODUCT('Calc_Mix'!$D$27:$W$27,'Matriz_Habilidades'!$D7:$W7)/'Calc_Mix'!$X$27+ROW()*0.000001))</f>
        <v/>
      </c>
      <c r="AE7" s="34">
        <f>IF(OR($B7="",$C7&lt;&gt;"Ativo",$D7&lt;&gt;'Calc_Mix'!$C$28,'Calc_Mix'!$X$28=0,COUNTIFS(Esc_Turno,'Calc_Mix'!$C$28,Esc_Circ,$B7)+COUNTIFS(Esc_Turno,'Calc_Mix'!$C$28,Esc_Instr,$B7)&gt;0),"",IF(SUMPRODUCT('Calc_Mix'!$D$28:$W$28,'Matriz_Habilidades'!$D7:$W7)=0,"",SUMPRODUCT('Calc_Mix'!$D$28:$W$28,'Matriz_Habilidades'!$D7:$W7)/'Calc_Mix'!$X$28+ROW()*0.000001))</f>
        <v/>
      </c>
      <c r="AF7" s="34">
        <f>IF(OR($B7="",$C7&lt;&gt;"Ativo",$D7&lt;&gt;'Calc_Mix'!$C$29,'Calc_Mix'!$X$29=0,COUNTIFS(Esc_Turno,'Calc_Mix'!$C$29,Esc_Circ,$B7)+COUNTIFS(Esc_Turno,'Calc_Mix'!$C$29,Esc_Instr,$B7)&gt;0),"",IF(SUMPRODUCT('Calc_Mix'!$D$29:$W$29,'Matriz_Habilidades'!$D7:$W7)=0,"",SUMPRODUCT('Calc_Mix'!$D$29:$W$29,'Matriz_Habilidades'!$D7:$W7)/'Calc_Mix'!$X$29+ROW()*0.000001))</f>
        <v/>
      </c>
      <c r="AG7" s="34">
        <f>IF(OR($B7="",$C7&lt;&gt;"Ativo",$D7&lt;&gt;'Calc_Mix'!$C$30,'Calc_Mix'!$X$30=0,COUNTIFS(Esc_Turno,'Calc_Mix'!$C$30,Esc_Circ,$B7)+COUNTIFS(Esc_Turno,'Calc_Mix'!$C$30,Esc_Instr,$B7)&gt;0),"",IF(SUMPRODUCT('Calc_Mix'!$D$30:$W$30,'Matriz_Habilidades'!$D7:$W7)=0,"",SUMPRODUCT('Calc_Mix'!$D$30:$W$30,'Matriz_Habilidades'!$D7:$W7)/'Calc_Mix'!$X$30+ROW()*0.000001))</f>
        <v/>
      </c>
      <c r="AH7" s="34">
        <f>IF(OR($B7="",$C7&lt;&gt;"Ativo",$D7&lt;&gt;'Calc_Mix'!$C$31,'Calc_Mix'!$X$31=0,COUNTIFS(Esc_Turno,'Calc_Mix'!$C$31,Esc_Circ,$B7)+COUNTIFS(Esc_Turno,'Calc_Mix'!$C$31,Esc_Instr,$B7)&gt;0),"",IF(SUMPRODUCT('Calc_Mix'!$D$31:$W$31,'Matriz_Habilidades'!$D7:$W7)=0,"",SUMPRODUCT('Calc_Mix'!$D$31:$W$31,'Matriz_Habilidades'!$D7:$W7)/'Calc_Mix'!$X$31+ROW()*0.000001))</f>
        <v/>
      </c>
      <c r="AI7" s="34">
        <f>IF(OR($B7="",$C7&lt;&gt;"Ativo",$D7&lt;&gt;'Calc_Mix'!$C$32,'Calc_Mix'!$X$32=0,COUNTIFS(Esc_Turno,'Calc_Mix'!$C$32,Esc_Circ,$B7)+COUNTIFS(Esc_Turno,'Calc_Mix'!$C$32,Esc_Instr,$B7)&gt;0),"",IF(SUMPRODUCT('Calc_Mix'!$D$32:$W$32,'Matriz_Habilidades'!$D7:$W7)=0,"",SUMPRODUCT('Calc_Mix'!$D$32:$W$32,'Matriz_Habilidades'!$D7:$W7)/'Calc_Mix'!$X$32+ROW()*0.000001))</f>
        <v/>
      </c>
      <c r="AJ7" s="34">
        <f>IF(OR($B7="",$C7&lt;&gt;"Ativo",$D7&lt;&gt;'Calc_Mix'!$C$33,'Calc_Mix'!$X$33=0,COUNTIFS(Esc_Turno,'Calc_Mix'!$C$33,Esc_Circ,$B7)+COUNTIFS(Esc_Turno,'Calc_Mix'!$C$33,Esc_Instr,$B7)&gt;0),"",IF(SUMPRODUCT('Calc_Mix'!$D$33:$W$33,'Matriz_Habilidades'!$D7:$W7)=0,"",SUMPRODUCT('Calc_Mix'!$D$33:$W$33,'Matriz_Habilidades'!$D7:$W7)/'Calc_Mix'!$X$33+ROW()*0.000001))</f>
        <v/>
      </c>
      <c r="AK7" s="34">
        <f>IF(OR($B7="",$C7&lt;&gt;"Ativo",$D7&lt;&gt;'Calc_Mix'!$C$34,'Calc_Mix'!$X$34=0,COUNTIFS(Esc_Turno,'Calc_Mix'!$C$34,Esc_Circ,$B7)+COUNTIFS(Esc_Turno,'Calc_Mix'!$C$34,Esc_Instr,$B7)&gt;0),"",IF(SUMPRODUCT('Calc_Mix'!$D$34:$W$34,'Matriz_Habilidades'!$D7:$W7)=0,"",SUMPRODUCT('Calc_Mix'!$D$34:$W$34,'Matriz_Habilidades'!$D7:$W7)/'Calc_Mix'!$X$34+ROW()*0.000001))</f>
        <v/>
      </c>
      <c r="AL7" s="34">
        <f>IF(OR($B7="",$C7&lt;&gt;"Ativo",$D7&lt;&gt;'Calc_Mix'!$C$35,'Calc_Mix'!$X$35=0,COUNTIFS(Esc_Turno,'Calc_Mix'!$C$35,Esc_Circ,$B7)+COUNTIFS(Esc_Turno,'Calc_Mix'!$C$35,Esc_Instr,$B7)&gt;0),"",IF(SUMPRODUCT('Calc_Mix'!$D$35:$W$35,'Matriz_Habilidades'!$D7:$W7)=0,"",SUMPRODUCT('Calc_Mix'!$D$35:$W$35,'Matriz_Habilidades'!$D7:$W7)/'Calc_Mix'!$X$35+ROW()*0.000001))</f>
        <v/>
      </c>
      <c r="AM7" s="34">
        <f>IF(OR($B7="",$C7&lt;&gt;"Ativo",$D7&lt;&gt;'Calc_Mix'!$C$36,'Calc_Mix'!$X$36=0,COUNTIFS(Esc_Turno,'Calc_Mix'!$C$36,Esc_Circ,$B7)+COUNTIFS(Esc_Turno,'Calc_Mix'!$C$36,Esc_Instr,$B7)&gt;0),"",IF(SUMPRODUCT('Calc_Mix'!$D$36:$W$36,'Matriz_Habilidades'!$D7:$W7)=0,"",SUMPRODUCT('Calc_Mix'!$D$36:$W$36,'Matriz_Habilidades'!$D7:$W7)/'Calc_Mix'!$X$36+ROW()*0.000001))</f>
        <v/>
      </c>
      <c r="AN7" s="34">
        <f>IF(OR($B7="",$C7&lt;&gt;"Ativo",$D7&lt;&gt;'Calc_Mix'!$C$37,'Calc_Mix'!$X$37=0,COUNTIFS(Esc_Turno,'Calc_Mix'!$C$37,Esc_Circ,$B7)+COUNTIFS(Esc_Turno,'Calc_Mix'!$C$37,Esc_Instr,$B7)&gt;0),"",IF(SUMPRODUCT('Calc_Mix'!$D$37:$W$37,'Matriz_Habilidades'!$D7:$W7)=0,"",SUMPRODUCT('Calc_Mix'!$D$37:$W$37,'Matriz_Habilidades'!$D7:$W7)/'Calc_Mix'!$X$37+ROW()*0.000001))</f>
        <v/>
      </c>
    </row>
    <row r="8">
      <c r="A8" s="27">
        <f>IF('Matriz_Habilidades'!A8="","",'Matriz_Habilidades'!A8)</f>
        <v/>
      </c>
      <c r="B8" s="28">
        <f>IF('Matriz_Habilidades'!B8="","",'Matriz_Habilidades'!B8)</f>
        <v/>
      </c>
      <c r="C8" s="27">
        <f>IF($A8="","",IFERROR(INDEX(Equipe_Status,MATCH($B8,Equipe_Nome,0)),"?"))</f>
        <v/>
      </c>
      <c r="D8" s="27">
        <f>IF($A8="","",IFERROR(INDEX(Equipe_Turno,MATCH($B8,Equipe_Nome,0)),"?"))</f>
        <v/>
      </c>
      <c r="E8" s="34">
        <f>IF(OR($B8="",$C8&lt;&gt;"Ativo",$D8&lt;&gt;'Calc_Mix'!$C$2,'Calc_Mix'!$X$2=0,COUNTIFS(Esc_Turno,'Calc_Mix'!$C$2,Esc_Circ,$B8)+COUNTIFS(Esc_Turno,'Calc_Mix'!$C$2,Esc_Instr,$B8)&gt;0),"",IF(SUMPRODUCT('Calc_Mix'!$D$2:$W$2,'Matriz_Habilidades'!$D8:$W8)=0,"",SUMPRODUCT('Calc_Mix'!$D$2:$W$2,'Matriz_Habilidades'!$D8:$W8)/'Calc_Mix'!$X$2+ROW()*0.000001))</f>
        <v/>
      </c>
      <c r="F8" s="34">
        <f>IF(OR($B8="",$C8&lt;&gt;"Ativo",$D8&lt;&gt;'Calc_Mix'!$C$3,'Calc_Mix'!$X$3=0,COUNTIFS(Esc_Turno,'Calc_Mix'!$C$3,Esc_Circ,$B8)+COUNTIFS(Esc_Turno,'Calc_Mix'!$C$3,Esc_Instr,$B8)&gt;0),"",IF(SUMPRODUCT('Calc_Mix'!$D$3:$W$3,'Matriz_Habilidades'!$D8:$W8)=0,"",SUMPRODUCT('Calc_Mix'!$D$3:$W$3,'Matriz_Habilidades'!$D8:$W8)/'Calc_Mix'!$X$3+ROW()*0.000001))</f>
        <v/>
      </c>
      <c r="G8" s="34">
        <f>IF(OR($B8="",$C8&lt;&gt;"Ativo",$D8&lt;&gt;'Calc_Mix'!$C$4,'Calc_Mix'!$X$4=0,COUNTIFS(Esc_Turno,'Calc_Mix'!$C$4,Esc_Circ,$B8)+COUNTIFS(Esc_Turno,'Calc_Mix'!$C$4,Esc_Instr,$B8)&gt;0),"",IF(SUMPRODUCT('Calc_Mix'!$D$4:$W$4,'Matriz_Habilidades'!$D8:$W8)=0,"",SUMPRODUCT('Calc_Mix'!$D$4:$W$4,'Matriz_Habilidades'!$D8:$W8)/'Calc_Mix'!$X$4+ROW()*0.000001))</f>
        <v/>
      </c>
      <c r="H8" s="34">
        <f>IF(OR($B8="",$C8&lt;&gt;"Ativo",$D8&lt;&gt;'Calc_Mix'!$C$5,'Calc_Mix'!$X$5=0,COUNTIFS(Esc_Turno,'Calc_Mix'!$C$5,Esc_Circ,$B8)+COUNTIFS(Esc_Turno,'Calc_Mix'!$C$5,Esc_Instr,$B8)&gt;0),"",IF(SUMPRODUCT('Calc_Mix'!$D$5:$W$5,'Matriz_Habilidades'!$D8:$W8)=0,"",SUMPRODUCT('Calc_Mix'!$D$5:$W$5,'Matriz_Habilidades'!$D8:$W8)/'Calc_Mix'!$X$5+ROW()*0.000001))</f>
        <v/>
      </c>
      <c r="I8" s="34">
        <f>IF(OR($B8="",$C8&lt;&gt;"Ativo",$D8&lt;&gt;'Calc_Mix'!$C$6,'Calc_Mix'!$X$6=0,COUNTIFS(Esc_Turno,'Calc_Mix'!$C$6,Esc_Circ,$B8)+COUNTIFS(Esc_Turno,'Calc_Mix'!$C$6,Esc_Instr,$B8)&gt;0),"",IF(SUMPRODUCT('Calc_Mix'!$D$6:$W$6,'Matriz_Habilidades'!$D8:$W8)=0,"",SUMPRODUCT('Calc_Mix'!$D$6:$W$6,'Matriz_Habilidades'!$D8:$W8)/'Calc_Mix'!$X$6+ROW()*0.000001))</f>
        <v/>
      </c>
      <c r="J8" s="34">
        <f>IF(OR($B8="",$C8&lt;&gt;"Ativo",$D8&lt;&gt;'Calc_Mix'!$C$7,'Calc_Mix'!$X$7=0,COUNTIFS(Esc_Turno,'Calc_Mix'!$C$7,Esc_Circ,$B8)+COUNTIFS(Esc_Turno,'Calc_Mix'!$C$7,Esc_Instr,$B8)&gt;0),"",IF(SUMPRODUCT('Calc_Mix'!$D$7:$W$7,'Matriz_Habilidades'!$D8:$W8)=0,"",SUMPRODUCT('Calc_Mix'!$D$7:$W$7,'Matriz_Habilidades'!$D8:$W8)/'Calc_Mix'!$X$7+ROW()*0.000001))</f>
        <v/>
      </c>
      <c r="K8" s="34">
        <f>IF(OR($B8="",$C8&lt;&gt;"Ativo",$D8&lt;&gt;'Calc_Mix'!$C$8,'Calc_Mix'!$X$8=0,COUNTIFS(Esc_Turno,'Calc_Mix'!$C$8,Esc_Circ,$B8)+COUNTIFS(Esc_Turno,'Calc_Mix'!$C$8,Esc_Instr,$B8)&gt;0),"",IF(SUMPRODUCT('Calc_Mix'!$D$8:$W$8,'Matriz_Habilidades'!$D8:$W8)=0,"",SUMPRODUCT('Calc_Mix'!$D$8:$W$8,'Matriz_Habilidades'!$D8:$W8)/'Calc_Mix'!$X$8+ROW()*0.000001))</f>
        <v/>
      </c>
      <c r="L8" s="34">
        <f>IF(OR($B8="",$C8&lt;&gt;"Ativo",$D8&lt;&gt;'Calc_Mix'!$C$9,'Calc_Mix'!$X$9=0,COUNTIFS(Esc_Turno,'Calc_Mix'!$C$9,Esc_Circ,$B8)+COUNTIFS(Esc_Turno,'Calc_Mix'!$C$9,Esc_Instr,$B8)&gt;0),"",IF(SUMPRODUCT('Calc_Mix'!$D$9:$W$9,'Matriz_Habilidades'!$D8:$W8)=0,"",SUMPRODUCT('Calc_Mix'!$D$9:$W$9,'Matriz_Habilidades'!$D8:$W8)/'Calc_Mix'!$X$9+ROW()*0.000001))</f>
        <v/>
      </c>
      <c r="M8" s="34">
        <f>IF(OR($B8="",$C8&lt;&gt;"Ativo",$D8&lt;&gt;'Calc_Mix'!$C$10,'Calc_Mix'!$X$10=0,COUNTIFS(Esc_Turno,'Calc_Mix'!$C$10,Esc_Circ,$B8)+COUNTIFS(Esc_Turno,'Calc_Mix'!$C$10,Esc_Instr,$B8)&gt;0),"",IF(SUMPRODUCT('Calc_Mix'!$D$10:$W$10,'Matriz_Habilidades'!$D8:$W8)=0,"",SUMPRODUCT('Calc_Mix'!$D$10:$W$10,'Matriz_Habilidades'!$D8:$W8)/'Calc_Mix'!$X$10+ROW()*0.000001))</f>
        <v/>
      </c>
      <c r="N8" s="34">
        <f>IF(OR($B8="",$C8&lt;&gt;"Ativo",$D8&lt;&gt;'Calc_Mix'!$C$11,'Calc_Mix'!$X$11=0,COUNTIFS(Esc_Turno,'Calc_Mix'!$C$11,Esc_Circ,$B8)+COUNTIFS(Esc_Turno,'Calc_Mix'!$C$11,Esc_Instr,$B8)&gt;0),"",IF(SUMPRODUCT('Calc_Mix'!$D$11:$W$11,'Matriz_Habilidades'!$D8:$W8)=0,"",SUMPRODUCT('Calc_Mix'!$D$11:$W$11,'Matriz_Habilidades'!$D8:$W8)/'Calc_Mix'!$X$11+ROW()*0.000001))</f>
        <v/>
      </c>
      <c r="O8" s="34">
        <f>IF(OR($B8="",$C8&lt;&gt;"Ativo",$D8&lt;&gt;'Calc_Mix'!$C$12,'Calc_Mix'!$X$12=0,COUNTIFS(Esc_Turno,'Calc_Mix'!$C$12,Esc_Circ,$B8)+COUNTIFS(Esc_Turno,'Calc_Mix'!$C$12,Esc_Instr,$B8)&gt;0),"",IF(SUMPRODUCT('Calc_Mix'!$D$12:$W$12,'Matriz_Habilidades'!$D8:$W8)=0,"",SUMPRODUCT('Calc_Mix'!$D$12:$W$12,'Matriz_Habilidades'!$D8:$W8)/'Calc_Mix'!$X$12+ROW()*0.000001))</f>
        <v/>
      </c>
      <c r="P8" s="34">
        <f>IF(OR($B8="",$C8&lt;&gt;"Ativo",$D8&lt;&gt;'Calc_Mix'!$C$13,'Calc_Mix'!$X$13=0,COUNTIFS(Esc_Turno,'Calc_Mix'!$C$13,Esc_Circ,$B8)+COUNTIFS(Esc_Turno,'Calc_Mix'!$C$13,Esc_Instr,$B8)&gt;0),"",IF(SUMPRODUCT('Calc_Mix'!$D$13:$W$13,'Matriz_Habilidades'!$D8:$W8)=0,"",SUMPRODUCT('Calc_Mix'!$D$13:$W$13,'Matriz_Habilidades'!$D8:$W8)/'Calc_Mix'!$X$13+ROW()*0.000001))</f>
        <v/>
      </c>
      <c r="Q8" s="34">
        <f>IF(OR($B8="",$C8&lt;&gt;"Ativo",$D8&lt;&gt;'Calc_Mix'!$C$14,'Calc_Mix'!$X$14=0,COUNTIFS(Esc_Turno,'Calc_Mix'!$C$14,Esc_Circ,$B8)+COUNTIFS(Esc_Turno,'Calc_Mix'!$C$14,Esc_Instr,$B8)&gt;0),"",IF(SUMPRODUCT('Calc_Mix'!$D$14:$W$14,'Matriz_Habilidades'!$D8:$W8)=0,"",SUMPRODUCT('Calc_Mix'!$D$14:$W$14,'Matriz_Habilidades'!$D8:$W8)/'Calc_Mix'!$X$14+ROW()*0.000001))</f>
        <v/>
      </c>
      <c r="R8" s="34">
        <f>IF(OR($B8="",$C8&lt;&gt;"Ativo",$D8&lt;&gt;'Calc_Mix'!$C$15,'Calc_Mix'!$X$15=0,COUNTIFS(Esc_Turno,'Calc_Mix'!$C$15,Esc_Circ,$B8)+COUNTIFS(Esc_Turno,'Calc_Mix'!$C$15,Esc_Instr,$B8)&gt;0),"",IF(SUMPRODUCT('Calc_Mix'!$D$15:$W$15,'Matriz_Habilidades'!$D8:$W8)=0,"",SUMPRODUCT('Calc_Mix'!$D$15:$W$15,'Matriz_Habilidades'!$D8:$W8)/'Calc_Mix'!$X$15+ROW()*0.000001))</f>
        <v/>
      </c>
      <c r="S8" s="34">
        <f>IF(OR($B8="",$C8&lt;&gt;"Ativo",$D8&lt;&gt;'Calc_Mix'!$C$16,'Calc_Mix'!$X$16=0,COUNTIFS(Esc_Turno,'Calc_Mix'!$C$16,Esc_Circ,$B8)+COUNTIFS(Esc_Turno,'Calc_Mix'!$C$16,Esc_Instr,$B8)&gt;0),"",IF(SUMPRODUCT('Calc_Mix'!$D$16:$W$16,'Matriz_Habilidades'!$D8:$W8)=0,"",SUMPRODUCT('Calc_Mix'!$D$16:$W$16,'Matriz_Habilidades'!$D8:$W8)/'Calc_Mix'!$X$16+ROW()*0.000001))</f>
        <v/>
      </c>
      <c r="T8" s="34">
        <f>IF(OR($B8="",$C8&lt;&gt;"Ativo",$D8&lt;&gt;'Calc_Mix'!$C$17,'Calc_Mix'!$X$17=0,COUNTIFS(Esc_Turno,'Calc_Mix'!$C$17,Esc_Circ,$B8)+COUNTIFS(Esc_Turno,'Calc_Mix'!$C$17,Esc_Instr,$B8)&gt;0),"",IF(SUMPRODUCT('Calc_Mix'!$D$17:$W$17,'Matriz_Habilidades'!$D8:$W8)=0,"",SUMPRODUCT('Calc_Mix'!$D$17:$W$17,'Matriz_Habilidades'!$D8:$W8)/'Calc_Mix'!$X$17+ROW()*0.000001))</f>
        <v/>
      </c>
      <c r="U8" s="34">
        <f>IF(OR($B8="",$C8&lt;&gt;"Ativo",$D8&lt;&gt;'Calc_Mix'!$C$18,'Calc_Mix'!$X$18=0,COUNTIFS(Esc_Turno,'Calc_Mix'!$C$18,Esc_Circ,$B8)+COUNTIFS(Esc_Turno,'Calc_Mix'!$C$18,Esc_Instr,$B8)&gt;0),"",IF(SUMPRODUCT('Calc_Mix'!$D$18:$W$18,'Matriz_Habilidades'!$D8:$W8)=0,"",SUMPRODUCT('Calc_Mix'!$D$18:$W$18,'Matriz_Habilidades'!$D8:$W8)/'Calc_Mix'!$X$18+ROW()*0.000001))</f>
        <v/>
      </c>
      <c r="V8" s="34">
        <f>IF(OR($B8="",$C8&lt;&gt;"Ativo",$D8&lt;&gt;'Calc_Mix'!$C$19,'Calc_Mix'!$X$19=0,COUNTIFS(Esc_Turno,'Calc_Mix'!$C$19,Esc_Circ,$B8)+COUNTIFS(Esc_Turno,'Calc_Mix'!$C$19,Esc_Instr,$B8)&gt;0),"",IF(SUMPRODUCT('Calc_Mix'!$D$19:$W$19,'Matriz_Habilidades'!$D8:$W8)=0,"",SUMPRODUCT('Calc_Mix'!$D$19:$W$19,'Matriz_Habilidades'!$D8:$W8)/'Calc_Mix'!$X$19+ROW()*0.000001))</f>
        <v/>
      </c>
      <c r="W8" s="34">
        <f>IF(OR($B8="",$C8&lt;&gt;"Ativo",$D8&lt;&gt;'Calc_Mix'!$C$20,'Calc_Mix'!$X$20=0,COUNTIFS(Esc_Turno,'Calc_Mix'!$C$20,Esc_Circ,$B8)+COUNTIFS(Esc_Turno,'Calc_Mix'!$C$20,Esc_Instr,$B8)&gt;0),"",IF(SUMPRODUCT('Calc_Mix'!$D$20:$W$20,'Matriz_Habilidades'!$D8:$W8)=0,"",SUMPRODUCT('Calc_Mix'!$D$20:$W$20,'Matriz_Habilidades'!$D8:$W8)/'Calc_Mix'!$X$20+ROW()*0.000001))</f>
        <v/>
      </c>
      <c r="X8" s="34">
        <f>IF(OR($B8="",$C8&lt;&gt;"Ativo",$D8&lt;&gt;'Calc_Mix'!$C$21,'Calc_Mix'!$X$21=0,COUNTIFS(Esc_Turno,'Calc_Mix'!$C$21,Esc_Circ,$B8)+COUNTIFS(Esc_Turno,'Calc_Mix'!$C$21,Esc_Instr,$B8)&gt;0),"",IF(SUMPRODUCT('Calc_Mix'!$D$21:$W$21,'Matriz_Habilidades'!$D8:$W8)=0,"",SUMPRODUCT('Calc_Mix'!$D$21:$W$21,'Matriz_Habilidades'!$D8:$W8)/'Calc_Mix'!$X$21+ROW()*0.000001))</f>
        <v/>
      </c>
      <c r="Y8" s="34">
        <f>IF(OR($B8="",$C8&lt;&gt;"Ativo",$D8&lt;&gt;'Calc_Mix'!$C$22,'Calc_Mix'!$X$22=0,COUNTIFS(Esc_Turno,'Calc_Mix'!$C$22,Esc_Circ,$B8)+COUNTIFS(Esc_Turno,'Calc_Mix'!$C$22,Esc_Instr,$B8)&gt;0),"",IF(SUMPRODUCT('Calc_Mix'!$D$22:$W$22,'Matriz_Habilidades'!$D8:$W8)=0,"",SUMPRODUCT('Calc_Mix'!$D$22:$W$22,'Matriz_Habilidades'!$D8:$W8)/'Calc_Mix'!$X$22+ROW()*0.000001))</f>
        <v/>
      </c>
      <c r="Z8" s="34">
        <f>IF(OR($B8="",$C8&lt;&gt;"Ativo",$D8&lt;&gt;'Calc_Mix'!$C$23,'Calc_Mix'!$X$23=0,COUNTIFS(Esc_Turno,'Calc_Mix'!$C$23,Esc_Circ,$B8)+COUNTIFS(Esc_Turno,'Calc_Mix'!$C$23,Esc_Instr,$B8)&gt;0),"",IF(SUMPRODUCT('Calc_Mix'!$D$23:$W$23,'Matriz_Habilidades'!$D8:$W8)=0,"",SUMPRODUCT('Calc_Mix'!$D$23:$W$23,'Matriz_Habilidades'!$D8:$W8)/'Calc_Mix'!$X$23+ROW()*0.000001))</f>
        <v/>
      </c>
      <c r="AA8" s="34">
        <f>IF(OR($B8="",$C8&lt;&gt;"Ativo",$D8&lt;&gt;'Calc_Mix'!$C$24,'Calc_Mix'!$X$24=0,COUNTIFS(Esc_Turno,'Calc_Mix'!$C$24,Esc_Circ,$B8)+COUNTIFS(Esc_Turno,'Calc_Mix'!$C$24,Esc_Instr,$B8)&gt;0),"",IF(SUMPRODUCT('Calc_Mix'!$D$24:$W$24,'Matriz_Habilidades'!$D8:$W8)=0,"",SUMPRODUCT('Calc_Mix'!$D$24:$W$24,'Matriz_Habilidades'!$D8:$W8)/'Calc_Mix'!$X$24+ROW()*0.000001))</f>
        <v/>
      </c>
      <c r="AB8" s="34">
        <f>IF(OR($B8="",$C8&lt;&gt;"Ativo",$D8&lt;&gt;'Calc_Mix'!$C$25,'Calc_Mix'!$X$25=0,COUNTIFS(Esc_Turno,'Calc_Mix'!$C$25,Esc_Circ,$B8)+COUNTIFS(Esc_Turno,'Calc_Mix'!$C$25,Esc_Instr,$B8)&gt;0),"",IF(SUMPRODUCT('Calc_Mix'!$D$25:$W$25,'Matriz_Habilidades'!$D8:$W8)=0,"",SUMPRODUCT('Calc_Mix'!$D$25:$W$25,'Matriz_Habilidades'!$D8:$W8)/'Calc_Mix'!$X$25+ROW()*0.000001))</f>
        <v/>
      </c>
      <c r="AC8" s="34">
        <f>IF(OR($B8="",$C8&lt;&gt;"Ativo",$D8&lt;&gt;'Calc_Mix'!$C$26,'Calc_Mix'!$X$26=0,COUNTIFS(Esc_Turno,'Calc_Mix'!$C$26,Esc_Circ,$B8)+COUNTIFS(Esc_Turno,'Calc_Mix'!$C$26,Esc_Instr,$B8)&gt;0),"",IF(SUMPRODUCT('Calc_Mix'!$D$26:$W$26,'Matriz_Habilidades'!$D8:$W8)=0,"",SUMPRODUCT('Calc_Mix'!$D$26:$W$26,'Matriz_Habilidades'!$D8:$W8)/'Calc_Mix'!$X$26+ROW()*0.000001))</f>
        <v/>
      </c>
      <c r="AD8" s="34">
        <f>IF(OR($B8="",$C8&lt;&gt;"Ativo",$D8&lt;&gt;'Calc_Mix'!$C$27,'Calc_Mix'!$X$27=0,COUNTIFS(Esc_Turno,'Calc_Mix'!$C$27,Esc_Circ,$B8)+COUNTIFS(Esc_Turno,'Calc_Mix'!$C$27,Esc_Instr,$B8)&gt;0),"",IF(SUMPRODUCT('Calc_Mix'!$D$27:$W$27,'Matriz_Habilidades'!$D8:$W8)=0,"",SUMPRODUCT('Calc_Mix'!$D$27:$W$27,'Matriz_Habilidades'!$D8:$W8)/'Calc_Mix'!$X$27+ROW()*0.000001))</f>
        <v/>
      </c>
      <c r="AE8" s="34">
        <f>IF(OR($B8="",$C8&lt;&gt;"Ativo",$D8&lt;&gt;'Calc_Mix'!$C$28,'Calc_Mix'!$X$28=0,COUNTIFS(Esc_Turno,'Calc_Mix'!$C$28,Esc_Circ,$B8)+COUNTIFS(Esc_Turno,'Calc_Mix'!$C$28,Esc_Instr,$B8)&gt;0),"",IF(SUMPRODUCT('Calc_Mix'!$D$28:$W$28,'Matriz_Habilidades'!$D8:$W8)=0,"",SUMPRODUCT('Calc_Mix'!$D$28:$W$28,'Matriz_Habilidades'!$D8:$W8)/'Calc_Mix'!$X$28+ROW()*0.000001))</f>
        <v/>
      </c>
      <c r="AF8" s="34">
        <f>IF(OR($B8="",$C8&lt;&gt;"Ativo",$D8&lt;&gt;'Calc_Mix'!$C$29,'Calc_Mix'!$X$29=0,COUNTIFS(Esc_Turno,'Calc_Mix'!$C$29,Esc_Circ,$B8)+COUNTIFS(Esc_Turno,'Calc_Mix'!$C$29,Esc_Instr,$B8)&gt;0),"",IF(SUMPRODUCT('Calc_Mix'!$D$29:$W$29,'Matriz_Habilidades'!$D8:$W8)=0,"",SUMPRODUCT('Calc_Mix'!$D$29:$W$29,'Matriz_Habilidades'!$D8:$W8)/'Calc_Mix'!$X$29+ROW()*0.000001))</f>
        <v/>
      </c>
      <c r="AG8" s="34">
        <f>IF(OR($B8="",$C8&lt;&gt;"Ativo",$D8&lt;&gt;'Calc_Mix'!$C$30,'Calc_Mix'!$X$30=0,COUNTIFS(Esc_Turno,'Calc_Mix'!$C$30,Esc_Circ,$B8)+COUNTIFS(Esc_Turno,'Calc_Mix'!$C$30,Esc_Instr,$B8)&gt;0),"",IF(SUMPRODUCT('Calc_Mix'!$D$30:$W$30,'Matriz_Habilidades'!$D8:$W8)=0,"",SUMPRODUCT('Calc_Mix'!$D$30:$W$30,'Matriz_Habilidades'!$D8:$W8)/'Calc_Mix'!$X$30+ROW()*0.000001))</f>
        <v/>
      </c>
      <c r="AH8" s="34">
        <f>IF(OR($B8="",$C8&lt;&gt;"Ativo",$D8&lt;&gt;'Calc_Mix'!$C$31,'Calc_Mix'!$X$31=0,COUNTIFS(Esc_Turno,'Calc_Mix'!$C$31,Esc_Circ,$B8)+COUNTIFS(Esc_Turno,'Calc_Mix'!$C$31,Esc_Instr,$B8)&gt;0),"",IF(SUMPRODUCT('Calc_Mix'!$D$31:$W$31,'Matriz_Habilidades'!$D8:$W8)=0,"",SUMPRODUCT('Calc_Mix'!$D$31:$W$31,'Matriz_Habilidades'!$D8:$W8)/'Calc_Mix'!$X$31+ROW()*0.000001))</f>
        <v/>
      </c>
      <c r="AI8" s="34">
        <f>IF(OR($B8="",$C8&lt;&gt;"Ativo",$D8&lt;&gt;'Calc_Mix'!$C$32,'Calc_Mix'!$X$32=0,COUNTIFS(Esc_Turno,'Calc_Mix'!$C$32,Esc_Circ,$B8)+COUNTIFS(Esc_Turno,'Calc_Mix'!$C$32,Esc_Instr,$B8)&gt;0),"",IF(SUMPRODUCT('Calc_Mix'!$D$32:$W$32,'Matriz_Habilidades'!$D8:$W8)=0,"",SUMPRODUCT('Calc_Mix'!$D$32:$W$32,'Matriz_Habilidades'!$D8:$W8)/'Calc_Mix'!$X$32+ROW()*0.000001))</f>
        <v/>
      </c>
      <c r="AJ8" s="34">
        <f>IF(OR($B8="",$C8&lt;&gt;"Ativo",$D8&lt;&gt;'Calc_Mix'!$C$33,'Calc_Mix'!$X$33=0,COUNTIFS(Esc_Turno,'Calc_Mix'!$C$33,Esc_Circ,$B8)+COUNTIFS(Esc_Turno,'Calc_Mix'!$C$33,Esc_Instr,$B8)&gt;0),"",IF(SUMPRODUCT('Calc_Mix'!$D$33:$W$33,'Matriz_Habilidades'!$D8:$W8)=0,"",SUMPRODUCT('Calc_Mix'!$D$33:$W$33,'Matriz_Habilidades'!$D8:$W8)/'Calc_Mix'!$X$33+ROW()*0.000001))</f>
        <v/>
      </c>
      <c r="AK8" s="34">
        <f>IF(OR($B8="",$C8&lt;&gt;"Ativo",$D8&lt;&gt;'Calc_Mix'!$C$34,'Calc_Mix'!$X$34=0,COUNTIFS(Esc_Turno,'Calc_Mix'!$C$34,Esc_Circ,$B8)+COUNTIFS(Esc_Turno,'Calc_Mix'!$C$34,Esc_Instr,$B8)&gt;0),"",IF(SUMPRODUCT('Calc_Mix'!$D$34:$W$34,'Matriz_Habilidades'!$D8:$W8)=0,"",SUMPRODUCT('Calc_Mix'!$D$34:$W$34,'Matriz_Habilidades'!$D8:$W8)/'Calc_Mix'!$X$34+ROW()*0.000001))</f>
        <v/>
      </c>
      <c r="AL8" s="34">
        <f>IF(OR($B8="",$C8&lt;&gt;"Ativo",$D8&lt;&gt;'Calc_Mix'!$C$35,'Calc_Mix'!$X$35=0,COUNTIFS(Esc_Turno,'Calc_Mix'!$C$35,Esc_Circ,$B8)+COUNTIFS(Esc_Turno,'Calc_Mix'!$C$35,Esc_Instr,$B8)&gt;0),"",IF(SUMPRODUCT('Calc_Mix'!$D$35:$W$35,'Matriz_Habilidades'!$D8:$W8)=0,"",SUMPRODUCT('Calc_Mix'!$D$35:$W$35,'Matriz_Habilidades'!$D8:$W8)/'Calc_Mix'!$X$35+ROW()*0.000001))</f>
        <v/>
      </c>
      <c r="AM8" s="34">
        <f>IF(OR($B8="",$C8&lt;&gt;"Ativo",$D8&lt;&gt;'Calc_Mix'!$C$36,'Calc_Mix'!$X$36=0,COUNTIFS(Esc_Turno,'Calc_Mix'!$C$36,Esc_Circ,$B8)+COUNTIFS(Esc_Turno,'Calc_Mix'!$C$36,Esc_Instr,$B8)&gt;0),"",IF(SUMPRODUCT('Calc_Mix'!$D$36:$W$36,'Matriz_Habilidades'!$D8:$W8)=0,"",SUMPRODUCT('Calc_Mix'!$D$36:$W$36,'Matriz_Habilidades'!$D8:$W8)/'Calc_Mix'!$X$36+ROW()*0.000001))</f>
        <v/>
      </c>
      <c r="AN8" s="34">
        <f>IF(OR($B8="",$C8&lt;&gt;"Ativo",$D8&lt;&gt;'Calc_Mix'!$C$37,'Calc_Mix'!$X$37=0,COUNTIFS(Esc_Turno,'Calc_Mix'!$C$37,Esc_Circ,$B8)+COUNTIFS(Esc_Turno,'Calc_Mix'!$C$37,Esc_Instr,$B8)&gt;0),"",IF(SUMPRODUCT('Calc_Mix'!$D$37:$W$37,'Matriz_Habilidades'!$D8:$W8)=0,"",SUMPRODUCT('Calc_Mix'!$D$37:$W$37,'Matriz_Habilidades'!$D8:$W8)/'Calc_Mix'!$X$37+ROW()*0.000001))</f>
        <v/>
      </c>
    </row>
    <row r="9">
      <c r="A9" s="27">
        <f>IF('Matriz_Habilidades'!A9="","",'Matriz_Habilidades'!A9)</f>
        <v/>
      </c>
      <c r="B9" s="28">
        <f>IF('Matriz_Habilidades'!B9="","",'Matriz_Habilidades'!B9)</f>
        <v/>
      </c>
      <c r="C9" s="27">
        <f>IF($A9="","",IFERROR(INDEX(Equipe_Status,MATCH($B9,Equipe_Nome,0)),"?"))</f>
        <v/>
      </c>
      <c r="D9" s="27">
        <f>IF($A9="","",IFERROR(INDEX(Equipe_Turno,MATCH($B9,Equipe_Nome,0)),"?"))</f>
        <v/>
      </c>
      <c r="E9" s="34">
        <f>IF(OR($B9="",$C9&lt;&gt;"Ativo",$D9&lt;&gt;'Calc_Mix'!$C$2,'Calc_Mix'!$X$2=0,COUNTIFS(Esc_Turno,'Calc_Mix'!$C$2,Esc_Circ,$B9)+COUNTIFS(Esc_Turno,'Calc_Mix'!$C$2,Esc_Instr,$B9)&gt;0),"",IF(SUMPRODUCT('Calc_Mix'!$D$2:$W$2,'Matriz_Habilidades'!$D9:$W9)=0,"",SUMPRODUCT('Calc_Mix'!$D$2:$W$2,'Matriz_Habilidades'!$D9:$W9)/'Calc_Mix'!$X$2+ROW()*0.000001))</f>
        <v/>
      </c>
      <c r="F9" s="34">
        <f>IF(OR($B9="",$C9&lt;&gt;"Ativo",$D9&lt;&gt;'Calc_Mix'!$C$3,'Calc_Mix'!$X$3=0,COUNTIFS(Esc_Turno,'Calc_Mix'!$C$3,Esc_Circ,$B9)+COUNTIFS(Esc_Turno,'Calc_Mix'!$C$3,Esc_Instr,$B9)&gt;0),"",IF(SUMPRODUCT('Calc_Mix'!$D$3:$W$3,'Matriz_Habilidades'!$D9:$W9)=0,"",SUMPRODUCT('Calc_Mix'!$D$3:$W$3,'Matriz_Habilidades'!$D9:$W9)/'Calc_Mix'!$X$3+ROW()*0.000001))</f>
        <v/>
      </c>
      <c r="G9" s="34">
        <f>IF(OR($B9="",$C9&lt;&gt;"Ativo",$D9&lt;&gt;'Calc_Mix'!$C$4,'Calc_Mix'!$X$4=0,COUNTIFS(Esc_Turno,'Calc_Mix'!$C$4,Esc_Circ,$B9)+COUNTIFS(Esc_Turno,'Calc_Mix'!$C$4,Esc_Instr,$B9)&gt;0),"",IF(SUMPRODUCT('Calc_Mix'!$D$4:$W$4,'Matriz_Habilidades'!$D9:$W9)=0,"",SUMPRODUCT('Calc_Mix'!$D$4:$W$4,'Matriz_Habilidades'!$D9:$W9)/'Calc_Mix'!$X$4+ROW()*0.000001))</f>
        <v/>
      </c>
      <c r="H9" s="34">
        <f>IF(OR($B9="",$C9&lt;&gt;"Ativo",$D9&lt;&gt;'Calc_Mix'!$C$5,'Calc_Mix'!$X$5=0,COUNTIFS(Esc_Turno,'Calc_Mix'!$C$5,Esc_Circ,$B9)+COUNTIFS(Esc_Turno,'Calc_Mix'!$C$5,Esc_Instr,$B9)&gt;0),"",IF(SUMPRODUCT('Calc_Mix'!$D$5:$W$5,'Matriz_Habilidades'!$D9:$W9)=0,"",SUMPRODUCT('Calc_Mix'!$D$5:$W$5,'Matriz_Habilidades'!$D9:$W9)/'Calc_Mix'!$X$5+ROW()*0.000001))</f>
        <v/>
      </c>
      <c r="I9" s="34">
        <f>IF(OR($B9="",$C9&lt;&gt;"Ativo",$D9&lt;&gt;'Calc_Mix'!$C$6,'Calc_Mix'!$X$6=0,COUNTIFS(Esc_Turno,'Calc_Mix'!$C$6,Esc_Circ,$B9)+COUNTIFS(Esc_Turno,'Calc_Mix'!$C$6,Esc_Instr,$B9)&gt;0),"",IF(SUMPRODUCT('Calc_Mix'!$D$6:$W$6,'Matriz_Habilidades'!$D9:$W9)=0,"",SUMPRODUCT('Calc_Mix'!$D$6:$W$6,'Matriz_Habilidades'!$D9:$W9)/'Calc_Mix'!$X$6+ROW()*0.000001))</f>
        <v/>
      </c>
      <c r="J9" s="34">
        <f>IF(OR($B9="",$C9&lt;&gt;"Ativo",$D9&lt;&gt;'Calc_Mix'!$C$7,'Calc_Mix'!$X$7=0,COUNTIFS(Esc_Turno,'Calc_Mix'!$C$7,Esc_Circ,$B9)+COUNTIFS(Esc_Turno,'Calc_Mix'!$C$7,Esc_Instr,$B9)&gt;0),"",IF(SUMPRODUCT('Calc_Mix'!$D$7:$W$7,'Matriz_Habilidades'!$D9:$W9)=0,"",SUMPRODUCT('Calc_Mix'!$D$7:$W$7,'Matriz_Habilidades'!$D9:$W9)/'Calc_Mix'!$X$7+ROW()*0.000001))</f>
        <v/>
      </c>
      <c r="K9" s="34">
        <f>IF(OR($B9="",$C9&lt;&gt;"Ativo",$D9&lt;&gt;'Calc_Mix'!$C$8,'Calc_Mix'!$X$8=0,COUNTIFS(Esc_Turno,'Calc_Mix'!$C$8,Esc_Circ,$B9)+COUNTIFS(Esc_Turno,'Calc_Mix'!$C$8,Esc_Instr,$B9)&gt;0),"",IF(SUMPRODUCT('Calc_Mix'!$D$8:$W$8,'Matriz_Habilidades'!$D9:$W9)=0,"",SUMPRODUCT('Calc_Mix'!$D$8:$W$8,'Matriz_Habilidades'!$D9:$W9)/'Calc_Mix'!$X$8+ROW()*0.000001))</f>
        <v/>
      </c>
      <c r="L9" s="34">
        <f>IF(OR($B9="",$C9&lt;&gt;"Ativo",$D9&lt;&gt;'Calc_Mix'!$C$9,'Calc_Mix'!$X$9=0,COUNTIFS(Esc_Turno,'Calc_Mix'!$C$9,Esc_Circ,$B9)+COUNTIFS(Esc_Turno,'Calc_Mix'!$C$9,Esc_Instr,$B9)&gt;0),"",IF(SUMPRODUCT('Calc_Mix'!$D$9:$W$9,'Matriz_Habilidades'!$D9:$W9)=0,"",SUMPRODUCT('Calc_Mix'!$D$9:$W$9,'Matriz_Habilidades'!$D9:$W9)/'Calc_Mix'!$X$9+ROW()*0.000001))</f>
        <v/>
      </c>
      <c r="M9" s="34">
        <f>IF(OR($B9="",$C9&lt;&gt;"Ativo",$D9&lt;&gt;'Calc_Mix'!$C$10,'Calc_Mix'!$X$10=0,COUNTIFS(Esc_Turno,'Calc_Mix'!$C$10,Esc_Circ,$B9)+COUNTIFS(Esc_Turno,'Calc_Mix'!$C$10,Esc_Instr,$B9)&gt;0),"",IF(SUMPRODUCT('Calc_Mix'!$D$10:$W$10,'Matriz_Habilidades'!$D9:$W9)=0,"",SUMPRODUCT('Calc_Mix'!$D$10:$W$10,'Matriz_Habilidades'!$D9:$W9)/'Calc_Mix'!$X$10+ROW()*0.000001))</f>
        <v/>
      </c>
      <c r="N9" s="34">
        <f>IF(OR($B9="",$C9&lt;&gt;"Ativo",$D9&lt;&gt;'Calc_Mix'!$C$11,'Calc_Mix'!$X$11=0,COUNTIFS(Esc_Turno,'Calc_Mix'!$C$11,Esc_Circ,$B9)+COUNTIFS(Esc_Turno,'Calc_Mix'!$C$11,Esc_Instr,$B9)&gt;0),"",IF(SUMPRODUCT('Calc_Mix'!$D$11:$W$11,'Matriz_Habilidades'!$D9:$W9)=0,"",SUMPRODUCT('Calc_Mix'!$D$11:$W$11,'Matriz_Habilidades'!$D9:$W9)/'Calc_Mix'!$X$11+ROW()*0.000001))</f>
        <v/>
      </c>
      <c r="O9" s="34">
        <f>IF(OR($B9="",$C9&lt;&gt;"Ativo",$D9&lt;&gt;'Calc_Mix'!$C$12,'Calc_Mix'!$X$12=0,COUNTIFS(Esc_Turno,'Calc_Mix'!$C$12,Esc_Circ,$B9)+COUNTIFS(Esc_Turno,'Calc_Mix'!$C$12,Esc_Instr,$B9)&gt;0),"",IF(SUMPRODUCT('Calc_Mix'!$D$12:$W$12,'Matriz_Habilidades'!$D9:$W9)=0,"",SUMPRODUCT('Calc_Mix'!$D$12:$W$12,'Matriz_Habilidades'!$D9:$W9)/'Calc_Mix'!$X$12+ROW()*0.000001))</f>
        <v/>
      </c>
      <c r="P9" s="34">
        <f>IF(OR($B9="",$C9&lt;&gt;"Ativo",$D9&lt;&gt;'Calc_Mix'!$C$13,'Calc_Mix'!$X$13=0,COUNTIFS(Esc_Turno,'Calc_Mix'!$C$13,Esc_Circ,$B9)+COUNTIFS(Esc_Turno,'Calc_Mix'!$C$13,Esc_Instr,$B9)&gt;0),"",IF(SUMPRODUCT('Calc_Mix'!$D$13:$W$13,'Matriz_Habilidades'!$D9:$W9)=0,"",SUMPRODUCT('Calc_Mix'!$D$13:$W$13,'Matriz_Habilidades'!$D9:$W9)/'Calc_Mix'!$X$13+ROW()*0.000001))</f>
        <v/>
      </c>
      <c r="Q9" s="34">
        <f>IF(OR($B9="",$C9&lt;&gt;"Ativo",$D9&lt;&gt;'Calc_Mix'!$C$14,'Calc_Mix'!$X$14=0,COUNTIFS(Esc_Turno,'Calc_Mix'!$C$14,Esc_Circ,$B9)+COUNTIFS(Esc_Turno,'Calc_Mix'!$C$14,Esc_Instr,$B9)&gt;0),"",IF(SUMPRODUCT('Calc_Mix'!$D$14:$W$14,'Matriz_Habilidades'!$D9:$W9)=0,"",SUMPRODUCT('Calc_Mix'!$D$14:$W$14,'Matriz_Habilidades'!$D9:$W9)/'Calc_Mix'!$X$14+ROW()*0.000001))</f>
        <v/>
      </c>
      <c r="R9" s="34">
        <f>IF(OR($B9="",$C9&lt;&gt;"Ativo",$D9&lt;&gt;'Calc_Mix'!$C$15,'Calc_Mix'!$X$15=0,COUNTIFS(Esc_Turno,'Calc_Mix'!$C$15,Esc_Circ,$B9)+COUNTIFS(Esc_Turno,'Calc_Mix'!$C$15,Esc_Instr,$B9)&gt;0),"",IF(SUMPRODUCT('Calc_Mix'!$D$15:$W$15,'Matriz_Habilidades'!$D9:$W9)=0,"",SUMPRODUCT('Calc_Mix'!$D$15:$W$15,'Matriz_Habilidades'!$D9:$W9)/'Calc_Mix'!$X$15+ROW()*0.000001))</f>
        <v/>
      </c>
      <c r="S9" s="34">
        <f>IF(OR($B9="",$C9&lt;&gt;"Ativo",$D9&lt;&gt;'Calc_Mix'!$C$16,'Calc_Mix'!$X$16=0,COUNTIFS(Esc_Turno,'Calc_Mix'!$C$16,Esc_Circ,$B9)+COUNTIFS(Esc_Turno,'Calc_Mix'!$C$16,Esc_Instr,$B9)&gt;0),"",IF(SUMPRODUCT('Calc_Mix'!$D$16:$W$16,'Matriz_Habilidades'!$D9:$W9)=0,"",SUMPRODUCT('Calc_Mix'!$D$16:$W$16,'Matriz_Habilidades'!$D9:$W9)/'Calc_Mix'!$X$16+ROW()*0.000001))</f>
        <v/>
      </c>
      <c r="T9" s="34">
        <f>IF(OR($B9="",$C9&lt;&gt;"Ativo",$D9&lt;&gt;'Calc_Mix'!$C$17,'Calc_Mix'!$X$17=0,COUNTIFS(Esc_Turno,'Calc_Mix'!$C$17,Esc_Circ,$B9)+COUNTIFS(Esc_Turno,'Calc_Mix'!$C$17,Esc_Instr,$B9)&gt;0),"",IF(SUMPRODUCT('Calc_Mix'!$D$17:$W$17,'Matriz_Habilidades'!$D9:$W9)=0,"",SUMPRODUCT('Calc_Mix'!$D$17:$W$17,'Matriz_Habilidades'!$D9:$W9)/'Calc_Mix'!$X$17+ROW()*0.000001))</f>
        <v/>
      </c>
      <c r="U9" s="34">
        <f>IF(OR($B9="",$C9&lt;&gt;"Ativo",$D9&lt;&gt;'Calc_Mix'!$C$18,'Calc_Mix'!$X$18=0,COUNTIFS(Esc_Turno,'Calc_Mix'!$C$18,Esc_Circ,$B9)+COUNTIFS(Esc_Turno,'Calc_Mix'!$C$18,Esc_Instr,$B9)&gt;0),"",IF(SUMPRODUCT('Calc_Mix'!$D$18:$W$18,'Matriz_Habilidades'!$D9:$W9)=0,"",SUMPRODUCT('Calc_Mix'!$D$18:$W$18,'Matriz_Habilidades'!$D9:$W9)/'Calc_Mix'!$X$18+ROW()*0.000001))</f>
        <v/>
      </c>
      <c r="V9" s="34">
        <f>IF(OR($B9="",$C9&lt;&gt;"Ativo",$D9&lt;&gt;'Calc_Mix'!$C$19,'Calc_Mix'!$X$19=0,COUNTIFS(Esc_Turno,'Calc_Mix'!$C$19,Esc_Circ,$B9)+COUNTIFS(Esc_Turno,'Calc_Mix'!$C$19,Esc_Instr,$B9)&gt;0),"",IF(SUMPRODUCT('Calc_Mix'!$D$19:$W$19,'Matriz_Habilidades'!$D9:$W9)=0,"",SUMPRODUCT('Calc_Mix'!$D$19:$W$19,'Matriz_Habilidades'!$D9:$W9)/'Calc_Mix'!$X$19+ROW()*0.000001))</f>
        <v/>
      </c>
      <c r="W9" s="34">
        <f>IF(OR($B9="",$C9&lt;&gt;"Ativo",$D9&lt;&gt;'Calc_Mix'!$C$20,'Calc_Mix'!$X$20=0,COUNTIFS(Esc_Turno,'Calc_Mix'!$C$20,Esc_Circ,$B9)+COUNTIFS(Esc_Turno,'Calc_Mix'!$C$20,Esc_Instr,$B9)&gt;0),"",IF(SUMPRODUCT('Calc_Mix'!$D$20:$W$20,'Matriz_Habilidades'!$D9:$W9)=0,"",SUMPRODUCT('Calc_Mix'!$D$20:$W$20,'Matriz_Habilidades'!$D9:$W9)/'Calc_Mix'!$X$20+ROW()*0.000001))</f>
        <v/>
      </c>
      <c r="X9" s="34">
        <f>IF(OR($B9="",$C9&lt;&gt;"Ativo",$D9&lt;&gt;'Calc_Mix'!$C$21,'Calc_Mix'!$X$21=0,COUNTIFS(Esc_Turno,'Calc_Mix'!$C$21,Esc_Circ,$B9)+COUNTIFS(Esc_Turno,'Calc_Mix'!$C$21,Esc_Instr,$B9)&gt;0),"",IF(SUMPRODUCT('Calc_Mix'!$D$21:$W$21,'Matriz_Habilidades'!$D9:$W9)=0,"",SUMPRODUCT('Calc_Mix'!$D$21:$W$21,'Matriz_Habilidades'!$D9:$W9)/'Calc_Mix'!$X$21+ROW()*0.000001))</f>
        <v/>
      </c>
      <c r="Y9" s="34">
        <f>IF(OR($B9="",$C9&lt;&gt;"Ativo",$D9&lt;&gt;'Calc_Mix'!$C$22,'Calc_Mix'!$X$22=0,COUNTIFS(Esc_Turno,'Calc_Mix'!$C$22,Esc_Circ,$B9)+COUNTIFS(Esc_Turno,'Calc_Mix'!$C$22,Esc_Instr,$B9)&gt;0),"",IF(SUMPRODUCT('Calc_Mix'!$D$22:$W$22,'Matriz_Habilidades'!$D9:$W9)=0,"",SUMPRODUCT('Calc_Mix'!$D$22:$W$22,'Matriz_Habilidades'!$D9:$W9)/'Calc_Mix'!$X$22+ROW()*0.000001))</f>
        <v/>
      </c>
      <c r="Z9" s="34">
        <f>IF(OR($B9="",$C9&lt;&gt;"Ativo",$D9&lt;&gt;'Calc_Mix'!$C$23,'Calc_Mix'!$X$23=0,COUNTIFS(Esc_Turno,'Calc_Mix'!$C$23,Esc_Circ,$B9)+COUNTIFS(Esc_Turno,'Calc_Mix'!$C$23,Esc_Instr,$B9)&gt;0),"",IF(SUMPRODUCT('Calc_Mix'!$D$23:$W$23,'Matriz_Habilidades'!$D9:$W9)=0,"",SUMPRODUCT('Calc_Mix'!$D$23:$W$23,'Matriz_Habilidades'!$D9:$W9)/'Calc_Mix'!$X$23+ROW()*0.000001))</f>
        <v/>
      </c>
      <c r="AA9" s="34">
        <f>IF(OR($B9="",$C9&lt;&gt;"Ativo",$D9&lt;&gt;'Calc_Mix'!$C$24,'Calc_Mix'!$X$24=0,COUNTIFS(Esc_Turno,'Calc_Mix'!$C$24,Esc_Circ,$B9)+COUNTIFS(Esc_Turno,'Calc_Mix'!$C$24,Esc_Instr,$B9)&gt;0),"",IF(SUMPRODUCT('Calc_Mix'!$D$24:$W$24,'Matriz_Habilidades'!$D9:$W9)=0,"",SUMPRODUCT('Calc_Mix'!$D$24:$W$24,'Matriz_Habilidades'!$D9:$W9)/'Calc_Mix'!$X$24+ROW()*0.000001))</f>
        <v/>
      </c>
      <c r="AB9" s="34">
        <f>IF(OR($B9="",$C9&lt;&gt;"Ativo",$D9&lt;&gt;'Calc_Mix'!$C$25,'Calc_Mix'!$X$25=0,COUNTIFS(Esc_Turno,'Calc_Mix'!$C$25,Esc_Circ,$B9)+COUNTIFS(Esc_Turno,'Calc_Mix'!$C$25,Esc_Instr,$B9)&gt;0),"",IF(SUMPRODUCT('Calc_Mix'!$D$25:$W$25,'Matriz_Habilidades'!$D9:$W9)=0,"",SUMPRODUCT('Calc_Mix'!$D$25:$W$25,'Matriz_Habilidades'!$D9:$W9)/'Calc_Mix'!$X$25+ROW()*0.000001))</f>
        <v/>
      </c>
      <c r="AC9" s="34">
        <f>IF(OR($B9="",$C9&lt;&gt;"Ativo",$D9&lt;&gt;'Calc_Mix'!$C$26,'Calc_Mix'!$X$26=0,COUNTIFS(Esc_Turno,'Calc_Mix'!$C$26,Esc_Circ,$B9)+COUNTIFS(Esc_Turno,'Calc_Mix'!$C$26,Esc_Instr,$B9)&gt;0),"",IF(SUMPRODUCT('Calc_Mix'!$D$26:$W$26,'Matriz_Habilidades'!$D9:$W9)=0,"",SUMPRODUCT('Calc_Mix'!$D$26:$W$26,'Matriz_Habilidades'!$D9:$W9)/'Calc_Mix'!$X$26+ROW()*0.000001))</f>
        <v/>
      </c>
      <c r="AD9" s="34">
        <f>IF(OR($B9="",$C9&lt;&gt;"Ativo",$D9&lt;&gt;'Calc_Mix'!$C$27,'Calc_Mix'!$X$27=0,COUNTIFS(Esc_Turno,'Calc_Mix'!$C$27,Esc_Circ,$B9)+COUNTIFS(Esc_Turno,'Calc_Mix'!$C$27,Esc_Instr,$B9)&gt;0),"",IF(SUMPRODUCT('Calc_Mix'!$D$27:$W$27,'Matriz_Habilidades'!$D9:$W9)=0,"",SUMPRODUCT('Calc_Mix'!$D$27:$W$27,'Matriz_Habilidades'!$D9:$W9)/'Calc_Mix'!$X$27+ROW()*0.000001))</f>
        <v/>
      </c>
      <c r="AE9" s="34">
        <f>IF(OR($B9="",$C9&lt;&gt;"Ativo",$D9&lt;&gt;'Calc_Mix'!$C$28,'Calc_Mix'!$X$28=0,COUNTIFS(Esc_Turno,'Calc_Mix'!$C$28,Esc_Circ,$B9)+COUNTIFS(Esc_Turno,'Calc_Mix'!$C$28,Esc_Instr,$B9)&gt;0),"",IF(SUMPRODUCT('Calc_Mix'!$D$28:$W$28,'Matriz_Habilidades'!$D9:$W9)=0,"",SUMPRODUCT('Calc_Mix'!$D$28:$W$28,'Matriz_Habilidades'!$D9:$W9)/'Calc_Mix'!$X$28+ROW()*0.000001))</f>
        <v/>
      </c>
      <c r="AF9" s="34">
        <f>IF(OR($B9="",$C9&lt;&gt;"Ativo",$D9&lt;&gt;'Calc_Mix'!$C$29,'Calc_Mix'!$X$29=0,COUNTIFS(Esc_Turno,'Calc_Mix'!$C$29,Esc_Circ,$B9)+COUNTIFS(Esc_Turno,'Calc_Mix'!$C$29,Esc_Instr,$B9)&gt;0),"",IF(SUMPRODUCT('Calc_Mix'!$D$29:$W$29,'Matriz_Habilidades'!$D9:$W9)=0,"",SUMPRODUCT('Calc_Mix'!$D$29:$W$29,'Matriz_Habilidades'!$D9:$W9)/'Calc_Mix'!$X$29+ROW()*0.000001))</f>
        <v/>
      </c>
      <c r="AG9" s="34">
        <f>IF(OR($B9="",$C9&lt;&gt;"Ativo",$D9&lt;&gt;'Calc_Mix'!$C$30,'Calc_Mix'!$X$30=0,COUNTIFS(Esc_Turno,'Calc_Mix'!$C$30,Esc_Circ,$B9)+COUNTIFS(Esc_Turno,'Calc_Mix'!$C$30,Esc_Instr,$B9)&gt;0),"",IF(SUMPRODUCT('Calc_Mix'!$D$30:$W$30,'Matriz_Habilidades'!$D9:$W9)=0,"",SUMPRODUCT('Calc_Mix'!$D$30:$W$30,'Matriz_Habilidades'!$D9:$W9)/'Calc_Mix'!$X$30+ROW()*0.000001))</f>
        <v/>
      </c>
      <c r="AH9" s="34">
        <f>IF(OR($B9="",$C9&lt;&gt;"Ativo",$D9&lt;&gt;'Calc_Mix'!$C$31,'Calc_Mix'!$X$31=0,COUNTIFS(Esc_Turno,'Calc_Mix'!$C$31,Esc_Circ,$B9)+COUNTIFS(Esc_Turno,'Calc_Mix'!$C$31,Esc_Instr,$B9)&gt;0),"",IF(SUMPRODUCT('Calc_Mix'!$D$31:$W$31,'Matriz_Habilidades'!$D9:$W9)=0,"",SUMPRODUCT('Calc_Mix'!$D$31:$W$31,'Matriz_Habilidades'!$D9:$W9)/'Calc_Mix'!$X$31+ROW()*0.000001))</f>
        <v/>
      </c>
      <c r="AI9" s="34">
        <f>IF(OR($B9="",$C9&lt;&gt;"Ativo",$D9&lt;&gt;'Calc_Mix'!$C$32,'Calc_Mix'!$X$32=0,COUNTIFS(Esc_Turno,'Calc_Mix'!$C$32,Esc_Circ,$B9)+COUNTIFS(Esc_Turno,'Calc_Mix'!$C$32,Esc_Instr,$B9)&gt;0),"",IF(SUMPRODUCT('Calc_Mix'!$D$32:$W$32,'Matriz_Habilidades'!$D9:$W9)=0,"",SUMPRODUCT('Calc_Mix'!$D$32:$W$32,'Matriz_Habilidades'!$D9:$W9)/'Calc_Mix'!$X$32+ROW()*0.000001))</f>
        <v/>
      </c>
      <c r="AJ9" s="34">
        <f>IF(OR($B9="",$C9&lt;&gt;"Ativo",$D9&lt;&gt;'Calc_Mix'!$C$33,'Calc_Mix'!$X$33=0,COUNTIFS(Esc_Turno,'Calc_Mix'!$C$33,Esc_Circ,$B9)+COUNTIFS(Esc_Turno,'Calc_Mix'!$C$33,Esc_Instr,$B9)&gt;0),"",IF(SUMPRODUCT('Calc_Mix'!$D$33:$W$33,'Matriz_Habilidades'!$D9:$W9)=0,"",SUMPRODUCT('Calc_Mix'!$D$33:$W$33,'Matriz_Habilidades'!$D9:$W9)/'Calc_Mix'!$X$33+ROW()*0.000001))</f>
        <v/>
      </c>
      <c r="AK9" s="34">
        <f>IF(OR($B9="",$C9&lt;&gt;"Ativo",$D9&lt;&gt;'Calc_Mix'!$C$34,'Calc_Mix'!$X$34=0,COUNTIFS(Esc_Turno,'Calc_Mix'!$C$34,Esc_Circ,$B9)+COUNTIFS(Esc_Turno,'Calc_Mix'!$C$34,Esc_Instr,$B9)&gt;0),"",IF(SUMPRODUCT('Calc_Mix'!$D$34:$W$34,'Matriz_Habilidades'!$D9:$W9)=0,"",SUMPRODUCT('Calc_Mix'!$D$34:$W$34,'Matriz_Habilidades'!$D9:$W9)/'Calc_Mix'!$X$34+ROW()*0.000001))</f>
        <v/>
      </c>
      <c r="AL9" s="34">
        <f>IF(OR($B9="",$C9&lt;&gt;"Ativo",$D9&lt;&gt;'Calc_Mix'!$C$35,'Calc_Mix'!$X$35=0,COUNTIFS(Esc_Turno,'Calc_Mix'!$C$35,Esc_Circ,$B9)+COUNTIFS(Esc_Turno,'Calc_Mix'!$C$35,Esc_Instr,$B9)&gt;0),"",IF(SUMPRODUCT('Calc_Mix'!$D$35:$W$35,'Matriz_Habilidades'!$D9:$W9)=0,"",SUMPRODUCT('Calc_Mix'!$D$35:$W$35,'Matriz_Habilidades'!$D9:$W9)/'Calc_Mix'!$X$35+ROW()*0.000001))</f>
        <v/>
      </c>
      <c r="AM9" s="34">
        <f>IF(OR($B9="",$C9&lt;&gt;"Ativo",$D9&lt;&gt;'Calc_Mix'!$C$36,'Calc_Mix'!$X$36=0,COUNTIFS(Esc_Turno,'Calc_Mix'!$C$36,Esc_Circ,$B9)+COUNTIFS(Esc_Turno,'Calc_Mix'!$C$36,Esc_Instr,$B9)&gt;0),"",IF(SUMPRODUCT('Calc_Mix'!$D$36:$W$36,'Matriz_Habilidades'!$D9:$W9)=0,"",SUMPRODUCT('Calc_Mix'!$D$36:$W$36,'Matriz_Habilidades'!$D9:$W9)/'Calc_Mix'!$X$36+ROW()*0.000001))</f>
        <v/>
      </c>
      <c r="AN9" s="34">
        <f>IF(OR($B9="",$C9&lt;&gt;"Ativo",$D9&lt;&gt;'Calc_Mix'!$C$37,'Calc_Mix'!$X$37=0,COUNTIFS(Esc_Turno,'Calc_Mix'!$C$37,Esc_Circ,$B9)+COUNTIFS(Esc_Turno,'Calc_Mix'!$C$37,Esc_Instr,$B9)&gt;0),"",IF(SUMPRODUCT('Calc_Mix'!$D$37:$W$37,'Matriz_Habilidades'!$D9:$W9)=0,"",SUMPRODUCT('Calc_Mix'!$D$37:$W$37,'Matriz_Habilidades'!$D9:$W9)/'Calc_Mix'!$X$37+ROW()*0.000001))</f>
        <v/>
      </c>
    </row>
    <row r="10">
      <c r="A10" s="27">
        <f>IF('Matriz_Habilidades'!A10="","",'Matriz_Habilidades'!A10)</f>
        <v/>
      </c>
      <c r="B10" s="28">
        <f>IF('Matriz_Habilidades'!B10="","",'Matriz_Habilidades'!B10)</f>
        <v/>
      </c>
      <c r="C10" s="27">
        <f>IF($A10="","",IFERROR(INDEX(Equipe_Status,MATCH($B10,Equipe_Nome,0)),"?"))</f>
        <v/>
      </c>
      <c r="D10" s="27">
        <f>IF($A10="","",IFERROR(INDEX(Equipe_Turno,MATCH($B10,Equipe_Nome,0)),"?"))</f>
        <v/>
      </c>
      <c r="E10" s="34">
        <f>IF(OR($B10="",$C10&lt;&gt;"Ativo",$D10&lt;&gt;'Calc_Mix'!$C$2,'Calc_Mix'!$X$2=0,COUNTIFS(Esc_Turno,'Calc_Mix'!$C$2,Esc_Circ,$B10)+COUNTIFS(Esc_Turno,'Calc_Mix'!$C$2,Esc_Instr,$B10)&gt;0),"",IF(SUMPRODUCT('Calc_Mix'!$D$2:$W$2,'Matriz_Habilidades'!$D10:$W10)=0,"",SUMPRODUCT('Calc_Mix'!$D$2:$W$2,'Matriz_Habilidades'!$D10:$W10)/'Calc_Mix'!$X$2+ROW()*0.000001))</f>
        <v/>
      </c>
      <c r="F10" s="34">
        <f>IF(OR($B10="",$C10&lt;&gt;"Ativo",$D10&lt;&gt;'Calc_Mix'!$C$3,'Calc_Mix'!$X$3=0,COUNTIFS(Esc_Turno,'Calc_Mix'!$C$3,Esc_Circ,$B10)+COUNTIFS(Esc_Turno,'Calc_Mix'!$C$3,Esc_Instr,$B10)&gt;0),"",IF(SUMPRODUCT('Calc_Mix'!$D$3:$W$3,'Matriz_Habilidades'!$D10:$W10)=0,"",SUMPRODUCT('Calc_Mix'!$D$3:$W$3,'Matriz_Habilidades'!$D10:$W10)/'Calc_Mix'!$X$3+ROW()*0.000001))</f>
        <v/>
      </c>
      <c r="G10" s="34">
        <f>IF(OR($B10="",$C10&lt;&gt;"Ativo",$D10&lt;&gt;'Calc_Mix'!$C$4,'Calc_Mix'!$X$4=0,COUNTIFS(Esc_Turno,'Calc_Mix'!$C$4,Esc_Circ,$B10)+COUNTIFS(Esc_Turno,'Calc_Mix'!$C$4,Esc_Instr,$B10)&gt;0),"",IF(SUMPRODUCT('Calc_Mix'!$D$4:$W$4,'Matriz_Habilidades'!$D10:$W10)=0,"",SUMPRODUCT('Calc_Mix'!$D$4:$W$4,'Matriz_Habilidades'!$D10:$W10)/'Calc_Mix'!$X$4+ROW()*0.000001))</f>
        <v/>
      </c>
      <c r="H10" s="34">
        <f>IF(OR($B10="",$C10&lt;&gt;"Ativo",$D10&lt;&gt;'Calc_Mix'!$C$5,'Calc_Mix'!$X$5=0,COUNTIFS(Esc_Turno,'Calc_Mix'!$C$5,Esc_Circ,$B10)+COUNTIFS(Esc_Turno,'Calc_Mix'!$C$5,Esc_Instr,$B10)&gt;0),"",IF(SUMPRODUCT('Calc_Mix'!$D$5:$W$5,'Matriz_Habilidades'!$D10:$W10)=0,"",SUMPRODUCT('Calc_Mix'!$D$5:$W$5,'Matriz_Habilidades'!$D10:$W10)/'Calc_Mix'!$X$5+ROW()*0.000001))</f>
        <v/>
      </c>
      <c r="I10" s="34">
        <f>IF(OR($B10="",$C10&lt;&gt;"Ativo",$D10&lt;&gt;'Calc_Mix'!$C$6,'Calc_Mix'!$X$6=0,COUNTIFS(Esc_Turno,'Calc_Mix'!$C$6,Esc_Circ,$B10)+COUNTIFS(Esc_Turno,'Calc_Mix'!$C$6,Esc_Instr,$B10)&gt;0),"",IF(SUMPRODUCT('Calc_Mix'!$D$6:$W$6,'Matriz_Habilidades'!$D10:$W10)=0,"",SUMPRODUCT('Calc_Mix'!$D$6:$W$6,'Matriz_Habilidades'!$D10:$W10)/'Calc_Mix'!$X$6+ROW()*0.000001))</f>
        <v/>
      </c>
      <c r="J10" s="34">
        <f>IF(OR($B10="",$C10&lt;&gt;"Ativo",$D10&lt;&gt;'Calc_Mix'!$C$7,'Calc_Mix'!$X$7=0,COUNTIFS(Esc_Turno,'Calc_Mix'!$C$7,Esc_Circ,$B10)+COUNTIFS(Esc_Turno,'Calc_Mix'!$C$7,Esc_Instr,$B10)&gt;0),"",IF(SUMPRODUCT('Calc_Mix'!$D$7:$W$7,'Matriz_Habilidades'!$D10:$W10)=0,"",SUMPRODUCT('Calc_Mix'!$D$7:$W$7,'Matriz_Habilidades'!$D10:$W10)/'Calc_Mix'!$X$7+ROW()*0.000001))</f>
        <v/>
      </c>
      <c r="K10" s="34">
        <f>IF(OR($B10="",$C10&lt;&gt;"Ativo",$D10&lt;&gt;'Calc_Mix'!$C$8,'Calc_Mix'!$X$8=0,COUNTIFS(Esc_Turno,'Calc_Mix'!$C$8,Esc_Circ,$B10)+COUNTIFS(Esc_Turno,'Calc_Mix'!$C$8,Esc_Instr,$B10)&gt;0),"",IF(SUMPRODUCT('Calc_Mix'!$D$8:$W$8,'Matriz_Habilidades'!$D10:$W10)=0,"",SUMPRODUCT('Calc_Mix'!$D$8:$W$8,'Matriz_Habilidades'!$D10:$W10)/'Calc_Mix'!$X$8+ROW()*0.000001))</f>
        <v/>
      </c>
      <c r="L10" s="34">
        <f>IF(OR($B10="",$C10&lt;&gt;"Ativo",$D10&lt;&gt;'Calc_Mix'!$C$9,'Calc_Mix'!$X$9=0,COUNTIFS(Esc_Turno,'Calc_Mix'!$C$9,Esc_Circ,$B10)+COUNTIFS(Esc_Turno,'Calc_Mix'!$C$9,Esc_Instr,$B10)&gt;0),"",IF(SUMPRODUCT('Calc_Mix'!$D$9:$W$9,'Matriz_Habilidades'!$D10:$W10)=0,"",SUMPRODUCT('Calc_Mix'!$D$9:$W$9,'Matriz_Habilidades'!$D10:$W10)/'Calc_Mix'!$X$9+ROW()*0.000001))</f>
        <v/>
      </c>
      <c r="M10" s="34">
        <f>IF(OR($B10="",$C10&lt;&gt;"Ativo",$D10&lt;&gt;'Calc_Mix'!$C$10,'Calc_Mix'!$X$10=0,COUNTIFS(Esc_Turno,'Calc_Mix'!$C$10,Esc_Circ,$B10)+COUNTIFS(Esc_Turno,'Calc_Mix'!$C$10,Esc_Instr,$B10)&gt;0),"",IF(SUMPRODUCT('Calc_Mix'!$D$10:$W$10,'Matriz_Habilidades'!$D10:$W10)=0,"",SUMPRODUCT('Calc_Mix'!$D$10:$W$10,'Matriz_Habilidades'!$D10:$W10)/'Calc_Mix'!$X$10+ROW()*0.000001))</f>
        <v/>
      </c>
      <c r="N10" s="34">
        <f>IF(OR($B10="",$C10&lt;&gt;"Ativo",$D10&lt;&gt;'Calc_Mix'!$C$11,'Calc_Mix'!$X$11=0,COUNTIFS(Esc_Turno,'Calc_Mix'!$C$11,Esc_Circ,$B10)+COUNTIFS(Esc_Turno,'Calc_Mix'!$C$11,Esc_Instr,$B10)&gt;0),"",IF(SUMPRODUCT('Calc_Mix'!$D$11:$W$11,'Matriz_Habilidades'!$D10:$W10)=0,"",SUMPRODUCT('Calc_Mix'!$D$11:$W$11,'Matriz_Habilidades'!$D10:$W10)/'Calc_Mix'!$X$11+ROW()*0.000001))</f>
        <v/>
      </c>
      <c r="O10" s="34">
        <f>IF(OR($B10="",$C10&lt;&gt;"Ativo",$D10&lt;&gt;'Calc_Mix'!$C$12,'Calc_Mix'!$X$12=0,COUNTIFS(Esc_Turno,'Calc_Mix'!$C$12,Esc_Circ,$B10)+COUNTIFS(Esc_Turno,'Calc_Mix'!$C$12,Esc_Instr,$B10)&gt;0),"",IF(SUMPRODUCT('Calc_Mix'!$D$12:$W$12,'Matriz_Habilidades'!$D10:$W10)=0,"",SUMPRODUCT('Calc_Mix'!$D$12:$W$12,'Matriz_Habilidades'!$D10:$W10)/'Calc_Mix'!$X$12+ROW()*0.000001))</f>
        <v/>
      </c>
      <c r="P10" s="34">
        <f>IF(OR($B10="",$C10&lt;&gt;"Ativo",$D10&lt;&gt;'Calc_Mix'!$C$13,'Calc_Mix'!$X$13=0,COUNTIFS(Esc_Turno,'Calc_Mix'!$C$13,Esc_Circ,$B10)+COUNTIFS(Esc_Turno,'Calc_Mix'!$C$13,Esc_Instr,$B10)&gt;0),"",IF(SUMPRODUCT('Calc_Mix'!$D$13:$W$13,'Matriz_Habilidades'!$D10:$W10)=0,"",SUMPRODUCT('Calc_Mix'!$D$13:$W$13,'Matriz_Habilidades'!$D10:$W10)/'Calc_Mix'!$X$13+ROW()*0.000001))</f>
        <v/>
      </c>
      <c r="Q10" s="34">
        <f>IF(OR($B10="",$C10&lt;&gt;"Ativo",$D10&lt;&gt;'Calc_Mix'!$C$14,'Calc_Mix'!$X$14=0,COUNTIFS(Esc_Turno,'Calc_Mix'!$C$14,Esc_Circ,$B10)+COUNTIFS(Esc_Turno,'Calc_Mix'!$C$14,Esc_Instr,$B10)&gt;0),"",IF(SUMPRODUCT('Calc_Mix'!$D$14:$W$14,'Matriz_Habilidades'!$D10:$W10)=0,"",SUMPRODUCT('Calc_Mix'!$D$14:$W$14,'Matriz_Habilidades'!$D10:$W10)/'Calc_Mix'!$X$14+ROW()*0.000001))</f>
        <v/>
      </c>
      <c r="R10" s="34">
        <f>IF(OR($B10="",$C10&lt;&gt;"Ativo",$D10&lt;&gt;'Calc_Mix'!$C$15,'Calc_Mix'!$X$15=0,COUNTIFS(Esc_Turno,'Calc_Mix'!$C$15,Esc_Circ,$B10)+COUNTIFS(Esc_Turno,'Calc_Mix'!$C$15,Esc_Instr,$B10)&gt;0),"",IF(SUMPRODUCT('Calc_Mix'!$D$15:$W$15,'Matriz_Habilidades'!$D10:$W10)=0,"",SUMPRODUCT('Calc_Mix'!$D$15:$W$15,'Matriz_Habilidades'!$D10:$W10)/'Calc_Mix'!$X$15+ROW()*0.000001))</f>
        <v/>
      </c>
      <c r="S10" s="34">
        <f>IF(OR($B10="",$C10&lt;&gt;"Ativo",$D10&lt;&gt;'Calc_Mix'!$C$16,'Calc_Mix'!$X$16=0,COUNTIFS(Esc_Turno,'Calc_Mix'!$C$16,Esc_Circ,$B10)+COUNTIFS(Esc_Turno,'Calc_Mix'!$C$16,Esc_Instr,$B10)&gt;0),"",IF(SUMPRODUCT('Calc_Mix'!$D$16:$W$16,'Matriz_Habilidades'!$D10:$W10)=0,"",SUMPRODUCT('Calc_Mix'!$D$16:$W$16,'Matriz_Habilidades'!$D10:$W10)/'Calc_Mix'!$X$16+ROW()*0.000001))</f>
        <v/>
      </c>
      <c r="T10" s="34">
        <f>IF(OR($B10="",$C10&lt;&gt;"Ativo",$D10&lt;&gt;'Calc_Mix'!$C$17,'Calc_Mix'!$X$17=0,COUNTIFS(Esc_Turno,'Calc_Mix'!$C$17,Esc_Circ,$B10)+COUNTIFS(Esc_Turno,'Calc_Mix'!$C$17,Esc_Instr,$B10)&gt;0),"",IF(SUMPRODUCT('Calc_Mix'!$D$17:$W$17,'Matriz_Habilidades'!$D10:$W10)=0,"",SUMPRODUCT('Calc_Mix'!$D$17:$W$17,'Matriz_Habilidades'!$D10:$W10)/'Calc_Mix'!$X$17+ROW()*0.000001))</f>
        <v/>
      </c>
      <c r="U10" s="34">
        <f>IF(OR($B10="",$C10&lt;&gt;"Ativo",$D10&lt;&gt;'Calc_Mix'!$C$18,'Calc_Mix'!$X$18=0,COUNTIFS(Esc_Turno,'Calc_Mix'!$C$18,Esc_Circ,$B10)+COUNTIFS(Esc_Turno,'Calc_Mix'!$C$18,Esc_Instr,$B10)&gt;0),"",IF(SUMPRODUCT('Calc_Mix'!$D$18:$W$18,'Matriz_Habilidades'!$D10:$W10)=0,"",SUMPRODUCT('Calc_Mix'!$D$18:$W$18,'Matriz_Habilidades'!$D10:$W10)/'Calc_Mix'!$X$18+ROW()*0.000001))</f>
        <v/>
      </c>
      <c r="V10" s="34">
        <f>IF(OR($B10="",$C10&lt;&gt;"Ativo",$D10&lt;&gt;'Calc_Mix'!$C$19,'Calc_Mix'!$X$19=0,COUNTIFS(Esc_Turno,'Calc_Mix'!$C$19,Esc_Circ,$B10)+COUNTIFS(Esc_Turno,'Calc_Mix'!$C$19,Esc_Instr,$B10)&gt;0),"",IF(SUMPRODUCT('Calc_Mix'!$D$19:$W$19,'Matriz_Habilidades'!$D10:$W10)=0,"",SUMPRODUCT('Calc_Mix'!$D$19:$W$19,'Matriz_Habilidades'!$D10:$W10)/'Calc_Mix'!$X$19+ROW()*0.000001))</f>
        <v/>
      </c>
      <c r="W10" s="34">
        <f>IF(OR($B10="",$C10&lt;&gt;"Ativo",$D10&lt;&gt;'Calc_Mix'!$C$20,'Calc_Mix'!$X$20=0,COUNTIFS(Esc_Turno,'Calc_Mix'!$C$20,Esc_Circ,$B10)+COUNTIFS(Esc_Turno,'Calc_Mix'!$C$20,Esc_Instr,$B10)&gt;0),"",IF(SUMPRODUCT('Calc_Mix'!$D$20:$W$20,'Matriz_Habilidades'!$D10:$W10)=0,"",SUMPRODUCT('Calc_Mix'!$D$20:$W$20,'Matriz_Habilidades'!$D10:$W10)/'Calc_Mix'!$X$20+ROW()*0.000001))</f>
        <v/>
      </c>
      <c r="X10" s="34">
        <f>IF(OR($B10="",$C10&lt;&gt;"Ativo",$D10&lt;&gt;'Calc_Mix'!$C$21,'Calc_Mix'!$X$21=0,COUNTIFS(Esc_Turno,'Calc_Mix'!$C$21,Esc_Circ,$B10)+COUNTIFS(Esc_Turno,'Calc_Mix'!$C$21,Esc_Instr,$B10)&gt;0),"",IF(SUMPRODUCT('Calc_Mix'!$D$21:$W$21,'Matriz_Habilidades'!$D10:$W10)=0,"",SUMPRODUCT('Calc_Mix'!$D$21:$W$21,'Matriz_Habilidades'!$D10:$W10)/'Calc_Mix'!$X$21+ROW()*0.000001))</f>
        <v/>
      </c>
      <c r="Y10" s="34">
        <f>IF(OR($B10="",$C10&lt;&gt;"Ativo",$D10&lt;&gt;'Calc_Mix'!$C$22,'Calc_Mix'!$X$22=0,COUNTIFS(Esc_Turno,'Calc_Mix'!$C$22,Esc_Circ,$B10)+COUNTIFS(Esc_Turno,'Calc_Mix'!$C$22,Esc_Instr,$B10)&gt;0),"",IF(SUMPRODUCT('Calc_Mix'!$D$22:$W$22,'Matriz_Habilidades'!$D10:$W10)=0,"",SUMPRODUCT('Calc_Mix'!$D$22:$W$22,'Matriz_Habilidades'!$D10:$W10)/'Calc_Mix'!$X$22+ROW()*0.000001))</f>
        <v/>
      </c>
      <c r="Z10" s="34">
        <f>IF(OR($B10="",$C10&lt;&gt;"Ativo",$D10&lt;&gt;'Calc_Mix'!$C$23,'Calc_Mix'!$X$23=0,COUNTIFS(Esc_Turno,'Calc_Mix'!$C$23,Esc_Circ,$B10)+COUNTIFS(Esc_Turno,'Calc_Mix'!$C$23,Esc_Instr,$B10)&gt;0),"",IF(SUMPRODUCT('Calc_Mix'!$D$23:$W$23,'Matriz_Habilidades'!$D10:$W10)=0,"",SUMPRODUCT('Calc_Mix'!$D$23:$W$23,'Matriz_Habilidades'!$D10:$W10)/'Calc_Mix'!$X$23+ROW()*0.000001))</f>
        <v/>
      </c>
      <c r="AA10" s="34">
        <f>IF(OR($B10="",$C10&lt;&gt;"Ativo",$D10&lt;&gt;'Calc_Mix'!$C$24,'Calc_Mix'!$X$24=0,COUNTIFS(Esc_Turno,'Calc_Mix'!$C$24,Esc_Circ,$B10)+COUNTIFS(Esc_Turno,'Calc_Mix'!$C$24,Esc_Instr,$B10)&gt;0),"",IF(SUMPRODUCT('Calc_Mix'!$D$24:$W$24,'Matriz_Habilidades'!$D10:$W10)=0,"",SUMPRODUCT('Calc_Mix'!$D$24:$W$24,'Matriz_Habilidades'!$D10:$W10)/'Calc_Mix'!$X$24+ROW()*0.000001))</f>
        <v/>
      </c>
      <c r="AB10" s="34">
        <f>IF(OR($B10="",$C10&lt;&gt;"Ativo",$D10&lt;&gt;'Calc_Mix'!$C$25,'Calc_Mix'!$X$25=0,COUNTIFS(Esc_Turno,'Calc_Mix'!$C$25,Esc_Circ,$B10)+COUNTIFS(Esc_Turno,'Calc_Mix'!$C$25,Esc_Instr,$B10)&gt;0),"",IF(SUMPRODUCT('Calc_Mix'!$D$25:$W$25,'Matriz_Habilidades'!$D10:$W10)=0,"",SUMPRODUCT('Calc_Mix'!$D$25:$W$25,'Matriz_Habilidades'!$D10:$W10)/'Calc_Mix'!$X$25+ROW()*0.000001))</f>
        <v/>
      </c>
      <c r="AC10" s="34">
        <f>IF(OR($B10="",$C10&lt;&gt;"Ativo",$D10&lt;&gt;'Calc_Mix'!$C$26,'Calc_Mix'!$X$26=0,COUNTIFS(Esc_Turno,'Calc_Mix'!$C$26,Esc_Circ,$B10)+COUNTIFS(Esc_Turno,'Calc_Mix'!$C$26,Esc_Instr,$B10)&gt;0),"",IF(SUMPRODUCT('Calc_Mix'!$D$26:$W$26,'Matriz_Habilidades'!$D10:$W10)=0,"",SUMPRODUCT('Calc_Mix'!$D$26:$W$26,'Matriz_Habilidades'!$D10:$W10)/'Calc_Mix'!$X$26+ROW()*0.000001))</f>
        <v/>
      </c>
      <c r="AD10" s="34">
        <f>IF(OR($B10="",$C10&lt;&gt;"Ativo",$D10&lt;&gt;'Calc_Mix'!$C$27,'Calc_Mix'!$X$27=0,COUNTIFS(Esc_Turno,'Calc_Mix'!$C$27,Esc_Circ,$B10)+COUNTIFS(Esc_Turno,'Calc_Mix'!$C$27,Esc_Instr,$B10)&gt;0),"",IF(SUMPRODUCT('Calc_Mix'!$D$27:$W$27,'Matriz_Habilidades'!$D10:$W10)=0,"",SUMPRODUCT('Calc_Mix'!$D$27:$W$27,'Matriz_Habilidades'!$D10:$W10)/'Calc_Mix'!$X$27+ROW()*0.000001))</f>
        <v/>
      </c>
      <c r="AE10" s="34">
        <f>IF(OR($B10="",$C10&lt;&gt;"Ativo",$D10&lt;&gt;'Calc_Mix'!$C$28,'Calc_Mix'!$X$28=0,COUNTIFS(Esc_Turno,'Calc_Mix'!$C$28,Esc_Circ,$B10)+COUNTIFS(Esc_Turno,'Calc_Mix'!$C$28,Esc_Instr,$B10)&gt;0),"",IF(SUMPRODUCT('Calc_Mix'!$D$28:$W$28,'Matriz_Habilidades'!$D10:$W10)=0,"",SUMPRODUCT('Calc_Mix'!$D$28:$W$28,'Matriz_Habilidades'!$D10:$W10)/'Calc_Mix'!$X$28+ROW()*0.000001))</f>
        <v/>
      </c>
      <c r="AF10" s="34">
        <f>IF(OR($B10="",$C10&lt;&gt;"Ativo",$D10&lt;&gt;'Calc_Mix'!$C$29,'Calc_Mix'!$X$29=0,COUNTIFS(Esc_Turno,'Calc_Mix'!$C$29,Esc_Circ,$B10)+COUNTIFS(Esc_Turno,'Calc_Mix'!$C$29,Esc_Instr,$B10)&gt;0),"",IF(SUMPRODUCT('Calc_Mix'!$D$29:$W$29,'Matriz_Habilidades'!$D10:$W10)=0,"",SUMPRODUCT('Calc_Mix'!$D$29:$W$29,'Matriz_Habilidades'!$D10:$W10)/'Calc_Mix'!$X$29+ROW()*0.000001))</f>
        <v/>
      </c>
      <c r="AG10" s="34">
        <f>IF(OR($B10="",$C10&lt;&gt;"Ativo",$D10&lt;&gt;'Calc_Mix'!$C$30,'Calc_Mix'!$X$30=0,COUNTIFS(Esc_Turno,'Calc_Mix'!$C$30,Esc_Circ,$B10)+COUNTIFS(Esc_Turno,'Calc_Mix'!$C$30,Esc_Instr,$B10)&gt;0),"",IF(SUMPRODUCT('Calc_Mix'!$D$30:$W$30,'Matriz_Habilidades'!$D10:$W10)=0,"",SUMPRODUCT('Calc_Mix'!$D$30:$W$30,'Matriz_Habilidades'!$D10:$W10)/'Calc_Mix'!$X$30+ROW()*0.000001))</f>
        <v/>
      </c>
      <c r="AH10" s="34">
        <f>IF(OR($B10="",$C10&lt;&gt;"Ativo",$D10&lt;&gt;'Calc_Mix'!$C$31,'Calc_Mix'!$X$31=0,COUNTIFS(Esc_Turno,'Calc_Mix'!$C$31,Esc_Circ,$B10)+COUNTIFS(Esc_Turno,'Calc_Mix'!$C$31,Esc_Instr,$B10)&gt;0),"",IF(SUMPRODUCT('Calc_Mix'!$D$31:$W$31,'Matriz_Habilidades'!$D10:$W10)=0,"",SUMPRODUCT('Calc_Mix'!$D$31:$W$31,'Matriz_Habilidades'!$D10:$W10)/'Calc_Mix'!$X$31+ROW()*0.000001))</f>
        <v/>
      </c>
      <c r="AI10" s="34">
        <f>IF(OR($B10="",$C10&lt;&gt;"Ativo",$D10&lt;&gt;'Calc_Mix'!$C$32,'Calc_Mix'!$X$32=0,COUNTIFS(Esc_Turno,'Calc_Mix'!$C$32,Esc_Circ,$B10)+COUNTIFS(Esc_Turno,'Calc_Mix'!$C$32,Esc_Instr,$B10)&gt;0),"",IF(SUMPRODUCT('Calc_Mix'!$D$32:$W$32,'Matriz_Habilidades'!$D10:$W10)=0,"",SUMPRODUCT('Calc_Mix'!$D$32:$W$32,'Matriz_Habilidades'!$D10:$W10)/'Calc_Mix'!$X$32+ROW()*0.000001))</f>
        <v/>
      </c>
      <c r="AJ10" s="34">
        <f>IF(OR($B10="",$C10&lt;&gt;"Ativo",$D10&lt;&gt;'Calc_Mix'!$C$33,'Calc_Mix'!$X$33=0,COUNTIFS(Esc_Turno,'Calc_Mix'!$C$33,Esc_Circ,$B10)+COUNTIFS(Esc_Turno,'Calc_Mix'!$C$33,Esc_Instr,$B10)&gt;0),"",IF(SUMPRODUCT('Calc_Mix'!$D$33:$W$33,'Matriz_Habilidades'!$D10:$W10)=0,"",SUMPRODUCT('Calc_Mix'!$D$33:$W$33,'Matriz_Habilidades'!$D10:$W10)/'Calc_Mix'!$X$33+ROW()*0.000001))</f>
        <v/>
      </c>
      <c r="AK10" s="34">
        <f>IF(OR($B10="",$C10&lt;&gt;"Ativo",$D10&lt;&gt;'Calc_Mix'!$C$34,'Calc_Mix'!$X$34=0,COUNTIFS(Esc_Turno,'Calc_Mix'!$C$34,Esc_Circ,$B10)+COUNTIFS(Esc_Turno,'Calc_Mix'!$C$34,Esc_Instr,$B10)&gt;0),"",IF(SUMPRODUCT('Calc_Mix'!$D$34:$W$34,'Matriz_Habilidades'!$D10:$W10)=0,"",SUMPRODUCT('Calc_Mix'!$D$34:$W$34,'Matriz_Habilidades'!$D10:$W10)/'Calc_Mix'!$X$34+ROW()*0.000001))</f>
        <v/>
      </c>
      <c r="AL10" s="34">
        <f>IF(OR($B10="",$C10&lt;&gt;"Ativo",$D10&lt;&gt;'Calc_Mix'!$C$35,'Calc_Mix'!$X$35=0,COUNTIFS(Esc_Turno,'Calc_Mix'!$C$35,Esc_Circ,$B10)+COUNTIFS(Esc_Turno,'Calc_Mix'!$C$35,Esc_Instr,$B10)&gt;0),"",IF(SUMPRODUCT('Calc_Mix'!$D$35:$W$35,'Matriz_Habilidades'!$D10:$W10)=0,"",SUMPRODUCT('Calc_Mix'!$D$35:$W$35,'Matriz_Habilidades'!$D10:$W10)/'Calc_Mix'!$X$35+ROW()*0.000001))</f>
        <v/>
      </c>
      <c r="AM10" s="34">
        <f>IF(OR($B10="",$C10&lt;&gt;"Ativo",$D10&lt;&gt;'Calc_Mix'!$C$36,'Calc_Mix'!$X$36=0,COUNTIFS(Esc_Turno,'Calc_Mix'!$C$36,Esc_Circ,$B10)+COUNTIFS(Esc_Turno,'Calc_Mix'!$C$36,Esc_Instr,$B10)&gt;0),"",IF(SUMPRODUCT('Calc_Mix'!$D$36:$W$36,'Matriz_Habilidades'!$D10:$W10)=0,"",SUMPRODUCT('Calc_Mix'!$D$36:$W$36,'Matriz_Habilidades'!$D10:$W10)/'Calc_Mix'!$X$36+ROW()*0.000001))</f>
        <v/>
      </c>
      <c r="AN10" s="34">
        <f>IF(OR($B10="",$C10&lt;&gt;"Ativo",$D10&lt;&gt;'Calc_Mix'!$C$37,'Calc_Mix'!$X$37=0,COUNTIFS(Esc_Turno,'Calc_Mix'!$C$37,Esc_Circ,$B10)+COUNTIFS(Esc_Turno,'Calc_Mix'!$C$37,Esc_Instr,$B10)&gt;0),"",IF(SUMPRODUCT('Calc_Mix'!$D$37:$W$37,'Matriz_Habilidades'!$D10:$W10)=0,"",SUMPRODUCT('Calc_Mix'!$D$37:$W$37,'Matriz_Habilidades'!$D10:$W10)/'Calc_Mix'!$X$37+ROW()*0.000001))</f>
        <v/>
      </c>
    </row>
    <row r="11">
      <c r="A11" s="27">
        <f>IF('Matriz_Habilidades'!A11="","",'Matriz_Habilidades'!A11)</f>
        <v/>
      </c>
      <c r="B11" s="28">
        <f>IF('Matriz_Habilidades'!B11="","",'Matriz_Habilidades'!B11)</f>
        <v/>
      </c>
      <c r="C11" s="27">
        <f>IF($A11="","",IFERROR(INDEX(Equipe_Status,MATCH($B11,Equipe_Nome,0)),"?"))</f>
        <v/>
      </c>
      <c r="D11" s="27">
        <f>IF($A11="","",IFERROR(INDEX(Equipe_Turno,MATCH($B11,Equipe_Nome,0)),"?"))</f>
        <v/>
      </c>
      <c r="E11" s="34">
        <f>IF(OR($B11="",$C11&lt;&gt;"Ativo",$D11&lt;&gt;'Calc_Mix'!$C$2,'Calc_Mix'!$X$2=0,COUNTIFS(Esc_Turno,'Calc_Mix'!$C$2,Esc_Circ,$B11)+COUNTIFS(Esc_Turno,'Calc_Mix'!$C$2,Esc_Instr,$B11)&gt;0),"",IF(SUMPRODUCT('Calc_Mix'!$D$2:$W$2,'Matriz_Habilidades'!$D11:$W11)=0,"",SUMPRODUCT('Calc_Mix'!$D$2:$W$2,'Matriz_Habilidades'!$D11:$W11)/'Calc_Mix'!$X$2+ROW()*0.000001))</f>
        <v/>
      </c>
      <c r="F11" s="34">
        <f>IF(OR($B11="",$C11&lt;&gt;"Ativo",$D11&lt;&gt;'Calc_Mix'!$C$3,'Calc_Mix'!$X$3=0,COUNTIFS(Esc_Turno,'Calc_Mix'!$C$3,Esc_Circ,$B11)+COUNTIFS(Esc_Turno,'Calc_Mix'!$C$3,Esc_Instr,$B11)&gt;0),"",IF(SUMPRODUCT('Calc_Mix'!$D$3:$W$3,'Matriz_Habilidades'!$D11:$W11)=0,"",SUMPRODUCT('Calc_Mix'!$D$3:$W$3,'Matriz_Habilidades'!$D11:$W11)/'Calc_Mix'!$X$3+ROW()*0.000001))</f>
        <v/>
      </c>
      <c r="G11" s="34">
        <f>IF(OR($B11="",$C11&lt;&gt;"Ativo",$D11&lt;&gt;'Calc_Mix'!$C$4,'Calc_Mix'!$X$4=0,COUNTIFS(Esc_Turno,'Calc_Mix'!$C$4,Esc_Circ,$B11)+COUNTIFS(Esc_Turno,'Calc_Mix'!$C$4,Esc_Instr,$B11)&gt;0),"",IF(SUMPRODUCT('Calc_Mix'!$D$4:$W$4,'Matriz_Habilidades'!$D11:$W11)=0,"",SUMPRODUCT('Calc_Mix'!$D$4:$W$4,'Matriz_Habilidades'!$D11:$W11)/'Calc_Mix'!$X$4+ROW()*0.000001))</f>
        <v/>
      </c>
      <c r="H11" s="34">
        <f>IF(OR($B11="",$C11&lt;&gt;"Ativo",$D11&lt;&gt;'Calc_Mix'!$C$5,'Calc_Mix'!$X$5=0,COUNTIFS(Esc_Turno,'Calc_Mix'!$C$5,Esc_Circ,$B11)+COUNTIFS(Esc_Turno,'Calc_Mix'!$C$5,Esc_Instr,$B11)&gt;0),"",IF(SUMPRODUCT('Calc_Mix'!$D$5:$W$5,'Matriz_Habilidades'!$D11:$W11)=0,"",SUMPRODUCT('Calc_Mix'!$D$5:$W$5,'Matriz_Habilidades'!$D11:$W11)/'Calc_Mix'!$X$5+ROW()*0.000001))</f>
        <v/>
      </c>
      <c r="I11" s="34">
        <f>IF(OR($B11="",$C11&lt;&gt;"Ativo",$D11&lt;&gt;'Calc_Mix'!$C$6,'Calc_Mix'!$X$6=0,COUNTIFS(Esc_Turno,'Calc_Mix'!$C$6,Esc_Circ,$B11)+COUNTIFS(Esc_Turno,'Calc_Mix'!$C$6,Esc_Instr,$B11)&gt;0),"",IF(SUMPRODUCT('Calc_Mix'!$D$6:$W$6,'Matriz_Habilidades'!$D11:$W11)=0,"",SUMPRODUCT('Calc_Mix'!$D$6:$W$6,'Matriz_Habilidades'!$D11:$W11)/'Calc_Mix'!$X$6+ROW()*0.000001))</f>
        <v/>
      </c>
      <c r="J11" s="34">
        <f>IF(OR($B11="",$C11&lt;&gt;"Ativo",$D11&lt;&gt;'Calc_Mix'!$C$7,'Calc_Mix'!$X$7=0,COUNTIFS(Esc_Turno,'Calc_Mix'!$C$7,Esc_Circ,$B11)+COUNTIFS(Esc_Turno,'Calc_Mix'!$C$7,Esc_Instr,$B11)&gt;0),"",IF(SUMPRODUCT('Calc_Mix'!$D$7:$W$7,'Matriz_Habilidades'!$D11:$W11)=0,"",SUMPRODUCT('Calc_Mix'!$D$7:$W$7,'Matriz_Habilidades'!$D11:$W11)/'Calc_Mix'!$X$7+ROW()*0.000001))</f>
        <v/>
      </c>
      <c r="K11" s="34">
        <f>IF(OR($B11="",$C11&lt;&gt;"Ativo",$D11&lt;&gt;'Calc_Mix'!$C$8,'Calc_Mix'!$X$8=0,COUNTIFS(Esc_Turno,'Calc_Mix'!$C$8,Esc_Circ,$B11)+COUNTIFS(Esc_Turno,'Calc_Mix'!$C$8,Esc_Instr,$B11)&gt;0),"",IF(SUMPRODUCT('Calc_Mix'!$D$8:$W$8,'Matriz_Habilidades'!$D11:$W11)=0,"",SUMPRODUCT('Calc_Mix'!$D$8:$W$8,'Matriz_Habilidades'!$D11:$W11)/'Calc_Mix'!$X$8+ROW()*0.000001))</f>
        <v/>
      </c>
      <c r="L11" s="34">
        <f>IF(OR($B11="",$C11&lt;&gt;"Ativo",$D11&lt;&gt;'Calc_Mix'!$C$9,'Calc_Mix'!$X$9=0,COUNTIFS(Esc_Turno,'Calc_Mix'!$C$9,Esc_Circ,$B11)+COUNTIFS(Esc_Turno,'Calc_Mix'!$C$9,Esc_Instr,$B11)&gt;0),"",IF(SUMPRODUCT('Calc_Mix'!$D$9:$W$9,'Matriz_Habilidades'!$D11:$W11)=0,"",SUMPRODUCT('Calc_Mix'!$D$9:$W$9,'Matriz_Habilidades'!$D11:$W11)/'Calc_Mix'!$X$9+ROW()*0.000001))</f>
        <v/>
      </c>
      <c r="M11" s="34">
        <f>IF(OR($B11="",$C11&lt;&gt;"Ativo",$D11&lt;&gt;'Calc_Mix'!$C$10,'Calc_Mix'!$X$10=0,COUNTIFS(Esc_Turno,'Calc_Mix'!$C$10,Esc_Circ,$B11)+COUNTIFS(Esc_Turno,'Calc_Mix'!$C$10,Esc_Instr,$B11)&gt;0),"",IF(SUMPRODUCT('Calc_Mix'!$D$10:$W$10,'Matriz_Habilidades'!$D11:$W11)=0,"",SUMPRODUCT('Calc_Mix'!$D$10:$W$10,'Matriz_Habilidades'!$D11:$W11)/'Calc_Mix'!$X$10+ROW()*0.000001))</f>
        <v/>
      </c>
      <c r="N11" s="34">
        <f>IF(OR($B11="",$C11&lt;&gt;"Ativo",$D11&lt;&gt;'Calc_Mix'!$C$11,'Calc_Mix'!$X$11=0,COUNTIFS(Esc_Turno,'Calc_Mix'!$C$11,Esc_Circ,$B11)+COUNTIFS(Esc_Turno,'Calc_Mix'!$C$11,Esc_Instr,$B11)&gt;0),"",IF(SUMPRODUCT('Calc_Mix'!$D$11:$W$11,'Matriz_Habilidades'!$D11:$W11)=0,"",SUMPRODUCT('Calc_Mix'!$D$11:$W$11,'Matriz_Habilidades'!$D11:$W11)/'Calc_Mix'!$X$11+ROW()*0.000001))</f>
        <v/>
      </c>
      <c r="O11" s="34">
        <f>IF(OR($B11="",$C11&lt;&gt;"Ativo",$D11&lt;&gt;'Calc_Mix'!$C$12,'Calc_Mix'!$X$12=0,COUNTIFS(Esc_Turno,'Calc_Mix'!$C$12,Esc_Circ,$B11)+COUNTIFS(Esc_Turno,'Calc_Mix'!$C$12,Esc_Instr,$B11)&gt;0),"",IF(SUMPRODUCT('Calc_Mix'!$D$12:$W$12,'Matriz_Habilidades'!$D11:$W11)=0,"",SUMPRODUCT('Calc_Mix'!$D$12:$W$12,'Matriz_Habilidades'!$D11:$W11)/'Calc_Mix'!$X$12+ROW()*0.000001))</f>
        <v/>
      </c>
      <c r="P11" s="34">
        <f>IF(OR($B11="",$C11&lt;&gt;"Ativo",$D11&lt;&gt;'Calc_Mix'!$C$13,'Calc_Mix'!$X$13=0,COUNTIFS(Esc_Turno,'Calc_Mix'!$C$13,Esc_Circ,$B11)+COUNTIFS(Esc_Turno,'Calc_Mix'!$C$13,Esc_Instr,$B11)&gt;0),"",IF(SUMPRODUCT('Calc_Mix'!$D$13:$W$13,'Matriz_Habilidades'!$D11:$W11)=0,"",SUMPRODUCT('Calc_Mix'!$D$13:$W$13,'Matriz_Habilidades'!$D11:$W11)/'Calc_Mix'!$X$13+ROW()*0.000001))</f>
        <v/>
      </c>
      <c r="Q11" s="34">
        <f>IF(OR($B11="",$C11&lt;&gt;"Ativo",$D11&lt;&gt;'Calc_Mix'!$C$14,'Calc_Mix'!$X$14=0,COUNTIFS(Esc_Turno,'Calc_Mix'!$C$14,Esc_Circ,$B11)+COUNTIFS(Esc_Turno,'Calc_Mix'!$C$14,Esc_Instr,$B11)&gt;0),"",IF(SUMPRODUCT('Calc_Mix'!$D$14:$W$14,'Matriz_Habilidades'!$D11:$W11)=0,"",SUMPRODUCT('Calc_Mix'!$D$14:$W$14,'Matriz_Habilidades'!$D11:$W11)/'Calc_Mix'!$X$14+ROW()*0.000001))</f>
        <v/>
      </c>
      <c r="R11" s="34">
        <f>IF(OR($B11="",$C11&lt;&gt;"Ativo",$D11&lt;&gt;'Calc_Mix'!$C$15,'Calc_Mix'!$X$15=0,COUNTIFS(Esc_Turno,'Calc_Mix'!$C$15,Esc_Circ,$B11)+COUNTIFS(Esc_Turno,'Calc_Mix'!$C$15,Esc_Instr,$B11)&gt;0),"",IF(SUMPRODUCT('Calc_Mix'!$D$15:$W$15,'Matriz_Habilidades'!$D11:$W11)=0,"",SUMPRODUCT('Calc_Mix'!$D$15:$W$15,'Matriz_Habilidades'!$D11:$W11)/'Calc_Mix'!$X$15+ROW()*0.000001))</f>
        <v/>
      </c>
      <c r="S11" s="34">
        <f>IF(OR($B11="",$C11&lt;&gt;"Ativo",$D11&lt;&gt;'Calc_Mix'!$C$16,'Calc_Mix'!$X$16=0,COUNTIFS(Esc_Turno,'Calc_Mix'!$C$16,Esc_Circ,$B11)+COUNTIFS(Esc_Turno,'Calc_Mix'!$C$16,Esc_Instr,$B11)&gt;0),"",IF(SUMPRODUCT('Calc_Mix'!$D$16:$W$16,'Matriz_Habilidades'!$D11:$W11)=0,"",SUMPRODUCT('Calc_Mix'!$D$16:$W$16,'Matriz_Habilidades'!$D11:$W11)/'Calc_Mix'!$X$16+ROW()*0.000001))</f>
        <v/>
      </c>
      <c r="T11" s="34">
        <f>IF(OR($B11="",$C11&lt;&gt;"Ativo",$D11&lt;&gt;'Calc_Mix'!$C$17,'Calc_Mix'!$X$17=0,COUNTIFS(Esc_Turno,'Calc_Mix'!$C$17,Esc_Circ,$B11)+COUNTIFS(Esc_Turno,'Calc_Mix'!$C$17,Esc_Instr,$B11)&gt;0),"",IF(SUMPRODUCT('Calc_Mix'!$D$17:$W$17,'Matriz_Habilidades'!$D11:$W11)=0,"",SUMPRODUCT('Calc_Mix'!$D$17:$W$17,'Matriz_Habilidades'!$D11:$W11)/'Calc_Mix'!$X$17+ROW()*0.000001))</f>
        <v/>
      </c>
      <c r="U11" s="34">
        <f>IF(OR($B11="",$C11&lt;&gt;"Ativo",$D11&lt;&gt;'Calc_Mix'!$C$18,'Calc_Mix'!$X$18=0,COUNTIFS(Esc_Turno,'Calc_Mix'!$C$18,Esc_Circ,$B11)+COUNTIFS(Esc_Turno,'Calc_Mix'!$C$18,Esc_Instr,$B11)&gt;0),"",IF(SUMPRODUCT('Calc_Mix'!$D$18:$W$18,'Matriz_Habilidades'!$D11:$W11)=0,"",SUMPRODUCT('Calc_Mix'!$D$18:$W$18,'Matriz_Habilidades'!$D11:$W11)/'Calc_Mix'!$X$18+ROW()*0.000001))</f>
        <v/>
      </c>
      <c r="V11" s="34">
        <f>IF(OR($B11="",$C11&lt;&gt;"Ativo",$D11&lt;&gt;'Calc_Mix'!$C$19,'Calc_Mix'!$X$19=0,COUNTIFS(Esc_Turno,'Calc_Mix'!$C$19,Esc_Circ,$B11)+COUNTIFS(Esc_Turno,'Calc_Mix'!$C$19,Esc_Instr,$B11)&gt;0),"",IF(SUMPRODUCT('Calc_Mix'!$D$19:$W$19,'Matriz_Habilidades'!$D11:$W11)=0,"",SUMPRODUCT('Calc_Mix'!$D$19:$W$19,'Matriz_Habilidades'!$D11:$W11)/'Calc_Mix'!$X$19+ROW()*0.000001))</f>
        <v/>
      </c>
      <c r="W11" s="34">
        <f>IF(OR($B11="",$C11&lt;&gt;"Ativo",$D11&lt;&gt;'Calc_Mix'!$C$20,'Calc_Mix'!$X$20=0,COUNTIFS(Esc_Turno,'Calc_Mix'!$C$20,Esc_Circ,$B11)+COUNTIFS(Esc_Turno,'Calc_Mix'!$C$20,Esc_Instr,$B11)&gt;0),"",IF(SUMPRODUCT('Calc_Mix'!$D$20:$W$20,'Matriz_Habilidades'!$D11:$W11)=0,"",SUMPRODUCT('Calc_Mix'!$D$20:$W$20,'Matriz_Habilidades'!$D11:$W11)/'Calc_Mix'!$X$20+ROW()*0.000001))</f>
        <v/>
      </c>
      <c r="X11" s="34">
        <f>IF(OR($B11="",$C11&lt;&gt;"Ativo",$D11&lt;&gt;'Calc_Mix'!$C$21,'Calc_Mix'!$X$21=0,COUNTIFS(Esc_Turno,'Calc_Mix'!$C$21,Esc_Circ,$B11)+COUNTIFS(Esc_Turno,'Calc_Mix'!$C$21,Esc_Instr,$B11)&gt;0),"",IF(SUMPRODUCT('Calc_Mix'!$D$21:$W$21,'Matriz_Habilidades'!$D11:$W11)=0,"",SUMPRODUCT('Calc_Mix'!$D$21:$W$21,'Matriz_Habilidades'!$D11:$W11)/'Calc_Mix'!$X$21+ROW()*0.000001))</f>
        <v/>
      </c>
      <c r="Y11" s="34">
        <f>IF(OR($B11="",$C11&lt;&gt;"Ativo",$D11&lt;&gt;'Calc_Mix'!$C$22,'Calc_Mix'!$X$22=0,COUNTIFS(Esc_Turno,'Calc_Mix'!$C$22,Esc_Circ,$B11)+COUNTIFS(Esc_Turno,'Calc_Mix'!$C$22,Esc_Instr,$B11)&gt;0),"",IF(SUMPRODUCT('Calc_Mix'!$D$22:$W$22,'Matriz_Habilidades'!$D11:$W11)=0,"",SUMPRODUCT('Calc_Mix'!$D$22:$W$22,'Matriz_Habilidades'!$D11:$W11)/'Calc_Mix'!$X$22+ROW()*0.000001))</f>
        <v/>
      </c>
      <c r="Z11" s="34">
        <f>IF(OR($B11="",$C11&lt;&gt;"Ativo",$D11&lt;&gt;'Calc_Mix'!$C$23,'Calc_Mix'!$X$23=0,COUNTIFS(Esc_Turno,'Calc_Mix'!$C$23,Esc_Circ,$B11)+COUNTIFS(Esc_Turno,'Calc_Mix'!$C$23,Esc_Instr,$B11)&gt;0),"",IF(SUMPRODUCT('Calc_Mix'!$D$23:$W$23,'Matriz_Habilidades'!$D11:$W11)=0,"",SUMPRODUCT('Calc_Mix'!$D$23:$W$23,'Matriz_Habilidades'!$D11:$W11)/'Calc_Mix'!$X$23+ROW()*0.000001))</f>
        <v/>
      </c>
      <c r="AA11" s="34">
        <f>IF(OR($B11="",$C11&lt;&gt;"Ativo",$D11&lt;&gt;'Calc_Mix'!$C$24,'Calc_Mix'!$X$24=0,COUNTIFS(Esc_Turno,'Calc_Mix'!$C$24,Esc_Circ,$B11)+COUNTIFS(Esc_Turno,'Calc_Mix'!$C$24,Esc_Instr,$B11)&gt;0),"",IF(SUMPRODUCT('Calc_Mix'!$D$24:$W$24,'Matriz_Habilidades'!$D11:$W11)=0,"",SUMPRODUCT('Calc_Mix'!$D$24:$W$24,'Matriz_Habilidades'!$D11:$W11)/'Calc_Mix'!$X$24+ROW()*0.000001))</f>
        <v/>
      </c>
      <c r="AB11" s="34">
        <f>IF(OR($B11="",$C11&lt;&gt;"Ativo",$D11&lt;&gt;'Calc_Mix'!$C$25,'Calc_Mix'!$X$25=0,COUNTIFS(Esc_Turno,'Calc_Mix'!$C$25,Esc_Circ,$B11)+COUNTIFS(Esc_Turno,'Calc_Mix'!$C$25,Esc_Instr,$B11)&gt;0),"",IF(SUMPRODUCT('Calc_Mix'!$D$25:$W$25,'Matriz_Habilidades'!$D11:$W11)=0,"",SUMPRODUCT('Calc_Mix'!$D$25:$W$25,'Matriz_Habilidades'!$D11:$W11)/'Calc_Mix'!$X$25+ROW()*0.000001))</f>
        <v/>
      </c>
      <c r="AC11" s="34">
        <f>IF(OR($B11="",$C11&lt;&gt;"Ativo",$D11&lt;&gt;'Calc_Mix'!$C$26,'Calc_Mix'!$X$26=0,COUNTIFS(Esc_Turno,'Calc_Mix'!$C$26,Esc_Circ,$B11)+COUNTIFS(Esc_Turno,'Calc_Mix'!$C$26,Esc_Instr,$B11)&gt;0),"",IF(SUMPRODUCT('Calc_Mix'!$D$26:$W$26,'Matriz_Habilidades'!$D11:$W11)=0,"",SUMPRODUCT('Calc_Mix'!$D$26:$W$26,'Matriz_Habilidades'!$D11:$W11)/'Calc_Mix'!$X$26+ROW()*0.000001))</f>
        <v/>
      </c>
      <c r="AD11" s="34">
        <f>IF(OR($B11="",$C11&lt;&gt;"Ativo",$D11&lt;&gt;'Calc_Mix'!$C$27,'Calc_Mix'!$X$27=0,COUNTIFS(Esc_Turno,'Calc_Mix'!$C$27,Esc_Circ,$B11)+COUNTIFS(Esc_Turno,'Calc_Mix'!$C$27,Esc_Instr,$B11)&gt;0),"",IF(SUMPRODUCT('Calc_Mix'!$D$27:$W$27,'Matriz_Habilidades'!$D11:$W11)=0,"",SUMPRODUCT('Calc_Mix'!$D$27:$W$27,'Matriz_Habilidades'!$D11:$W11)/'Calc_Mix'!$X$27+ROW()*0.000001))</f>
        <v/>
      </c>
      <c r="AE11" s="34">
        <f>IF(OR($B11="",$C11&lt;&gt;"Ativo",$D11&lt;&gt;'Calc_Mix'!$C$28,'Calc_Mix'!$X$28=0,COUNTIFS(Esc_Turno,'Calc_Mix'!$C$28,Esc_Circ,$B11)+COUNTIFS(Esc_Turno,'Calc_Mix'!$C$28,Esc_Instr,$B11)&gt;0),"",IF(SUMPRODUCT('Calc_Mix'!$D$28:$W$28,'Matriz_Habilidades'!$D11:$W11)=0,"",SUMPRODUCT('Calc_Mix'!$D$28:$W$28,'Matriz_Habilidades'!$D11:$W11)/'Calc_Mix'!$X$28+ROW()*0.000001))</f>
        <v/>
      </c>
      <c r="AF11" s="34">
        <f>IF(OR($B11="",$C11&lt;&gt;"Ativo",$D11&lt;&gt;'Calc_Mix'!$C$29,'Calc_Mix'!$X$29=0,COUNTIFS(Esc_Turno,'Calc_Mix'!$C$29,Esc_Circ,$B11)+COUNTIFS(Esc_Turno,'Calc_Mix'!$C$29,Esc_Instr,$B11)&gt;0),"",IF(SUMPRODUCT('Calc_Mix'!$D$29:$W$29,'Matriz_Habilidades'!$D11:$W11)=0,"",SUMPRODUCT('Calc_Mix'!$D$29:$W$29,'Matriz_Habilidades'!$D11:$W11)/'Calc_Mix'!$X$29+ROW()*0.000001))</f>
        <v/>
      </c>
      <c r="AG11" s="34">
        <f>IF(OR($B11="",$C11&lt;&gt;"Ativo",$D11&lt;&gt;'Calc_Mix'!$C$30,'Calc_Mix'!$X$30=0,COUNTIFS(Esc_Turno,'Calc_Mix'!$C$30,Esc_Circ,$B11)+COUNTIFS(Esc_Turno,'Calc_Mix'!$C$30,Esc_Instr,$B11)&gt;0),"",IF(SUMPRODUCT('Calc_Mix'!$D$30:$W$30,'Matriz_Habilidades'!$D11:$W11)=0,"",SUMPRODUCT('Calc_Mix'!$D$30:$W$30,'Matriz_Habilidades'!$D11:$W11)/'Calc_Mix'!$X$30+ROW()*0.000001))</f>
        <v/>
      </c>
      <c r="AH11" s="34">
        <f>IF(OR($B11="",$C11&lt;&gt;"Ativo",$D11&lt;&gt;'Calc_Mix'!$C$31,'Calc_Mix'!$X$31=0,COUNTIFS(Esc_Turno,'Calc_Mix'!$C$31,Esc_Circ,$B11)+COUNTIFS(Esc_Turno,'Calc_Mix'!$C$31,Esc_Instr,$B11)&gt;0),"",IF(SUMPRODUCT('Calc_Mix'!$D$31:$W$31,'Matriz_Habilidades'!$D11:$W11)=0,"",SUMPRODUCT('Calc_Mix'!$D$31:$W$31,'Matriz_Habilidades'!$D11:$W11)/'Calc_Mix'!$X$31+ROW()*0.000001))</f>
        <v/>
      </c>
      <c r="AI11" s="34">
        <f>IF(OR($B11="",$C11&lt;&gt;"Ativo",$D11&lt;&gt;'Calc_Mix'!$C$32,'Calc_Mix'!$X$32=0,COUNTIFS(Esc_Turno,'Calc_Mix'!$C$32,Esc_Circ,$B11)+COUNTIFS(Esc_Turno,'Calc_Mix'!$C$32,Esc_Instr,$B11)&gt;0),"",IF(SUMPRODUCT('Calc_Mix'!$D$32:$W$32,'Matriz_Habilidades'!$D11:$W11)=0,"",SUMPRODUCT('Calc_Mix'!$D$32:$W$32,'Matriz_Habilidades'!$D11:$W11)/'Calc_Mix'!$X$32+ROW()*0.000001))</f>
        <v/>
      </c>
      <c r="AJ11" s="34">
        <f>IF(OR($B11="",$C11&lt;&gt;"Ativo",$D11&lt;&gt;'Calc_Mix'!$C$33,'Calc_Mix'!$X$33=0,COUNTIFS(Esc_Turno,'Calc_Mix'!$C$33,Esc_Circ,$B11)+COUNTIFS(Esc_Turno,'Calc_Mix'!$C$33,Esc_Instr,$B11)&gt;0),"",IF(SUMPRODUCT('Calc_Mix'!$D$33:$W$33,'Matriz_Habilidades'!$D11:$W11)=0,"",SUMPRODUCT('Calc_Mix'!$D$33:$W$33,'Matriz_Habilidades'!$D11:$W11)/'Calc_Mix'!$X$33+ROW()*0.000001))</f>
        <v/>
      </c>
      <c r="AK11" s="34">
        <f>IF(OR($B11="",$C11&lt;&gt;"Ativo",$D11&lt;&gt;'Calc_Mix'!$C$34,'Calc_Mix'!$X$34=0,COUNTIFS(Esc_Turno,'Calc_Mix'!$C$34,Esc_Circ,$B11)+COUNTIFS(Esc_Turno,'Calc_Mix'!$C$34,Esc_Instr,$B11)&gt;0),"",IF(SUMPRODUCT('Calc_Mix'!$D$34:$W$34,'Matriz_Habilidades'!$D11:$W11)=0,"",SUMPRODUCT('Calc_Mix'!$D$34:$W$34,'Matriz_Habilidades'!$D11:$W11)/'Calc_Mix'!$X$34+ROW()*0.000001))</f>
        <v/>
      </c>
      <c r="AL11" s="34">
        <f>IF(OR($B11="",$C11&lt;&gt;"Ativo",$D11&lt;&gt;'Calc_Mix'!$C$35,'Calc_Mix'!$X$35=0,COUNTIFS(Esc_Turno,'Calc_Mix'!$C$35,Esc_Circ,$B11)+COUNTIFS(Esc_Turno,'Calc_Mix'!$C$35,Esc_Instr,$B11)&gt;0),"",IF(SUMPRODUCT('Calc_Mix'!$D$35:$W$35,'Matriz_Habilidades'!$D11:$W11)=0,"",SUMPRODUCT('Calc_Mix'!$D$35:$W$35,'Matriz_Habilidades'!$D11:$W11)/'Calc_Mix'!$X$35+ROW()*0.000001))</f>
        <v/>
      </c>
      <c r="AM11" s="34">
        <f>IF(OR($B11="",$C11&lt;&gt;"Ativo",$D11&lt;&gt;'Calc_Mix'!$C$36,'Calc_Mix'!$X$36=0,COUNTIFS(Esc_Turno,'Calc_Mix'!$C$36,Esc_Circ,$B11)+COUNTIFS(Esc_Turno,'Calc_Mix'!$C$36,Esc_Instr,$B11)&gt;0),"",IF(SUMPRODUCT('Calc_Mix'!$D$36:$W$36,'Matriz_Habilidades'!$D11:$W11)=0,"",SUMPRODUCT('Calc_Mix'!$D$36:$W$36,'Matriz_Habilidades'!$D11:$W11)/'Calc_Mix'!$X$36+ROW()*0.000001))</f>
        <v/>
      </c>
      <c r="AN11" s="34">
        <f>IF(OR($B11="",$C11&lt;&gt;"Ativo",$D11&lt;&gt;'Calc_Mix'!$C$37,'Calc_Mix'!$X$37=0,COUNTIFS(Esc_Turno,'Calc_Mix'!$C$37,Esc_Circ,$B11)+COUNTIFS(Esc_Turno,'Calc_Mix'!$C$37,Esc_Instr,$B11)&gt;0),"",IF(SUMPRODUCT('Calc_Mix'!$D$37:$W$37,'Matriz_Habilidades'!$D11:$W11)=0,"",SUMPRODUCT('Calc_Mix'!$D$37:$W$37,'Matriz_Habilidades'!$D11:$W11)/'Calc_Mix'!$X$37+ROW()*0.000001))</f>
        <v/>
      </c>
    </row>
    <row r="12">
      <c r="A12" s="27">
        <f>IF('Matriz_Habilidades'!A12="","",'Matriz_Habilidades'!A12)</f>
        <v/>
      </c>
      <c r="B12" s="28">
        <f>IF('Matriz_Habilidades'!B12="","",'Matriz_Habilidades'!B12)</f>
        <v/>
      </c>
      <c r="C12" s="27">
        <f>IF($A12="","",IFERROR(INDEX(Equipe_Status,MATCH($B12,Equipe_Nome,0)),"?"))</f>
        <v/>
      </c>
      <c r="D12" s="27">
        <f>IF($A12="","",IFERROR(INDEX(Equipe_Turno,MATCH($B12,Equipe_Nome,0)),"?"))</f>
        <v/>
      </c>
      <c r="E12" s="34">
        <f>IF(OR($B12="",$C12&lt;&gt;"Ativo",$D12&lt;&gt;'Calc_Mix'!$C$2,'Calc_Mix'!$X$2=0,COUNTIFS(Esc_Turno,'Calc_Mix'!$C$2,Esc_Circ,$B12)+COUNTIFS(Esc_Turno,'Calc_Mix'!$C$2,Esc_Instr,$B12)&gt;0),"",IF(SUMPRODUCT('Calc_Mix'!$D$2:$W$2,'Matriz_Habilidades'!$D12:$W12)=0,"",SUMPRODUCT('Calc_Mix'!$D$2:$W$2,'Matriz_Habilidades'!$D12:$W12)/'Calc_Mix'!$X$2+ROW()*0.000001))</f>
        <v/>
      </c>
      <c r="F12" s="34">
        <f>IF(OR($B12="",$C12&lt;&gt;"Ativo",$D12&lt;&gt;'Calc_Mix'!$C$3,'Calc_Mix'!$X$3=0,COUNTIFS(Esc_Turno,'Calc_Mix'!$C$3,Esc_Circ,$B12)+COUNTIFS(Esc_Turno,'Calc_Mix'!$C$3,Esc_Instr,$B12)&gt;0),"",IF(SUMPRODUCT('Calc_Mix'!$D$3:$W$3,'Matriz_Habilidades'!$D12:$W12)=0,"",SUMPRODUCT('Calc_Mix'!$D$3:$W$3,'Matriz_Habilidades'!$D12:$W12)/'Calc_Mix'!$X$3+ROW()*0.000001))</f>
        <v/>
      </c>
      <c r="G12" s="34">
        <f>IF(OR($B12="",$C12&lt;&gt;"Ativo",$D12&lt;&gt;'Calc_Mix'!$C$4,'Calc_Mix'!$X$4=0,COUNTIFS(Esc_Turno,'Calc_Mix'!$C$4,Esc_Circ,$B12)+COUNTIFS(Esc_Turno,'Calc_Mix'!$C$4,Esc_Instr,$B12)&gt;0),"",IF(SUMPRODUCT('Calc_Mix'!$D$4:$W$4,'Matriz_Habilidades'!$D12:$W12)=0,"",SUMPRODUCT('Calc_Mix'!$D$4:$W$4,'Matriz_Habilidades'!$D12:$W12)/'Calc_Mix'!$X$4+ROW()*0.000001))</f>
        <v/>
      </c>
      <c r="H12" s="34">
        <f>IF(OR($B12="",$C12&lt;&gt;"Ativo",$D12&lt;&gt;'Calc_Mix'!$C$5,'Calc_Mix'!$X$5=0,COUNTIFS(Esc_Turno,'Calc_Mix'!$C$5,Esc_Circ,$B12)+COUNTIFS(Esc_Turno,'Calc_Mix'!$C$5,Esc_Instr,$B12)&gt;0),"",IF(SUMPRODUCT('Calc_Mix'!$D$5:$W$5,'Matriz_Habilidades'!$D12:$W12)=0,"",SUMPRODUCT('Calc_Mix'!$D$5:$W$5,'Matriz_Habilidades'!$D12:$W12)/'Calc_Mix'!$X$5+ROW()*0.000001))</f>
        <v/>
      </c>
      <c r="I12" s="34">
        <f>IF(OR($B12="",$C12&lt;&gt;"Ativo",$D12&lt;&gt;'Calc_Mix'!$C$6,'Calc_Mix'!$X$6=0,COUNTIFS(Esc_Turno,'Calc_Mix'!$C$6,Esc_Circ,$B12)+COUNTIFS(Esc_Turno,'Calc_Mix'!$C$6,Esc_Instr,$B12)&gt;0),"",IF(SUMPRODUCT('Calc_Mix'!$D$6:$W$6,'Matriz_Habilidades'!$D12:$W12)=0,"",SUMPRODUCT('Calc_Mix'!$D$6:$W$6,'Matriz_Habilidades'!$D12:$W12)/'Calc_Mix'!$X$6+ROW()*0.000001))</f>
        <v/>
      </c>
      <c r="J12" s="34">
        <f>IF(OR($B12="",$C12&lt;&gt;"Ativo",$D12&lt;&gt;'Calc_Mix'!$C$7,'Calc_Mix'!$X$7=0,COUNTIFS(Esc_Turno,'Calc_Mix'!$C$7,Esc_Circ,$B12)+COUNTIFS(Esc_Turno,'Calc_Mix'!$C$7,Esc_Instr,$B12)&gt;0),"",IF(SUMPRODUCT('Calc_Mix'!$D$7:$W$7,'Matriz_Habilidades'!$D12:$W12)=0,"",SUMPRODUCT('Calc_Mix'!$D$7:$W$7,'Matriz_Habilidades'!$D12:$W12)/'Calc_Mix'!$X$7+ROW()*0.000001))</f>
        <v/>
      </c>
      <c r="K12" s="34">
        <f>IF(OR($B12="",$C12&lt;&gt;"Ativo",$D12&lt;&gt;'Calc_Mix'!$C$8,'Calc_Mix'!$X$8=0,COUNTIFS(Esc_Turno,'Calc_Mix'!$C$8,Esc_Circ,$B12)+COUNTIFS(Esc_Turno,'Calc_Mix'!$C$8,Esc_Instr,$B12)&gt;0),"",IF(SUMPRODUCT('Calc_Mix'!$D$8:$W$8,'Matriz_Habilidades'!$D12:$W12)=0,"",SUMPRODUCT('Calc_Mix'!$D$8:$W$8,'Matriz_Habilidades'!$D12:$W12)/'Calc_Mix'!$X$8+ROW()*0.000001))</f>
        <v/>
      </c>
      <c r="L12" s="34">
        <f>IF(OR($B12="",$C12&lt;&gt;"Ativo",$D12&lt;&gt;'Calc_Mix'!$C$9,'Calc_Mix'!$X$9=0,COUNTIFS(Esc_Turno,'Calc_Mix'!$C$9,Esc_Circ,$B12)+COUNTIFS(Esc_Turno,'Calc_Mix'!$C$9,Esc_Instr,$B12)&gt;0),"",IF(SUMPRODUCT('Calc_Mix'!$D$9:$W$9,'Matriz_Habilidades'!$D12:$W12)=0,"",SUMPRODUCT('Calc_Mix'!$D$9:$W$9,'Matriz_Habilidades'!$D12:$W12)/'Calc_Mix'!$X$9+ROW()*0.000001))</f>
        <v/>
      </c>
      <c r="M12" s="34">
        <f>IF(OR($B12="",$C12&lt;&gt;"Ativo",$D12&lt;&gt;'Calc_Mix'!$C$10,'Calc_Mix'!$X$10=0,COUNTIFS(Esc_Turno,'Calc_Mix'!$C$10,Esc_Circ,$B12)+COUNTIFS(Esc_Turno,'Calc_Mix'!$C$10,Esc_Instr,$B12)&gt;0),"",IF(SUMPRODUCT('Calc_Mix'!$D$10:$W$10,'Matriz_Habilidades'!$D12:$W12)=0,"",SUMPRODUCT('Calc_Mix'!$D$10:$W$10,'Matriz_Habilidades'!$D12:$W12)/'Calc_Mix'!$X$10+ROW()*0.000001))</f>
        <v/>
      </c>
      <c r="N12" s="34">
        <f>IF(OR($B12="",$C12&lt;&gt;"Ativo",$D12&lt;&gt;'Calc_Mix'!$C$11,'Calc_Mix'!$X$11=0,COUNTIFS(Esc_Turno,'Calc_Mix'!$C$11,Esc_Circ,$B12)+COUNTIFS(Esc_Turno,'Calc_Mix'!$C$11,Esc_Instr,$B12)&gt;0),"",IF(SUMPRODUCT('Calc_Mix'!$D$11:$W$11,'Matriz_Habilidades'!$D12:$W12)=0,"",SUMPRODUCT('Calc_Mix'!$D$11:$W$11,'Matriz_Habilidades'!$D12:$W12)/'Calc_Mix'!$X$11+ROW()*0.000001))</f>
        <v/>
      </c>
      <c r="O12" s="34">
        <f>IF(OR($B12="",$C12&lt;&gt;"Ativo",$D12&lt;&gt;'Calc_Mix'!$C$12,'Calc_Mix'!$X$12=0,COUNTIFS(Esc_Turno,'Calc_Mix'!$C$12,Esc_Circ,$B12)+COUNTIFS(Esc_Turno,'Calc_Mix'!$C$12,Esc_Instr,$B12)&gt;0),"",IF(SUMPRODUCT('Calc_Mix'!$D$12:$W$12,'Matriz_Habilidades'!$D12:$W12)=0,"",SUMPRODUCT('Calc_Mix'!$D$12:$W$12,'Matriz_Habilidades'!$D12:$W12)/'Calc_Mix'!$X$12+ROW()*0.000001))</f>
        <v/>
      </c>
      <c r="P12" s="34">
        <f>IF(OR($B12="",$C12&lt;&gt;"Ativo",$D12&lt;&gt;'Calc_Mix'!$C$13,'Calc_Mix'!$X$13=0,COUNTIFS(Esc_Turno,'Calc_Mix'!$C$13,Esc_Circ,$B12)+COUNTIFS(Esc_Turno,'Calc_Mix'!$C$13,Esc_Instr,$B12)&gt;0),"",IF(SUMPRODUCT('Calc_Mix'!$D$13:$W$13,'Matriz_Habilidades'!$D12:$W12)=0,"",SUMPRODUCT('Calc_Mix'!$D$13:$W$13,'Matriz_Habilidades'!$D12:$W12)/'Calc_Mix'!$X$13+ROW()*0.000001))</f>
        <v/>
      </c>
      <c r="Q12" s="34">
        <f>IF(OR($B12="",$C12&lt;&gt;"Ativo",$D12&lt;&gt;'Calc_Mix'!$C$14,'Calc_Mix'!$X$14=0,COUNTIFS(Esc_Turno,'Calc_Mix'!$C$14,Esc_Circ,$B12)+COUNTIFS(Esc_Turno,'Calc_Mix'!$C$14,Esc_Instr,$B12)&gt;0),"",IF(SUMPRODUCT('Calc_Mix'!$D$14:$W$14,'Matriz_Habilidades'!$D12:$W12)=0,"",SUMPRODUCT('Calc_Mix'!$D$14:$W$14,'Matriz_Habilidades'!$D12:$W12)/'Calc_Mix'!$X$14+ROW()*0.000001))</f>
        <v/>
      </c>
      <c r="R12" s="34">
        <f>IF(OR($B12="",$C12&lt;&gt;"Ativo",$D12&lt;&gt;'Calc_Mix'!$C$15,'Calc_Mix'!$X$15=0,COUNTIFS(Esc_Turno,'Calc_Mix'!$C$15,Esc_Circ,$B12)+COUNTIFS(Esc_Turno,'Calc_Mix'!$C$15,Esc_Instr,$B12)&gt;0),"",IF(SUMPRODUCT('Calc_Mix'!$D$15:$W$15,'Matriz_Habilidades'!$D12:$W12)=0,"",SUMPRODUCT('Calc_Mix'!$D$15:$W$15,'Matriz_Habilidades'!$D12:$W12)/'Calc_Mix'!$X$15+ROW()*0.000001))</f>
        <v/>
      </c>
      <c r="S12" s="34">
        <f>IF(OR($B12="",$C12&lt;&gt;"Ativo",$D12&lt;&gt;'Calc_Mix'!$C$16,'Calc_Mix'!$X$16=0,COUNTIFS(Esc_Turno,'Calc_Mix'!$C$16,Esc_Circ,$B12)+COUNTIFS(Esc_Turno,'Calc_Mix'!$C$16,Esc_Instr,$B12)&gt;0),"",IF(SUMPRODUCT('Calc_Mix'!$D$16:$W$16,'Matriz_Habilidades'!$D12:$W12)=0,"",SUMPRODUCT('Calc_Mix'!$D$16:$W$16,'Matriz_Habilidades'!$D12:$W12)/'Calc_Mix'!$X$16+ROW()*0.000001))</f>
        <v/>
      </c>
      <c r="T12" s="34">
        <f>IF(OR($B12="",$C12&lt;&gt;"Ativo",$D12&lt;&gt;'Calc_Mix'!$C$17,'Calc_Mix'!$X$17=0,COUNTIFS(Esc_Turno,'Calc_Mix'!$C$17,Esc_Circ,$B12)+COUNTIFS(Esc_Turno,'Calc_Mix'!$C$17,Esc_Instr,$B12)&gt;0),"",IF(SUMPRODUCT('Calc_Mix'!$D$17:$W$17,'Matriz_Habilidades'!$D12:$W12)=0,"",SUMPRODUCT('Calc_Mix'!$D$17:$W$17,'Matriz_Habilidades'!$D12:$W12)/'Calc_Mix'!$X$17+ROW()*0.000001))</f>
        <v/>
      </c>
      <c r="U12" s="34">
        <f>IF(OR($B12="",$C12&lt;&gt;"Ativo",$D12&lt;&gt;'Calc_Mix'!$C$18,'Calc_Mix'!$X$18=0,COUNTIFS(Esc_Turno,'Calc_Mix'!$C$18,Esc_Circ,$B12)+COUNTIFS(Esc_Turno,'Calc_Mix'!$C$18,Esc_Instr,$B12)&gt;0),"",IF(SUMPRODUCT('Calc_Mix'!$D$18:$W$18,'Matriz_Habilidades'!$D12:$W12)=0,"",SUMPRODUCT('Calc_Mix'!$D$18:$W$18,'Matriz_Habilidades'!$D12:$W12)/'Calc_Mix'!$X$18+ROW()*0.000001))</f>
        <v/>
      </c>
      <c r="V12" s="34">
        <f>IF(OR($B12="",$C12&lt;&gt;"Ativo",$D12&lt;&gt;'Calc_Mix'!$C$19,'Calc_Mix'!$X$19=0,COUNTIFS(Esc_Turno,'Calc_Mix'!$C$19,Esc_Circ,$B12)+COUNTIFS(Esc_Turno,'Calc_Mix'!$C$19,Esc_Instr,$B12)&gt;0),"",IF(SUMPRODUCT('Calc_Mix'!$D$19:$W$19,'Matriz_Habilidades'!$D12:$W12)=0,"",SUMPRODUCT('Calc_Mix'!$D$19:$W$19,'Matriz_Habilidades'!$D12:$W12)/'Calc_Mix'!$X$19+ROW()*0.000001))</f>
        <v/>
      </c>
      <c r="W12" s="34">
        <f>IF(OR($B12="",$C12&lt;&gt;"Ativo",$D12&lt;&gt;'Calc_Mix'!$C$20,'Calc_Mix'!$X$20=0,COUNTIFS(Esc_Turno,'Calc_Mix'!$C$20,Esc_Circ,$B12)+COUNTIFS(Esc_Turno,'Calc_Mix'!$C$20,Esc_Instr,$B12)&gt;0),"",IF(SUMPRODUCT('Calc_Mix'!$D$20:$W$20,'Matriz_Habilidades'!$D12:$W12)=0,"",SUMPRODUCT('Calc_Mix'!$D$20:$W$20,'Matriz_Habilidades'!$D12:$W12)/'Calc_Mix'!$X$20+ROW()*0.000001))</f>
        <v/>
      </c>
      <c r="X12" s="34">
        <f>IF(OR($B12="",$C12&lt;&gt;"Ativo",$D12&lt;&gt;'Calc_Mix'!$C$21,'Calc_Mix'!$X$21=0,COUNTIFS(Esc_Turno,'Calc_Mix'!$C$21,Esc_Circ,$B12)+COUNTIFS(Esc_Turno,'Calc_Mix'!$C$21,Esc_Instr,$B12)&gt;0),"",IF(SUMPRODUCT('Calc_Mix'!$D$21:$W$21,'Matriz_Habilidades'!$D12:$W12)=0,"",SUMPRODUCT('Calc_Mix'!$D$21:$W$21,'Matriz_Habilidades'!$D12:$W12)/'Calc_Mix'!$X$21+ROW()*0.000001))</f>
        <v/>
      </c>
      <c r="Y12" s="34">
        <f>IF(OR($B12="",$C12&lt;&gt;"Ativo",$D12&lt;&gt;'Calc_Mix'!$C$22,'Calc_Mix'!$X$22=0,COUNTIFS(Esc_Turno,'Calc_Mix'!$C$22,Esc_Circ,$B12)+COUNTIFS(Esc_Turno,'Calc_Mix'!$C$22,Esc_Instr,$B12)&gt;0),"",IF(SUMPRODUCT('Calc_Mix'!$D$22:$W$22,'Matriz_Habilidades'!$D12:$W12)=0,"",SUMPRODUCT('Calc_Mix'!$D$22:$W$22,'Matriz_Habilidades'!$D12:$W12)/'Calc_Mix'!$X$22+ROW()*0.000001))</f>
        <v/>
      </c>
      <c r="Z12" s="34">
        <f>IF(OR($B12="",$C12&lt;&gt;"Ativo",$D12&lt;&gt;'Calc_Mix'!$C$23,'Calc_Mix'!$X$23=0,COUNTIFS(Esc_Turno,'Calc_Mix'!$C$23,Esc_Circ,$B12)+COUNTIFS(Esc_Turno,'Calc_Mix'!$C$23,Esc_Instr,$B12)&gt;0),"",IF(SUMPRODUCT('Calc_Mix'!$D$23:$W$23,'Matriz_Habilidades'!$D12:$W12)=0,"",SUMPRODUCT('Calc_Mix'!$D$23:$W$23,'Matriz_Habilidades'!$D12:$W12)/'Calc_Mix'!$X$23+ROW()*0.000001))</f>
        <v/>
      </c>
      <c r="AA12" s="34">
        <f>IF(OR($B12="",$C12&lt;&gt;"Ativo",$D12&lt;&gt;'Calc_Mix'!$C$24,'Calc_Mix'!$X$24=0,COUNTIFS(Esc_Turno,'Calc_Mix'!$C$24,Esc_Circ,$B12)+COUNTIFS(Esc_Turno,'Calc_Mix'!$C$24,Esc_Instr,$B12)&gt;0),"",IF(SUMPRODUCT('Calc_Mix'!$D$24:$W$24,'Matriz_Habilidades'!$D12:$W12)=0,"",SUMPRODUCT('Calc_Mix'!$D$24:$W$24,'Matriz_Habilidades'!$D12:$W12)/'Calc_Mix'!$X$24+ROW()*0.000001))</f>
        <v/>
      </c>
      <c r="AB12" s="34">
        <f>IF(OR($B12="",$C12&lt;&gt;"Ativo",$D12&lt;&gt;'Calc_Mix'!$C$25,'Calc_Mix'!$X$25=0,COUNTIFS(Esc_Turno,'Calc_Mix'!$C$25,Esc_Circ,$B12)+COUNTIFS(Esc_Turno,'Calc_Mix'!$C$25,Esc_Instr,$B12)&gt;0),"",IF(SUMPRODUCT('Calc_Mix'!$D$25:$W$25,'Matriz_Habilidades'!$D12:$W12)=0,"",SUMPRODUCT('Calc_Mix'!$D$25:$W$25,'Matriz_Habilidades'!$D12:$W12)/'Calc_Mix'!$X$25+ROW()*0.000001))</f>
        <v/>
      </c>
      <c r="AC12" s="34">
        <f>IF(OR($B12="",$C12&lt;&gt;"Ativo",$D12&lt;&gt;'Calc_Mix'!$C$26,'Calc_Mix'!$X$26=0,COUNTIFS(Esc_Turno,'Calc_Mix'!$C$26,Esc_Circ,$B12)+COUNTIFS(Esc_Turno,'Calc_Mix'!$C$26,Esc_Instr,$B12)&gt;0),"",IF(SUMPRODUCT('Calc_Mix'!$D$26:$W$26,'Matriz_Habilidades'!$D12:$W12)=0,"",SUMPRODUCT('Calc_Mix'!$D$26:$W$26,'Matriz_Habilidades'!$D12:$W12)/'Calc_Mix'!$X$26+ROW()*0.000001))</f>
        <v/>
      </c>
      <c r="AD12" s="34">
        <f>IF(OR($B12="",$C12&lt;&gt;"Ativo",$D12&lt;&gt;'Calc_Mix'!$C$27,'Calc_Mix'!$X$27=0,COUNTIFS(Esc_Turno,'Calc_Mix'!$C$27,Esc_Circ,$B12)+COUNTIFS(Esc_Turno,'Calc_Mix'!$C$27,Esc_Instr,$B12)&gt;0),"",IF(SUMPRODUCT('Calc_Mix'!$D$27:$W$27,'Matriz_Habilidades'!$D12:$W12)=0,"",SUMPRODUCT('Calc_Mix'!$D$27:$W$27,'Matriz_Habilidades'!$D12:$W12)/'Calc_Mix'!$X$27+ROW()*0.000001))</f>
        <v/>
      </c>
      <c r="AE12" s="34">
        <f>IF(OR($B12="",$C12&lt;&gt;"Ativo",$D12&lt;&gt;'Calc_Mix'!$C$28,'Calc_Mix'!$X$28=0,COUNTIFS(Esc_Turno,'Calc_Mix'!$C$28,Esc_Circ,$B12)+COUNTIFS(Esc_Turno,'Calc_Mix'!$C$28,Esc_Instr,$B12)&gt;0),"",IF(SUMPRODUCT('Calc_Mix'!$D$28:$W$28,'Matriz_Habilidades'!$D12:$W12)=0,"",SUMPRODUCT('Calc_Mix'!$D$28:$W$28,'Matriz_Habilidades'!$D12:$W12)/'Calc_Mix'!$X$28+ROW()*0.000001))</f>
        <v/>
      </c>
      <c r="AF12" s="34">
        <f>IF(OR($B12="",$C12&lt;&gt;"Ativo",$D12&lt;&gt;'Calc_Mix'!$C$29,'Calc_Mix'!$X$29=0,COUNTIFS(Esc_Turno,'Calc_Mix'!$C$29,Esc_Circ,$B12)+COUNTIFS(Esc_Turno,'Calc_Mix'!$C$29,Esc_Instr,$B12)&gt;0),"",IF(SUMPRODUCT('Calc_Mix'!$D$29:$W$29,'Matriz_Habilidades'!$D12:$W12)=0,"",SUMPRODUCT('Calc_Mix'!$D$29:$W$29,'Matriz_Habilidades'!$D12:$W12)/'Calc_Mix'!$X$29+ROW()*0.000001))</f>
        <v/>
      </c>
      <c r="AG12" s="34">
        <f>IF(OR($B12="",$C12&lt;&gt;"Ativo",$D12&lt;&gt;'Calc_Mix'!$C$30,'Calc_Mix'!$X$30=0,COUNTIFS(Esc_Turno,'Calc_Mix'!$C$30,Esc_Circ,$B12)+COUNTIFS(Esc_Turno,'Calc_Mix'!$C$30,Esc_Instr,$B12)&gt;0),"",IF(SUMPRODUCT('Calc_Mix'!$D$30:$W$30,'Matriz_Habilidades'!$D12:$W12)=0,"",SUMPRODUCT('Calc_Mix'!$D$30:$W$30,'Matriz_Habilidades'!$D12:$W12)/'Calc_Mix'!$X$30+ROW()*0.000001))</f>
        <v/>
      </c>
      <c r="AH12" s="34">
        <f>IF(OR($B12="",$C12&lt;&gt;"Ativo",$D12&lt;&gt;'Calc_Mix'!$C$31,'Calc_Mix'!$X$31=0,COUNTIFS(Esc_Turno,'Calc_Mix'!$C$31,Esc_Circ,$B12)+COUNTIFS(Esc_Turno,'Calc_Mix'!$C$31,Esc_Instr,$B12)&gt;0),"",IF(SUMPRODUCT('Calc_Mix'!$D$31:$W$31,'Matriz_Habilidades'!$D12:$W12)=0,"",SUMPRODUCT('Calc_Mix'!$D$31:$W$31,'Matriz_Habilidades'!$D12:$W12)/'Calc_Mix'!$X$31+ROW()*0.000001))</f>
        <v/>
      </c>
      <c r="AI12" s="34">
        <f>IF(OR($B12="",$C12&lt;&gt;"Ativo",$D12&lt;&gt;'Calc_Mix'!$C$32,'Calc_Mix'!$X$32=0,COUNTIFS(Esc_Turno,'Calc_Mix'!$C$32,Esc_Circ,$B12)+COUNTIFS(Esc_Turno,'Calc_Mix'!$C$32,Esc_Instr,$B12)&gt;0),"",IF(SUMPRODUCT('Calc_Mix'!$D$32:$W$32,'Matriz_Habilidades'!$D12:$W12)=0,"",SUMPRODUCT('Calc_Mix'!$D$32:$W$32,'Matriz_Habilidades'!$D12:$W12)/'Calc_Mix'!$X$32+ROW()*0.000001))</f>
        <v/>
      </c>
      <c r="AJ12" s="34">
        <f>IF(OR($B12="",$C12&lt;&gt;"Ativo",$D12&lt;&gt;'Calc_Mix'!$C$33,'Calc_Mix'!$X$33=0,COUNTIFS(Esc_Turno,'Calc_Mix'!$C$33,Esc_Circ,$B12)+COUNTIFS(Esc_Turno,'Calc_Mix'!$C$33,Esc_Instr,$B12)&gt;0),"",IF(SUMPRODUCT('Calc_Mix'!$D$33:$W$33,'Matriz_Habilidades'!$D12:$W12)=0,"",SUMPRODUCT('Calc_Mix'!$D$33:$W$33,'Matriz_Habilidades'!$D12:$W12)/'Calc_Mix'!$X$33+ROW()*0.000001))</f>
        <v/>
      </c>
      <c r="AK12" s="34">
        <f>IF(OR($B12="",$C12&lt;&gt;"Ativo",$D12&lt;&gt;'Calc_Mix'!$C$34,'Calc_Mix'!$X$34=0,COUNTIFS(Esc_Turno,'Calc_Mix'!$C$34,Esc_Circ,$B12)+COUNTIFS(Esc_Turno,'Calc_Mix'!$C$34,Esc_Instr,$B12)&gt;0),"",IF(SUMPRODUCT('Calc_Mix'!$D$34:$W$34,'Matriz_Habilidades'!$D12:$W12)=0,"",SUMPRODUCT('Calc_Mix'!$D$34:$W$34,'Matriz_Habilidades'!$D12:$W12)/'Calc_Mix'!$X$34+ROW()*0.000001))</f>
        <v/>
      </c>
      <c r="AL12" s="34">
        <f>IF(OR($B12="",$C12&lt;&gt;"Ativo",$D12&lt;&gt;'Calc_Mix'!$C$35,'Calc_Mix'!$X$35=0,COUNTIFS(Esc_Turno,'Calc_Mix'!$C$35,Esc_Circ,$B12)+COUNTIFS(Esc_Turno,'Calc_Mix'!$C$35,Esc_Instr,$B12)&gt;0),"",IF(SUMPRODUCT('Calc_Mix'!$D$35:$W$35,'Matriz_Habilidades'!$D12:$W12)=0,"",SUMPRODUCT('Calc_Mix'!$D$35:$W$35,'Matriz_Habilidades'!$D12:$W12)/'Calc_Mix'!$X$35+ROW()*0.000001))</f>
        <v/>
      </c>
      <c r="AM12" s="34">
        <f>IF(OR($B12="",$C12&lt;&gt;"Ativo",$D12&lt;&gt;'Calc_Mix'!$C$36,'Calc_Mix'!$X$36=0,COUNTIFS(Esc_Turno,'Calc_Mix'!$C$36,Esc_Circ,$B12)+COUNTIFS(Esc_Turno,'Calc_Mix'!$C$36,Esc_Instr,$B12)&gt;0),"",IF(SUMPRODUCT('Calc_Mix'!$D$36:$W$36,'Matriz_Habilidades'!$D12:$W12)=0,"",SUMPRODUCT('Calc_Mix'!$D$36:$W$36,'Matriz_Habilidades'!$D12:$W12)/'Calc_Mix'!$X$36+ROW()*0.000001))</f>
        <v/>
      </c>
      <c r="AN12" s="34">
        <f>IF(OR($B12="",$C12&lt;&gt;"Ativo",$D12&lt;&gt;'Calc_Mix'!$C$37,'Calc_Mix'!$X$37=0,COUNTIFS(Esc_Turno,'Calc_Mix'!$C$37,Esc_Circ,$B12)+COUNTIFS(Esc_Turno,'Calc_Mix'!$C$37,Esc_Instr,$B12)&gt;0),"",IF(SUMPRODUCT('Calc_Mix'!$D$37:$W$37,'Matriz_Habilidades'!$D12:$W12)=0,"",SUMPRODUCT('Calc_Mix'!$D$37:$W$37,'Matriz_Habilidades'!$D12:$W12)/'Calc_Mix'!$X$37+ROW()*0.000001))</f>
        <v/>
      </c>
    </row>
    <row r="13">
      <c r="A13" s="27">
        <f>IF('Matriz_Habilidades'!A13="","",'Matriz_Habilidades'!A13)</f>
        <v/>
      </c>
      <c r="B13" s="28">
        <f>IF('Matriz_Habilidades'!B13="","",'Matriz_Habilidades'!B13)</f>
        <v/>
      </c>
      <c r="C13" s="27">
        <f>IF($A13="","",IFERROR(INDEX(Equipe_Status,MATCH($B13,Equipe_Nome,0)),"?"))</f>
        <v/>
      </c>
      <c r="D13" s="27">
        <f>IF($A13="","",IFERROR(INDEX(Equipe_Turno,MATCH($B13,Equipe_Nome,0)),"?"))</f>
        <v/>
      </c>
      <c r="E13" s="34">
        <f>IF(OR($B13="",$C13&lt;&gt;"Ativo",$D13&lt;&gt;'Calc_Mix'!$C$2,'Calc_Mix'!$X$2=0,COUNTIFS(Esc_Turno,'Calc_Mix'!$C$2,Esc_Circ,$B13)+COUNTIFS(Esc_Turno,'Calc_Mix'!$C$2,Esc_Instr,$B13)&gt;0),"",IF(SUMPRODUCT('Calc_Mix'!$D$2:$W$2,'Matriz_Habilidades'!$D13:$W13)=0,"",SUMPRODUCT('Calc_Mix'!$D$2:$W$2,'Matriz_Habilidades'!$D13:$W13)/'Calc_Mix'!$X$2+ROW()*0.000001))</f>
        <v/>
      </c>
      <c r="F13" s="34">
        <f>IF(OR($B13="",$C13&lt;&gt;"Ativo",$D13&lt;&gt;'Calc_Mix'!$C$3,'Calc_Mix'!$X$3=0,COUNTIFS(Esc_Turno,'Calc_Mix'!$C$3,Esc_Circ,$B13)+COUNTIFS(Esc_Turno,'Calc_Mix'!$C$3,Esc_Instr,$B13)&gt;0),"",IF(SUMPRODUCT('Calc_Mix'!$D$3:$W$3,'Matriz_Habilidades'!$D13:$W13)=0,"",SUMPRODUCT('Calc_Mix'!$D$3:$W$3,'Matriz_Habilidades'!$D13:$W13)/'Calc_Mix'!$X$3+ROW()*0.000001))</f>
        <v/>
      </c>
      <c r="G13" s="34">
        <f>IF(OR($B13="",$C13&lt;&gt;"Ativo",$D13&lt;&gt;'Calc_Mix'!$C$4,'Calc_Mix'!$X$4=0,COUNTIFS(Esc_Turno,'Calc_Mix'!$C$4,Esc_Circ,$B13)+COUNTIFS(Esc_Turno,'Calc_Mix'!$C$4,Esc_Instr,$B13)&gt;0),"",IF(SUMPRODUCT('Calc_Mix'!$D$4:$W$4,'Matriz_Habilidades'!$D13:$W13)=0,"",SUMPRODUCT('Calc_Mix'!$D$4:$W$4,'Matriz_Habilidades'!$D13:$W13)/'Calc_Mix'!$X$4+ROW()*0.000001))</f>
        <v/>
      </c>
      <c r="H13" s="34">
        <f>IF(OR($B13="",$C13&lt;&gt;"Ativo",$D13&lt;&gt;'Calc_Mix'!$C$5,'Calc_Mix'!$X$5=0,COUNTIFS(Esc_Turno,'Calc_Mix'!$C$5,Esc_Circ,$B13)+COUNTIFS(Esc_Turno,'Calc_Mix'!$C$5,Esc_Instr,$B13)&gt;0),"",IF(SUMPRODUCT('Calc_Mix'!$D$5:$W$5,'Matriz_Habilidades'!$D13:$W13)=0,"",SUMPRODUCT('Calc_Mix'!$D$5:$W$5,'Matriz_Habilidades'!$D13:$W13)/'Calc_Mix'!$X$5+ROW()*0.000001))</f>
        <v/>
      </c>
      <c r="I13" s="34">
        <f>IF(OR($B13="",$C13&lt;&gt;"Ativo",$D13&lt;&gt;'Calc_Mix'!$C$6,'Calc_Mix'!$X$6=0,COUNTIFS(Esc_Turno,'Calc_Mix'!$C$6,Esc_Circ,$B13)+COUNTIFS(Esc_Turno,'Calc_Mix'!$C$6,Esc_Instr,$B13)&gt;0),"",IF(SUMPRODUCT('Calc_Mix'!$D$6:$W$6,'Matriz_Habilidades'!$D13:$W13)=0,"",SUMPRODUCT('Calc_Mix'!$D$6:$W$6,'Matriz_Habilidades'!$D13:$W13)/'Calc_Mix'!$X$6+ROW()*0.000001))</f>
        <v/>
      </c>
      <c r="J13" s="34">
        <f>IF(OR($B13="",$C13&lt;&gt;"Ativo",$D13&lt;&gt;'Calc_Mix'!$C$7,'Calc_Mix'!$X$7=0,COUNTIFS(Esc_Turno,'Calc_Mix'!$C$7,Esc_Circ,$B13)+COUNTIFS(Esc_Turno,'Calc_Mix'!$C$7,Esc_Instr,$B13)&gt;0),"",IF(SUMPRODUCT('Calc_Mix'!$D$7:$W$7,'Matriz_Habilidades'!$D13:$W13)=0,"",SUMPRODUCT('Calc_Mix'!$D$7:$W$7,'Matriz_Habilidades'!$D13:$W13)/'Calc_Mix'!$X$7+ROW()*0.000001))</f>
        <v/>
      </c>
      <c r="K13" s="34">
        <f>IF(OR($B13="",$C13&lt;&gt;"Ativo",$D13&lt;&gt;'Calc_Mix'!$C$8,'Calc_Mix'!$X$8=0,COUNTIFS(Esc_Turno,'Calc_Mix'!$C$8,Esc_Circ,$B13)+COUNTIFS(Esc_Turno,'Calc_Mix'!$C$8,Esc_Instr,$B13)&gt;0),"",IF(SUMPRODUCT('Calc_Mix'!$D$8:$W$8,'Matriz_Habilidades'!$D13:$W13)=0,"",SUMPRODUCT('Calc_Mix'!$D$8:$W$8,'Matriz_Habilidades'!$D13:$W13)/'Calc_Mix'!$X$8+ROW()*0.000001))</f>
        <v/>
      </c>
      <c r="L13" s="34">
        <f>IF(OR($B13="",$C13&lt;&gt;"Ativo",$D13&lt;&gt;'Calc_Mix'!$C$9,'Calc_Mix'!$X$9=0,COUNTIFS(Esc_Turno,'Calc_Mix'!$C$9,Esc_Circ,$B13)+COUNTIFS(Esc_Turno,'Calc_Mix'!$C$9,Esc_Instr,$B13)&gt;0),"",IF(SUMPRODUCT('Calc_Mix'!$D$9:$W$9,'Matriz_Habilidades'!$D13:$W13)=0,"",SUMPRODUCT('Calc_Mix'!$D$9:$W$9,'Matriz_Habilidades'!$D13:$W13)/'Calc_Mix'!$X$9+ROW()*0.000001))</f>
        <v/>
      </c>
      <c r="M13" s="34">
        <f>IF(OR($B13="",$C13&lt;&gt;"Ativo",$D13&lt;&gt;'Calc_Mix'!$C$10,'Calc_Mix'!$X$10=0,COUNTIFS(Esc_Turno,'Calc_Mix'!$C$10,Esc_Circ,$B13)+COUNTIFS(Esc_Turno,'Calc_Mix'!$C$10,Esc_Instr,$B13)&gt;0),"",IF(SUMPRODUCT('Calc_Mix'!$D$10:$W$10,'Matriz_Habilidades'!$D13:$W13)=0,"",SUMPRODUCT('Calc_Mix'!$D$10:$W$10,'Matriz_Habilidades'!$D13:$W13)/'Calc_Mix'!$X$10+ROW()*0.000001))</f>
        <v/>
      </c>
      <c r="N13" s="34">
        <f>IF(OR($B13="",$C13&lt;&gt;"Ativo",$D13&lt;&gt;'Calc_Mix'!$C$11,'Calc_Mix'!$X$11=0,COUNTIFS(Esc_Turno,'Calc_Mix'!$C$11,Esc_Circ,$B13)+COUNTIFS(Esc_Turno,'Calc_Mix'!$C$11,Esc_Instr,$B13)&gt;0),"",IF(SUMPRODUCT('Calc_Mix'!$D$11:$W$11,'Matriz_Habilidades'!$D13:$W13)=0,"",SUMPRODUCT('Calc_Mix'!$D$11:$W$11,'Matriz_Habilidades'!$D13:$W13)/'Calc_Mix'!$X$11+ROW()*0.000001))</f>
        <v/>
      </c>
      <c r="O13" s="34">
        <f>IF(OR($B13="",$C13&lt;&gt;"Ativo",$D13&lt;&gt;'Calc_Mix'!$C$12,'Calc_Mix'!$X$12=0,COUNTIFS(Esc_Turno,'Calc_Mix'!$C$12,Esc_Circ,$B13)+COUNTIFS(Esc_Turno,'Calc_Mix'!$C$12,Esc_Instr,$B13)&gt;0),"",IF(SUMPRODUCT('Calc_Mix'!$D$12:$W$12,'Matriz_Habilidades'!$D13:$W13)=0,"",SUMPRODUCT('Calc_Mix'!$D$12:$W$12,'Matriz_Habilidades'!$D13:$W13)/'Calc_Mix'!$X$12+ROW()*0.000001))</f>
        <v/>
      </c>
      <c r="P13" s="34">
        <f>IF(OR($B13="",$C13&lt;&gt;"Ativo",$D13&lt;&gt;'Calc_Mix'!$C$13,'Calc_Mix'!$X$13=0,COUNTIFS(Esc_Turno,'Calc_Mix'!$C$13,Esc_Circ,$B13)+COUNTIFS(Esc_Turno,'Calc_Mix'!$C$13,Esc_Instr,$B13)&gt;0),"",IF(SUMPRODUCT('Calc_Mix'!$D$13:$W$13,'Matriz_Habilidades'!$D13:$W13)=0,"",SUMPRODUCT('Calc_Mix'!$D$13:$W$13,'Matriz_Habilidades'!$D13:$W13)/'Calc_Mix'!$X$13+ROW()*0.000001))</f>
        <v/>
      </c>
      <c r="Q13" s="34">
        <f>IF(OR($B13="",$C13&lt;&gt;"Ativo",$D13&lt;&gt;'Calc_Mix'!$C$14,'Calc_Mix'!$X$14=0,COUNTIFS(Esc_Turno,'Calc_Mix'!$C$14,Esc_Circ,$B13)+COUNTIFS(Esc_Turno,'Calc_Mix'!$C$14,Esc_Instr,$B13)&gt;0),"",IF(SUMPRODUCT('Calc_Mix'!$D$14:$W$14,'Matriz_Habilidades'!$D13:$W13)=0,"",SUMPRODUCT('Calc_Mix'!$D$14:$W$14,'Matriz_Habilidades'!$D13:$W13)/'Calc_Mix'!$X$14+ROW()*0.000001))</f>
        <v/>
      </c>
      <c r="R13" s="34">
        <f>IF(OR($B13="",$C13&lt;&gt;"Ativo",$D13&lt;&gt;'Calc_Mix'!$C$15,'Calc_Mix'!$X$15=0,COUNTIFS(Esc_Turno,'Calc_Mix'!$C$15,Esc_Circ,$B13)+COUNTIFS(Esc_Turno,'Calc_Mix'!$C$15,Esc_Instr,$B13)&gt;0),"",IF(SUMPRODUCT('Calc_Mix'!$D$15:$W$15,'Matriz_Habilidades'!$D13:$W13)=0,"",SUMPRODUCT('Calc_Mix'!$D$15:$W$15,'Matriz_Habilidades'!$D13:$W13)/'Calc_Mix'!$X$15+ROW()*0.000001))</f>
        <v/>
      </c>
      <c r="S13" s="34">
        <f>IF(OR($B13="",$C13&lt;&gt;"Ativo",$D13&lt;&gt;'Calc_Mix'!$C$16,'Calc_Mix'!$X$16=0,COUNTIFS(Esc_Turno,'Calc_Mix'!$C$16,Esc_Circ,$B13)+COUNTIFS(Esc_Turno,'Calc_Mix'!$C$16,Esc_Instr,$B13)&gt;0),"",IF(SUMPRODUCT('Calc_Mix'!$D$16:$W$16,'Matriz_Habilidades'!$D13:$W13)=0,"",SUMPRODUCT('Calc_Mix'!$D$16:$W$16,'Matriz_Habilidades'!$D13:$W13)/'Calc_Mix'!$X$16+ROW()*0.000001))</f>
        <v/>
      </c>
      <c r="T13" s="34">
        <f>IF(OR($B13="",$C13&lt;&gt;"Ativo",$D13&lt;&gt;'Calc_Mix'!$C$17,'Calc_Mix'!$X$17=0,COUNTIFS(Esc_Turno,'Calc_Mix'!$C$17,Esc_Circ,$B13)+COUNTIFS(Esc_Turno,'Calc_Mix'!$C$17,Esc_Instr,$B13)&gt;0),"",IF(SUMPRODUCT('Calc_Mix'!$D$17:$W$17,'Matriz_Habilidades'!$D13:$W13)=0,"",SUMPRODUCT('Calc_Mix'!$D$17:$W$17,'Matriz_Habilidades'!$D13:$W13)/'Calc_Mix'!$X$17+ROW()*0.000001))</f>
        <v/>
      </c>
      <c r="U13" s="34">
        <f>IF(OR($B13="",$C13&lt;&gt;"Ativo",$D13&lt;&gt;'Calc_Mix'!$C$18,'Calc_Mix'!$X$18=0,COUNTIFS(Esc_Turno,'Calc_Mix'!$C$18,Esc_Circ,$B13)+COUNTIFS(Esc_Turno,'Calc_Mix'!$C$18,Esc_Instr,$B13)&gt;0),"",IF(SUMPRODUCT('Calc_Mix'!$D$18:$W$18,'Matriz_Habilidades'!$D13:$W13)=0,"",SUMPRODUCT('Calc_Mix'!$D$18:$W$18,'Matriz_Habilidades'!$D13:$W13)/'Calc_Mix'!$X$18+ROW()*0.000001))</f>
        <v/>
      </c>
      <c r="V13" s="34">
        <f>IF(OR($B13="",$C13&lt;&gt;"Ativo",$D13&lt;&gt;'Calc_Mix'!$C$19,'Calc_Mix'!$X$19=0,COUNTIFS(Esc_Turno,'Calc_Mix'!$C$19,Esc_Circ,$B13)+COUNTIFS(Esc_Turno,'Calc_Mix'!$C$19,Esc_Instr,$B13)&gt;0),"",IF(SUMPRODUCT('Calc_Mix'!$D$19:$W$19,'Matriz_Habilidades'!$D13:$W13)=0,"",SUMPRODUCT('Calc_Mix'!$D$19:$W$19,'Matriz_Habilidades'!$D13:$W13)/'Calc_Mix'!$X$19+ROW()*0.000001))</f>
        <v/>
      </c>
      <c r="W13" s="34">
        <f>IF(OR($B13="",$C13&lt;&gt;"Ativo",$D13&lt;&gt;'Calc_Mix'!$C$20,'Calc_Mix'!$X$20=0,COUNTIFS(Esc_Turno,'Calc_Mix'!$C$20,Esc_Circ,$B13)+COUNTIFS(Esc_Turno,'Calc_Mix'!$C$20,Esc_Instr,$B13)&gt;0),"",IF(SUMPRODUCT('Calc_Mix'!$D$20:$W$20,'Matriz_Habilidades'!$D13:$W13)=0,"",SUMPRODUCT('Calc_Mix'!$D$20:$W$20,'Matriz_Habilidades'!$D13:$W13)/'Calc_Mix'!$X$20+ROW()*0.000001))</f>
        <v/>
      </c>
      <c r="X13" s="34">
        <f>IF(OR($B13="",$C13&lt;&gt;"Ativo",$D13&lt;&gt;'Calc_Mix'!$C$21,'Calc_Mix'!$X$21=0,COUNTIFS(Esc_Turno,'Calc_Mix'!$C$21,Esc_Circ,$B13)+COUNTIFS(Esc_Turno,'Calc_Mix'!$C$21,Esc_Instr,$B13)&gt;0),"",IF(SUMPRODUCT('Calc_Mix'!$D$21:$W$21,'Matriz_Habilidades'!$D13:$W13)=0,"",SUMPRODUCT('Calc_Mix'!$D$21:$W$21,'Matriz_Habilidades'!$D13:$W13)/'Calc_Mix'!$X$21+ROW()*0.000001))</f>
        <v/>
      </c>
      <c r="Y13" s="34">
        <f>IF(OR($B13="",$C13&lt;&gt;"Ativo",$D13&lt;&gt;'Calc_Mix'!$C$22,'Calc_Mix'!$X$22=0,COUNTIFS(Esc_Turno,'Calc_Mix'!$C$22,Esc_Circ,$B13)+COUNTIFS(Esc_Turno,'Calc_Mix'!$C$22,Esc_Instr,$B13)&gt;0),"",IF(SUMPRODUCT('Calc_Mix'!$D$22:$W$22,'Matriz_Habilidades'!$D13:$W13)=0,"",SUMPRODUCT('Calc_Mix'!$D$22:$W$22,'Matriz_Habilidades'!$D13:$W13)/'Calc_Mix'!$X$22+ROW()*0.000001))</f>
        <v/>
      </c>
      <c r="Z13" s="34">
        <f>IF(OR($B13="",$C13&lt;&gt;"Ativo",$D13&lt;&gt;'Calc_Mix'!$C$23,'Calc_Mix'!$X$23=0,COUNTIFS(Esc_Turno,'Calc_Mix'!$C$23,Esc_Circ,$B13)+COUNTIFS(Esc_Turno,'Calc_Mix'!$C$23,Esc_Instr,$B13)&gt;0),"",IF(SUMPRODUCT('Calc_Mix'!$D$23:$W$23,'Matriz_Habilidades'!$D13:$W13)=0,"",SUMPRODUCT('Calc_Mix'!$D$23:$W$23,'Matriz_Habilidades'!$D13:$W13)/'Calc_Mix'!$X$23+ROW()*0.000001))</f>
        <v/>
      </c>
      <c r="AA13" s="34">
        <f>IF(OR($B13="",$C13&lt;&gt;"Ativo",$D13&lt;&gt;'Calc_Mix'!$C$24,'Calc_Mix'!$X$24=0,COUNTIFS(Esc_Turno,'Calc_Mix'!$C$24,Esc_Circ,$B13)+COUNTIFS(Esc_Turno,'Calc_Mix'!$C$24,Esc_Instr,$B13)&gt;0),"",IF(SUMPRODUCT('Calc_Mix'!$D$24:$W$24,'Matriz_Habilidades'!$D13:$W13)=0,"",SUMPRODUCT('Calc_Mix'!$D$24:$W$24,'Matriz_Habilidades'!$D13:$W13)/'Calc_Mix'!$X$24+ROW()*0.000001))</f>
        <v/>
      </c>
      <c r="AB13" s="34">
        <f>IF(OR($B13="",$C13&lt;&gt;"Ativo",$D13&lt;&gt;'Calc_Mix'!$C$25,'Calc_Mix'!$X$25=0,COUNTIFS(Esc_Turno,'Calc_Mix'!$C$25,Esc_Circ,$B13)+COUNTIFS(Esc_Turno,'Calc_Mix'!$C$25,Esc_Instr,$B13)&gt;0),"",IF(SUMPRODUCT('Calc_Mix'!$D$25:$W$25,'Matriz_Habilidades'!$D13:$W13)=0,"",SUMPRODUCT('Calc_Mix'!$D$25:$W$25,'Matriz_Habilidades'!$D13:$W13)/'Calc_Mix'!$X$25+ROW()*0.000001))</f>
        <v/>
      </c>
      <c r="AC13" s="34">
        <f>IF(OR($B13="",$C13&lt;&gt;"Ativo",$D13&lt;&gt;'Calc_Mix'!$C$26,'Calc_Mix'!$X$26=0,COUNTIFS(Esc_Turno,'Calc_Mix'!$C$26,Esc_Circ,$B13)+COUNTIFS(Esc_Turno,'Calc_Mix'!$C$26,Esc_Instr,$B13)&gt;0),"",IF(SUMPRODUCT('Calc_Mix'!$D$26:$W$26,'Matriz_Habilidades'!$D13:$W13)=0,"",SUMPRODUCT('Calc_Mix'!$D$26:$W$26,'Matriz_Habilidades'!$D13:$W13)/'Calc_Mix'!$X$26+ROW()*0.000001))</f>
        <v/>
      </c>
      <c r="AD13" s="34">
        <f>IF(OR($B13="",$C13&lt;&gt;"Ativo",$D13&lt;&gt;'Calc_Mix'!$C$27,'Calc_Mix'!$X$27=0,COUNTIFS(Esc_Turno,'Calc_Mix'!$C$27,Esc_Circ,$B13)+COUNTIFS(Esc_Turno,'Calc_Mix'!$C$27,Esc_Instr,$B13)&gt;0),"",IF(SUMPRODUCT('Calc_Mix'!$D$27:$W$27,'Matriz_Habilidades'!$D13:$W13)=0,"",SUMPRODUCT('Calc_Mix'!$D$27:$W$27,'Matriz_Habilidades'!$D13:$W13)/'Calc_Mix'!$X$27+ROW()*0.000001))</f>
        <v/>
      </c>
      <c r="AE13" s="34">
        <f>IF(OR($B13="",$C13&lt;&gt;"Ativo",$D13&lt;&gt;'Calc_Mix'!$C$28,'Calc_Mix'!$X$28=0,COUNTIFS(Esc_Turno,'Calc_Mix'!$C$28,Esc_Circ,$B13)+COUNTIFS(Esc_Turno,'Calc_Mix'!$C$28,Esc_Instr,$B13)&gt;0),"",IF(SUMPRODUCT('Calc_Mix'!$D$28:$W$28,'Matriz_Habilidades'!$D13:$W13)=0,"",SUMPRODUCT('Calc_Mix'!$D$28:$W$28,'Matriz_Habilidades'!$D13:$W13)/'Calc_Mix'!$X$28+ROW()*0.000001))</f>
        <v/>
      </c>
      <c r="AF13" s="34">
        <f>IF(OR($B13="",$C13&lt;&gt;"Ativo",$D13&lt;&gt;'Calc_Mix'!$C$29,'Calc_Mix'!$X$29=0,COUNTIFS(Esc_Turno,'Calc_Mix'!$C$29,Esc_Circ,$B13)+COUNTIFS(Esc_Turno,'Calc_Mix'!$C$29,Esc_Instr,$B13)&gt;0),"",IF(SUMPRODUCT('Calc_Mix'!$D$29:$W$29,'Matriz_Habilidades'!$D13:$W13)=0,"",SUMPRODUCT('Calc_Mix'!$D$29:$W$29,'Matriz_Habilidades'!$D13:$W13)/'Calc_Mix'!$X$29+ROW()*0.000001))</f>
        <v/>
      </c>
      <c r="AG13" s="34">
        <f>IF(OR($B13="",$C13&lt;&gt;"Ativo",$D13&lt;&gt;'Calc_Mix'!$C$30,'Calc_Mix'!$X$30=0,COUNTIFS(Esc_Turno,'Calc_Mix'!$C$30,Esc_Circ,$B13)+COUNTIFS(Esc_Turno,'Calc_Mix'!$C$30,Esc_Instr,$B13)&gt;0),"",IF(SUMPRODUCT('Calc_Mix'!$D$30:$W$30,'Matriz_Habilidades'!$D13:$W13)=0,"",SUMPRODUCT('Calc_Mix'!$D$30:$W$30,'Matriz_Habilidades'!$D13:$W13)/'Calc_Mix'!$X$30+ROW()*0.000001))</f>
        <v/>
      </c>
      <c r="AH13" s="34">
        <f>IF(OR($B13="",$C13&lt;&gt;"Ativo",$D13&lt;&gt;'Calc_Mix'!$C$31,'Calc_Mix'!$X$31=0,COUNTIFS(Esc_Turno,'Calc_Mix'!$C$31,Esc_Circ,$B13)+COUNTIFS(Esc_Turno,'Calc_Mix'!$C$31,Esc_Instr,$B13)&gt;0),"",IF(SUMPRODUCT('Calc_Mix'!$D$31:$W$31,'Matriz_Habilidades'!$D13:$W13)=0,"",SUMPRODUCT('Calc_Mix'!$D$31:$W$31,'Matriz_Habilidades'!$D13:$W13)/'Calc_Mix'!$X$31+ROW()*0.000001))</f>
        <v/>
      </c>
      <c r="AI13" s="34">
        <f>IF(OR($B13="",$C13&lt;&gt;"Ativo",$D13&lt;&gt;'Calc_Mix'!$C$32,'Calc_Mix'!$X$32=0,COUNTIFS(Esc_Turno,'Calc_Mix'!$C$32,Esc_Circ,$B13)+COUNTIFS(Esc_Turno,'Calc_Mix'!$C$32,Esc_Instr,$B13)&gt;0),"",IF(SUMPRODUCT('Calc_Mix'!$D$32:$W$32,'Matriz_Habilidades'!$D13:$W13)=0,"",SUMPRODUCT('Calc_Mix'!$D$32:$W$32,'Matriz_Habilidades'!$D13:$W13)/'Calc_Mix'!$X$32+ROW()*0.000001))</f>
        <v/>
      </c>
      <c r="AJ13" s="34">
        <f>IF(OR($B13="",$C13&lt;&gt;"Ativo",$D13&lt;&gt;'Calc_Mix'!$C$33,'Calc_Mix'!$X$33=0,COUNTIFS(Esc_Turno,'Calc_Mix'!$C$33,Esc_Circ,$B13)+COUNTIFS(Esc_Turno,'Calc_Mix'!$C$33,Esc_Instr,$B13)&gt;0),"",IF(SUMPRODUCT('Calc_Mix'!$D$33:$W$33,'Matriz_Habilidades'!$D13:$W13)=0,"",SUMPRODUCT('Calc_Mix'!$D$33:$W$33,'Matriz_Habilidades'!$D13:$W13)/'Calc_Mix'!$X$33+ROW()*0.000001))</f>
        <v/>
      </c>
      <c r="AK13" s="34">
        <f>IF(OR($B13="",$C13&lt;&gt;"Ativo",$D13&lt;&gt;'Calc_Mix'!$C$34,'Calc_Mix'!$X$34=0,COUNTIFS(Esc_Turno,'Calc_Mix'!$C$34,Esc_Circ,$B13)+COUNTIFS(Esc_Turno,'Calc_Mix'!$C$34,Esc_Instr,$B13)&gt;0),"",IF(SUMPRODUCT('Calc_Mix'!$D$34:$W$34,'Matriz_Habilidades'!$D13:$W13)=0,"",SUMPRODUCT('Calc_Mix'!$D$34:$W$34,'Matriz_Habilidades'!$D13:$W13)/'Calc_Mix'!$X$34+ROW()*0.000001))</f>
        <v/>
      </c>
      <c r="AL13" s="34">
        <f>IF(OR($B13="",$C13&lt;&gt;"Ativo",$D13&lt;&gt;'Calc_Mix'!$C$35,'Calc_Mix'!$X$35=0,COUNTIFS(Esc_Turno,'Calc_Mix'!$C$35,Esc_Circ,$B13)+COUNTIFS(Esc_Turno,'Calc_Mix'!$C$35,Esc_Instr,$B13)&gt;0),"",IF(SUMPRODUCT('Calc_Mix'!$D$35:$W$35,'Matriz_Habilidades'!$D13:$W13)=0,"",SUMPRODUCT('Calc_Mix'!$D$35:$W$35,'Matriz_Habilidades'!$D13:$W13)/'Calc_Mix'!$X$35+ROW()*0.000001))</f>
        <v/>
      </c>
      <c r="AM13" s="34">
        <f>IF(OR($B13="",$C13&lt;&gt;"Ativo",$D13&lt;&gt;'Calc_Mix'!$C$36,'Calc_Mix'!$X$36=0,COUNTIFS(Esc_Turno,'Calc_Mix'!$C$36,Esc_Circ,$B13)+COUNTIFS(Esc_Turno,'Calc_Mix'!$C$36,Esc_Instr,$B13)&gt;0),"",IF(SUMPRODUCT('Calc_Mix'!$D$36:$W$36,'Matriz_Habilidades'!$D13:$W13)=0,"",SUMPRODUCT('Calc_Mix'!$D$36:$W$36,'Matriz_Habilidades'!$D13:$W13)/'Calc_Mix'!$X$36+ROW()*0.000001))</f>
        <v/>
      </c>
      <c r="AN13" s="34">
        <f>IF(OR($B13="",$C13&lt;&gt;"Ativo",$D13&lt;&gt;'Calc_Mix'!$C$37,'Calc_Mix'!$X$37=0,COUNTIFS(Esc_Turno,'Calc_Mix'!$C$37,Esc_Circ,$B13)+COUNTIFS(Esc_Turno,'Calc_Mix'!$C$37,Esc_Instr,$B13)&gt;0),"",IF(SUMPRODUCT('Calc_Mix'!$D$37:$W$37,'Matriz_Habilidades'!$D13:$W13)=0,"",SUMPRODUCT('Calc_Mix'!$D$37:$W$37,'Matriz_Habilidades'!$D13:$W13)/'Calc_Mix'!$X$37+ROW()*0.000001))</f>
        <v/>
      </c>
    </row>
    <row r="14">
      <c r="A14" s="27">
        <f>IF('Matriz_Habilidades'!A14="","",'Matriz_Habilidades'!A14)</f>
        <v/>
      </c>
      <c r="B14" s="28">
        <f>IF('Matriz_Habilidades'!B14="","",'Matriz_Habilidades'!B14)</f>
        <v/>
      </c>
      <c r="C14" s="27">
        <f>IF($A14="","",IFERROR(INDEX(Equipe_Status,MATCH($B14,Equipe_Nome,0)),"?"))</f>
        <v/>
      </c>
      <c r="D14" s="27">
        <f>IF($A14="","",IFERROR(INDEX(Equipe_Turno,MATCH($B14,Equipe_Nome,0)),"?"))</f>
        <v/>
      </c>
      <c r="E14" s="34">
        <f>IF(OR($B14="",$C14&lt;&gt;"Ativo",$D14&lt;&gt;'Calc_Mix'!$C$2,'Calc_Mix'!$X$2=0,COUNTIFS(Esc_Turno,'Calc_Mix'!$C$2,Esc_Circ,$B14)+COUNTIFS(Esc_Turno,'Calc_Mix'!$C$2,Esc_Instr,$B14)&gt;0),"",IF(SUMPRODUCT('Calc_Mix'!$D$2:$W$2,'Matriz_Habilidades'!$D14:$W14)=0,"",SUMPRODUCT('Calc_Mix'!$D$2:$W$2,'Matriz_Habilidades'!$D14:$W14)/'Calc_Mix'!$X$2+ROW()*0.000001))</f>
        <v/>
      </c>
      <c r="F14" s="34">
        <f>IF(OR($B14="",$C14&lt;&gt;"Ativo",$D14&lt;&gt;'Calc_Mix'!$C$3,'Calc_Mix'!$X$3=0,COUNTIFS(Esc_Turno,'Calc_Mix'!$C$3,Esc_Circ,$B14)+COUNTIFS(Esc_Turno,'Calc_Mix'!$C$3,Esc_Instr,$B14)&gt;0),"",IF(SUMPRODUCT('Calc_Mix'!$D$3:$W$3,'Matriz_Habilidades'!$D14:$W14)=0,"",SUMPRODUCT('Calc_Mix'!$D$3:$W$3,'Matriz_Habilidades'!$D14:$W14)/'Calc_Mix'!$X$3+ROW()*0.000001))</f>
        <v/>
      </c>
      <c r="G14" s="34">
        <f>IF(OR($B14="",$C14&lt;&gt;"Ativo",$D14&lt;&gt;'Calc_Mix'!$C$4,'Calc_Mix'!$X$4=0,COUNTIFS(Esc_Turno,'Calc_Mix'!$C$4,Esc_Circ,$B14)+COUNTIFS(Esc_Turno,'Calc_Mix'!$C$4,Esc_Instr,$B14)&gt;0),"",IF(SUMPRODUCT('Calc_Mix'!$D$4:$W$4,'Matriz_Habilidades'!$D14:$W14)=0,"",SUMPRODUCT('Calc_Mix'!$D$4:$W$4,'Matriz_Habilidades'!$D14:$W14)/'Calc_Mix'!$X$4+ROW()*0.000001))</f>
        <v/>
      </c>
      <c r="H14" s="34">
        <f>IF(OR($B14="",$C14&lt;&gt;"Ativo",$D14&lt;&gt;'Calc_Mix'!$C$5,'Calc_Mix'!$X$5=0,COUNTIFS(Esc_Turno,'Calc_Mix'!$C$5,Esc_Circ,$B14)+COUNTIFS(Esc_Turno,'Calc_Mix'!$C$5,Esc_Instr,$B14)&gt;0),"",IF(SUMPRODUCT('Calc_Mix'!$D$5:$W$5,'Matriz_Habilidades'!$D14:$W14)=0,"",SUMPRODUCT('Calc_Mix'!$D$5:$W$5,'Matriz_Habilidades'!$D14:$W14)/'Calc_Mix'!$X$5+ROW()*0.000001))</f>
        <v/>
      </c>
      <c r="I14" s="34">
        <f>IF(OR($B14="",$C14&lt;&gt;"Ativo",$D14&lt;&gt;'Calc_Mix'!$C$6,'Calc_Mix'!$X$6=0,COUNTIFS(Esc_Turno,'Calc_Mix'!$C$6,Esc_Circ,$B14)+COUNTIFS(Esc_Turno,'Calc_Mix'!$C$6,Esc_Instr,$B14)&gt;0),"",IF(SUMPRODUCT('Calc_Mix'!$D$6:$W$6,'Matriz_Habilidades'!$D14:$W14)=0,"",SUMPRODUCT('Calc_Mix'!$D$6:$W$6,'Matriz_Habilidades'!$D14:$W14)/'Calc_Mix'!$X$6+ROW()*0.000001))</f>
        <v/>
      </c>
      <c r="J14" s="34">
        <f>IF(OR($B14="",$C14&lt;&gt;"Ativo",$D14&lt;&gt;'Calc_Mix'!$C$7,'Calc_Mix'!$X$7=0,COUNTIFS(Esc_Turno,'Calc_Mix'!$C$7,Esc_Circ,$B14)+COUNTIFS(Esc_Turno,'Calc_Mix'!$C$7,Esc_Instr,$B14)&gt;0),"",IF(SUMPRODUCT('Calc_Mix'!$D$7:$W$7,'Matriz_Habilidades'!$D14:$W14)=0,"",SUMPRODUCT('Calc_Mix'!$D$7:$W$7,'Matriz_Habilidades'!$D14:$W14)/'Calc_Mix'!$X$7+ROW()*0.000001))</f>
        <v/>
      </c>
      <c r="K14" s="34">
        <f>IF(OR($B14="",$C14&lt;&gt;"Ativo",$D14&lt;&gt;'Calc_Mix'!$C$8,'Calc_Mix'!$X$8=0,COUNTIFS(Esc_Turno,'Calc_Mix'!$C$8,Esc_Circ,$B14)+COUNTIFS(Esc_Turno,'Calc_Mix'!$C$8,Esc_Instr,$B14)&gt;0),"",IF(SUMPRODUCT('Calc_Mix'!$D$8:$W$8,'Matriz_Habilidades'!$D14:$W14)=0,"",SUMPRODUCT('Calc_Mix'!$D$8:$W$8,'Matriz_Habilidades'!$D14:$W14)/'Calc_Mix'!$X$8+ROW()*0.000001))</f>
        <v/>
      </c>
      <c r="L14" s="34">
        <f>IF(OR($B14="",$C14&lt;&gt;"Ativo",$D14&lt;&gt;'Calc_Mix'!$C$9,'Calc_Mix'!$X$9=0,COUNTIFS(Esc_Turno,'Calc_Mix'!$C$9,Esc_Circ,$B14)+COUNTIFS(Esc_Turno,'Calc_Mix'!$C$9,Esc_Instr,$B14)&gt;0),"",IF(SUMPRODUCT('Calc_Mix'!$D$9:$W$9,'Matriz_Habilidades'!$D14:$W14)=0,"",SUMPRODUCT('Calc_Mix'!$D$9:$W$9,'Matriz_Habilidades'!$D14:$W14)/'Calc_Mix'!$X$9+ROW()*0.000001))</f>
        <v/>
      </c>
      <c r="M14" s="34">
        <f>IF(OR($B14="",$C14&lt;&gt;"Ativo",$D14&lt;&gt;'Calc_Mix'!$C$10,'Calc_Mix'!$X$10=0,COUNTIFS(Esc_Turno,'Calc_Mix'!$C$10,Esc_Circ,$B14)+COUNTIFS(Esc_Turno,'Calc_Mix'!$C$10,Esc_Instr,$B14)&gt;0),"",IF(SUMPRODUCT('Calc_Mix'!$D$10:$W$10,'Matriz_Habilidades'!$D14:$W14)=0,"",SUMPRODUCT('Calc_Mix'!$D$10:$W$10,'Matriz_Habilidades'!$D14:$W14)/'Calc_Mix'!$X$10+ROW()*0.000001))</f>
        <v/>
      </c>
      <c r="N14" s="34">
        <f>IF(OR($B14="",$C14&lt;&gt;"Ativo",$D14&lt;&gt;'Calc_Mix'!$C$11,'Calc_Mix'!$X$11=0,COUNTIFS(Esc_Turno,'Calc_Mix'!$C$11,Esc_Circ,$B14)+COUNTIFS(Esc_Turno,'Calc_Mix'!$C$11,Esc_Instr,$B14)&gt;0),"",IF(SUMPRODUCT('Calc_Mix'!$D$11:$W$11,'Matriz_Habilidades'!$D14:$W14)=0,"",SUMPRODUCT('Calc_Mix'!$D$11:$W$11,'Matriz_Habilidades'!$D14:$W14)/'Calc_Mix'!$X$11+ROW()*0.000001))</f>
        <v/>
      </c>
      <c r="O14" s="34">
        <f>IF(OR($B14="",$C14&lt;&gt;"Ativo",$D14&lt;&gt;'Calc_Mix'!$C$12,'Calc_Mix'!$X$12=0,COUNTIFS(Esc_Turno,'Calc_Mix'!$C$12,Esc_Circ,$B14)+COUNTIFS(Esc_Turno,'Calc_Mix'!$C$12,Esc_Instr,$B14)&gt;0),"",IF(SUMPRODUCT('Calc_Mix'!$D$12:$W$12,'Matriz_Habilidades'!$D14:$W14)=0,"",SUMPRODUCT('Calc_Mix'!$D$12:$W$12,'Matriz_Habilidades'!$D14:$W14)/'Calc_Mix'!$X$12+ROW()*0.000001))</f>
        <v/>
      </c>
      <c r="P14" s="34">
        <f>IF(OR($B14="",$C14&lt;&gt;"Ativo",$D14&lt;&gt;'Calc_Mix'!$C$13,'Calc_Mix'!$X$13=0,COUNTIFS(Esc_Turno,'Calc_Mix'!$C$13,Esc_Circ,$B14)+COUNTIFS(Esc_Turno,'Calc_Mix'!$C$13,Esc_Instr,$B14)&gt;0),"",IF(SUMPRODUCT('Calc_Mix'!$D$13:$W$13,'Matriz_Habilidades'!$D14:$W14)=0,"",SUMPRODUCT('Calc_Mix'!$D$13:$W$13,'Matriz_Habilidades'!$D14:$W14)/'Calc_Mix'!$X$13+ROW()*0.000001))</f>
        <v/>
      </c>
      <c r="Q14" s="34">
        <f>IF(OR($B14="",$C14&lt;&gt;"Ativo",$D14&lt;&gt;'Calc_Mix'!$C$14,'Calc_Mix'!$X$14=0,COUNTIFS(Esc_Turno,'Calc_Mix'!$C$14,Esc_Circ,$B14)+COUNTIFS(Esc_Turno,'Calc_Mix'!$C$14,Esc_Instr,$B14)&gt;0),"",IF(SUMPRODUCT('Calc_Mix'!$D$14:$W$14,'Matriz_Habilidades'!$D14:$W14)=0,"",SUMPRODUCT('Calc_Mix'!$D$14:$W$14,'Matriz_Habilidades'!$D14:$W14)/'Calc_Mix'!$X$14+ROW()*0.000001))</f>
        <v/>
      </c>
      <c r="R14" s="34">
        <f>IF(OR($B14="",$C14&lt;&gt;"Ativo",$D14&lt;&gt;'Calc_Mix'!$C$15,'Calc_Mix'!$X$15=0,COUNTIFS(Esc_Turno,'Calc_Mix'!$C$15,Esc_Circ,$B14)+COUNTIFS(Esc_Turno,'Calc_Mix'!$C$15,Esc_Instr,$B14)&gt;0),"",IF(SUMPRODUCT('Calc_Mix'!$D$15:$W$15,'Matriz_Habilidades'!$D14:$W14)=0,"",SUMPRODUCT('Calc_Mix'!$D$15:$W$15,'Matriz_Habilidades'!$D14:$W14)/'Calc_Mix'!$X$15+ROW()*0.000001))</f>
        <v/>
      </c>
      <c r="S14" s="34">
        <f>IF(OR($B14="",$C14&lt;&gt;"Ativo",$D14&lt;&gt;'Calc_Mix'!$C$16,'Calc_Mix'!$X$16=0,COUNTIFS(Esc_Turno,'Calc_Mix'!$C$16,Esc_Circ,$B14)+COUNTIFS(Esc_Turno,'Calc_Mix'!$C$16,Esc_Instr,$B14)&gt;0),"",IF(SUMPRODUCT('Calc_Mix'!$D$16:$W$16,'Matriz_Habilidades'!$D14:$W14)=0,"",SUMPRODUCT('Calc_Mix'!$D$16:$W$16,'Matriz_Habilidades'!$D14:$W14)/'Calc_Mix'!$X$16+ROW()*0.000001))</f>
        <v/>
      </c>
      <c r="T14" s="34">
        <f>IF(OR($B14="",$C14&lt;&gt;"Ativo",$D14&lt;&gt;'Calc_Mix'!$C$17,'Calc_Mix'!$X$17=0,COUNTIFS(Esc_Turno,'Calc_Mix'!$C$17,Esc_Circ,$B14)+COUNTIFS(Esc_Turno,'Calc_Mix'!$C$17,Esc_Instr,$B14)&gt;0),"",IF(SUMPRODUCT('Calc_Mix'!$D$17:$W$17,'Matriz_Habilidades'!$D14:$W14)=0,"",SUMPRODUCT('Calc_Mix'!$D$17:$W$17,'Matriz_Habilidades'!$D14:$W14)/'Calc_Mix'!$X$17+ROW()*0.000001))</f>
        <v/>
      </c>
      <c r="U14" s="34">
        <f>IF(OR($B14="",$C14&lt;&gt;"Ativo",$D14&lt;&gt;'Calc_Mix'!$C$18,'Calc_Mix'!$X$18=0,COUNTIFS(Esc_Turno,'Calc_Mix'!$C$18,Esc_Circ,$B14)+COUNTIFS(Esc_Turno,'Calc_Mix'!$C$18,Esc_Instr,$B14)&gt;0),"",IF(SUMPRODUCT('Calc_Mix'!$D$18:$W$18,'Matriz_Habilidades'!$D14:$W14)=0,"",SUMPRODUCT('Calc_Mix'!$D$18:$W$18,'Matriz_Habilidades'!$D14:$W14)/'Calc_Mix'!$X$18+ROW()*0.000001))</f>
        <v/>
      </c>
      <c r="V14" s="34">
        <f>IF(OR($B14="",$C14&lt;&gt;"Ativo",$D14&lt;&gt;'Calc_Mix'!$C$19,'Calc_Mix'!$X$19=0,COUNTIFS(Esc_Turno,'Calc_Mix'!$C$19,Esc_Circ,$B14)+COUNTIFS(Esc_Turno,'Calc_Mix'!$C$19,Esc_Instr,$B14)&gt;0),"",IF(SUMPRODUCT('Calc_Mix'!$D$19:$W$19,'Matriz_Habilidades'!$D14:$W14)=0,"",SUMPRODUCT('Calc_Mix'!$D$19:$W$19,'Matriz_Habilidades'!$D14:$W14)/'Calc_Mix'!$X$19+ROW()*0.000001))</f>
        <v/>
      </c>
      <c r="W14" s="34">
        <f>IF(OR($B14="",$C14&lt;&gt;"Ativo",$D14&lt;&gt;'Calc_Mix'!$C$20,'Calc_Mix'!$X$20=0,COUNTIFS(Esc_Turno,'Calc_Mix'!$C$20,Esc_Circ,$B14)+COUNTIFS(Esc_Turno,'Calc_Mix'!$C$20,Esc_Instr,$B14)&gt;0),"",IF(SUMPRODUCT('Calc_Mix'!$D$20:$W$20,'Matriz_Habilidades'!$D14:$W14)=0,"",SUMPRODUCT('Calc_Mix'!$D$20:$W$20,'Matriz_Habilidades'!$D14:$W14)/'Calc_Mix'!$X$20+ROW()*0.000001))</f>
        <v/>
      </c>
      <c r="X14" s="34">
        <f>IF(OR($B14="",$C14&lt;&gt;"Ativo",$D14&lt;&gt;'Calc_Mix'!$C$21,'Calc_Mix'!$X$21=0,COUNTIFS(Esc_Turno,'Calc_Mix'!$C$21,Esc_Circ,$B14)+COUNTIFS(Esc_Turno,'Calc_Mix'!$C$21,Esc_Instr,$B14)&gt;0),"",IF(SUMPRODUCT('Calc_Mix'!$D$21:$W$21,'Matriz_Habilidades'!$D14:$W14)=0,"",SUMPRODUCT('Calc_Mix'!$D$21:$W$21,'Matriz_Habilidades'!$D14:$W14)/'Calc_Mix'!$X$21+ROW()*0.000001))</f>
        <v/>
      </c>
      <c r="Y14" s="34">
        <f>IF(OR($B14="",$C14&lt;&gt;"Ativo",$D14&lt;&gt;'Calc_Mix'!$C$22,'Calc_Mix'!$X$22=0,COUNTIFS(Esc_Turno,'Calc_Mix'!$C$22,Esc_Circ,$B14)+COUNTIFS(Esc_Turno,'Calc_Mix'!$C$22,Esc_Instr,$B14)&gt;0),"",IF(SUMPRODUCT('Calc_Mix'!$D$22:$W$22,'Matriz_Habilidades'!$D14:$W14)=0,"",SUMPRODUCT('Calc_Mix'!$D$22:$W$22,'Matriz_Habilidades'!$D14:$W14)/'Calc_Mix'!$X$22+ROW()*0.000001))</f>
        <v/>
      </c>
      <c r="Z14" s="34">
        <f>IF(OR($B14="",$C14&lt;&gt;"Ativo",$D14&lt;&gt;'Calc_Mix'!$C$23,'Calc_Mix'!$X$23=0,COUNTIFS(Esc_Turno,'Calc_Mix'!$C$23,Esc_Circ,$B14)+COUNTIFS(Esc_Turno,'Calc_Mix'!$C$23,Esc_Instr,$B14)&gt;0),"",IF(SUMPRODUCT('Calc_Mix'!$D$23:$W$23,'Matriz_Habilidades'!$D14:$W14)=0,"",SUMPRODUCT('Calc_Mix'!$D$23:$W$23,'Matriz_Habilidades'!$D14:$W14)/'Calc_Mix'!$X$23+ROW()*0.000001))</f>
        <v/>
      </c>
      <c r="AA14" s="34">
        <f>IF(OR($B14="",$C14&lt;&gt;"Ativo",$D14&lt;&gt;'Calc_Mix'!$C$24,'Calc_Mix'!$X$24=0,COUNTIFS(Esc_Turno,'Calc_Mix'!$C$24,Esc_Circ,$B14)+COUNTIFS(Esc_Turno,'Calc_Mix'!$C$24,Esc_Instr,$B14)&gt;0),"",IF(SUMPRODUCT('Calc_Mix'!$D$24:$W$24,'Matriz_Habilidades'!$D14:$W14)=0,"",SUMPRODUCT('Calc_Mix'!$D$24:$W$24,'Matriz_Habilidades'!$D14:$W14)/'Calc_Mix'!$X$24+ROW()*0.000001))</f>
        <v/>
      </c>
      <c r="AB14" s="34">
        <f>IF(OR($B14="",$C14&lt;&gt;"Ativo",$D14&lt;&gt;'Calc_Mix'!$C$25,'Calc_Mix'!$X$25=0,COUNTIFS(Esc_Turno,'Calc_Mix'!$C$25,Esc_Circ,$B14)+COUNTIFS(Esc_Turno,'Calc_Mix'!$C$25,Esc_Instr,$B14)&gt;0),"",IF(SUMPRODUCT('Calc_Mix'!$D$25:$W$25,'Matriz_Habilidades'!$D14:$W14)=0,"",SUMPRODUCT('Calc_Mix'!$D$25:$W$25,'Matriz_Habilidades'!$D14:$W14)/'Calc_Mix'!$X$25+ROW()*0.000001))</f>
        <v/>
      </c>
      <c r="AC14" s="34">
        <f>IF(OR($B14="",$C14&lt;&gt;"Ativo",$D14&lt;&gt;'Calc_Mix'!$C$26,'Calc_Mix'!$X$26=0,COUNTIFS(Esc_Turno,'Calc_Mix'!$C$26,Esc_Circ,$B14)+COUNTIFS(Esc_Turno,'Calc_Mix'!$C$26,Esc_Instr,$B14)&gt;0),"",IF(SUMPRODUCT('Calc_Mix'!$D$26:$W$26,'Matriz_Habilidades'!$D14:$W14)=0,"",SUMPRODUCT('Calc_Mix'!$D$26:$W$26,'Matriz_Habilidades'!$D14:$W14)/'Calc_Mix'!$X$26+ROW()*0.000001))</f>
        <v/>
      </c>
      <c r="AD14" s="34">
        <f>IF(OR($B14="",$C14&lt;&gt;"Ativo",$D14&lt;&gt;'Calc_Mix'!$C$27,'Calc_Mix'!$X$27=0,COUNTIFS(Esc_Turno,'Calc_Mix'!$C$27,Esc_Circ,$B14)+COUNTIFS(Esc_Turno,'Calc_Mix'!$C$27,Esc_Instr,$B14)&gt;0),"",IF(SUMPRODUCT('Calc_Mix'!$D$27:$W$27,'Matriz_Habilidades'!$D14:$W14)=0,"",SUMPRODUCT('Calc_Mix'!$D$27:$W$27,'Matriz_Habilidades'!$D14:$W14)/'Calc_Mix'!$X$27+ROW()*0.000001))</f>
        <v/>
      </c>
      <c r="AE14" s="34">
        <f>IF(OR($B14="",$C14&lt;&gt;"Ativo",$D14&lt;&gt;'Calc_Mix'!$C$28,'Calc_Mix'!$X$28=0,COUNTIFS(Esc_Turno,'Calc_Mix'!$C$28,Esc_Circ,$B14)+COUNTIFS(Esc_Turno,'Calc_Mix'!$C$28,Esc_Instr,$B14)&gt;0),"",IF(SUMPRODUCT('Calc_Mix'!$D$28:$W$28,'Matriz_Habilidades'!$D14:$W14)=0,"",SUMPRODUCT('Calc_Mix'!$D$28:$W$28,'Matriz_Habilidades'!$D14:$W14)/'Calc_Mix'!$X$28+ROW()*0.000001))</f>
        <v/>
      </c>
      <c r="AF14" s="34">
        <f>IF(OR($B14="",$C14&lt;&gt;"Ativo",$D14&lt;&gt;'Calc_Mix'!$C$29,'Calc_Mix'!$X$29=0,COUNTIFS(Esc_Turno,'Calc_Mix'!$C$29,Esc_Circ,$B14)+COUNTIFS(Esc_Turno,'Calc_Mix'!$C$29,Esc_Instr,$B14)&gt;0),"",IF(SUMPRODUCT('Calc_Mix'!$D$29:$W$29,'Matriz_Habilidades'!$D14:$W14)=0,"",SUMPRODUCT('Calc_Mix'!$D$29:$W$29,'Matriz_Habilidades'!$D14:$W14)/'Calc_Mix'!$X$29+ROW()*0.000001))</f>
        <v/>
      </c>
      <c r="AG14" s="34">
        <f>IF(OR($B14="",$C14&lt;&gt;"Ativo",$D14&lt;&gt;'Calc_Mix'!$C$30,'Calc_Mix'!$X$30=0,COUNTIFS(Esc_Turno,'Calc_Mix'!$C$30,Esc_Circ,$B14)+COUNTIFS(Esc_Turno,'Calc_Mix'!$C$30,Esc_Instr,$B14)&gt;0),"",IF(SUMPRODUCT('Calc_Mix'!$D$30:$W$30,'Matriz_Habilidades'!$D14:$W14)=0,"",SUMPRODUCT('Calc_Mix'!$D$30:$W$30,'Matriz_Habilidades'!$D14:$W14)/'Calc_Mix'!$X$30+ROW()*0.000001))</f>
        <v/>
      </c>
      <c r="AH14" s="34">
        <f>IF(OR($B14="",$C14&lt;&gt;"Ativo",$D14&lt;&gt;'Calc_Mix'!$C$31,'Calc_Mix'!$X$31=0,COUNTIFS(Esc_Turno,'Calc_Mix'!$C$31,Esc_Circ,$B14)+COUNTIFS(Esc_Turno,'Calc_Mix'!$C$31,Esc_Instr,$B14)&gt;0),"",IF(SUMPRODUCT('Calc_Mix'!$D$31:$W$31,'Matriz_Habilidades'!$D14:$W14)=0,"",SUMPRODUCT('Calc_Mix'!$D$31:$W$31,'Matriz_Habilidades'!$D14:$W14)/'Calc_Mix'!$X$31+ROW()*0.000001))</f>
        <v/>
      </c>
      <c r="AI14" s="34">
        <f>IF(OR($B14="",$C14&lt;&gt;"Ativo",$D14&lt;&gt;'Calc_Mix'!$C$32,'Calc_Mix'!$X$32=0,COUNTIFS(Esc_Turno,'Calc_Mix'!$C$32,Esc_Circ,$B14)+COUNTIFS(Esc_Turno,'Calc_Mix'!$C$32,Esc_Instr,$B14)&gt;0),"",IF(SUMPRODUCT('Calc_Mix'!$D$32:$W$32,'Matriz_Habilidades'!$D14:$W14)=0,"",SUMPRODUCT('Calc_Mix'!$D$32:$W$32,'Matriz_Habilidades'!$D14:$W14)/'Calc_Mix'!$X$32+ROW()*0.000001))</f>
        <v/>
      </c>
      <c r="AJ14" s="34">
        <f>IF(OR($B14="",$C14&lt;&gt;"Ativo",$D14&lt;&gt;'Calc_Mix'!$C$33,'Calc_Mix'!$X$33=0,COUNTIFS(Esc_Turno,'Calc_Mix'!$C$33,Esc_Circ,$B14)+COUNTIFS(Esc_Turno,'Calc_Mix'!$C$33,Esc_Instr,$B14)&gt;0),"",IF(SUMPRODUCT('Calc_Mix'!$D$33:$W$33,'Matriz_Habilidades'!$D14:$W14)=0,"",SUMPRODUCT('Calc_Mix'!$D$33:$W$33,'Matriz_Habilidades'!$D14:$W14)/'Calc_Mix'!$X$33+ROW()*0.000001))</f>
        <v/>
      </c>
      <c r="AK14" s="34">
        <f>IF(OR($B14="",$C14&lt;&gt;"Ativo",$D14&lt;&gt;'Calc_Mix'!$C$34,'Calc_Mix'!$X$34=0,COUNTIFS(Esc_Turno,'Calc_Mix'!$C$34,Esc_Circ,$B14)+COUNTIFS(Esc_Turno,'Calc_Mix'!$C$34,Esc_Instr,$B14)&gt;0),"",IF(SUMPRODUCT('Calc_Mix'!$D$34:$W$34,'Matriz_Habilidades'!$D14:$W14)=0,"",SUMPRODUCT('Calc_Mix'!$D$34:$W$34,'Matriz_Habilidades'!$D14:$W14)/'Calc_Mix'!$X$34+ROW()*0.000001))</f>
        <v/>
      </c>
      <c r="AL14" s="34">
        <f>IF(OR($B14="",$C14&lt;&gt;"Ativo",$D14&lt;&gt;'Calc_Mix'!$C$35,'Calc_Mix'!$X$35=0,COUNTIFS(Esc_Turno,'Calc_Mix'!$C$35,Esc_Circ,$B14)+COUNTIFS(Esc_Turno,'Calc_Mix'!$C$35,Esc_Instr,$B14)&gt;0),"",IF(SUMPRODUCT('Calc_Mix'!$D$35:$W$35,'Matriz_Habilidades'!$D14:$W14)=0,"",SUMPRODUCT('Calc_Mix'!$D$35:$W$35,'Matriz_Habilidades'!$D14:$W14)/'Calc_Mix'!$X$35+ROW()*0.000001))</f>
        <v/>
      </c>
      <c r="AM14" s="34">
        <f>IF(OR($B14="",$C14&lt;&gt;"Ativo",$D14&lt;&gt;'Calc_Mix'!$C$36,'Calc_Mix'!$X$36=0,COUNTIFS(Esc_Turno,'Calc_Mix'!$C$36,Esc_Circ,$B14)+COUNTIFS(Esc_Turno,'Calc_Mix'!$C$36,Esc_Instr,$B14)&gt;0),"",IF(SUMPRODUCT('Calc_Mix'!$D$36:$W$36,'Matriz_Habilidades'!$D14:$W14)=0,"",SUMPRODUCT('Calc_Mix'!$D$36:$W$36,'Matriz_Habilidades'!$D14:$W14)/'Calc_Mix'!$X$36+ROW()*0.000001))</f>
        <v/>
      </c>
      <c r="AN14" s="34">
        <f>IF(OR($B14="",$C14&lt;&gt;"Ativo",$D14&lt;&gt;'Calc_Mix'!$C$37,'Calc_Mix'!$X$37=0,COUNTIFS(Esc_Turno,'Calc_Mix'!$C$37,Esc_Circ,$B14)+COUNTIFS(Esc_Turno,'Calc_Mix'!$C$37,Esc_Instr,$B14)&gt;0),"",IF(SUMPRODUCT('Calc_Mix'!$D$37:$W$37,'Matriz_Habilidades'!$D14:$W14)=0,"",SUMPRODUCT('Calc_Mix'!$D$37:$W$37,'Matriz_Habilidades'!$D14:$W14)/'Calc_Mix'!$X$37+ROW()*0.000001))</f>
        <v/>
      </c>
    </row>
    <row r="15">
      <c r="A15" s="27">
        <f>IF('Matriz_Habilidades'!A15="","",'Matriz_Habilidades'!A15)</f>
        <v/>
      </c>
      <c r="B15" s="28">
        <f>IF('Matriz_Habilidades'!B15="","",'Matriz_Habilidades'!B15)</f>
        <v/>
      </c>
      <c r="C15" s="27">
        <f>IF($A15="","",IFERROR(INDEX(Equipe_Status,MATCH($B15,Equipe_Nome,0)),"?"))</f>
        <v/>
      </c>
      <c r="D15" s="27">
        <f>IF($A15="","",IFERROR(INDEX(Equipe_Turno,MATCH($B15,Equipe_Nome,0)),"?"))</f>
        <v/>
      </c>
      <c r="E15" s="34">
        <f>IF(OR($B15="",$C15&lt;&gt;"Ativo",$D15&lt;&gt;'Calc_Mix'!$C$2,'Calc_Mix'!$X$2=0,COUNTIFS(Esc_Turno,'Calc_Mix'!$C$2,Esc_Circ,$B15)+COUNTIFS(Esc_Turno,'Calc_Mix'!$C$2,Esc_Instr,$B15)&gt;0),"",IF(SUMPRODUCT('Calc_Mix'!$D$2:$W$2,'Matriz_Habilidades'!$D15:$W15)=0,"",SUMPRODUCT('Calc_Mix'!$D$2:$W$2,'Matriz_Habilidades'!$D15:$W15)/'Calc_Mix'!$X$2+ROW()*0.000001))</f>
        <v/>
      </c>
      <c r="F15" s="34">
        <f>IF(OR($B15="",$C15&lt;&gt;"Ativo",$D15&lt;&gt;'Calc_Mix'!$C$3,'Calc_Mix'!$X$3=0,COUNTIFS(Esc_Turno,'Calc_Mix'!$C$3,Esc_Circ,$B15)+COUNTIFS(Esc_Turno,'Calc_Mix'!$C$3,Esc_Instr,$B15)&gt;0),"",IF(SUMPRODUCT('Calc_Mix'!$D$3:$W$3,'Matriz_Habilidades'!$D15:$W15)=0,"",SUMPRODUCT('Calc_Mix'!$D$3:$W$3,'Matriz_Habilidades'!$D15:$W15)/'Calc_Mix'!$X$3+ROW()*0.000001))</f>
        <v/>
      </c>
      <c r="G15" s="34">
        <f>IF(OR($B15="",$C15&lt;&gt;"Ativo",$D15&lt;&gt;'Calc_Mix'!$C$4,'Calc_Mix'!$X$4=0,COUNTIFS(Esc_Turno,'Calc_Mix'!$C$4,Esc_Circ,$B15)+COUNTIFS(Esc_Turno,'Calc_Mix'!$C$4,Esc_Instr,$B15)&gt;0),"",IF(SUMPRODUCT('Calc_Mix'!$D$4:$W$4,'Matriz_Habilidades'!$D15:$W15)=0,"",SUMPRODUCT('Calc_Mix'!$D$4:$W$4,'Matriz_Habilidades'!$D15:$W15)/'Calc_Mix'!$X$4+ROW()*0.000001))</f>
        <v/>
      </c>
      <c r="H15" s="34">
        <f>IF(OR($B15="",$C15&lt;&gt;"Ativo",$D15&lt;&gt;'Calc_Mix'!$C$5,'Calc_Mix'!$X$5=0,COUNTIFS(Esc_Turno,'Calc_Mix'!$C$5,Esc_Circ,$B15)+COUNTIFS(Esc_Turno,'Calc_Mix'!$C$5,Esc_Instr,$B15)&gt;0),"",IF(SUMPRODUCT('Calc_Mix'!$D$5:$W$5,'Matriz_Habilidades'!$D15:$W15)=0,"",SUMPRODUCT('Calc_Mix'!$D$5:$W$5,'Matriz_Habilidades'!$D15:$W15)/'Calc_Mix'!$X$5+ROW()*0.000001))</f>
        <v/>
      </c>
      <c r="I15" s="34">
        <f>IF(OR($B15="",$C15&lt;&gt;"Ativo",$D15&lt;&gt;'Calc_Mix'!$C$6,'Calc_Mix'!$X$6=0,COUNTIFS(Esc_Turno,'Calc_Mix'!$C$6,Esc_Circ,$B15)+COUNTIFS(Esc_Turno,'Calc_Mix'!$C$6,Esc_Instr,$B15)&gt;0),"",IF(SUMPRODUCT('Calc_Mix'!$D$6:$W$6,'Matriz_Habilidades'!$D15:$W15)=0,"",SUMPRODUCT('Calc_Mix'!$D$6:$W$6,'Matriz_Habilidades'!$D15:$W15)/'Calc_Mix'!$X$6+ROW()*0.000001))</f>
        <v/>
      </c>
      <c r="J15" s="34">
        <f>IF(OR($B15="",$C15&lt;&gt;"Ativo",$D15&lt;&gt;'Calc_Mix'!$C$7,'Calc_Mix'!$X$7=0,COUNTIFS(Esc_Turno,'Calc_Mix'!$C$7,Esc_Circ,$B15)+COUNTIFS(Esc_Turno,'Calc_Mix'!$C$7,Esc_Instr,$B15)&gt;0),"",IF(SUMPRODUCT('Calc_Mix'!$D$7:$W$7,'Matriz_Habilidades'!$D15:$W15)=0,"",SUMPRODUCT('Calc_Mix'!$D$7:$W$7,'Matriz_Habilidades'!$D15:$W15)/'Calc_Mix'!$X$7+ROW()*0.000001))</f>
        <v/>
      </c>
      <c r="K15" s="34">
        <f>IF(OR($B15="",$C15&lt;&gt;"Ativo",$D15&lt;&gt;'Calc_Mix'!$C$8,'Calc_Mix'!$X$8=0,COUNTIFS(Esc_Turno,'Calc_Mix'!$C$8,Esc_Circ,$B15)+COUNTIFS(Esc_Turno,'Calc_Mix'!$C$8,Esc_Instr,$B15)&gt;0),"",IF(SUMPRODUCT('Calc_Mix'!$D$8:$W$8,'Matriz_Habilidades'!$D15:$W15)=0,"",SUMPRODUCT('Calc_Mix'!$D$8:$W$8,'Matriz_Habilidades'!$D15:$W15)/'Calc_Mix'!$X$8+ROW()*0.000001))</f>
        <v/>
      </c>
      <c r="L15" s="34">
        <f>IF(OR($B15="",$C15&lt;&gt;"Ativo",$D15&lt;&gt;'Calc_Mix'!$C$9,'Calc_Mix'!$X$9=0,COUNTIFS(Esc_Turno,'Calc_Mix'!$C$9,Esc_Circ,$B15)+COUNTIFS(Esc_Turno,'Calc_Mix'!$C$9,Esc_Instr,$B15)&gt;0),"",IF(SUMPRODUCT('Calc_Mix'!$D$9:$W$9,'Matriz_Habilidades'!$D15:$W15)=0,"",SUMPRODUCT('Calc_Mix'!$D$9:$W$9,'Matriz_Habilidades'!$D15:$W15)/'Calc_Mix'!$X$9+ROW()*0.000001))</f>
        <v/>
      </c>
      <c r="M15" s="34">
        <f>IF(OR($B15="",$C15&lt;&gt;"Ativo",$D15&lt;&gt;'Calc_Mix'!$C$10,'Calc_Mix'!$X$10=0,COUNTIFS(Esc_Turno,'Calc_Mix'!$C$10,Esc_Circ,$B15)+COUNTIFS(Esc_Turno,'Calc_Mix'!$C$10,Esc_Instr,$B15)&gt;0),"",IF(SUMPRODUCT('Calc_Mix'!$D$10:$W$10,'Matriz_Habilidades'!$D15:$W15)=0,"",SUMPRODUCT('Calc_Mix'!$D$10:$W$10,'Matriz_Habilidades'!$D15:$W15)/'Calc_Mix'!$X$10+ROW()*0.000001))</f>
        <v/>
      </c>
      <c r="N15" s="34">
        <f>IF(OR($B15="",$C15&lt;&gt;"Ativo",$D15&lt;&gt;'Calc_Mix'!$C$11,'Calc_Mix'!$X$11=0,COUNTIFS(Esc_Turno,'Calc_Mix'!$C$11,Esc_Circ,$B15)+COUNTIFS(Esc_Turno,'Calc_Mix'!$C$11,Esc_Instr,$B15)&gt;0),"",IF(SUMPRODUCT('Calc_Mix'!$D$11:$W$11,'Matriz_Habilidades'!$D15:$W15)=0,"",SUMPRODUCT('Calc_Mix'!$D$11:$W$11,'Matriz_Habilidades'!$D15:$W15)/'Calc_Mix'!$X$11+ROW()*0.000001))</f>
        <v/>
      </c>
      <c r="O15" s="34">
        <f>IF(OR($B15="",$C15&lt;&gt;"Ativo",$D15&lt;&gt;'Calc_Mix'!$C$12,'Calc_Mix'!$X$12=0,COUNTIFS(Esc_Turno,'Calc_Mix'!$C$12,Esc_Circ,$B15)+COUNTIFS(Esc_Turno,'Calc_Mix'!$C$12,Esc_Instr,$B15)&gt;0),"",IF(SUMPRODUCT('Calc_Mix'!$D$12:$W$12,'Matriz_Habilidades'!$D15:$W15)=0,"",SUMPRODUCT('Calc_Mix'!$D$12:$W$12,'Matriz_Habilidades'!$D15:$W15)/'Calc_Mix'!$X$12+ROW()*0.000001))</f>
        <v/>
      </c>
      <c r="P15" s="34">
        <f>IF(OR($B15="",$C15&lt;&gt;"Ativo",$D15&lt;&gt;'Calc_Mix'!$C$13,'Calc_Mix'!$X$13=0,COUNTIFS(Esc_Turno,'Calc_Mix'!$C$13,Esc_Circ,$B15)+COUNTIFS(Esc_Turno,'Calc_Mix'!$C$13,Esc_Instr,$B15)&gt;0),"",IF(SUMPRODUCT('Calc_Mix'!$D$13:$W$13,'Matriz_Habilidades'!$D15:$W15)=0,"",SUMPRODUCT('Calc_Mix'!$D$13:$W$13,'Matriz_Habilidades'!$D15:$W15)/'Calc_Mix'!$X$13+ROW()*0.000001))</f>
        <v/>
      </c>
      <c r="Q15" s="34">
        <f>IF(OR($B15="",$C15&lt;&gt;"Ativo",$D15&lt;&gt;'Calc_Mix'!$C$14,'Calc_Mix'!$X$14=0,COUNTIFS(Esc_Turno,'Calc_Mix'!$C$14,Esc_Circ,$B15)+COUNTIFS(Esc_Turno,'Calc_Mix'!$C$14,Esc_Instr,$B15)&gt;0),"",IF(SUMPRODUCT('Calc_Mix'!$D$14:$W$14,'Matriz_Habilidades'!$D15:$W15)=0,"",SUMPRODUCT('Calc_Mix'!$D$14:$W$14,'Matriz_Habilidades'!$D15:$W15)/'Calc_Mix'!$X$14+ROW()*0.000001))</f>
        <v/>
      </c>
      <c r="R15" s="34">
        <f>IF(OR($B15="",$C15&lt;&gt;"Ativo",$D15&lt;&gt;'Calc_Mix'!$C$15,'Calc_Mix'!$X$15=0,COUNTIFS(Esc_Turno,'Calc_Mix'!$C$15,Esc_Circ,$B15)+COUNTIFS(Esc_Turno,'Calc_Mix'!$C$15,Esc_Instr,$B15)&gt;0),"",IF(SUMPRODUCT('Calc_Mix'!$D$15:$W$15,'Matriz_Habilidades'!$D15:$W15)=0,"",SUMPRODUCT('Calc_Mix'!$D$15:$W$15,'Matriz_Habilidades'!$D15:$W15)/'Calc_Mix'!$X$15+ROW()*0.000001))</f>
        <v/>
      </c>
      <c r="S15" s="34">
        <f>IF(OR($B15="",$C15&lt;&gt;"Ativo",$D15&lt;&gt;'Calc_Mix'!$C$16,'Calc_Mix'!$X$16=0,COUNTIFS(Esc_Turno,'Calc_Mix'!$C$16,Esc_Circ,$B15)+COUNTIFS(Esc_Turno,'Calc_Mix'!$C$16,Esc_Instr,$B15)&gt;0),"",IF(SUMPRODUCT('Calc_Mix'!$D$16:$W$16,'Matriz_Habilidades'!$D15:$W15)=0,"",SUMPRODUCT('Calc_Mix'!$D$16:$W$16,'Matriz_Habilidades'!$D15:$W15)/'Calc_Mix'!$X$16+ROW()*0.000001))</f>
        <v/>
      </c>
      <c r="T15" s="34">
        <f>IF(OR($B15="",$C15&lt;&gt;"Ativo",$D15&lt;&gt;'Calc_Mix'!$C$17,'Calc_Mix'!$X$17=0,COUNTIFS(Esc_Turno,'Calc_Mix'!$C$17,Esc_Circ,$B15)+COUNTIFS(Esc_Turno,'Calc_Mix'!$C$17,Esc_Instr,$B15)&gt;0),"",IF(SUMPRODUCT('Calc_Mix'!$D$17:$W$17,'Matriz_Habilidades'!$D15:$W15)=0,"",SUMPRODUCT('Calc_Mix'!$D$17:$W$17,'Matriz_Habilidades'!$D15:$W15)/'Calc_Mix'!$X$17+ROW()*0.000001))</f>
        <v/>
      </c>
      <c r="U15" s="34">
        <f>IF(OR($B15="",$C15&lt;&gt;"Ativo",$D15&lt;&gt;'Calc_Mix'!$C$18,'Calc_Mix'!$X$18=0,COUNTIFS(Esc_Turno,'Calc_Mix'!$C$18,Esc_Circ,$B15)+COUNTIFS(Esc_Turno,'Calc_Mix'!$C$18,Esc_Instr,$B15)&gt;0),"",IF(SUMPRODUCT('Calc_Mix'!$D$18:$W$18,'Matriz_Habilidades'!$D15:$W15)=0,"",SUMPRODUCT('Calc_Mix'!$D$18:$W$18,'Matriz_Habilidades'!$D15:$W15)/'Calc_Mix'!$X$18+ROW()*0.000001))</f>
        <v/>
      </c>
      <c r="V15" s="34">
        <f>IF(OR($B15="",$C15&lt;&gt;"Ativo",$D15&lt;&gt;'Calc_Mix'!$C$19,'Calc_Mix'!$X$19=0,COUNTIFS(Esc_Turno,'Calc_Mix'!$C$19,Esc_Circ,$B15)+COUNTIFS(Esc_Turno,'Calc_Mix'!$C$19,Esc_Instr,$B15)&gt;0),"",IF(SUMPRODUCT('Calc_Mix'!$D$19:$W$19,'Matriz_Habilidades'!$D15:$W15)=0,"",SUMPRODUCT('Calc_Mix'!$D$19:$W$19,'Matriz_Habilidades'!$D15:$W15)/'Calc_Mix'!$X$19+ROW()*0.000001))</f>
        <v/>
      </c>
      <c r="W15" s="34">
        <f>IF(OR($B15="",$C15&lt;&gt;"Ativo",$D15&lt;&gt;'Calc_Mix'!$C$20,'Calc_Mix'!$X$20=0,COUNTIFS(Esc_Turno,'Calc_Mix'!$C$20,Esc_Circ,$B15)+COUNTIFS(Esc_Turno,'Calc_Mix'!$C$20,Esc_Instr,$B15)&gt;0),"",IF(SUMPRODUCT('Calc_Mix'!$D$20:$W$20,'Matriz_Habilidades'!$D15:$W15)=0,"",SUMPRODUCT('Calc_Mix'!$D$20:$W$20,'Matriz_Habilidades'!$D15:$W15)/'Calc_Mix'!$X$20+ROW()*0.000001))</f>
        <v/>
      </c>
      <c r="X15" s="34">
        <f>IF(OR($B15="",$C15&lt;&gt;"Ativo",$D15&lt;&gt;'Calc_Mix'!$C$21,'Calc_Mix'!$X$21=0,COUNTIFS(Esc_Turno,'Calc_Mix'!$C$21,Esc_Circ,$B15)+COUNTIFS(Esc_Turno,'Calc_Mix'!$C$21,Esc_Instr,$B15)&gt;0),"",IF(SUMPRODUCT('Calc_Mix'!$D$21:$W$21,'Matriz_Habilidades'!$D15:$W15)=0,"",SUMPRODUCT('Calc_Mix'!$D$21:$W$21,'Matriz_Habilidades'!$D15:$W15)/'Calc_Mix'!$X$21+ROW()*0.000001))</f>
        <v/>
      </c>
      <c r="Y15" s="34">
        <f>IF(OR($B15="",$C15&lt;&gt;"Ativo",$D15&lt;&gt;'Calc_Mix'!$C$22,'Calc_Mix'!$X$22=0,COUNTIFS(Esc_Turno,'Calc_Mix'!$C$22,Esc_Circ,$B15)+COUNTIFS(Esc_Turno,'Calc_Mix'!$C$22,Esc_Instr,$B15)&gt;0),"",IF(SUMPRODUCT('Calc_Mix'!$D$22:$W$22,'Matriz_Habilidades'!$D15:$W15)=0,"",SUMPRODUCT('Calc_Mix'!$D$22:$W$22,'Matriz_Habilidades'!$D15:$W15)/'Calc_Mix'!$X$22+ROW()*0.000001))</f>
        <v/>
      </c>
      <c r="Z15" s="34">
        <f>IF(OR($B15="",$C15&lt;&gt;"Ativo",$D15&lt;&gt;'Calc_Mix'!$C$23,'Calc_Mix'!$X$23=0,COUNTIFS(Esc_Turno,'Calc_Mix'!$C$23,Esc_Circ,$B15)+COUNTIFS(Esc_Turno,'Calc_Mix'!$C$23,Esc_Instr,$B15)&gt;0),"",IF(SUMPRODUCT('Calc_Mix'!$D$23:$W$23,'Matriz_Habilidades'!$D15:$W15)=0,"",SUMPRODUCT('Calc_Mix'!$D$23:$W$23,'Matriz_Habilidades'!$D15:$W15)/'Calc_Mix'!$X$23+ROW()*0.000001))</f>
        <v/>
      </c>
      <c r="AA15" s="34">
        <f>IF(OR($B15="",$C15&lt;&gt;"Ativo",$D15&lt;&gt;'Calc_Mix'!$C$24,'Calc_Mix'!$X$24=0,COUNTIFS(Esc_Turno,'Calc_Mix'!$C$24,Esc_Circ,$B15)+COUNTIFS(Esc_Turno,'Calc_Mix'!$C$24,Esc_Instr,$B15)&gt;0),"",IF(SUMPRODUCT('Calc_Mix'!$D$24:$W$24,'Matriz_Habilidades'!$D15:$W15)=0,"",SUMPRODUCT('Calc_Mix'!$D$24:$W$24,'Matriz_Habilidades'!$D15:$W15)/'Calc_Mix'!$X$24+ROW()*0.000001))</f>
        <v/>
      </c>
      <c r="AB15" s="34">
        <f>IF(OR($B15="",$C15&lt;&gt;"Ativo",$D15&lt;&gt;'Calc_Mix'!$C$25,'Calc_Mix'!$X$25=0,COUNTIFS(Esc_Turno,'Calc_Mix'!$C$25,Esc_Circ,$B15)+COUNTIFS(Esc_Turno,'Calc_Mix'!$C$25,Esc_Instr,$B15)&gt;0),"",IF(SUMPRODUCT('Calc_Mix'!$D$25:$W$25,'Matriz_Habilidades'!$D15:$W15)=0,"",SUMPRODUCT('Calc_Mix'!$D$25:$W$25,'Matriz_Habilidades'!$D15:$W15)/'Calc_Mix'!$X$25+ROW()*0.000001))</f>
        <v/>
      </c>
      <c r="AC15" s="34">
        <f>IF(OR($B15="",$C15&lt;&gt;"Ativo",$D15&lt;&gt;'Calc_Mix'!$C$26,'Calc_Mix'!$X$26=0,COUNTIFS(Esc_Turno,'Calc_Mix'!$C$26,Esc_Circ,$B15)+COUNTIFS(Esc_Turno,'Calc_Mix'!$C$26,Esc_Instr,$B15)&gt;0),"",IF(SUMPRODUCT('Calc_Mix'!$D$26:$W$26,'Matriz_Habilidades'!$D15:$W15)=0,"",SUMPRODUCT('Calc_Mix'!$D$26:$W$26,'Matriz_Habilidades'!$D15:$W15)/'Calc_Mix'!$X$26+ROW()*0.000001))</f>
        <v/>
      </c>
      <c r="AD15" s="34">
        <f>IF(OR($B15="",$C15&lt;&gt;"Ativo",$D15&lt;&gt;'Calc_Mix'!$C$27,'Calc_Mix'!$X$27=0,COUNTIFS(Esc_Turno,'Calc_Mix'!$C$27,Esc_Circ,$B15)+COUNTIFS(Esc_Turno,'Calc_Mix'!$C$27,Esc_Instr,$B15)&gt;0),"",IF(SUMPRODUCT('Calc_Mix'!$D$27:$W$27,'Matriz_Habilidades'!$D15:$W15)=0,"",SUMPRODUCT('Calc_Mix'!$D$27:$W$27,'Matriz_Habilidades'!$D15:$W15)/'Calc_Mix'!$X$27+ROW()*0.000001))</f>
        <v/>
      </c>
      <c r="AE15" s="34">
        <f>IF(OR($B15="",$C15&lt;&gt;"Ativo",$D15&lt;&gt;'Calc_Mix'!$C$28,'Calc_Mix'!$X$28=0,COUNTIFS(Esc_Turno,'Calc_Mix'!$C$28,Esc_Circ,$B15)+COUNTIFS(Esc_Turno,'Calc_Mix'!$C$28,Esc_Instr,$B15)&gt;0),"",IF(SUMPRODUCT('Calc_Mix'!$D$28:$W$28,'Matriz_Habilidades'!$D15:$W15)=0,"",SUMPRODUCT('Calc_Mix'!$D$28:$W$28,'Matriz_Habilidades'!$D15:$W15)/'Calc_Mix'!$X$28+ROW()*0.000001))</f>
        <v/>
      </c>
      <c r="AF15" s="34">
        <f>IF(OR($B15="",$C15&lt;&gt;"Ativo",$D15&lt;&gt;'Calc_Mix'!$C$29,'Calc_Mix'!$X$29=0,COUNTIFS(Esc_Turno,'Calc_Mix'!$C$29,Esc_Circ,$B15)+COUNTIFS(Esc_Turno,'Calc_Mix'!$C$29,Esc_Instr,$B15)&gt;0),"",IF(SUMPRODUCT('Calc_Mix'!$D$29:$W$29,'Matriz_Habilidades'!$D15:$W15)=0,"",SUMPRODUCT('Calc_Mix'!$D$29:$W$29,'Matriz_Habilidades'!$D15:$W15)/'Calc_Mix'!$X$29+ROW()*0.000001))</f>
        <v/>
      </c>
      <c r="AG15" s="34">
        <f>IF(OR($B15="",$C15&lt;&gt;"Ativo",$D15&lt;&gt;'Calc_Mix'!$C$30,'Calc_Mix'!$X$30=0,COUNTIFS(Esc_Turno,'Calc_Mix'!$C$30,Esc_Circ,$B15)+COUNTIFS(Esc_Turno,'Calc_Mix'!$C$30,Esc_Instr,$B15)&gt;0),"",IF(SUMPRODUCT('Calc_Mix'!$D$30:$W$30,'Matriz_Habilidades'!$D15:$W15)=0,"",SUMPRODUCT('Calc_Mix'!$D$30:$W$30,'Matriz_Habilidades'!$D15:$W15)/'Calc_Mix'!$X$30+ROW()*0.000001))</f>
        <v/>
      </c>
      <c r="AH15" s="34">
        <f>IF(OR($B15="",$C15&lt;&gt;"Ativo",$D15&lt;&gt;'Calc_Mix'!$C$31,'Calc_Mix'!$X$31=0,COUNTIFS(Esc_Turno,'Calc_Mix'!$C$31,Esc_Circ,$B15)+COUNTIFS(Esc_Turno,'Calc_Mix'!$C$31,Esc_Instr,$B15)&gt;0),"",IF(SUMPRODUCT('Calc_Mix'!$D$31:$W$31,'Matriz_Habilidades'!$D15:$W15)=0,"",SUMPRODUCT('Calc_Mix'!$D$31:$W$31,'Matriz_Habilidades'!$D15:$W15)/'Calc_Mix'!$X$31+ROW()*0.000001))</f>
        <v/>
      </c>
      <c r="AI15" s="34">
        <f>IF(OR($B15="",$C15&lt;&gt;"Ativo",$D15&lt;&gt;'Calc_Mix'!$C$32,'Calc_Mix'!$X$32=0,COUNTIFS(Esc_Turno,'Calc_Mix'!$C$32,Esc_Circ,$B15)+COUNTIFS(Esc_Turno,'Calc_Mix'!$C$32,Esc_Instr,$B15)&gt;0),"",IF(SUMPRODUCT('Calc_Mix'!$D$32:$W$32,'Matriz_Habilidades'!$D15:$W15)=0,"",SUMPRODUCT('Calc_Mix'!$D$32:$W$32,'Matriz_Habilidades'!$D15:$W15)/'Calc_Mix'!$X$32+ROW()*0.000001))</f>
        <v/>
      </c>
      <c r="AJ15" s="34">
        <f>IF(OR($B15="",$C15&lt;&gt;"Ativo",$D15&lt;&gt;'Calc_Mix'!$C$33,'Calc_Mix'!$X$33=0,COUNTIFS(Esc_Turno,'Calc_Mix'!$C$33,Esc_Circ,$B15)+COUNTIFS(Esc_Turno,'Calc_Mix'!$C$33,Esc_Instr,$B15)&gt;0),"",IF(SUMPRODUCT('Calc_Mix'!$D$33:$W$33,'Matriz_Habilidades'!$D15:$W15)=0,"",SUMPRODUCT('Calc_Mix'!$D$33:$W$33,'Matriz_Habilidades'!$D15:$W15)/'Calc_Mix'!$X$33+ROW()*0.000001))</f>
        <v/>
      </c>
      <c r="AK15" s="34">
        <f>IF(OR($B15="",$C15&lt;&gt;"Ativo",$D15&lt;&gt;'Calc_Mix'!$C$34,'Calc_Mix'!$X$34=0,COUNTIFS(Esc_Turno,'Calc_Mix'!$C$34,Esc_Circ,$B15)+COUNTIFS(Esc_Turno,'Calc_Mix'!$C$34,Esc_Instr,$B15)&gt;0),"",IF(SUMPRODUCT('Calc_Mix'!$D$34:$W$34,'Matriz_Habilidades'!$D15:$W15)=0,"",SUMPRODUCT('Calc_Mix'!$D$34:$W$34,'Matriz_Habilidades'!$D15:$W15)/'Calc_Mix'!$X$34+ROW()*0.000001))</f>
        <v/>
      </c>
      <c r="AL15" s="34">
        <f>IF(OR($B15="",$C15&lt;&gt;"Ativo",$D15&lt;&gt;'Calc_Mix'!$C$35,'Calc_Mix'!$X$35=0,COUNTIFS(Esc_Turno,'Calc_Mix'!$C$35,Esc_Circ,$B15)+COUNTIFS(Esc_Turno,'Calc_Mix'!$C$35,Esc_Instr,$B15)&gt;0),"",IF(SUMPRODUCT('Calc_Mix'!$D$35:$W$35,'Matriz_Habilidades'!$D15:$W15)=0,"",SUMPRODUCT('Calc_Mix'!$D$35:$W$35,'Matriz_Habilidades'!$D15:$W15)/'Calc_Mix'!$X$35+ROW()*0.000001))</f>
        <v/>
      </c>
      <c r="AM15" s="34">
        <f>IF(OR($B15="",$C15&lt;&gt;"Ativo",$D15&lt;&gt;'Calc_Mix'!$C$36,'Calc_Mix'!$X$36=0,COUNTIFS(Esc_Turno,'Calc_Mix'!$C$36,Esc_Circ,$B15)+COUNTIFS(Esc_Turno,'Calc_Mix'!$C$36,Esc_Instr,$B15)&gt;0),"",IF(SUMPRODUCT('Calc_Mix'!$D$36:$W$36,'Matriz_Habilidades'!$D15:$W15)=0,"",SUMPRODUCT('Calc_Mix'!$D$36:$W$36,'Matriz_Habilidades'!$D15:$W15)/'Calc_Mix'!$X$36+ROW()*0.000001))</f>
        <v/>
      </c>
      <c r="AN15" s="34">
        <f>IF(OR($B15="",$C15&lt;&gt;"Ativo",$D15&lt;&gt;'Calc_Mix'!$C$37,'Calc_Mix'!$X$37=0,COUNTIFS(Esc_Turno,'Calc_Mix'!$C$37,Esc_Circ,$B15)+COUNTIFS(Esc_Turno,'Calc_Mix'!$C$37,Esc_Instr,$B15)&gt;0),"",IF(SUMPRODUCT('Calc_Mix'!$D$37:$W$37,'Matriz_Habilidades'!$D15:$W15)=0,"",SUMPRODUCT('Calc_Mix'!$D$37:$W$37,'Matriz_Habilidades'!$D15:$W15)/'Calc_Mix'!$X$37+ROW()*0.000001))</f>
        <v/>
      </c>
    </row>
    <row r="16">
      <c r="A16" s="27">
        <f>IF('Matriz_Habilidades'!A16="","",'Matriz_Habilidades'!A16)</f>
        <v/>
      </c>
      <c r="B16" s="28">
        <f>IF('Matriz_Habilidades'!B16="","",'Matriz_Habilidades'!B16)</f>
        <v/>
      </c>
      <c r="C16" s="27">
        <f>IF($A16="","",IFERROR(INDEX(Equipe_Status,MATCH($B16,Equipe_Nome,0)),"?"))</f>
        <v/>
      </c>
      <c r="D16" s="27">
        <f>IF($A16="","",IFERROR(INDEX(Equipe_Turno,MATCH($B16,Equipe_Nome,0)),"?"))</f>
        <v/>
      </c>
      <c r="E16" s="34">
        <f>IF(OR($B16="",$C16&lt;&gt;"Ativo",$D16&lt;&gt;'Calc_Mix'!$C$2,'Calc_Mix'!$X$2=0,COUNTIFS(Esc_Turno,'Calc_Mix'!$C$2,Esc_Circ,$B16)+COUNTIFS(Esc_Turno,'Calc_Mix'!$C$2,Esc_Instr,$B16)&gt;0),"",IF(SUMPRODUCT('Calc_Mix'!$D$2:$W$2,'Matriz_Habilidades'!$D16:$W16)=0,"",SUMPRODUCT('Calc_Mix'!$D$2:$W$2,'Matriz_Habilidades'!$D16:$W16)/'Calc_Mix'!$X$2+ROW()*0.000001))</f>
        <v/>
      </c>
      <c r="F16" s="34">
        <f>IF(OR($B16="",$C16&lt;&gt;"Ativo",$D16&lt;&gt;'Calc_Mix'!$C$3,'Calc_Mix'!$X$3=0,COUNTIFS(Esc_Turno,'Calc_Mix'!$C$3,Esc_Circ,$B16)+COUNTIFS(Esc_Turno,'Calc_Mix'!$C$3,Esc_Instr,$B16)&gt;0),"",IF(SUMPRODUCT('Calc_Mix'!$D$3:$W$3,'Matriz_Habilidades'!$D16:$W16)=0,"",SUMPRODUCT('Calc_Mix'!$D$3:$W$3,'Matriz_Habilidades'!$D16:$W16)/'Calc_Mix'!$X$3+ROW()*0.000001))</f>
        <v/>
      </c>
      <c r="G16" s="34">
        <f>IF(OR($B16="",$C16&lt;&gt;"Ativo",$D16&lt;&gt;'Calc_Mix'!$C$4,'Calc_Mix'!$X$4=0,COUNTIFS(Esc_Turno,'Calc_Mix'!$C$4,Esc_Circ,$B16)+COUNTIFS(Esc_Turno,'Calc_Mix'!$C$4,Esc_Instr,$B16)&gt;0),"",IF(SUMPRODUCT('Calc_Mix'!$D$4:$W$4,'Matriz_Habilidades'!$D16:$W16)=0,"",SUMPRODUCT('Calc_Mix'!$D$4:$W$4,'Matriz_Habilidades'!$D16:$W16)/'Calc_Mix'!$X$4+ROW()*0.000001))</f>
        <v/>
      </c>
      <c r="H16" s="34">
        <f>IF(OR($B16="",$C16&lt;&gt;"Ativo",$D16&lt;&gt;'Calc_Mix'!$C$5,'Calc_Mix'!$X$5=0,COUNTIFS(Esc_Turno,'Calc_Mix'!$C$5,Esc_Circ,$B16)+COUNTIFS(Esc_Turno,'Calc_Mix'!$C$5,Esc_Instr,$B16)&gt;0),"",IF(SUMPRODUCT('Calc_Mix'!$D$5:$W$5,'Matriz_Habilidades'!$D16:$W16)=0,"",SUMPRODUCT('Calc_Mix'!$D$5:$W$5,'Matriz_Habilidades'!$D16:$W16)/'Calc_Mix'!$X$5+ROW()*0.000001))</f>
        <v/>
      </c>
      <c r="I16" s="34">
        <f>IF(OR($B16="",$C16&lt;&gt;"Ativo",$D16&lt;&gt;'Calc_Mix'!$C$6,'Calc_Mix'!$X$6=0,COUNTIFS(Esc_Turno,'Calc_Mix'!$C$6,Esc_Circ,$B16)+COUNTIFS(Esc_Turno,'Calc_Mix'!$C$6,Esc_Instr,$B16)&gt;0),"",IF(SUMPRODUCT('Calc_Mix'!$D$6:$W$6,'Matriz_Habilidades'!$D16:$W16)=0,"",SUMPRODUCT('Calc_Mix'!$D$6:$W$6,'Matriz_Habilidades'!$D16:$W16)/'Calc_Mix'!$X$6+ROW()*0.000001))</f>
        <v/>
      </c>
      <c r="J16" s="34">
        <f>IF(OR($B16="",$C16&lt;&gt;"Ativo",$D16&lt;&gt;'Calc_Mix'!$C$7,'Calc_Mix'!$X$7=0,COUNTIFS(Esc_Turno,'Calc_Mix'!$C$7,Esc_Circ,$B16)+COUNTIFS(Esc_Turno,'Calc_Mix'!$C$7,Esc_Instr,$B16)&gt;0),"",IF(SUMPRODUCT('Calc_Mix'!$D$7:$W$7,'Matriz_Habilidades'!$D16:$W16)=0,"",SUMPRODUCT('Calc_Mix'!$D$7:$W$7,'Matriz_Habilidades'!$D16:$W16)/'Calc_Mix'!$X$7+ROW()*0.000001))</f>
        <v/>
      </c>
      <c r="K16" s="34">
        <f>IF(OR($B16="",$C16&lt;&gt;"Ativo",$D16&lt;&gt;'Calc_Mix'!$C$8,'Calc_Mix'!$X$8=0,COUNTIFS(Esc_Turno,'Calc_Mix'!$C$8,Esc_Circ,$B16)+COUNTIFS(Esc_Turno,'Calc_Mix'!$C$8,Esc_Instr,$B16)&gt;0),"",IF(SUMPRODUCT('Calc_Mix'!$D$8:$W$8,'Matriz_Habilidades'!$D16:$W16)=0,"",SUMPRODUCT('Calc_Mix'!$D$8:$W$8,'Matriz_Habilidades'!$D16:$W16)/'Calc_Mix'!$X$8+ROW()*0.000001))</f>
        <v/>
      </c>
      <c r="L16" s="34">
        <f>IF(OR($B16="",$C16&lt;&gt;"Ativo",$D16&lt;&gt;'Calc_Mix'!$C$9,'Calc_Mix'!$X$9=0,COUNTIFS(Esc_Turno,'Calc_Mix'!$C$9,Esc_Circ,$B16)+COUNTIFS(Esc_Turno,'Calc_Mix'!$C$9,Esc_Instr,$B16)&gt;0),"",IF(SUMPRODUCT('Calc_Mix'!$D$9:$W$9,'Matriz_Habilidades'!$D16:$W16)=0,"",SUMPRODUCT('Calc_Mix'!$D$9:$W$9,'Matriz_Habilidades'!$D16:$W16)/'Calc_Mix'!$X$9+ROW()*0.000001))</f>
        <v/>
      </c>
      <c r="M16" s="34">
        <f>IF(OR($B16="",$C16&lt;&gt;"Ativo",$D16&lt;&gt;'Calc_Mix'!$C$10,'Calc_Mix'!$X$10=0,COUNTIFS(Esc_Turno,'Calc_Mix'!$C$10,Esc_Circ,$B16)+COUNTIFS(Esc_Turno,'Calc_Mix'!$C$10,Esc_Instr,$B16)&gt;0),"",IF(SUMPRODUCT('Calc_Mix'!$D$10:$W$10,'Matriz_Habilidades'!$D16:$W16)=0,"",SUMPRODUCT('Calc_Mix'!$D$10:$W$10,'Matriz_Habilidades'!$D16:$W16)/'Calc_Mix'!$X$10+ROW()*0.000001))</f>
        <v/>
      </c>
      <c r="N16" s="34">
        <f>IF(OR($B16="",$C16&lt;&gt;"Ativo",$D16&lt;&gt;'Calc_Mix'!$C$11,'Calc_Mix'!$X$11=0,COUNTIFS(Esc_Turno,'Calc_Mix'!$C$11,Esc_Circ,$B16)+COUNTIFS(Esc_Turno,'Calc_Mix'!$C$11,Esc_Instr,$B16)&gt;0),"",IF(SUMPRODUCT('Calc_Mix'!$D$11:$W$11,'Matriz_Habilidades'!$D16:$W16)=0,"",SUMPRODUCT('Calc_Mix'!$D$11:$W$11,'Matriz_Habilidades'!$D16:$W16)/'Calc_Mix'!$X$11+ROW()*0.000001))</f>
        <v/>
      </c>
      <c r="O16" s="34">
        <f>IF(OR($B16="",$C16&lt;&gt;"Ativo",$D16&lt;&gt;'Calc_Mix'!$C$12,'Calc_Mix'!$X$12=0,COUNTIFS(Esc_Turno,'Calc_Mix'!$C$12,Esc_Circ,$B16)+COUNTIFS(Esc_Turno,'Calc_Mix'!$C$12,Esc_Instr,$B16)&gt;0),"",IF(SUMPRODUCT('Calc_Mix'!$D$12:$W$12,'Matriz_Habilidades'!$D16:$W16)=0,"",SUMPRODUCT('Calc_Mix'!$D$12:$W$12,'Matriz_Habilidades'!$D16:$W16)/'Calc_Mix'!$X$12+ROW()*0.000001))</f>
        <v/>
      </c>
      <c r="P16" s="34">
        <f>IF(OR($B16="",$C16&lt;&gt;"Ativo",$D16&lt;&gt;'Calc_Mix'!$C$13,'Calc_Mix'!$X$13=0,COUNTIFS(Esc_Turno,'Calc_Mix'!$C$13,Esc_Circ,$B16)+COUNTIFS(Esc_Turno,'Calc_Mix'!$C$13,Esc_Instr,$B16)&gt;0),"",IF(SUMPRODUCT('Calc_Mix'!$D$13:$W$13,'Matriz_Habilidades'!$D16:$W16)=0,"",SUMPRODUCT('Calc_Mix'!$D$13:$W$13,'Matriz_Habilidades'!$D16:$W16)/'Calc_Mix'!$X$13+ROW()*0.000001))</f>
        <v/>
      </c>
      <c r="Q16" s="34">
        <f>IF(OR($B16="",$C16&lt;&gt;"Ativo",$D16&lt;&gt;'Calc_Mix'!$C$14,'Calc_Mix'!$X$14=0,COUNTIFS(Esc_Turno,'Calc_Mix'!$C$14,Esc_Circ,$B16)+COUNTIFS(Esc_Turno,'Calc_Mix'!$C$14,Esc_Instr,$B16)&gt;0),"",IF(SUMPRODUCT('Calc_Mix'!$D$14:$W$14,'Matriz_Habilidades'!$D16:$W16)=0,"",SUMPRODUCT('Calc_Mix'!$D$14:$W$14,'Matriz_Habilidades'!$D16:$W16)/'Calc_Mix'!$X$14+ROW()*0.000001))</f>
        <v/>
      </c>
      <c r="R16" s="34">
        <f>IF(OR($B16="",$C16&lt;&gt;"Ativo",$D16&lt;&gt;'Calc_Mix'!$C$15,'Calc_Mix'!$X$15=0,COUNTIFS(Esc_Turno,'Calc_Mix'!$C$15,Esc_Circ,$B16)+COUNTIFS(Esc_Turno,'Calc_Mix'!$C$15,Esc_Instr,$B16)&gt;0),"",IF(SUMPRODUCT('Calc_Mix'!$D$15:$W$15,'Matriz_Habilidades'!$D16:$W16)=0,"",SUMPRODUCT('Calc_Mix'!$D$15:$W$15,'Matriz_Habilidades'!$D16:$W16)/'Calc_Mix'!$X$15+ROW()*0.000001))</f>
        <v/>
      </c>
      <c r="S16" s="34">
        <f>IF(OR($B16="",$C16&lt;&gt;"Ativo",$D16&lt;&gt;'Calc_Mix'!$C$16,'Calc_Mix'!$X$16=0,COUNTIFS(Esc_Turno,'Calc_Mix'!$C$16,Esc_Circ,$B16)+COUNTIFS(Esc_Turno,'Calc_Mix'!$C$16,Esc_Instr,$B16)&gt;0),"",IF(SUMPRODUCT('Calc_Mix'!$D$16:$W$16,'Matriz_Habilidades'!$D16:$W16)=0,"",SUMPRODUCT('Calc_Mix'!$D$16:$W$16,'Matriz_Habilidades'!$D16:$W16)/'Calc_Mix'!$X$16+ROW()*0.000001))</f>
        <v/>
      </c>
      <c r="T16" s="34">
        <f>IF(OR($B16="",$C16&lt;&gt;"Ativo",$D16&lt;&gt;'Calc_Mix'!$C$17,'Calc_Mix'!$X$17=0,COUNTIFS(Esc_Turno,'Calc_Mix'!$C$17,Esc_Circ,$B16)+COUNTIFS(Esc_Turno,'Calc_Mix'!$C$17,Esc_Instr,$B16)&gt;0),"",IF(SUMPRODUCT('Calc_Mix'!$D$17:$W$17,'Matriz_Habilidades'!$D16:$W16)=0,"",SUMPRODUCT('Calc_Mix'!$D$17:$W$17,'Matriz_Habilidades'!$D16:$W16)/'Calc_Mix'!$X$17+ROW()*0.000001))</f>
        <v/>
      </c>
      <c r="U16" s="34">
        <f>IF(OR($B16="",$C16&lt;&gt;"Ativo",$D16&lt;&gt;'Calc_Mix'!$C$18,'Calc_Mix'!$X$18=0,COUNTIFS(Esc_Turno,'Calc_Mix'!$C$18,Esc_Circ,$B16)+COUNTIFS(Esc_Turno,'Calc_Mix'!$C$18,Esc_Instr,$B16)&gt;0),"",IF(SUMPRODUCT('Calc_Mix'!$D$18:$W$18,'Matriz_Habilidades'!$D16:$W16)=0,"",SUMPRODUCT('Calc_Mix'!$D$18:$W$18,'Matriz_Habilidades'!$D16:$W16)/'Calc_Mix'!$X$18+ROW()*0.000001))</f>
        <v/>
      </c>
      <c r="V16" s="34">
        <f>IF(OR($B16="",$C16&lt;&gt;"Ativo",$D16&lt;&gt;'Calc_Mix'!$C$19,'Calc_Mix'!$X$19=0,COUNTIFS(Esc_Turno,'Calc_Mix'!$C$19,Esc_Circ,$B16)+COUNTIFS(Esc_Turno,'Calc_Mix'!$C$19,Esc_Instr,$B16)&gt;0),"",IF(SUMPRODUCT('Calc_Mix'!$D$19:$W$19,'Matriz_Habilidades'!$D16:$W16)=0,"",SUMPRODUCT('Calc_Mix'!$D$19:$W$19,'Matriz_Habilidades'!$D16:$W16)/'Calc_Mix'!$X$19+ROW()*0.000001))</f>
        <v/>
      </c>
      <c r="W16" s="34">
        <f>IF(OR($B16="",$C16&lt;&gt;"Ativo",$D16&lt;&gt;'Calc_Mix'!$C$20,'Calc_Mix'!$X$20=0,COUNTIFS(Esc_Turno,'Calc_Mix'!$C$20,Esc_Circ,$B16)+COUNTIFS(Esc_Turno,'Calc_Mix'!$C$20,Esc_Instr,$B16)&gt;0),"",IF(SUMPRODUCT('Calc_Mix'!$D$20:$W$20,'Matriz_Habilidades'!$D16:$W16)=0,"",SUMPRODUCT('Calc_Mix'!$D$20:$W$20,'Matriz_Habilidades'!$D16:$W16)/'Calc_Mix'!$X$20+ROW()*0.000001))</f>
        <v/>
      </c>
      <c r="X16" s="34">
        <f>IF(OR($B16="",$C16&lt;&gt;"Ativo",$D16&lt;&gt;'Calc_Mix'!$C$21,'Calc_Mix'!$X$21=0,COUNTIFS(Esc_Turno,'Calc_Mix'!$C$21,Esc_Circ,$B16)+COUNTIFS(Esc_Turno,'Calc_Mix'!$C$21,Esc_Instr,$B16)&gt;0),"",IF(SUMPRODUCT('Calc_Mix'!$D$21:$W$21,'Matriz_Habilidades'!$D16:$W16)=0,"",SUMPRODUCT('Calc_Mix'!$D$21:$W$21,'Matriz_Habilidades'!$D16:$W16)/'Calc_Mix'!$X$21+ROW()*0.000001))</f>
        <v/>
      </c>
      <c r="Y16" s="34">
        <f>IF(OR($B16="",$C16&lt;&gt;"Ativo",$D16&lt;&gt;'Calc_Mix'!$C$22,'Calc_Mix'!$X$22=0,COUNTIFS(Esc_Turno,'Calc_Mix'!$C$22,Esc_Circ,$B16)+COUNTIFS(Esc_Turno,'Calc_Mix'!$C$22,Esc_Instr,$B16)&gt;0),"",IF(SUMPRODUCT('Calc_Mix'!$D$22:$W$22,'Matriz_Habilidades'!$D16:$W16)=0,"",SUMPRODUCT('Calc_Mix'!$D$22:$W$22,'Matriz_Habilidades'!$D16:$W16)/'Calc_Mix'!$X$22+ROW()*0.000001))</f>
        <v/>
      </c>
      <c r="Z16" s="34">
        <f>IF(OR($B16="",$C16&lt;&gt;"Ativo",$D16&lt;&gt;'Calc_Mix'!$C$23,'Calc_Mix'!$X$23=0,COUNTIFS(Esc_Turno,'Calc_Mix'!$C$23,Esc_Circ,$B16)+COUNTIFS(Esc_Turno,'Calc_Mix'!$C$23,Esc_Instr,$B16)&gt;0),"",IF(SUMPRODUCT('Calc_Mix'!$D$23:$W$23,'Matriz_Habilidades'!$D16:$W16)=0,"",SUMPRODUCT('Calc_Mix'!$D$23:$W$23,'Matriz_Habilidades'!$D16:$W16)/'Calc_Mix'!$X$23+ROW()*0.000001))</f>
        <v/>
      </c>
      <c r="AA16" s="34">
        <f>IF(OR($B16="",$C16&lt;&gt;"Ativo",$D16&lt;&gt;'Calc_Mix'!$C$24,'Calc_Mix'!$X$24=0,COUNTIFS(Esc_Turno,'Calc_Mix'!$C$24,Esc_Circ,$B16)+COUNTIFS(Esc_Turno,'Calc_Mix'!$C$24,Esc_Instr,$B16)&gt;0),"",IF(SUMPRODUCT('Calc_Mix'!$D$24:$W$24,'Matriz_Habilidades'!$D16:$W16)=0,"",SUMPRODUCT('Calc_Mix'!$D$24:$W$24,'Matriz_Habilidades'!$D16:$W16)/'Calc_Mix'!$X$24+ROW()*0.000001))</f>
        <v/>
      </c>
      <c r="AB16" s="34">
        <f>IF(OR($B16="",$C16&lt;&gt;"Ativo",$D16&lt;&gt;'Calc_Mix'!$C$25,'Calc_Mix'!$X$25=0,COUNTIFS(Esc_Turno,'Calc_Mix'!$C$25,Esc_Circ,$B16)+COUNTIFS(Esc_Turno,'Calc_Mix'!$C$25,Esc_Instr,$B16)&gt;0),"",IF(SUMPRODUCT('Calc_Mix'!$D$25:$W$25,'Matriz_Habilidades'!$D16:$W16)=0,"",SUMPRODUCT('Calc_Mix'!$D$25:$W$25,'Matriz_Habilidades'!$D16:$W16)/'Calc_Mix'!$X$25+ROW()*0.000001))</f>
        <v/>
      </c>
      <c r="AC16" s="34">
        <f>IF(OR($B16="",$C16&lt;&gt;"Ativo",$D16&lt;&gt;'Calc_Mix'!$C$26,'Calc_Mix'!$X$26=0,COUNTIFS(Esc_Turno,'Calc_Mix'!$C$26,Esc_Circ,$B16)+COUNTIFS(Esc_Turno,'Calc_Mix'!$C$26,Esc_Instr,$B16)&gt;0),"",IF(SUMPRODUCT('Calc_Mix'!$D$26:$W$26,'Matriz_Habilidades'!$D16:$W16)=0,"",SUMPRODUCT('Calc_Mix'!$D$26:$W$26,'Matriz_Habilidades'!$D16:$W16)/'Calc_Mix'!$X$26+ROW()*0.000001))</f>
        <v/>
      </c>
      <c r="AD16" s="34">
        <f>IF(OR($B16="",$C16&lt;&gt;"Ativo",$D16&lt;&gt;'Calc_Mix'!$C$27,'Calc_Mix'!$X$27=0,COUNTIFS(Esc_Turno,'Calc_Mix'!$C$27,Esc_Circ,$B16)+COUNTIFS(Esc_Turno,'Calc_Mix'!$C$27,Esc_Instr,$B16)&gt;0),"",IF(SUMPRODUCT('Calc_Mix'!$D$27:$W$27,'Matriz_Habilidades'!$D16:$W16)=0,"",SUMPRODUCT('Calc_Mix'!$D$27:$W$27,'Matriz_Habilidades'!$D16:$W16)/'Calc_Mix'!$X$27+ROW()*0.000001))</f>
        <v/>
      </c>
      <c r="AE16" s="34">
        <f>IF(OR($B16="",$C16&lt;&gt;"Ativo",$D16&lt;&gt;'Calc_Mix'!$C$28,'Calc_Mix'!$X$28=0,COUNTIFS(Esc_Turno,'Calc_Mix'!$C$28,Esc_Circ,$B16)+COUNTIFS(Esc_Turno,'Calc_Mix'!$C$28,Esc_Instr,$B16)&gt;0),"",IF(SUMPRODUCT('Calc_Mix'!$D$28:$W$28,'Matriz_Habilidades'!$D16:$W16)=0,"",SUMPRODUCT('Calc_Mix'!$D$28:$W$28,'Matriz_Habilidades'!$D16:$W16)/'Calc_Mix'!$X$28+ROW()*0.000001))</f>
        <v/>
      </c>
      <c r="AF16" s="34">
        <f>IF(OR($B16="",$C16&lt;&gt;"Ativo",$D16&lt;&gt;'Calc_Mix'!$C$29,'Calc_Mix'!$X$29=0,COUNTIFS(Esc_Turno,'Calc_Mix'!$C$29,Esc_Circ,$B16)+COUNTIFS(Esc_Turno,'Calc_Mix'!$C$29,Esc_Instr,$B16)&gt;0),"",IF(SUMPRODUCT('Calc_Mix'!$D$29:$W$29,'Matriz_Habilidades'!$D16:$W16)=0,"",SUMPRODUCT('Calc_Mix'!$D$29:$W$29,'Matriz_Habilidades'!$D16:$W16)/'Calc_Mix'!$X$29+ROW()*0.000001))</f>
        <v/>
      </c>
      <c r="AG16" s="34">
        <f>IF(OR($B16="",$C16&lt;&gt;"Ativo",$D16&lt;&gt;'Calc_Mix'!$C$30,'Calc_Mix'!$X$30=0,COUNTIFS(Esc_Turno,'Calc_Mix'!$C$30,Esc_Circ,$B16)+COUNTIFS(Esc_Turno,'Calc_Mix'!$C$30,Esc_Instr,$B16)&gt;0),"",IF(SUMPRODUCT('Calc_Mix'!$D$30:$W$30,'Matriz_Habilidades'!$D16:$W16)=0,"",SUMPRODUCT('Calc_Mix'!$D$30:$W$30,'Matriz_Habilidades'!$D16:$W16)/'Calc_Mix'!$X$30+ROW()*0.000001))</f>
        <v/>
      </c>
      <c r="AH16" s="34">
        <f>IF(OR($B16="",$C16&lt;&gt;"Ativo",$D16&lt;&gt;'Calc_Mix'!$C$31,'Calc_Mix'!$X$31=0,COUNTIFS(Esc_Turno,'Calc_Mix'!$C$31,Esc_Circ,$B16)+COUNTIFS(Esc_Turno,'Calc_Mix'!$C$31,Esc_Instr,$B16)&gt;0),"",IF(SUMPRODUCT('Calc_Mix'!$D$31:$W$31,'Matriz_Habilidades'!$D16:$W16)=0,"",SUMPRODUCT('Calc_Mix'!$D$31:$W$31,'Matriz_Habilidades'!$D16:$W16)/'Calc_Mix'!$X$31+ROW()*0.000001))</f>
        <v/>
      </c>
      <c r="AI16" s="34">
        <f>IF(OR($B16="",$C16&lt;&gt;"Ativo",$D16&lt;&gt;'Calc_Mix'!$C$32,'Calc_Mix'!$X$32=0,COUNTIFS(Esc_Turno,'Calc_Mix'!$C$32,Esc_Circ,$B16)+COUNTIFS(Esc_Turno,'Calc_Mix'!$C$32,Esc_Instr,$B16)&gt;0),"",IF(SUMPRODUCT('Calc_Mix'!$D$32:$W$32,'Matriz_Habilidades'!$D16:$W16)=0,"",SUMPRODUCT('Calc_Mix'!$D$32:$W$32,'Matriz_Habilidades'!$D16:$W16)/'Calc_Mix'!$X$32+ROW()*0.000001))</f>
        <v/>
      </c>
      <c r="AJ16" s="34">
        <f>IF(OR($B16="",$C16&lt;&gt;"Ativo",$D16&lt;&gt;'Calc_Mix'!$C$33,'Calc_Mix'!$X$33=0,COUNTIFS(Esc_Turno,'Calc_Mix'!$C$33,Esc_Circ,$B16)+COUNTIFS(Esc_Turno,'Calc_Mix'!$C$33,Esc_Instr,$B16)&gt;0),"",IF(SUMPRODUCT('Calc_Mix'!$D$33:$W$33,'Matriz_Habilidades'!$D16:$W16)=0,"",SUMPRODUCT('Calc_Mix'!$D$33:$W$33,'Matriz_Habilidades'!$D16:$W16)/'Calc_Mix'!$X$33+ROW()*0.000001))</f>
        <v/>
      </c>
      <c r="AK16" s="34">
        <f>IF(OR($B16="",$C16&lt;&gt;"Ativo",$D16&lt;&gt;'Calc_Mix'!$C$34,'Calc_Mix'!$X$34=0,COUNTIFS(Esc_Turno,'Calc_Mix'!$C$34,Esc_Circ,$B16)+COUNTIFS(Esc_Turno,'Calc_Mix'!$C$34,Esc_Instr,$B16)&gt;0),"",IF(SUMPRODUCT('Calc_Mix'!$D$34:$W$34,'Matriz_Habilidades'!$D16:$W16)=0,"",SUMPRODUCT('Calc_Mix'!$D$34:$W$34,'Matriz_Habilidades'!$D16:$W16)/'Calc_Mix'!$X$34+ROW()*0.000001))</f>
        <v/>
      </c>
      <c r="AL16" s="34">
        <f>IF(OR($B16="",$C16&lt;&gt;"Ativo",$D16&lt;&gt;'Calc_Mix'!$C$35,'Calc_Mix'!$X$35=0,COUNTIFS(Esc_Turno,'Calc_Mix'!$C$35,Esc_Circ,$B16)+COUNTIFS(Esc_Turno,'Calc_Mix'!$C$35,Esc_Instr,$B16)&gt;0),"",IF(SUMPRODUCT('Calc_Mix'!$D$35:$W$35,'Matriz_Habilidades'!$D16:$W16)=0,"",SUMPRODUCT('Calc_Mix'!$D$35:$W$35,'Matriz_Habilidades'!$D16:$W16)/'Calc_Mix'!$X$35+ROW()*0.000001))</f>
        <v/>
      </c>
      <c r="AM16" s="34">
        <f>IF(OR($B16="",$C16&lt;&gt;"Ativo",$D16&lt;&gt;'Calc_Mix'!$C$36,'Calc_Mix'!$X$36=0,COUNTIFS(Esc_Turno,'Calc_Mix'!$C$36,Esc_Circ,$B16)+COUNTIFS(Esc_Turno,'Calc_Mix'!$C$36,Esc_Instr,$B16)&gt;0),"",IF(SUMPRODUCT('Calc_Mix'!$D$36:$W$36,'Matriz_Habilidades'!$D16:$W16)=0,"",SUMPRODUCT('Calc_Mix'!$D$36:$W$36,'Matriz_Habilidades'!$D16:$W16)/'Calc_Mix'!$X$36+ROW()*0.000001))</f>
        <v/>
      </c>
      <c r="AN16" s="34">
        <f>IF(OR($B16="",$C16&lt;&gt;"Ativo",$D16&lt;&gt;'Calc_Mix'!$C$37,'Calc_Mix'!$X$37=0,COUNTIFS(Esc_Turno,'Calc_Mix'!$C$37,Esc_Circ,$B16)+COUNTIFS(Esc_Turno,'Calc_Mix'!$C$37,Esc_Instr,$B16)&gt;0),"",IF(SUMPRODUCT('Calc_Mix'!$D$37:$W$37,'Matriz_Habilidades'!$D16:$W16)=0,"",SUMPRODUCT('Calc_Mix'!$D$37:$W$37,'Matriz_Habilidades'!$D16:$W16)/'Calc_Mix'!$X$37+ROW()*0.000001))</f>
        <v/>
      </c>
    </row>
    <row r="17">
      <c r="A17" s="27">
        <f>IF('Matriz_Habilidades'!A17="","",'Matriz_Habilidades'!A17)</f>
        <v/>
      </c>
      <c r="B17" s="28">
        <f>IF('Matriz_Habilidades'!B17="","",'Matriz_Habilidades'!B17)</f>
        <v/>
      </c>
      <c r="C17" s="27">
        <f>IF($A17="","",IFERROR(INDEX(Equipe_Status,MATCH($B17,Equipe_Nome,0)),"?"))</f>
        <v/>
      </c>
      <c r="D17" s="27">
        <f>IF($A17="","",IFERROR(INDEX(Equipe_Turno,MATCH($B17,Equipe_Nome,0)),"?"))</f>
        <v/>
      </c>
      <c r="E17" s="34">
        <f>IF(OR($B17="",$C17&lt;&gt;"Ativo",$D17&lt;&gt;'Calc_Mix'!$C$2,'Calc_Mix'!$X$2=0,COUNTIFS(Esc_Turno,'Calc_Mix'!$C$2,Esc_Circ,$B17)+COUNTIFS(Esc_Turno,'Calc_Mix'!$C$2,Esc_Instr,$B17)&gt;0),"",IF(SUMPRODUCT('Calc_Mix'!$D$2:$W$2,'Matriz_Habilidades'!$D17:$W17)=0,"",SUMPRODUCT('Calc_Mix'!$D$2:$W$2,'Matriz_Habilidades'!$D17:$W17)/'Calc_Mix'!$X$2+ROW()*0.000001))</f>
        <v/>
      </c>
      <c r="F17" s="34">
        <f>IF(OR($B17="",$C17&lt;&gt;"Ativo",$D17&lt;&gt;'Calc_Mix'!$C$3,'Calc_Mix'!$X$3=0,COUNTIFS(Esc_Turno,'Calc_Mix'!$C$3,Esc_Circ,$B17)+COUNTIFS(Esc_Turno,'Calc_Mix'!$C$3,Esc_Instr,$B17)&gt;0),"",IF(SUMPRODUCT('Calc_Mix'!$D$3:$W$3,'Matriz_Habilidades'!$D17:$W17)=0,"",SUMPRODUCT('Calc_Mix'!$D$3:$W$3,'Matriz_Habilidades'!$D17:$W17)/'Calc_Mix'!$X$3+ROW()*0.000001))</f>
        <v/>
      </c>
      <c r="G17" s="34">
        <f>IF(OR($B17="",$C17&lt;&gt;"Ativo",$D17&lt;&gt;'Calc_Mix'!$C$4,'Calc_Mix'!$X$4=0,COUNTIFS(Esc_Turno,'Calc_Mix'!$C$4,Esc_Circ,$B17)+COUNTIFS(Esc_Turno,'Calc_Mix'!$C$4,Esc_Instr,$B17)&gt;0),"",IF(SUMPRODUCT('Calc_Mix'!$D$4:$W$4,'Matriz_Habilidades'!$D17:$W17)=0,"",SUMPRODUCT('Calc_Mix'!$D$4:$W$4,'Matriz_Habilidades'!$D17:$W17)/'Calc_Mix'!$X$4+ROW()*0.000001))</f>
        <v/>
      </c>
      <c r="H17" s="34">
        <f>IF(OR($B17="",$C17&lt;&gt;"Ativo",$D17&lt;&gt;'Calc_Mix'!$C$5,'Calc_Mix'!$X$5=0,COUNTIFS(Esc_Turno,'Calc_Mix'!$C$5,Esc_Circ,$B17)+COUNTIFS(Esc_Turno,'Calc_Mix'!$C$5,Esc_Instr,$B17)&gt;0),"",IF(SUMPRODUCT('Calc_Mix'!$D$5:$W$5,'Matriz_Habilidades'!$D17:$W17)=0,"",SUMPRODUCT('Calc_Mix'!$D$5:$W$5,'Matriz_Habilidades'!$D17:$W17)/'Calc_Mix'!$X$5+ROW()*0.000001))</f>
        <v/>
      </c>
      <c r="I17" s="34">
        <f>IF(OR($B17="",$C17&lt;&gt;"Ativo",$D17&lt;&gt;'Calc_Mix'!$C$6,'Calc_Mix'!$X$6=0,COUNTIFS(Esc_Turno,'Calc_Mix'!$C$6,Esc_Circ,$B17)+COUNTIFS(Esc_Turno,'Calc_Mix'!$C$6,Esc_Instr,$B17)&gt;0),"",IF(SUMPRODUCT('Calc_Mix'!$D$6:$W$6,'Matriz_Habilidades'!$D17:$W17)=0,"",SUMPRODUCT('Calc_Mix'!$D$6:$W$6,'Matriz_Habilidades'!$D17:$W17)/'Calc_Mix'!$X$6+ROW()*0.000001))</f>
        <v/>
      </c>
      <c r="J17" s="34">
        <f>IF(OR($B17="",$C17&lt;&gt;"Ativo",$D17&lt;&gt;'Calc_Mix'!$C$7,'Calc_Mix'!$X$7=0,COUNTIFS(Esc_Turno,'Calc_Mix'!$C$7,Esc_Circ,$B17)+COUNTIFS(Esc_Turno,'Calc_Mix'!$C$7,Esc_Instr,$B17)&gt;0),"",IF(SUMPRODUCT('Calc_Mix'!$D$7:$W$7,'Matriz_Habilidades'!$D17:$W17)=0,"",SUMPRODUCT('Calc_Mix'!$D$7:$W$7,'Matriz_Habilidades'!$D17:$W17)/'Calc_Mix'!$X$7+ROW()*0.000001))</f>
        <v/>
      </c>
      <c r="K17" s="34">
        <f>IF(OR($B17="",$C17&lt;&gt;"Ativo",$D17&lt;&gt;'Calc_Mix'!$C$8,'Calc_Mix'!$X$8=0,COUNTIFS(Esc_Turno,'Calc_Mix'!$C$8,Esc_Circ,$B17)+COUNTIFS(Esc_Turno,'Calc_Mix'!$C$8,Esc_Instr,$B17)&gt;0),"",IF(SUMPRODUCT('Calc_Mix'!$D$8:$W$8,'Matriz_Habilidades'!$D17:$W17)=0,"",SUMPRODUCT('Calc_Mix'!$D$8:$W$8,'Matriz_Habilidades'!$D17:$W17)/'Calc_Mix'!$X$8+ROW()*0.000001))</f>
        <v/>
      </c>
      <c r="L17" s="34">
        <f>IF(OR($B17="",$C17&lt;&gt;"Ativo",$D17&lt;&gt;'Calc_Mix'!$C$9,'Calc_Mix'!$X$9=0,COUNTIFS(Esc_Turno,'Calc_Mix'!$C$9,Esc_Circ,$B17)+COUNTIFS(Esc_Turno,'Calc_Mix'!$C$9,Esc_Instr,$B17)&gt;0),"",IF(SUMPRODUCT('Calc_Mix'!$D$9:$W$9,'Matriz_Habilidades'!$D17:$W17)=0,"",SUMPRODUCT('Calc_Mix'!$D$9:$W$9,'Matriz_Habilidades'!$D17:$W17)/'Calc_Mix'!$X$9+ROW()*0.000001))</f>
        <v/>
      </c>
      <c r="M17" s="34">
        <f>IF(OR($B17="",$C17&lt;&gt;"Ativo",$D17&lt;&gt;'Calc_Mix'!$C$10,'Calc_Mix'!$X$10=0,COUNTIFS(Esc_Turno,'Calc_Mix'!$C$10,Esc_Circ,$B17)+COUNTIFS(Esc_Turno,'Calc_Mix'!$C$10,Esc_Instr,$B17)&gt;0),"",IF(SUMPRODUCT('Calc_Mix'!$D$10:$W$10,'Matriz_Habilidades'!$D17:$W17)=0,"",SUMPRODUCT('Calc_Mix'!$D$10:$W$10,'Matriz_Habilidades'!$D17:$W17)/'Calc_Mix'!$X$10+ROW()*0.000001))</f>
        <v/>
      </c>
      <c r="N17" s="34">
        <f>IF(OR($B17="",$C17&lt;&gt;"Ativo",$D17&lt;&gt;'Calc_Mix'!$C$11,'Calc_Mix'!$X$11=0,COUNTIFS(Esc_Turno,'Calc_Mix'!$C$11,Esc_Circ,$B17)+COUNTIFS(Esc_Turno,'Calc_Mix'!$C$11,Esc_Instr,$B17)&gt;0),"",IF(SUMPRODUCT('Calc_Mix'!$D$11:$W$11,'Matriz_Habilidades'!$D17:$W17)=0,"",SUMPRODUCT('Calc_Mix'!$D$11:$W$11,'Matriz_Habilidades'!$D17:$W17)/'Calc_Mix'!$X$11+ROW()*0.000001))</f>
        <v/>
      </c>
      <c r="O17" s="34">
        <f>IF(OR($B17="",$C17&lt;&gt;"Ativo",$D17&lt;&gt;'Calc_Mix'!$C$12,'Calc_Mix'!$X$12=0,COUNTIFS(Esc_Turno,'Calc_Mix'!$C$12,Esc_Circ,$B17)+COUNTIFS(Esc_Turno,'Calc_Mix'!$C$12,Esc_Instr,$B17)&gt;0),"",IF(SUMPRODUCT('Calc_Mix'!$D$12:$W$12,'Matriz_Habilidades'!$D17:$W17)=0,"",SUMPRODUCT('Calc_Mix'!$D$12:$W$12,'Matriz_Habilidades'!$D17:$W17)/'Calc_Mix'!$X$12+ROW()*0.000001))</f>
        <v/>
      </c>
      <c r="P17" s="34">
        <f>IF(OR($B17="",$C17&lt;&gt;"Ativo",$D17&lt;&gt;'Calc_Mix'!$C$13,'Calc_Mix'!$X$13=0,COUNTIFS(Esc_Turno,'Calc_Mix'!$C$13,Esc_Circ,$B17)+COUNTIFS(Esc_Turno,'Calc_Mix'!$C$13,Esc_Instr,$B17)&gt;0),"",IF(SUMPRODUCT('Calc_Mix'!$D$13:$W$13,'Matriz_Habilidades'!$D17:$W17)=0,"",SUMPRODUCT('Calc_Mix'!$D$13:$W$13,'Matriz_Habilidades'!$D17:$W17)/'Calc_Mix'!$X$13+ROW()*0.000001))</f>
        <v/>
      </c>
      <c r="Q17" s="34">
        <f>IF(OR($B17="",$C17&lt;&gt;"Ativo",$D17&lt;&gt;'Calc_Mix'!$C$14,'Calc_Mix'!$X$14=0,COUNTIFS(Esc_Turno,'Calc_Mix'!$C$14,Esc_Circ,$B17)+COUNTIFS(Esc_Turno,'Calc_Mix'!$C$14,Esc_Instr,$B17)&gt;0),"",IF(SUMPRODUCT('Calc_Mix'!$D$14:$W$14,'Matriz_Habilidades'!$D17:$W17)=0,"",SUMPRODUCT('Calc_Mix'!$D$14:$W$14,'Matriz_Habilidades'!$D17:$W17)/'Calc_Mix'!$X$14+ROW()*0.000001))</f>
        <v/>
      </c>
      <c r="R17" s="34">
        <f>IF(OR($B17="",$C17&lt;&gt;"Ativo",$D17&lt;&gt;'Calc_Mix'!$C$15,'Calc_Mix'!$X$15=0,COUNTIFS(Esc_Turno,'Calc_Mix'!$C$15,Esc_Circ,$B17)+COUNTIFS(Esc_Turno,'Calc_Mix'!$C$15,Esc_Instr,$B17)&gt;0),"",IF(SUMPRODUCT('Calc_Mix'!$D$15:$W$15,'Matriz_Habilidades'!$D17:$W17)=0,"",SUMPRODUCT('Calc_Mix'!$D$15:$W$15,'Matriz_Habilidades'!$D17:$W17)/'Calc_Mix'!$X$15+ROW()*0.000001))</f>
        <v/>
      </c>
      <c r="S17" s="34">
        <f>IF(OR($B17="",$C17&lt;&gt;"Ativo",$D17&lt;&gt;'Calc_Mix'!$C$16,'Calc_Mix'!$X$16=0,COUNTIFS(Esc_Turno,'Calc_Mix'!$C$16,Esc_Circ,$B17)+COUNTIFS(Esc_Turno,'Calc_Mix'!$C$16,Esc_Instr,$B17)&gt;0),"",IF(SUMPRODUCT('Calc_Mix'!$D$16:$W$16,'Matriz_Habilidades'!$D17:$W17)=0,"",SUMPRODUCT('Calc_Mix'!$D$16:$W$16,'Matriz_Habilidades'!$D17:$W17)/'Calc_Mix'!$X$16+ROW()*0.000001))</f>
        <v/>
      </c>
      <c r="T17" s="34">
        <f>IF(OR($B17="",$C17&lt;&gt;"Ativo",$D17&lt;&gt;'Calc_Mix'!$C$17,'Calc_Mix'!$X$17=0,COUNTIFS(Esc_Turno,'Calc_Mix'!$C$17,Esc_Circ,$B17)+COUNTIFS(Esc_Turno,'Calc_Mix'!$C$17,Esc_Instr,$B17)&gt;0),"",IF(SUMPRODUCT('Calc_Mix'!$D$17:$W$17,'Matriz_Habilidades'!$D17:$W17)=0,"",SUMPRODUCT('Calc_Mix'!$D$17:$W$17,'Matriz_Habilidades'!$D17:$W17)/'Calc_Mix'!$X$17+ROW()*0.000001))</f>
        <v/>
      </c>
      <c r="U17" s="34">
        <f>IF(OR($B17="",$C17&lt;&gt;"Ativo",$D17&lt;&gt;'Calc_Mix'!$C$18,'Calc_Mix'!$X$18=0,COUNTIFS(Esc_Turno,'Calc_Mix'!$C$18,Esc_Circ,$B17)+COUNTIFS(Esc_Turno,'Calc_Mix'!$C$18,Esc_Instr,$B17)&gt;0),"",IF(SUMPRODUCT('Calc_Mix'!$D$18:$W$18,'Matriz_Habilidades'!$D17:$W17)=0,"",SUMPRODUCT('Calc_Mix'!$D$18:$W$18,'Matriz_Habilidades'!$D17:$W17)/'Calc_Mix'!$X$18+ROW()*0.000001))</f>
        <v/>
      </c>
      <c r="V17" s="34">
        <f>IF(OR($B17="",$C17&lt;&gt;"Ativo",$D17&lt;&gt;'Calc_Mix'!$C$19,'Calc_Mix'!$X$19=0,COUNTIFS(Esc_Turno,'Calc_Mix'!$C$19,Esc_Circ,$B17)+COUNTIFS(Esc_Turno,'Calc_Mix'!$C$19,Esc_Instr,$B17)&gt;0),"",IF(SUMPRODUCT('Calc_Mix'!$D$19:$W$19,'Matriz_Habilidades'!$D17:$W17)=0,"",SUMPRODUCT('Calc_Mix'!$D$19:$W$19,'Matriz_Habilidades'!$D17:$W17)/'Calc_Mix'!$X$19+ROW()*0.000001))</f>
        <v/>
      </c>
      <c r="W17" s="34">
        <f>IF(OR($B17="",$C17&lt;&gt;"Ativo",$D17&lt;&gt;'Calc_Mix'!$C$20,'Calc_Mix'!$X$20=0,COUNTIFS(Esc_Turno,'Calc_Mix'!$C$20,Esc_Circ,$B17)+COUNTIFS(Esc_Turno,'Calc_Mix'!$C$20,Esc_Instr,$B17)&gt;0),"",IF(SUMPRODUCT('Calc_Mix'!$D$20:$W$20,'Matriz_Habilidades'!$D17:$W17)=0,"",SUMPRODUCT('Calc_Mix'!$D$20:$W$20,'Matriz_Habilidades'!$D17:$W17)/'Calc_Mix'!$X$20+ROW()*0.000001))</f>
        <v/>
      </c>
      <c r="X17" s="34">
        <f>IF(OR($B17="",$C17&lt;&gt;"Ativo",$D17&lt;&gt;'Calc_Mix'!$C$21,'Calc_Mix'!$X$21=0,COUNTIFS(Esc_Turno,'Calc_Mix'!$C$21,Esc_Circ,$B17)+COUNTIFS(Esc_Turno,'Calc_Mix'!$C$21,Esc_Instr,$B17)&gt;0),"",IF(SUMPRODUCT('Calc_Mix'!$D$21:$W$21,'Matriz_Habilidades'!$D17:$W17)=0,"",SUMPRODUCT('Calc_Mix'!$D$21:$W$21,'Matriz_Habilidades'!$D17:$W17)/'Calc_Mix'!$X$21+ROW()*0.000001))</f>
        <v/>
      </c>
      <c r="Y17" s="34">
        <f>IF(OR($B17="",$C17&lt;&gt;"Ativo",$D17&lt;&gt;'Calc_Mix'!$C$22,'Calc_Mix'!$X$22=0,COUNTIFS(Esc_Turno,'Calc_Mix'!$C$22,Esc_Circ,$B17)+COUNTIFS(Esc_Turno,'Calc_Mix'!$C$22,Esc_Instr,$B17)&gt;0),"",IF(SUMPRODUCT('Calc_Mix'!$D$22:$W$22,'Matriz_Habilidades'!$D17:$W17)=0,"",SUMPRODUCT('Calc_Mix'!$D$22:$W$22,'Matriz_Habilidades'!$D17:$W17)/'Calc_Mix'!$X$22+ROW()*0.000001))</f>
        <v/>
      </c>
      <c r="Z17" s="34">
        <f>IF(OR($B17="",$C17&lt;&gt;"Ativo",$D17&lt;&gt;'Calc_Mix'!$C$23,'Calc_Mix'!$X$23=0,COUNTIFS(Esc_Turno,'Calc_Mix'!$C$23,Esc_Circ,$B17)+COUNTIFS(Esc_Turno,'Calc_Mix'!$C$23,Esc_Instr,$B17)&gt;0),"",IF(SUMPRODUCT('Calc_Mix'!$D$23:$W$23,'Matriz_Habilidades'!$D17:$W17)=0,"",SUMPRODUCT('Calc_Mix'!$D$23:$W$23,'Matriz_Habilidades'!$D17:$W17)/'Calc_Mix'!$X$23+ROW()*0.000001))</f>
        <v/>
      </c>
      <c r="AA17" s="34">
        <f>IF(OR($B17="",$C17&lt;&gt;"Ativo",$D17&lt;&gt;'Calc_Mix'!$C$24,'Calc_Mix'!$X$24=0,COUNTIFS(Esc_Turno,'Calc_Mix'!$C$24,Esc_Circ,$B17)+COUNTIFS(Esc_Turno,'Calc_Mix'!$C$24,Esc_Instr,$B17)&gt;0),"",IF(SUMPRODUCT('Calc_Mix'!$D$24:$W$24,'Matriz_Habilidades'!$D17:$W17)=0,"",SUMPRODUCT('Calc_Mix'!$D$24:$W$24,'Matriz_Habilidades'!$D17:$W17)/'Calc_Mix'!$X$24+ROW()*0.000001))</f>
        <v/>
      </c>
      <c r="AB17" s="34">
        <f>IF(OR($B17="",$C17&lt;&gt;"Ativo",$D17&lt;&gt;'Calc_Mix'!$C$25,'Calc_Mix'!$X$25=0,COUNTIFS(Esc_Turno,'Calc_Mix'!$C$25,Esc_Circ,$B17)+COUNTIFS(Esc_Turno,'Calc_Mix'!$C$25,Esc_Instr,$B17)&gt;0),"",IF(SUMPRODUCT('Calc_Mix'!$D$25:$W$25,'Matriz_Habilidades'!$D17:$W17)=0,"",SUMPRODUCT('Calc_Mix'!$D$25:$W$25,'Matriz_Habilidades'!$D17:$W17)/'Calc_Mix'!$X$25+ROW()*0.000001))</f>
        <v/>
      </c>
      <c r="AC17" s="34">
        <f>IF(OR($B17="",$C17&lt;&gt;"Ativo",$D17&lt;&gt;'Calc_Mix'!$C$26,'Calc_Mix'!$X$26=0,COUNTIFS(Esc_Turno,'Calc_Mix'!$C$26,Esc_Circ,$B17)+COUNTIFS(Esc_Turno,'Calc_Mix'!$C$26,Esc_Instr,$B17)&gt;0),"",IF(SUMPRODUCT('Calc_Mix'!$D$26:$W$26,'Matriz_Habilidades'!$D17:$W17)=0,"",SUMPRODUCT('Calc_Mix'!$D$26:$W$26,'Matriz_Habilidades'!$D17:$W17)/'Calc_Mix'!$X$26+ROW()*0.000001))</f>
        <v/>
      </c>
      <c r="AD17" s="34">
        <f>IF(OR($B17="",$C17&lt;&gt;"Ativo",$D17&lt;&gt;'Calc_Mix'!$C$27,'Calc_Mix'!$X$27=0,COUNTIFS(Esc_Turno,'Calc_Mix'!$C$27,Esc_Circ,$B17)+COUNTIFS(Esc_Turno,'Calc_Mix'!$C$27,Esc_Instr,$B17)&gt;0),"",IF(SUMPRODUCT('Calc_Mix'!$D$27:$W$27,'Matriz_Habilidades'!$D17:$W17)=0,"",SUMPRODUCT('Calc_Mix'!$D$27:$W$27,'Matriz_Habilidades'!$D17:$W17)/'Calc_Mix'!$X$27+ROW()*0.000001))</f>
        <v/>
      </c>
      <c r="AE17" s="34">
        <f>IF(OR($B17="",$C17&lt;&gt;"Ativo",$D17&lt;&gt;'Calc_Mix'!$C$28,'Calc_Mix'!$X$28=0,COUNTIFS(Esc_Turno,'Calc_Mix'!$C$28,Esc_Circ,$B17)+COUNTIFS(Esc_Turno,'Calc_Mix'!$C$28,Esc_Instr,$B17)&gt;0),"",IF(SUMPRODUCT('Calc_Mix'!$D$28:$W$28,'Matriz_Habilidades'!$D17:$W17)=0,"",SUMPRODUCT('Calc_Mix'!$D$28:$W$28,'Matriz_Habilidades'!$D17:$W17)/'Calc_Mix'!$X$28+ROW()*0.000001))</f>
        <v/>
      </c>
      <c r="AF17" s="34">
        <f>IF(OR($B17="",$C17&lt;&gt;"Ativo",$D17&lt;&gt;'Calc_Mix'!$C$29,'Calc_Mix'!$X$29=0,COUNTIFS(Esc_Turno,'Calc_Mix'!$C$29,Esc_Circ,$B17)+COUNTIFS(Esc_Turno,'Calc_Mix'!$C$29,Esc_Instr,$B17)&gt;0),"",IF(SUMPRODUCT('Calc_Mix'!$D$29:$W$29,'Matriz_Habilidades'!$D17:$W17)=0,"",SUMPRODUCT('Calc_Mix'!$D$29:$W$29,'Matriz_Habilidades'!$D17:$W17)/'Calc_Mix'!$X$29+ROW()*0.000001))</f>
        <v/>
      </c>
      <c r="AG17" s="34">
        <f>IF(OR($B17="",$C17&lt;&gt;"Ativo",$D17&lt;&gt;'Calc_Mix'!$C$30,'Calc_Mix'!$X$30=0,COUNTIFS(Esc_Turno,'Calc_Mix'!$C$30,Esc_Circ,$B17)+COUNTIFS(Esc_Turno,'Calc_Mix'!$C$30,Esc_Instr,$B17)&gt;0),"",IF(SUMPRODUCT('Calc_Mix'!$D$30:$W$30,'Matriz_Habilidades'!$D17:$W17)=0,"",SUMPRODUCT('Calc_Mix'!$D$30:$W$30,'Matriz_Habilidades'!$D17:$W17)/'Calc_Mix'!$X$30+ROW()*0.000001))</f>
        <v/>
      </c>
      <c r="AH17" s="34">
        <f>IF(OR($B17="",$C17&lt;&gt;"Ativo",$D17&lt;&gt;'Calc_Mix'!$C$31,'Calc_Mix'!$X$31=0,COUNTIFS(Esc_Turno,'Calc_Mix'!$C$31,Esc_Circ,$B17)+COUNTIFS(Esc_Turno,'Calc_Mix'!$C$31,Esc_Instr,$B17)&gt;0),"",IF(SUMPRODUCT('Calc_Mix'!$D$31:$W$31,'Matriz_Habilidades'!$D17:$W17)=0,"",SUMPRODUCT('Calc_Mix'!$D$31:$W$31,'Matriz_Habilidades'!$D17:$W17)/'Calc_Mix'!$X$31+ROW()*0.000001))</f>
        <v/>
      </c>
      <c r="AI17" s="34">
        <f>IF(OR($B17="",$C17&lt;&gt;"Ativo",$D17&lt;&gt;'Calc_Mix'!$C$32,'Calc_Mix'!$X$32=0,COUNTIFS(Esc_Turno,'Calc_Mix'!$C$32,Esc_Circ,$B17)+COUNTIFS(Esc_Turno,'Calc_Mix'!$C$32,Esc_Instr,$B17)&gt;0),"",IF(SUMPRODUCT('Calc_Mix'!$D$32:$W$32,'Matriz_Habilidades'!$D17:$W17)=0,"",SUMPRODUCT('Calc_Mix'!$D$32:$W$32,'Matriz_Habilidades'!$D17:$W17)/'Calc_Mix'!$X$32+ROW()*0.000001))</f>
        <v/>
      </c>
      <c r="AJ17" s="34">
        <f>IF(OR($B17="",$C17&lt;&gt;"Ativo",$D17&lt;&gt;'Calc_Mix'!$C$33,'Calc_Mix'!$X$33=0,COUNTIFS(Esc_Turno,'Calc_Mix'!$C$33,Esc_Circ,$B17)+COUNTIFS(Esc_Turno,'Calc_Mix'!$C$33,Esc_Instr,$B17)&gt;0),"",IF(SUMPRODUCT('Calc_Mix'!$D$33:$W$33,'Matriz_Habilidades'!$D17:$W17)=0,"",SUMPRODUCT('Calc_Mix'!$D$33:$W$33,'Matriz_Habilidades'!$D17:$W17)/'Calc_Mix'!$X$33+ROW()*0.000001))</f>
        <v/>
      </c>
      <c r="AK17" s="34">
        <f>IF(OR($B17="",$C17&lt;&gt;"Ativo",$D17&lt;&gt;'Calc_Mix'!$C$34,'Calc_Mix'!$X$34=0,COUNTIFS(Esc_Turno,'Calc_Mix'!$C$34,Esc_Circ,$B17)+COUNTIFS(Esc_Turno,'Calc_Mix'!$C$34,Esc_Instr,$B17)&gt;0),"",IF(SUMPRODUCT('Calc_Mix'!$D$34:$W$34,'Matriz_Habilidades'!$D17:$W17)=0,"",SUMPRODUCT('Calc_Mix'!$D$34:$W$34,'Matriz_Habilidades'!$D17:$W17)/'Calc_Mix'!$X$34+ROW()*0.000001))</f>
        <v/>
      </c>
      <c r="AL17" s="34">
        <f>IF(OR($B17="",$C17&lt;&gt;"Ativo",$D17&lt;&gt;'Calc_Mix'!$C$35,'Calc_Mix'!$X$35=0,COUNTIFS(Esc_Turno,'Calc_Mix'!$C$35,Esc_Circ,$B17)+COUNTIFS(Esc_Turno,'Calc_Mix'!$C$35,Esc_Instr,$B17)&gt;0),"",IF(SUMPRODUCT('Calc_Mix'!$D$35:$W$35,'Matriz_Habilidades'!$D17:$W17)=0,"",SUMPRODUCT('Calc_Mix'!$D$35:$W$35,'Matriz_Habilidades'!$D17:$W17)/'Calc_Mix'!$X$35+ROW()*0.000001))</f>
        <v/>
      </c>
      <c r="AM17" s="34">
        <f>IF(OR($B17="",$C17&lt;&gt;"Ativo",$D17&lt;&gt;'Calc_Mix'!$C$36,'Calc_Mix'!$X$36=0,COUNTIFS(Esc_Turno,'Calc_Mix'!$C$36,Esc_Circ,$B17)+COUNTIFS(Esc_Turno,'Calc_Mix'!$C$36,Esc_Instr,$B17)&gt;0),"",IF(SUMPRODUCT('Calc_Mix'!$D$36:$W$36,'Matriz_Habilidades'!$D17:$W17)=0,"",SUMPRODUCT('Calc_Mix'!$D$36:$W$36,'Matriz_Habilidades'!$D17:$W17)/'Calc_Mix'!$X$36+ROW()*0.000001))</f>
        <v/>
      </c>
      <c r="AN17" s="34">
        <f>IF(OR($B17="",$C17&lt;&gt;"Ativo",$D17&lt;&gt;'Calc_Mix'!$C$37,'Calc_Mix'!$X$37=0,COUNTIFS(Esc_Turno,'Calc_Mix'!$C$37,Esc_Circ,$B17)+COUNTIFS(Esc_Turno,'Calc_Mix'!$C$37,Esc_Instr,$B17)&gt;0),"",IF(SUMPRODUCT('Calc_Mix'!$D$37:$W$37,'Matriz_Habilidades'!$D17:$W17)=0,"",SUMPRODUCT('Calc_Mix'!$D$37:$W$37,'Matriz_Habilidades'!$D17:$W17)/'Calc_Mix'!$X$37+ROW()*0.000001))</f>
        <v/>
      </c>
    </row>
    <row r="18">
      <c r="A18" s="27">
        <f>IF('Matriz_Habilidades'!A18="","",'Matriz_Habilidades'!A18)</f>
        <v/>
      </c>
      <c r="B18" s="28">
        <f>IF('Matriz_Habilidades'!B18="","",'Matriz_Habilidades'!B18)</f>
        <v/>
      </c>
      <c r="C18" s="27">
        <f>IF($A18="","",IFERROR(INDEX(Equipe_Status,MATCH($B18,Equipe_Nome,0)),"?"))</f>
        <v/>
      </c>
      <c r="D18" s="27">
        <f>IF($A18="","",IFERROR(INDEX(Equipe_Turno,MATCH($B18,Equipe_Nome,0)),"?"))</f>
        <v/>
      </c>
      <c r="E18" s="34">
        <f>IF(OR($B18="",$C18&lt;&gt;"Ativo",$D18&lt;&gt;'Calc_Mix'!$C$2,'Calc_Mix'!$X$2=0,COUNTIFS(Esc_Turno,'Calc_Mix'!$C$2,Esc_Circ,$B18)+COUNTIFS(Esc_Turno,'Calc_Mix'!$C$2,Esc_Instr,$B18)&gt;0),"",IF(SUMPRODUCT('Calc_Mix'!$D$2:$W$2,'Matriz_Habilidades'!$D18:$W18)=0,"",SUMPRODUCT('Calc_Mix'!$D$2:$W$2,'Matriz_Habilidades'!$D18:$W18)/'Calc_Mix'!$X$2+ROW()*0.000001))</f>
        <v/>
      </c>
      <c r="F18" s="34">
        <f>IF(OR($B18="",$C18&lt;&gt;"Ativo",$D18&lt;&gt;'Calc_Mix'!$C$3,'Calc_Mix'!$X$3=0,COUNTIFS(Esc_Turno,'Calc_Mix'!$C$3,Esc_Circ,$B18)+COUNTIFS(Esc_Turno,'Calc_Mix'!$C$3,Esc_Instr,$B18)&gt;0),"",IF(SUMPRODUCT('Calc_Mix'!$D$3:$W$3,'Matriz_Habilidades'!$D18:$W18)=0,"",SUMPRODUCT('Calc_Mix'!$D$3:$W$3,'Matriz_Habilidades'!$D18:$W18)/'Calc_Mix'!$X$3+ROW()*0.000001))</f>
        <v/>
      </c>
      <c r="G18" s="34">
        <f>IF(OR($B18="",$C18&lt;&gt;"Ativo",$D18&lt;&gt;'Calc_Mix'!$C$4,'Calc_Mix'!$X$4=0,COUNTIFS(Esc_Turno,'Calc_Mix'!$C$4,Esc_Circ,$B18)+COUNTIFS(Esc_Turno,'Calc_Mix'!$C$4,Esc_Instr,$B18)&gt;0),"",IF(SUMPRODUCT('Calc_Mix'!$D$4:$W$4,'Matriz_Habilidades'!$D18:$W18)=0,"",SUMPRODUCT('Calc_Mix'!$D$4:$W$4,'Matriz_Habilidades'!$D18:$W18)/'Calc_Mix'!$X$4+ROW()*0.000001))</f>
        <v/>
      </c>
      <c r="H18" s="34">
        <f>IF(OR($B18="",$C18&lt;&gt;"Ativo",$D18&lt;&gt;'Calc_Mix'!$C$5,'Calc_Mix'!$X$5=0,COUNTIFS(Esc_Turno,'Calc_Mix'!$C$5,Esc_Circ,$B18)+COUNTIFS(Esc_Turno,'Calc_Mix'!$C$5,Esc_Instr,$B18)&gt;0),"",IF(SUMPRODUCT('Calc_Mix'!$D$5:$W$5,'Matriz_Habilidades'!$D18:$W18)=0,"",SUMPRODUCT('Calc_Mix'!$D$5:$W$5,'Matriz_Habilidades'!$D18:$W18)/'Calc_Mix'!$X$5+ROW()*0.000001))</f>
        <v/>
      </c>
      <c r="I18" s="34">
        <f>IF(OR($B18="",$C18&lt;&gt;"Ativo",$D18&lt;&gt;'Calc_Mix'!$C$6,'Calc_Mix'!$X$6=0,COUNTIFS(Esc_Turno,'Calc_Mix'!$C$6,Esc_Circ,$B18)+COUNTIFS(Esc_Turno,'Calc_Mix'!$C$6,Esc_Instr,$B18)&gt;0),"",IF(SUMPRODUCT('Calc_Mix'!$D$6:$W$6,'Matriz_Habilidades'!$D18:$W18)=0,"",SUMPRODUCT('Calc_Mix'!$D$6:$W$6,'Matriz_Habilidades'!$D18:$W18)/'Calc_Mix'!$X$6+ROW()*0.000001))</f>
        <v/>
      </c>
      <c r="J18" s="34">
        <f>IF(OR($B18="",$C18&lt;&gt;"Ativo",$D18&lt;&gt;'Calc_Mix'!$C$7,'Calc_Mix'!$X$7=0,COUNTIFS(Esc_Turno,'Calc_Mix'!$C$7,Esc_Circ,$B18)+COUNTIFS(Esc_Turno,'Calc_Mix'!$C$7,Esc_Instr,$B18)&gt;0),"",IF(SUMPRODUCT('Calc_Mix'!$D$7:$W$7,'Matriz_Habilidades'!$D18:$W18)=0,"",SUMPRODUCT('Calc_Mix'!$D$7:$W$7,'Matriz_Habilidades'!$D18:$W18)/'Calc_Mix'!$X$7+ROW()*0.000001))</f>
        <v/>
      </c>
      <c r="K18" s="34">
        <f>IF(OR($B18="",$C18&lt;&gt;"Ativo",$D18&lt;&gt;'Calc_Mix'!$C$8,'Calc_Mix'!$X$8=0,COUNTIFS(Esc_Turno,'Calc_Mix'!$C$8,Esc_Circ,$B18)+COUNTIFS(Esc_Turno,'Calc_Mix'!$C$8,Esc_Instr,$B18)&gt;0),"",IF(SUMPRODUCT('Calc_Mix'!$D$8:$W$8,'Matriz_Habilidades'!$D18:$W18)=0,"",SUMPRODUCT('Calc_Mix'!$D$8:$W$8,'Matriz_Habilidades'!$D18:$W18)/'Calc_Mix'!$X$8+ROW()*0.000001))</f>
        <v/>
      </c>
      <c r="L18" s="34">
        <f>IF(OR($B18="",$C18&lt;&gt;"Ativo",$D18&lt;&gt;'Calc_Mix'!$C$9,'Calc_Mix'!$X$9=0,COUNTIFS(Esc_Turno,'Calc_Mix'!$C$9,Esc_Circ,$B18)+COUNTIFS(Esc_Turno,'Calc_Mix'!$C$9,Esc_Instr,$B18)&gt;0),"",IF(SUMPRODUCT('Calc_Mix'!$D$9:$W$9,'Matriz_Habilidades'!$D18:$W18)=0,"",SUMPRODUCT('Calc_Mix'!$D$9:$W$9,'Matriz_Habilidades'!$D18:$W18)/'Calc_Mix'!$X$9+ROW()*0.000001))</f>
        <v/>
      </c>
      <c r="M18" s="34">
        <f>IF(OR($B18="",$C18&lt;&gt;"Ativo",$D18&lt;&gt;'Calc_Mix'!$C$10,'Calc_Mix'!$X$10=0,COUNTIFS(Esc_Turno,'Calc_Mix'!$C$10,Esc_Circ,$B18)+COUNTIFS(Esc_Turno,'Calc_Mix'!$C$10,Esc_Instr,$B18)&gt;0),"",IF(SUMPRODUCT('Calc_Mix'!$D$10:$W$10,'Matriz_Habilidades'!$D18:$W18)=0,"",SUMPRODUCT('Calc_Mix'!$D$10:$W$10,'Matriz_Habilidades'!$D18:$W18)/'Calc_Mix'!$X$10+ROW()*0.000001))</f>
        <v/>
      </c>
      <c r="N18" s="34">
        <f>IF(OR($B18="",$C18&lt;&gt;"Ativo",$D18&lt;&gt;'Calc_Mix'!$C$11,'Calc_Mix'!$X$11=0,COUNTIFS(Esc_Turno,'Calc_Mix'!$C$11,Esc_Circ,$B18)+COUNTIFS(Esc_Turno,'Calc_Mix'!$C$11,Esc_Instr,$B18)&gt;0),"",IF(SUMPRODUCT('Calc_Mix'!$D$11:$W$11,'Matriz_Habilidades'!$D18:$W18)=0,"",SUMPRODUCT('Calc_Mix'!$D$11:$W$11,'Matriz_Habilidades'!$D18:$W18)/'Calc_Mix'!$X$11+ROW()*0.000001))</f>
        <v/>
      </c>
      <c r="O18" s="34">
        <f>IF(OR($B18="",$C18&lt;&gt;"Ativo",$D18&lt;&gt;'Calc_Mix'!$C$12,'Calc_Mix'!$X$12=0,COUNTIFS(Esc_Turno,'Calc_Mix'!$C$12,Esc_Circ,$B18)+COUNTIFS(Esc_Turno,'Calc_Mix'!$C$12,Esc_Instr,$B18)&gt;0),"",IF(SUMPRODUCT('Calc_Mix'!$D$12:$W$12,'Matriz_Habilidades'!$D18:$W18)=0,"",SUMPRODUCT('Calc_Mix'!$D$12:$W$12,'Matriz_Habilidades'!$D18:$W18)/'Calc_Mix'!$X$12+ROW()*0.000001))</f>
        <v/>
      </c>
      <c r="P18" s="34">
        <f>IF(OR($B18="",$C18&lt;&gt;"Ativo",$D18&lt;&gt;'Calc_Mix'!$C$13,'Calc_Mix'!$X$13=0,COUNTIFS(Esc_Turno,'Calc_Mix'!$C$13,Esc_Circ,$B18)+COUNTIFS(Esc_Turno,'Calc_Mix'!$C$13,Esc_Instr,$B18)&gt;0),"",IF(SUMPRODUCT('Calc_Mix'!$D$13:$W$13,'Matriz_Habilidades'!$D18:$W18)=0,"",SUMPRODUCT('Calc_Mix'!$D$13:$W$13,'Matriz_Habilidades'!$D18:$W18)/'Calc_Mix'!$X$13+ROW()*0.000001))</f>
        <v/>
      </c>
      <c r="Q18" s="34">
        <f>IF(OR($B18="",$C18&lt;&gt;"Ativo",$D18&lt;&gt;'Calc_Mix'!$C$14,'Calc_Mix'!$X$14=0,COUNTIFS(Esc_Turno,'Calc_Mix'!$C$14,Esc_Circ,$B18)+COUNTIFS(Esc_Turno,'Calc_Mix'!$C$14,Esc_Instr,$B18)&gt;0),"",IF(SUMPRODUCT('Calc_Mix'!$D$14:$W$14,'Matriz_Habilidades'!$D18:$W18)=0,"",SUMPRODUCT('Calc_Mix'!$D$14:$W$14,'Matriz_Habilidades'!$D18:$W18)/'Calc_Mix'!$X$14+ROW()*0.000001))</f>
        <v/>
      </c>
      <c r="R18" s="34">
        <f>IF(OR($B18="",$C18&lt;&gt;"Ativo",$D18&lt;&gt;'Calc_Mix'!$C$15,'Calc_Mix'!$X$15=0,COUNTIFS(Esc_Turno,'Calc_Mix'!$C$15,Esc_Circ,$B18)+COUNTIFS(Esc_Turno,'Calc_Mix'!$C$15,Esc_Instr,$B18)&gt;0),"",IF(SUMPRODUCT('Calc_Mix'!$D$15:$W$15,'Matriz_Habilidades'!$D18:$W18)=0,"",SUMPRODUCT('Calc_Mix'!$D$15:$W$15,'Matriz_Habilidades'!$D18:$W18)/'Calc_Mix'!$X$15+ROW()*0.000001))</f>
        <v/>
      </c>
      <c r="S18" s="34">
        <f>IF(OR($B18="",$C18&lt;&gt;"Ativo",$D18&lt;&gt;'Calc_Mix'!$C$16,'Calc_Mix'!$X$16=0,COUNTIFS(Esc_Turno,'Calc_Mix'!$C$16,Esc_Circ,$B18)+COUNTIFS(Esc_Turno,'Calc_Mix'!$C$16,Esc_Instr,$B18)&gt;0),"",IF(SUMPRODUCT('Calc_Mix'!$D$16:$W$16,'Matriz_Habilidades'!$D18:$W18)=0,"",SUMPRODUCT('Calc_Mix'!$D$16:$W$16,'Matriz_Habilidades'!$D18:$W18)/'Calc_Mix'!$X$16+ROW()*0.000001))</f>
        <v/>
      </c>
      <c r="T18" s="34">
        <f>IF(OR($B18="",$C18&lt;&gt;"Ativo",$D18&lt;&gt;'Calc_Mix'!$C$17,'Calc_Mix'!$X$17=0,COUNTIFS(Esc_Turno,'Calc_Mix'!$C$17,Esc_Circ,$B18)+COUNTIFS(Esc_Turno,'Calc_Mix'!$C$17,Esc_Instr,$B18)&gt;0),"",IF(SUMPRODUCT('Calc_Mix'!$D$17:$W$17,'Matriz_Habilidades'!$D18:$W18)=0,"",SUMPRODUCT('Calc_Mix'!$D$17:$W$17,'Matriz_Habilidades'!$D18:$W18)/'Calc_Mix'!$X$17+ROW()*0.000001))</f>
        <v/>
      </c>
      <c r="U18" s="34">
        <f>IF(OR($B18="",$C18&lt;&gt;"Ativo",$D18&lt;&gt;'Calc_Mix'!$C$18,'Calc_Mix'!$X$18=0,COUNTIFS(Esc_Turno,'Calc_Mix'!$C$18,Esc_Circ,$B18)+COUNTIFS(Esc_Turno,'Calc_Mix'!$C$18,Esc_Instr,$B18)&gt;0),"",IF(SUMPRODUCT('Calc_Mix'!$D$18:$W$18,'Matriz_Habilidades'!$D18:$W18)=0,"",SUMPRODUCT('Calc_Mix'!$D$18:$W$18,'Matriz_Habilidades'!$D18:$W18)/'Calc_Mix'!$X$18+ROW()*0.000001))</f>
        <v/>
      </c>
      <c r="V18" s="34">
        <f>IF(OR($B18="",$C18&lt;&gt;"Ativo",$D18&lt;&gt;'Calc_Mix'!$C$19,'Calc_Mix'!$X$19=0,COUNTIFS(Esc_Turno,'Calc_Mix'!$C$19,Esc_Circ,$B18)+COUNTIFS(Esc_Turno,'Calc_Mix'!$C$19,Esc_Instr,$B18)&gt;0),"",IF(SUMPRODUCT('Calc_Mix'!$D$19:$W$19,'Matriz_Habilidades'!$D18:$W18)=0,"",SUMPRODUCT('Calc_Mix'!$D$19:$W$19,'Matriz_Habilidades'!$D18:$W18)/'Calc_Mix'!$X$19+ROW()*0.000001))</f>
        <v/>
      </c>
      <c r="W18" s="34">
        <f>IF(OR($B18="",$C18&lt;&gt;"Ativo",$D18&lt;&gt;'Calc_Mix'!$C$20,'Calc_Mix'!$X$20=0,COUNTIFS(Esc_Turno,'Calc_Mix'!$C$20,Esc_Circ,$B18)+COUNTIFS(Esc_Turno,'Calc_Mix'!$C$20,Esc_Instr,$B18)&gt;0),"",IF(SUMPRODUCT('Calc_Mix'!$D$20:$W$20,'Matriz_Habilidades'!$D18:$W18)=0,"",SUMPRODUCT('Calc_Mix'!$D$20:$W$20,'Matriz_Habilidades'!$D18:$W18)/'Calc_Mix'!$X$20+ROW()*0.000001))</f>
        <v/>
      </c>
      <c r="X18" s="34">
        <f>IF(OR($B18="",$C18&lt;&gt;"Ativo",$D18&lt;&gt;'Calc_Mix'!$C$21,'Calc_Mix'!$X$21=0,COUNTIFS(Esc_Turno,'Calc_Mix'!$C$21,Esc_Circ,$B18)+COUNTIFS(Esc_Turno,'Calc_Mix'!$C$21,Esc_Instr,$B18)&gt;0),"",IF(SUMPRODUCT('Calc_Mix'!$D$21:$W$21,'Matriz_Habilidades'!$D18:$W18)=0,"",SUMPRODUCT('Calc_Mix'!$D$21:$W$21,'Matriz_Habilidades'!$D18:$W18)/'Calc_Mix'!$X$21+ROW()*0.000001))</f>
        <v/>
      </c>
      <c r="Y18" s="34">
        <f>IF(OR($B18="",$C18&lt;&gt;"Ativo",$D18&lt;&gt;'Calc_Mix'!$C$22,'Calc_Mix'!$X$22=0,COUNTIFS(Esc_Turno,'Calc_Mix'!$C$22,Esc_Circ,$B18)+COUNTIFS(Esc_Turno,'Calc_Mix'!$C$22,Esc_Instr,$B18)&gt;0),"",IF(SUMPRODUCT('Calc_Mix'!$D$22:$W$22,'Matriz_Habilidades'!$D18:$W18)=0,"",SUMPRODUCT('Calc_Mix'!$D$22:$W$22,'Matriz_Habilidades'!$D18:$W18)/'Calc_Mix'!$X$22+ROW()*0.000001))</f>
        <v/>
      </c>
      <c r="Z18" s="34">
        <f>IF(OR($B18="",$C18&lt;&gt;"Ativo",$D18&lt;&gt;'Calc_Mix'!$C$23,'Calc_Mix'!$X$23=0,COUNTIFS(Esc_Turno,'Calc_Mix'!$C$23,Esc_Circ,$B18)+COUNTIFS(Esc_Turno,'Calc_Mix'!$C$23,Esc_Instr,$B18)&gt;0),"",IF(SUMPRODUCT('Calc_Mix'!$D$23:$W$23,'Matriz_Habilidades'!$D18:$W18)=0,"",SUMPRODUCT('Calc_Mix'!$D$23:$W$23,'Matriz_Habilidades'!$D18:$W18)/'Calc_Mix'!$X$23+ROW()*0.000001))</f>
        <v/>
      </c>
      <c r="AA18" s="34">
        <f>IF(OR($B18="",$C18&lt;&gt;"Ativo",$D18&lt;&gt;'Calc_Mix'!$C$24,'Calc_Mix'!$X$24=0,COUNTIFS(Esc_Turno,'Calc_Mix'!$C$24,Esc_Circ,$B18)+COUNTIFS(Esc_Turno,'Calc_Mix'!$C$24,Esc_Instr,$B18)&gt;0),"",IF(SUMPRODUCT('Calc_Mix'!$D$24:$W$24,'Matriz_Habilidades'!$D18:$W18)=0,"",SUMPRODUCT('Calc_Mix'!$D$24:$W$24,'Matriz_Habilidades'!$D18:$W18)/'Calc_Mix'!$X$24+ROW()*0.000001))</f>
        <v/>
      </c>
      <c r="AB18" s="34">
        <f>IF(OR($B18="",$C18&lt;&gt;"Ativo",$D18&lt;&gt;'Calc_Mix'!$C$25,'Calc_Mix'!$X$25=0,COUNTIFS(Esc_Turno,'Calc_Mix'!$C$25,Esc_Circ,$B18)+COUNTIFS(Esc_Turno,'Calc_Mix'!$C$25,Esc_Instr,$B18)&gt;0),"",IF(SUMPRODUCT('Calc_Mix'!$D$25:$W$25,'Matriz_Habilidades'!$D18:$W18)=0,"",SUMPRODUCT('Calc_Mix'!$D$25:$W$25,'Matriz_Habilidades'!$D18:$W18)/'Calc_Mix'!$X$25+ROW()*0.000001))</f>
        <v/>
      </c>
      <c r="AC18" s="34">
        <f>IF(OR($B18="",$C18&lt;&gt;"Ativo",$D18&lt;&gt;'Calc_Mix'!$C$26,'Calc_Mix'!$X$26=0,COUNTIFS(Esc_Turno,'Calc_Mix'!$C$26,Esc_Circ,$B18)+COUNTIFS(Esc_Turno,'Calc_Mix'!$C$26,Esc_Instr,$B18)&gt;0),"",IF(SUMPRODUCT('Calc_Mix'!$D$26:$W$26,'Matriz_Habilidades'!$D18:$W18)=0,"",SUMPRODUCT('Calc_Mix'!$D$26:$W$26,'Matriz_Habilidades'!$D18:$W18)/'Calc_Mix'!$X$26+ROW()*0.000001))</f>
        <v/>
      </c>
      <c r="AD18" s="34">
        <f>IF(OR($B18="",$C18&lt;&gt;"Ativo",$D18&lt;&gt;'Calc_Mix'!$C$27,'Calc_Mix'!$X$27=0,COUNTIFS(Esc_Turno,'Calc_Mix'!$C$27,Esc_Circ,$B18)+COUNTIFS(Esc_Turno,'Calc_Mix'!$C$27,Esc_Instr,$B18)&gt;0),"",IF(SUMPRODUCT('Calc_Mix'!$D$27:$W$27,'Matriz_Habilidades'!$D18:$W18)=0,"",SUMPRODUCT('Calc_Mix'!$D$27:$W$27,'Matriz_Habilidades'!$D18:$W18)/'Calc_Mix'!$X$27+ROW()*0.000001))</f>
        <v/>
      </c>
      <c r="AE18" s="34">
        <f>IF(OR($B18="",$C18&lt;&gt;"Ativo",$D18&lt;&gt;'Calc_Mix'!$C$28,'Calc_Mix'!$X$28=0,COUNTIFS(Esc_Turno,'Calc_Mix'!$C$28,Esc_Circ,$B18)+COUNTIFS(Esc_Turno,'Calc_Mix'!$C$28,Esc_Instr,$B18)&gt;0),"",IF(SUMPRODUCT('Calc_Mix'!$D$28:$W$28,'Matriz_Habilidades'!$D18:$W18)=0,"",SUMPRODUCT('Calc_Mix'!$D$28:$W$28,'Matriz_Habilidades'!$D18:$W18)/'Calc_Mix'!$X$28+ROW()*0.000001))</f>
        <v/>
      </c>
      <c r="AF18" s="34">
        <f>IF(OR($B18="",$C18&lt;&gt;"Ativo",$D18&lt;&gt;'Calc_Mix'!$C$29,'Calc_Mix'!$X$29=0,COUNTIFS(Esc_Turno,'Calc_Mix'!$C$29,Esc_Circ,$B18)+COUNTIFS(Esc_Turno,'Calc_Mix'!$C$29,Esc_Instr,$B18)&gt;0),"",IF(SUMPRODUCT('Calc_Mix'!$D$29:$W$29,'Matriz_Habilidades'!$D18:$W18)=0,"",SUMPRODUCT('Calc_Mix'!$D$29:$W$29,'Matriz_Habilidades'!$D18:$W18)/'Calc_Mix'!$X$29+ROW()*0.000001))</f>
        <v/>
      </c>
      <c r="AG18" s="34">
        <f>IF(OR($B18="",$C18&lt;&gt;"Ativo",$D18&lt;&gt;'Calc_Mix'!$C$30,'Calc_Mix'!$X$30=0,COUNTIFS(Esc_Turno,'Calc_Mix'!$C$30,Esc_Circ,$B18)+COUNTIFS(Esc_Turno,'Calc_Mix'!$C$30,Esc_Instr,$B18)&gt;0),"",IF(SUMPRODUCT('Calc_Mix'!$D$30:$W$30,'Matriz_Habilidades'!$D18:$W18)=0,"",SUMPRODUCT('Calc_Mix'!$D$30:$W$30,'Matriz_Habilidades'!$D18:$W18)/'Calc_Mix'!$X$30+ROW()*0.000001))</f>
        <v/>
      </c>
      <c r="AH18" s="34">
        <f>IF(OR($B18="",$C18&lt;&gt;"Ativo",$D18&lt;&gt;'Calc_Mix'!$C$31,'Calc_Mix'!$X$31=0,COUNTIFS(Esc_Turno,'Calc_Mix'!$C$31,Esc_Circ,$B18)+COUNTIFS(Esc_Turno,'Calc_Mix'!$C$31,Esc_Instr,$B18)&gt;0),"",IF(SUMPRODUCT('Calc_Mix'!$D$31:$W$31,'Matriz_Habilidades'!$D18:$W18)=0,"",SUMPRODUCT('Calc_Mix'!$D$31:$W$31,'Matriz_Habilidades'!$D18:$W18)/'Calc_Mix'!$X$31+ROW()*0.000001))</f>
        <v/>
      </c>
      <c r="AI18" s="34">
        <f>IF(OR($B18="",$C18&lt;&gt;"Ativo",$D18&lt;&gt;'Calc_Mix'!$C$32,'Calc_Mix'!$X$32=0,COUNTIFS(Esc_Turno,'Calc_Mix'!$C$32,Esc_Circ,$B18)+COUNTIFS(Esc_Turno,'Calc_Mix'!$C$32,Esc_Instr,$B18)&gt;0),"",IF(SUMPRODUCT('Calc_Mix'!$D$32:$W$32,'Matriz_Habilidades'!$D18:$W18)=0,"",SUMPRODUCT('Calc_Mix'!$D$32:$W$32,'Matriz_Habilidades'!$D18:$W18)/'Calc_Mix'!$X$32+ROW()*0.000001))</f>
        <v/>
      </c>
      <c r="AJ18" s="34">
        <f>IF(OR($B18="",$C18&lt;&gt;"Ativo",$D18&lt;&gt;'Calc_Mix'!$C$33,'Calc_Mix'!$X$33=0,COUNTIFS(Esc_Turno,'Calc_Mix'!$C$33,Esc_Circ,$B18)+COUNTIFS(Esc_Turno,'Calc_Mix'!$C$33,Esc_Instr,$B18)&gt;0),"",IF(SUMPRODUCT('Calc_Mix'!$D$33:$W$33,'Matriz_Habilidades'!$D18:$W18)=0,"",SUMPRODUCT('Calc_Mix'!$D$33:$W$33,'Matriz_Habilidades'!$D18:$W18)/'Calc_Mix'!$X$33+ROW()*0.000001))</f>
        <v/>
      </c>
      <c r="AK18" s="34">
        <f>IF(OR($B18="",$C18&lt;&gt;"Ativo",$D18&lt;&gt;'Calc_Mix'!$C$34,'Calc_Mix'!$X$34=0,COUNTIFS(Esc_Turno,'Calc_Mix'!$C$34,Esc_Circ,$B18)+COUNTIFS(Esc_Turno,'Calc_Mix'!$C$34,Esc_Instr,$B18)&gt;0),"",IF(SUMPRODUCT('Calc_Mix'!$D$34:$W$34,'Matriz_Habilidades'!$D18:$W18)=0,"",SUMPRODUCT('Calc_Mix'!$D$34:$W$34,'Matriz_Habilidades'!$D18:$W18)/'Calc_Mix'!$X$34+ROW()*0.000001))</f>
        <v/>
      </c>
      <c r="AL18" s="34">
        <f>IF(OR($B18="",$C18&lt;&gt;"Ativo",$D18&lt;&gt;'Calc_Mix'!$C$35,'Calc_Mix'!$X$35=0,COUNTIFS(Esc_Turno,'Calc_Mix'!$C$35,Esc_Circ,$B18)+COUNTIFS(Esc_Turno,'Calc_Mix'!$C$35,Esc_Instr,$B18)&gt;0),"",IF(SUMPRODUCT('Calc_Mix'!$D$35:$W$35,'Matriz_Habilidades'!$D18:$W18)=0,"",SUMPRODUCT('Calc_Mix'!$D$35:$W$35,'Matriz_Habilidades'!$D18:$W18)/'Calc_Mix'!$X$35+ROW()*0.000001))</f>
        <v/>
      </c>
      <c r="AM18" s="34">
        <f>IF(OR($B18="",$C18&lt;&gt;"Ativo",$D18&lt;&gt;'Calc_Mix'!$C$36,'Calc_Mix'!$X$36=0,COUNTIFS(Esc_Turno,'Calc_Mix'!$C$36,Esc_Circ,$B18)+COUNTIFS(Esc_Turno,'Calc_Mix'!$C$36,Esc_Instr,$B18)&gt;0),"",IF(SUMPRODUCT('Calc_Mix'!$D$36:$W$36,'Matriz_Habilidades'!$D18:$W18)=0,"",SUMPRODUCT('Calc_Mix'!$D$36:$W$36,'Matriz_Habilidades'!$D18:$W18)/'Calc_Mix'!$X$36+ROW()*0.000001))</f>
        <v/>
      </c>
      <c r="AN18" s="34">
        <f>IF(OR($B18="",$C18&lt;&gt;"Ativo",$D18&lt;&gt;'Calc_Mix'!$C$37,'Calc_Mix'!$X$37=0,COUNTIFS(Esc_Turno,'Calc_Mix'!$C$37,Esc_Circ,$B18)+COUNTIFS(Esc_Turno,'Calc_Mix'!$C$37,Esc_Instr,$B18)&gt;0),"",IF(SUMPRODUCT('Calc_Mix'!$D$37:$W$37,'Matriz_Habilidades'!$D18:$W18)=0,"",SUMPRODUCT('Calc_Mix'!$D$37:$W$37,'Matriz_Habilidades'!$D18:$W18)/'Calc_Mix'!$X$37+ROW()*0.000001))</f>
        <v/>
      </c>
    </row>
    <row r="19">
      <c r="A19" s="27">
        <f>IF('Matriz_Habilidades'!A19="","",'Matriz_Habilidades'!A19)</f>
        <v/>
      </c>
      <c r="B19" s="28">
        <f>IF('Matriz_Habilidades'!B19="","",'Matriz_Habilidades'!B19)</f>
        <v/>
      </c>
      <c r="C19" s="27">
        <f>IF($A19="","",IFERROR(INDEX(Equipe_Status,MATCH($B19,Equipe_Nome,0)),"?"))</f>
        <v/>
      </c>
      <c r="D19" s="27">
        <f>IF($A19="","",IFERROR(INDEX(Equipe_Turno,MATCH($B19,Equipe_Nome,0)),"?"))</f>
        <v/>
      </c>
      <c r="E19" s="34">
        <f>IF(OR($B19="",$C19&lt;&gt;"Ativo",$D19&lt;&gt;'Calc_Mix'!$C$2,'Calc_Mix'!$X$2=0,COUNTIFS(Esc_Turno,'Calc_Mix'!$C$2,Esc_Circ,$B19)+COUNTIFS(Esc_Turno,'Calc_Mix'!$C$2,Esc_Instr,$B19)&gt;0),"",IF(SUMPRODUCT('Calc_Mix'!$D$2:$W$2,'Matriz_Habilidades'!$D19:$W19)=0,"",SUMPRODUCT('Calc_Mix'!$D$2:$W$2,'Matriz_Habilidades'!$D19:$W19)/'Calc_Mix'!$X$2+ROW()*0.000001))</f>
        <v/>
      </c>
      <c r="F19" s="34">
        <f>IF(OR($B19="",$C19&lt;&gt;"Ativo",$D19&lt;&gt;'Calc_Mix'!$C$3,'Calc_Mix'!$X$3=0,COUNTIFS(Esc_Turno,'Calc_Mix'!$C$3,Esc_Circ,$B19)+COUNTIFS(Esc_Turno,'Calc_Mix'!$C$3,Esc_Instr,$B19)&gt;0),"",IF(SUMPRODUCT('Calc_Mix'!$D$3:$W$3,'Matriz_Habilidades'!$D19:$W19)=0,"",SUMPRODUCT('Calc_Mix'!$D$3:$W$3,'Matriz_Habilidades'!$D19:$W19)/'Calc_Mix'!$X$3+ROW()*0.000001))</f>
        <v/>
      </c>
      <c r="G19" s="34">
        <f>IF(OR($B19="",$C19&lt;&gt;"Ativo",$D19&lt;&gt;'Calc_Mix'!$C$4,'Calc_Mix'!$X$4=0,COUNTIFS(Esc_Turno,'Calc_Mix'!$C$4,Esc_Circ,$B19)+COUNTIFS(Esc_Turno,'Calc_Mix'!$C$4,Esc_Instr,$B19)&gt;0),"",IF(SUMPRODUCT('Calc_Mix'!$D$4:$W$4,'Matriz_Habilidades'!$D19:$W19)=0,"",SUMPRODUCT('Calc_Mix'!$D$4:$W$4,'Matriz_Habilidades'!$D19:$W19)/'Calc_Mix'!$X$4+ROW()*0.000001))</f>
        <v/>
      </c>
      <c r="H19" s="34">
        <f>IF(OR($B19="",$C19&lt;&gt;"Ativo",$D19&lt;&gt;'Calc_Mix'!$C$5,'Calc_Mix'!$X$5=0,COUNTIFS(Esc_Turno,'Calc_Mix'!$C$5,Esc_Circ,$B19)+COUNTIFS(Esc_Turno,'Calc_Mix'!$C$5,Esc_Instr,$B19)&gt;0),"",IF(SUMPRODUCT('Calc_Mix'!$D$5:$W$5,'Matriz_Habilidades'!$D19:$W19)=0,"",SUMPRODUCT('Calc_Mix'!$D$5:$W$5,'Matriz_Habilidades'!$D19:$W19)/'Calc_Mix'!$X$5+ROW()*0.000001))</f>
        <v/>
      </c>
      <c r="I19" s="34">
        <f>IF(OR($B19="",$C19&lt;&gt;"Ativo",$D19&lt;&gt;'Calc_Mix'!$C$6,'Calc_Mix'!$X$6=0,COUNTIFS(Esc_Turno,'Calc_Mix'!$C$6,Esc_Circ,$B19)+COUNTIFS(Esc_Turno,'Calc_Mix'!$C$6,Esc_Instr,$B19)&gt;0),"",IF(SUMPRODUCT('Calc_Mix'!$D$6:$W$6,'Matriz_Habilidades'!$D19:$W19)=0,"",SUMPRODUCT('Calc_Mix'!$D$6:$W$6,'Matriz_Habilidades'!$D19:$W19)/'Calc_Mix'!$X$6+ROW()*0.000001))</f>
        <v/>
      </c>
      <c r="J19" s="34">
        <f>IF(OR($B19="",$C19&lt;&gt;"Ativo",$D19&lt;&gt;'Calc_Mix'!$C$7,'Calc_Mix'!$X$7=0,COUNTIFS(Esc_Turno,'Calc_Mix'!$C$7,Esc_Circ,$B19)+COUNTIFS(Esc_Turno,'Calc_Mix'!$C$7,Esc_Instr,$B19)&gt;0),"",IF(SUMPRODUCT('Calc_Mix'!$D$7:$W$7,'Matriz_Habilidades'!$D19:$W19)=0,"",SUMPRODUCT('Calc_Mix'!$D$7:$W$7,'Matriz_Habilidades'!$D19:$W19)/'Calc_Mix'!$X$7+ROW()*0.000001))</f>
        <v/>
      </c>
      <c r="K19" s="34">
        <f>IF(OR($B19="",$C19&lt;&gt;"Ativo",$D19&lt;&gt;'Calc_Mix'!$C$8,'Calc_Mix'!$X$8=0,COUNTIFS(Esc_Turno,'Calc_Mix'!$C$8,Esc_Circ,$B19)+COUNTIFS(Esc_Turno,'Calc_Mix'!$C$8,Esc_Instr,$B19)&gt;0),"",IF(SUMPRODUCT('Calc_Mix'!$D$8:$W$8,'Matriz_Habilidades'!$D19:$W19)=0,"",SUMPRODUCT('Calc_Mix'!$D$8:$W$8,'Matriz_Habilidades'!$D19:$W19)/'Calc_Mix'!$X$8+ROW()*0.000001))</f>
        <v/>
      </c>
      <c r="L19" s="34">
        <f>IF(OR($B19="",$C19&lt;&gt;"Ativo",$D19&lt;&gt;'Calc_Mix'!$C$9,'Calc_Mix'!$X$9=0,COUNTIFS(Esc_Turno,'Calc_Mix'!$C$9,Esc_Circ,$B19)+COUNTIFS(Esc_Turno,'Calc_Mix'!$C$9,Esc_Instr,$B19)&gt;0),"",IF(SUMPRODUCT('Calc_Mix'!$D$9:$W$9,'Matriz_Habilidades'!$D19:$W19)=0,"",SUMPRODUCT('Calc_Mix'!$D$9:$W$9,'Matriz_Habilidades'!$D19:$W19)/'Calc_Mix'!$X$9+ROW()*0.000001))</f>
        <v/>
      </c>
      <c r="M19" s="34">
        <f>IF(OR($B19="",$C19&lt;&gt;"Ativo",$D19&lt;&gt;'Calc_Mix'!$C$10,'Calc_Mix'!$X$10=0,COUNTIFS(Esc_Turno,'Calc_Mix'!$C$10,Esc_Circ,$B19)+COUNTIFS(Esc_Turno,'Calc_Mix'!$C$10,Esc_Instr,$B19)&gt;0),"",IF(SUMPRODUCT('Calc_Mix'!$D$10:$W$10,'Matriz_Habilidades'!$D19:$W19)=0,"",SUMPRODUCT('Calc_Mix'!$D$10:$W$10,'Matriz_Habilidades'!$D19:$W19)/'Calc_Mix'!$X$10+ROW()*0.000001))</f>
        <v/>
      </c>
      <c r="N19" s="34">
        <f>IF(OR($B19="",$C19&lt;&gt;"Ativo",$D19&lt;&gt;'Calc_Mix'!$C$11,'Calc_Mix'!$X$11=0,COUNTIFS(Esc_Turno,'Calc_Mix'!$C$11,Esc_Circ,$B19)+COUNTIFS(Esc_Turno,'Calc_Mix'!$C$11,Esc_Instr,$B19)&gt;0),"",IF(SUMPRODUCT('Calc_Mix'!$D$11:$W$11,'Matriz_Habilidades'!$D19:$W19)=0,"",SUMPRODUCT('Calc_Mix'!$D$11:$W$11,'Matriz_Habilidades'!$D19:$W19)/'Calc_Mix'!$X$11+ROW()*0.000001))</f>
        <v/>
      </c>
      <c r="O19" s="34">
        <f>IF(OR($B19="",$C19&lt;&gt;"Ativo",$D19&lt;&gt;'Calc_Mix'!$C$12,'Calc_Mix'!$X$12=0,COUNTIFS(Esc_Turno,'Calc_Mix'!$C$12,Esc_Circ,$B19)+COUNTIFS(Esc_Turno,'Calc_Mix'!$C$12,Esc_Instr,$B19)&gt;0),"",IF(SUMPRODUCT('Calc_Mix'!$D$12:$W$12,'Matriz_Habilidades'!$D19:$W19)=0,"",SUMPRODUCT('Calc_Mix'!$D$12:$W$12,'Matriz_Habilidades'!$D19:$W19)/'Calc_Mix'!$X$12+ROW()*0.000001))</f>
        <v/>
      </c>
      <c r="P19" s="34">
        <f>IF(OR($B19="",$C19&lt;&gt;"Ativo",$D19&lt;&gt;'Calc_Mix'!$C$13,'Calc_Mix'!$X$13=0,COUNTIFS(Esc_Turno,'Calc_Mix'!$C$13,Esc_Circ,$B19)+COUNTIFS(Esc_Turno,'Calc_Mix'!$C$13,Esc_Instr,$B19)&gt;0),"",IF(SUMPRODUCT('Calc_Mix'!$D$13:$W$13,'Matriz_Habilidades'!$D19:$W19)=0,"",SUMPRODUCT('Calc_Mix'!$D$13:$W$13,'Matriz_Habilidades'!$D19:$W19)/'Calc_Mix'!$X$13+ROW()*0.000001))</f>
        <v/>
      </c>
      <c r="Q19" s="34">
        <f>IF(OR($B19="",$C19&lt;&gt;"Ativo",$D19&lt;&gt;'Calc_Mix'!$C$14,'Calc_Mix'!$X$14=0,COUNTIFS(Esc_Turno,'Calc_Mix'!$C$14,Esc_Circ,$B19)+COUNTIFS(Esc_Turno,'Calc_Mix'!$C$14,Esc_Instr,$B19)&gt;0),"",IF(SUMPRODUCT('Calc_Mix'!$D$14:$W$14,'Matriz_Habilidades'!$D19:$W19)=0,"",SUMPRODUCT('Calc_Mix'!$D$14:$W$14,'Matriz_Habilidades'!$D19:$W19)/'Calc_Mix'!$X$14+ROW()*0.000001))</f>
        <v/>
      </c>
      <c r="R19" s="34">
        <f>IF(OR($B19="",$C19&lt;&gt;"Ativo",$D19&lt;&gt;'Calc_Mix'!$C$15,'Calc_Mix'!$X$15=0,COUNTIFS(Esc_Turno,'Calc_Mix'!$C$15,Esc_Circ,$B19)+COUNTIFS(Esc_Turno,'Calc_Mix'!$C$15,Esc_Instr,$B19)&gt;0),"",IF(SUMPRODUCT('Calc_Mix'!$D$15:$W$15,'Matriz_Habilidades'!$D19:$W19)=0,"",SUMPRODUCT('Calc_Mix'!$D$15:$W$15,'Matriz_Habilidades'!$D19:$W19)/'Calc_Mix'!$X$15+ROW()*0.000001))</f>
        <v/>
      </c>
      <c r="S19" s="34">
        <f>IF(OR($B19="",$C19&lt;&gt;"Ativo",$D19&lt;&gt;'Calc_Mix'!$C$16,'Calc_Mix'!$X$16=0,COUNTIFS(Esc_Turno,'Calc_Mix'!$C$16,Esc_Circ,$B19)+COUNTIFS(Esc_Turno,'Calc_Mix'!$C$16,Esc_Instr,$B19)&gt;0),"",IF(SUMPRODUCT('Calc_Mix'!$D$16:$W$16,'Matriz_Habilidades'!$D19:$W19)=0,"",SUMPRODUCT('Calc_Mix'!$D$16:$W$16,'Matriz_Habilidades'!$D19:$W19)/'Calc_Mix'!$X$16+ROW()*0.000001))</f>
        <v/>
      </c>
      <c r="T19" s="34">
        <f>IF(OR($B19="",$C19&lt;&gt;"Ativo",$D19&lt;&gt;'Calc_Mix'!$C$17,'Calc_Mix'!$X$17=0,COUNTIFS(Esc_Turno,'Calc_Mix'!$C$17,Esc_Circ,$B19)+COUNTIFS(Esc_Turno,'Calc_Mix'!$C$17,Esc_Instr,$B19)&gt;0),"",IF(SUMPRODUCT('Calc_Mix'!$D$17:$W$17,'Matriz_Habilidades'!$D19:$W19)=0,"",SUMPRODUCT('Calc_Mix'!$D$17:$W$17,'Matriz_Habilidades'!$D19:$W19)/'Calc_Mix'!$X$17+ROW()*0.000001))</f>
        <v/>
      </c>
      <c r="U19" s="34">
        <f>IF(OR($B19="",$C19&lt;&gt;"Ativo",$D19&lt;&gt;'Calc_Mix'!$C$18,'Calc_Mix'!$X$18=0,COUNTIFS(Esc_Turno,'Calc_Mix'!$C$18,Esc_Circ,$B19)+COUNTIFS(Esc_Turno,'Calc_Mix'!$C$18,Esc_Instr,$B19)&gt;0),"",IF(SUMPRODUCT('Calc_Mix'!$D$18:$W$18,'Matriz_Habilidades'!$D19:$W19)=0,"",SUMPRODUCT('Calc_Mix'!$D$18:$W$18,'Matriz_Habilidades'!$D19:$W19)/'Calc_Mix'!$X$18+ROW()*0.000001))</f>
        <v/>
      </c>
      <c r="V19" s="34">
        <f>IF(OR($B19="",$C19&lt;&gt;"Ativo",$D19&lt;&gt;'Calc_Mix'!$C$19,'Calc_Mix'!$X$19=0,COUNTIFS(Esc_Turno,'Calc_Mix'!$C$19,Esc_Circ,$B19)+COUNTIFS(Esc_Turno,'Calc_Mix'!$C$19,Esc_Instr,$B19)&gt;0),"",IF(SUMPRODUCT('Calc_Mix'!$D$19:$W$19,'Matriz_Habilidades'!$D19:$W19)=0,"",SUMPRODUCT('Calc_Mix'!$D$19:$W$19,'Matriz_Habilidades'!$D19:$W19)/'Calc_Mix'!$X$19+ROW()*0.000001))</f>
        <v/>
      </c>
      <c r="W19" s="34">
        <f>IF(OR($B19="",$C19&lt;&gt;"Ativo",$D19&lt;&gt;'Calc_Mix'!$C$20,'Calc_Mix'!$X$20=0,COUNTIFS(Esc_Turno,'Calc_Mix'!$C$20,Esc_Circ,$B19)+COUNTIFS(Esc_Turno,'Calc_Mix'!$C$20,Esc_Instr,$B19)&gt;0),"",IF(SUMPRODUCT('Calc_Mix'!$D$20:$W$20,'Matriz_Habilidades'!$D19:$W19)=0,"",SUMPRODUCT('Calc_Mix'!$D$20:$W$20,'Matriz_Habilidades'!$D19:$W19)/'Calc_Mix'!$X$20+ROW()*0.000001))</f>
        <v/>
      </c>
      <c r="X19" s="34">
        <f>IF(OR($B19="",$C19&lt;&gt;"Ativo",$D19&lt;&gt;'Calc_Mix'!$C$21,'Calc_Mix'!$X$21=0,COUNTIFS(Esc_Turno,'Calc_Mix'!$C$21,Esc_Circ,$B19)+COUNTIFS(Esc_Turno,'Calc_Mix'!$C$21,Esc_Instr,$B19)&gt;0),"",IF(SUMPRODUCT('Calc_Mix'!$D$21:$W$21,'Matriz_Habilidades'!$D19:$W19)=0,"",SUMPRODUCT('Calc_Mix'!$D$21:$W$21,'Matriz_Habilidades'!$D19:$W19)/'Calc_Mix'!$X$21+ROW()*0.000001))</f>
        <v/>
      </c>
      <c r="Y19" s="34">
        <f>IF(OR($B19="",$C19&lt;&gt;"Ativo",$D19&lt;&gt;'Calc_Mix'!$C$22,'Calc_Mix'!$X$22=0,COUNTIFS(Esc_Turno,'Calc_Mix'!$C$22,Esc_Circ,$B19)+COUNTIFS(Esc_Turno,'Calc_Mix'!$C$22,Esc_Instr,$B19)&gt;0),"",IF(SUMPRODUCT('Calc_Mix'!$D$22:$W$22,'Matriz_Habilidades'!$D19:$W19)=0,"",SUMPRODUCT('Calc_Mix'!$D$22:$W$22,'Matriz_Habilidades'!$D19:$W19)/'Calc_Mix'!$X$22+ROW()*0.000001))</f>
        <v/>
      </c>
      <c r="Z19" s="34">
        <f>IF(OR($B19="",$C19&lt;&gt;"Ativo",$D19&lt;&gt;'Calc_Mix'!$C$23,'Calc_Mix'!$X$23=0,COUNTIFS(Esc_Turno,'Calc_Mix'!$C$23,Esc_Circ,$B19)+COUNTIFS(Esc_Turno,'Calc_Mix'!$C$23,Esc_Instr,$B19)&gt;0),"",IF(SUMPRODUCT('Calc_Mix'!$D$23:$W$23,'Matriz_Habilidades'!$D19:$W19)=0,"",SUMPRODUCT('Calc_Mix'!$D$23:$W$23,'Matriz_Habilidades'!$D19:$W19)/'Calc_Mix'!$X$23+ROW()*0.000001))</f>
        <v/>
      </c>
      <c r="AA19" s="34">
        <f>IF(OR($B19="",$C19&lt;&gt;"Ativo",$D19&lt;&gt;'Calc_Mix'!$C$24,'Calc_Mix'!$X$24=0,COUNTIFS(Esc_Turno,'Calc_Mix'!$C$24,Esc_Circ,$B19)+COUNTIFS(Esc_Turno,'Calc_Mix'!$C$24,Esc_Instr,$B19)&gt;0),"",IF(SUMPRODUCT('Calc_Mix'!$D$24:$W$24,'Matriz_Habilidades'!$D19:$W19)=0,"",SUMPRODUCT('Calc_Mix'!$D$24:$W$24,'Matriz_Habilidades'!$D19:$W19)/'Calc_Mix'!$X$24+ROW()*0.000001))</f>
        <v/>
      </c>
      <c r="AB19" s="34">
        <f>IF(OR($B19="",$C19&lt;&gt;"Ativo",$D19&lt;&gt;'Calc_Mix'!$C$25,'Calc_Mix'!$X$25=0,COUNTIFS(Esc_Turno,'Calc_Mix'!$C$25,Esc_Circ,$B19)+COUNTIFS(Esc_Turno,'Calc_Mix'!$C$25,Esc_Instr,$B19)&gt;0),"",IF(SUMPRODUCT('Calc_Mix'!$D$25:$W$25,'Matriz_Habilidades'!$D19:$W19)=0,"",SUMPRODUCT('Calc_Mix'!$D$25:$W$25,'Matriz_Habilidades'!$D19:$W19)/'Calc_Mix'!$X$25+ROW()*0.000001))</f>
        <v/>
      </c>
      <c r="AC19" s="34">
        <f>IF(OR($B19="",$C19&lt;&gt;"Ativo",$D19&lt;&gt;'Calc_Mix'!$C$26,'Calc_Mix'!$X$26=0,COUNTIFS(Esc_Turno,'Calc_Mix'!$C$26,Esc_Circ,$B19)+COUNTIFS(Esc_Turno,'Calc_Mix'!$C$26,Esc_Instr,$B19)&gt;0),"",IF(SUMPRODUCT('Calc_Mix'!$D$26:$W$26,'Matriz_Habilidades'!$D19:$W19)=0,"",SUMPRODUCT('Calc_Mix'!$D$26:$W$26,'Matriz_Habilidades'!$D19:$W19)/'Calc_Mix'!$X$26+ROW()*0.000001))</f>
        <v/>
      </c>
      <c r="AD19" s="34">
        <f>IF(OR($B19="",$C19&lt;&gt;"Ativo",$D19&lt;&gt;'Calc_Mix'!$C$27,'Calc_Mix'!$X$27=0,COUNTIFS(Esc_Turno,'Calc_Mix'!$C$27,Esc_Circ,$B19)+COUNTIFS(Esc_Turno,'Calc_Mix'!$C$27,Esc_Instr,$B19)&gt;0),"",IF(SUMPRODUCT('Calc_Mix'!$D$27:$W$27,'Matriz_Habilidades'!$D19:$W19)=0,"",SUMPRODUCT('Calc_Mix'!$D$27:$W$27,'Matriz_Habilidades'!$D19:$W19)/'Calc_Mix'!$X$27+ROW()*0.000001))</f>
        <v/>
      </c>
      <c r="AE19" s="34">
        <f>IF(OR($B19="",$C19&lt;&gt;"Ativo",$D19&lt;&gt;'Calc_Mix'!$C$28,'Calc_Mix'!$X$28=0,COUNTIFS(Esc_Turno,'Calc_Mix'!$C$28,Esc_Circ,$B19)+COUNTIFS(Esc_Turno,'Calc_Mix'!$C$28,Esc_Instr,$B19)&gt;0),"",IF(SUMPRODUCT('Calc_Mix'!$D$28:$W$28,'Matriz_Habilidades'!$D19:$W19)=0,"",SUMPRODUCT('Calc_Mix'!$D$28:$W$28,'Matriz_Habilidades'!$D19:$W19)/'Calc_Mix'!$X$28+ROW()*0.000001))</f>
        <v/>
      </c>
      <c r="AF19" s="34">
        <f>IF(OR($B19="",$C19&lt;&gt;"Ativo",$D19&lt;&gt;'Calc_Mix'!$C$29,'Calc_Mix'!$X$29=0,COUNTIFS(Esc_Turno,'Calc_Mix'!$C$29,Esc_Circ,$B19)+COUNTIFS(Esc_Turno,'Calc_Mix'!$C$29,Esc_Instr,$B19)&gt;0),"",IF(SUMPRODUCT('Calc_Mix'!$D$29:$W$29,'Matriz_Habilidades'!$D19:$W19)=0,"",SUMPRODUCT('Calc_Mix'!$D$29:$W$29,'Matriz_Habilidades'!$D19:$W19)/'Calc_Mix'!$X$29+ROW()*0.000001))</f>
        <v/>
      </c>
      <c r="AG19" s="34">
        <f>IF(OR($B19="",$C19&lt;&gt;"Ativo",$D19&lt;&gt;'Calc_Mix'!$C$30,'Calc_Mix'!$X$30=0,COUNTIFS(Esc_Turno,'Calc_Mix'!$C$30,Esc_Circ,$B19)+COUNTIFS(Esc_Turno,'Calc_Mix'!$C$30,Esc_Instr,$B19)&gt;0),"",IF(SUMPRODUCT('Calc_Mix'!$D$30:$W$30,'Matriz_Habilidades'!$D19:$W19)=0,"",SUMPRODUCT('Calc_Mix'!$D$30:$W$30,'Matriz_Habilidades'!$D19:$W19)/'Calc_Mix'!$X$30+ROW()*0.000001))</f>
        <v/>
      </c>
      <c r="AH19" s="34">
        <f>IF(OR($B19="",$C19&lt;&gt;"Ativo",$D19&lt;&gt;'Calc_Mix'!$C$31,'Calc_Mix'!$X$31=0,COUNTIFS(Esc_Turno,'Calc_Mix'!$C$31,Esc_Circ,$B19)+COUNTIFS(Esc_Turno,'Calc_Mix'!$C$31,Esc_Instr,$B19)&gt;0),"",IF(SUMPRODUCT('Calc_Mix'!$D$31:$W$31,'Matriz_Habilidades'!$D19:$W19)=0,"",SUMPRODUCT('Calc_Mix'!$D$31:$W$31,'Matriz_Habilidades'!$D19:$W19)/'Calc_Mix'!$X$31+ROW()*0.000001))</f>
        <v/>
      </c>
      <c r="AI19" s="34">
        <f>IF(OR($B19="",$C19&lt;&gt;"Ativo",$D19&lt;&gt;'Calc_Mix'!$C$32,'Calc_Mix'!$X$32=0,COUNTIFS(Esc_Turno,'Calc_Mix'!$C$32,Esc_Circ,$B19)+COUNTIFS(Esc_Turno,'Calc_Mix'!$C$32,Esc_Instr,$B19)&gt;0),"",IF(SUMPRODUCT('Calc_Mix'!$D$32:$W$32,'Matriz_Habilidades'!$D19:$W19)=0,"",SUMPRODUCT('Calc_Mix'!$D$32:$W$32,'Matriz_Habilidades'!$D19:$W19)/'Calc_Mix'!$X$32+ROW()*0.000001))</f>
        <v/>
      </c>
      <c r="AJ19" s="34">
        <f>IF(OR($B19="",$C19&lt;&gt;"Ativo",$D19&lt;&gt;'Calc_Mix'!$C$33,'Calc_Mix'!$X$33=0,COUNTIFS(Esc_Turno,'Calc_Mix'!$C$33,Esc_Circ,$B19)+COUNTIFS(Esc_Turno,'Calc_Mix'!$C$33,Esc_Instr,$B19)&gt;0),"",IF(SUMPRODUCT('Calc_Mix'!$D$33:$W$33,'Matriz_Habilidades'!$D19:$W19)=0,"",SUMPRODUCT('Calc_Mix'!$D$33:$W$33,'Matriz_Habilidades'!$D19:$W19)/'Calc_Mix'!$X$33+ROW()*0.000001))</f>
        <v/>
      </c>
      <c r="AK19" s="34">
        <f>IF(OR($B19="",$C19&lt;&gt;"Ativo",$D19&lt;&gt;'Calc_Mix'!$C$34,'Calc_Mix'!$X$34=0,COUNTIFS(Esc_Turno,'Calc_Mix'!$C$34,Esc_Circ,$B19)+COUNTIFS(Esc_Turno,'Calc_Mix'!$C$34,Esc_Instr,$B19)&gt;0),"",IF(SUMPRODUCT('Calc_Mix'!$D$34:$W$34,'Matriz_Habilidades'!$D19:$W19)=0,"",SUMPRODUCT('Calc_Mix'!$D$34:$W$34,'Matriz_Habilidades'!$D19:$W19)/'Calc_Mix'!$X$34+ROW()*0.000001))</f>
        <v/>
      </c>
      <c r="AL19" s="34">
        <f>IF(OR($B19="",$C19&lt;&gt;"Ativo",$D19&lt;&gt;'Calc_Mix'!$C$35,'Calc_Mix'!$X$35=0,COUNTIFS(Esc_Turno,'Calc_Mix'!$C$35,Esc_Circ,$B19)+COUNTIFS(Esc_Turno,'Calc_Mix'!$C$35,Esc_Instr,$B19)&gt;0),"",IF(SUMPRODUCT('Calc_Mix'!$D$35:$W$35,'Matriz_Habilidades'!$D19:$W19)=0,"",SUMPRODUCT('Calc_Mix'!$D$35:$W$35,'Matriz_Habilidades'!$D19:$W19)/'Calc_Mix'!$X$35+ROW()*0.000001))</f>
        <v/>
      </c>
      <c r="AM19" s="34">
        <f>IF(OR($B19="",$C19&lt;&gt;"Ativo",$D19&lt;&gt;'Calc_Mix'!$C$36,'Calc_Mix'!$X$36=0,COUNTIFS(Esc_Turno,'Calc_Mix'!$C$36,Esc_Circ,$B19)+COUNTIFS(Esc_Turno,'Calc_Mix'!$C$36,Esc_Instr,$B19)&gt;0),"",IF(SUMPRODUCT('Calc_Mix'!$D$36:$W$36,'Matriz_Habilidades'!$D19:$W19)=0,"",SUMPRODUCT('Calc_Mix'!$D$36:$W$36,'Matriz_Habilidades'!$D19:$W19)/'Calc_Mix'!$X$36+ROW()*0.000001))</f>
        <v/>
      </c>
      <c r="AN19" s="34">
        <f>IF(OR($B19="",$C19&lt;&gt;"Ativo",$D19&lt;&gt;'Calc_Mix'!$C$37,'Calc_Mix'!$X$37=0,COUNTIFS(Esc_Turno,'Calc_Mix'!$C$37,Esc_Circ,$B19)+COUNTIFS(Esc_Turno,'Calc_Mix'!$C$37,Esc_Instr,$B19)&gt;0),"",IF(SUMPRODUCT('Calc_Mix'!$D$37:$W$37,'Matriz_Habilidades'!$D19:$W19)=0,"",SUMPRODUCT('Calc_Mix'!$D$37:$W$37,'Matriz_Habilidades'!$D19:$W19)/'Calc_Mix'!$X$37+ROW()*0.000001))</f>
        <v/>
      </c>
    </row>
    <row r="20">
      <c r="A20" s="27">
        <f>IF('Matriz_Habilidades'!A20="","",'Matriz_Habilidades'!A20)</f>
        <v/>
      </c>
      <c r="B20" s="28">
        <f>IF('Matriz_Habilidades'!B20="","",'Matriz_Habilidades'!B20)</f>
        <v/>
      </c>
      <c r="C20" s="27">
        <f>IF($A20="","",IFERROR(INDEX(Equipe_Status,MATCH($B20,Equipe_Nome,0)),"?"))</f>
        <v/>
      </c>
      <c r="D20" s="27">
        <f>IF($A20="","",IFERROR(INDEX(Equipe_Turno,MATCH($B20,Equipe_Nome,0)),"?"))</f>
        <v/>
      </c>
      <c r="E20" s="34">
        <f>IF(OR($B20="",$C20&lt;&gt;"Ativo",$D20&lt;&gt;'Calc_Mix'!$C$2,'Calc_Mix'!$X$2=0,COUNTIFS(Esc_Turno,'Calc_Mix'!$C$2,Esc_Circ,$B20)+COUNTIFS(Esc_Turno,'Calc_Mix'!$C$2,Esc_Instr,$B20)&gt;0),"",IF(SUMPRODUCT('Calc_Mix'!$D$2:$W$2,'Matriz_Habilidades'!$D20:$W20)=0,"",SUMPRODUCT('Calc_Mix'!$D$2:$W$2,'Matriz_Habilidades'!$D20:$W20)/'Calc_Mix'!$X$2+ROW()*0.000001))</f>
        <v/>
      </c>
      <c r="F20" s="34">
        <f>IF(OR($B20="",$C20&lt;&gt;"Ativo",$D20&lt;&gt;'Calc_Mix'!$C$3,'Calc_Mix'!$X$3=0,COUNTIFS(Esc_Turno,'Calc_Mix'!$C$3,Esc_Circ,$B20)+COUNTIFS(Esc_Turno,'Calc_Mix'!$C$3,Esc_Instr,$B20)&gt;0),"",IF(SUMPRODUCT('Calc_Mix'!$D$3:$W$3,'Matriz_Habilidades'!$D20:$W20)=0,"",SUMPRODUCT('Calc_Mix'!$D$3:$W$3,'Matriz_Habilidades'!$D20:$W20)/'Calc_Mix'!$X$3+ROW()*0.000001))</f>
        <v/>
      </c>
      <c r="G20" s="34">
        <f>IF(OR($B20="",$C20&lt;&gt;"Ativo",$D20&lt;&gt;'Calc_Mix'!$C$4,'Calc_Mix'!$X$4=0,COUNTIFS(Esc_Turno,'Calc_Mix'!$C$4,Esc_Circ,$B20)+COUNTIFS(Esc_Turno,'Calc_Mix'!$C$4,Esc_Instr,$B20)&gt;0),"",IF(SUMPRODUCT('Calc_Mix'!$D$4:$W$4,'Matriz_Habilidades'!$D20:$W20)=0,"",SUMPRODUCT('Calc_Mix'!$D$4:$W$4,'Matriz_Habilidades'!$D20:$W20)/'Calc_Mix'!$X$4+ROW()*0.000001))</f>
        <v/>
      </c>
      <c r="H20" s="34">
        <f>IF(OR($B20="",$C20&lt;&gt;"Ativo",$D20&lt;&gt;'Calc_Mix'!$C$5,'Calc_Mix'!$X$5=0,COUNTIFS(Esc_Turno,'Calc_Mix'!$C$5,Esc_Circ,$B20)+COUNTIFS(Esc_Turno,'Calc_Mix'!$C$5,Esc_Instr,$B20)&gt;0),"",IF(SUMPRODUCT('Calc_Mix'!$D$5:$W$5,'Matriz_Habilidades'!$D20:$W20)=0,"",SUMPRODUCT('Calc_Mix'!$D$5:$W$5,'Matriz_Habilidades'!$D20:$W20)/'Calc_Mix'!$X$5+ROW()*0.000001))</f>
        <v/>
      </c>
      <c r="I20" s="34">
        <f>IF(OR($B20="",$C20&lt;&gt;"Ativo",$D20&lt;&gt;'Calc_Mix'!$C$6,'Calc_Mix'!$X$6=0,COUNTIFS(Esc_Turno,'Calc_Mix'!$C$6,Esc_Circ,$B20)+COUNTIFS(Esc_Turno,'Calc_Mix'!$C$6,Esc_Instr,$B20)&gt;0),"",IF(SUMPRODUCT('Calc_Mix'!$D$6:$W$6,'Matriz_Habilidades'!$D20:$W20)=0,"",SUMPRODUCT('Calc_Mix'!$D$6:$W$6,'Matriz_Habilidades'!$D20:$W20)/'Calc_Mix'!$X$6+ROW()*0.000001))</f>
        <v/>
      </c>
      <c r="J20" s="34">
        <f>IF(OR($B20="",$C20&lt;&gt;"Ativo",$D20&lt;&gt;'Calc_Mix'!$C$7,'Calc_Mix'!$X$7=0,COUNTIFS(Esc_Turno,'Calc_Mix'!$C$7,Esc_Circ,$B20)+COUNTIFS(Esc_Turno,'Calc_Mix'!$C$7,Esc_Instr,$B20)&gt;0),"",IF(SUMPRODUCT('Calc_Mix'!$D$7:$W$7,'Matriz_Habilidades'!$D20:$W20)=0,"",SUMPRODUCT('Calc_Mix'!$D$7:$W$7,'Matriz_Habilidades'!$D20:$W20)/'Calc_Mix'!$X$7+ROW()*0.000001))</f>
        <v/>
      </c>
      <c r="K20" s="34">
        <f>IF(OR($B20="",$C20&lt;&gt;"Ativo",$D20&lt;&gt;'Calc_Mix'!$C$8,'Calc_Mix'!$X$8=0,COUNTIFS(Esc_Turno,'Calc_Mix'!$C$8,Esc_Circ,$B20)+COUNTIFS(Esc_Turno,'Calc_Mix'!$C$8,Esc_Instr,$B20)&gt;0),"",IF(SUMPRODUCT('Calc_Mix'!$D$8:$W$8,'Matriz_Habilidades'!$D20:$W20)=0,"",SUMPRODUCT('Calc_Mix'!$D$8:$W$8,'Matriz_Habilidades'!$D20:$W20)/'Calc_Mix'!$X$8+ROW()*0.000001))</f>
        <v/>
      </c>
      <c r="L20" s="34">
        <f>IF(OR($B20="",$C20&lt;&gt;"Ativo",$D20&lt;&gt;'Calc_Mix'!$C$9,'Calc_Mix'!$X$9=0,COUNTIFS(Esc_Turno,'Calc_Mix'!$C$9,Esc_Circ,$B20)+COUNTIFS(Esc_Turno,'Calc_Mix'!$C$9,Esc_Instr,$B20)&gt;0),"",IF(SUMPRODUCT('Calc_Mix'!$D$9:$W$9,'Matriz_Habilidades'!$D20:$W20)=0,"",SUMPRODUCT('Calc_Mix'!$D$9:$W$9,'Matriz_Habilidades'!$D20:$W20)/'Calc_Mix'!$X$9+ROW()*0.000001))</f>
        <v/>
      </c>
      <c r="M20" s="34">
        <f>IF(OR($B20="",$C20&lt;&gt;"Ativo",$D20&lt;&gt;'Calc_Mix'!$C$10,'Calc_Mix'!$X$10=0,COUNTIFS(Esc_Turno,'Calc_Mix'!$C$10,Esc_Circ,$B20)+COUNTIFS(Esc_Turno,'Calc_Mix'!$C$10,Esc_Instr,$B20)&gt;0),"",IF(SUMPRODUCT('Calc_Mix'!$D$10:$W$10,'Matriz_Habilidades'!$D20:$W20)=0,"",SUMPRODUCT('Calc_Mix'!$D$10:$W$10,'Matriz_Habilidades'!$D20:$W20)/'Calc_Mix'!$X$10+ROW()*0.000001))</f>
        <v/>
      </c>
      <c r="N20" s="34">
        <f>IF(OR($B20="",$C20&lt;&gt;"Ativo",$D20&lt;&gt;'Calc_Mix'!$C$11,'Calc_Mix'!$X$11=0,COUNTIFS(Esc_Turno,'Calc_Mix'!$C$11,Esc_Circ,$B20)+COUNTIFS(Esc_Turno,'Calc_Mix'!$C$11,Esc_Instr,$B20)&gt;0),"",IF(SUMPRODUCT('Calc_Mix'!$D$11:$W$11,'Matriz_Habilidades'!$D20:$W20)=0,"",SUMPRODUCT('Calc_Mix'!$D$11:$W$11,'Matriz_Habilidades'!$D20:$W20)/'Calc_Mix'!$X$11+ROW()*0.000001))</f>
        <v/>
      </c>
      <c r="O20" s="34">
        <f>IF(OR($B20="",$C20&lt;&gt;"Ativo",$D20&lt;&gt;'Calc_Mix'!$C$12,'Calc_Mix'!$X$12=0,COUNTIFS(Esc_Turno,'Calc_Mix'!$C$12,Esc_Circ,$B20)+COUNTIFS(Esc_Turno,'Calc_Mix'!$C$12,Esc_Instr,$B20)&gt;0),"",IF(SUMPRODUCT('Calc_Mix'!$D$12:$W$12,'Matriz_Habilidades'!$D20:$W20)=0,"",SUMPRODUCT('Calc_Mix'!$D$12:$W$12,'Matriz_Habilidades'!$D20:$W20)/'Calc_Mix'!$X$12+ROW()*0.000001))</f>
        <v/>
      </c>
      <c r="P20" s="34">
        <f>IF(OR($B20="",$C20&lt;&gt;"Ativo",$D20&lt;&gt;'Calc_Mix'!$C$13,'Calc_Mix'!$X$13=0,COUNTIFS(Esc_Turno,'Calc_Mix'!$C$13,Esc_Circ,$B20)+COUNTIFS(Esc_Turno,'Calc_Mix'!$C$13,Esc_Instr,$B20)&gt;0),"",IF(SUMPRODUCT('Calc_Mix'!$D$13:$W$13,'Matriz_Habilidades'!$D20:$W20)=0,"",SUMPRODUCT('Calc_Mix'!$D$13:$W$13,'Matriz_Habilidades'!$D20:$W20)/'Calc_Mix'!$X$13+ROW()*0.000001))</f>
        <v/>
      </c>
      <c r="Q20" s="34">
        <f>IF(OR($B20="",$C20&lt;&gt;"Ativo",$D20&lt;&gt;'Calc_Mix'!$C$14,'Calc_Mix'!$X$14=0,COUNTIFS(Esc_Turno,'Calc_Mix'!$C$14,Esc_Circ,$B20)+COUNTIFS(Esc_Turno,'Calc_Mix'!$C$14,Esc_Instr,$B20)&gt;0),"",IF(SUMPRODUCT('Calc_Mix'!$D$14:$W$14,'Matriz_Habilidades'!$D20:$W20)=0,"",SUMPRODUCT('Calc_Mix'!$D$14:$W$14,'Matriz_Habilidades'!$D20:$W20)/'Calc_Mix'!$X$14+ROW()*0.000001))</f>
        <v/>
      </c>
      <c r="R20" s="34">
        <f>IF(OR($B20="",$C20&lt;&gt;"Ativo",$D20&lt;&gt;'Calc_Mix'!$C$15,'Calc_Mix'!$X$15=0,COUNTIFS(Esc_Turno,'Calc_Mix'!$C$15,Esc_Circ,$B20)+COUNTIFS(Esc_Turno,'Calc_Mix'!$C$15,Esc_Instr,$B20)&gt;0),"",IF(SUMPRODUCT('Calc_Mix'!$D$15:$W$15,'Matriz_Habilidades'!$D20:$W20)=0,"",SUMPRODUCT('Calc_Mix'!$D$15:$W$15,'Matriz_Habilidades'!$D20:$W20)/'Calc_Mix'!$X$15+ROW()*0.000001))</f>
        <v/>
      </c>
      <c r="S20" s="34">
        <f>IF(OR($B20="",$C20&lt;&gt;"Ativo",$D20&lt;&gt;'Calc_Mix'!$C$16,'Calc_Mix'!$X$16=0,COUNTIFS(Esc_Turno,'Calc_Mix'!$C$16,Esc_Circ,$B20)+COUNTIFS(Esc_Turno,'Calc_Mix'!$C$16,Esc_Instr,$B20)&gt;0),"",IF(SUMPRODUCT('Calc_Mix'!$D$16:$W$16,'Matriz_Habilidades'!$D20:$W20)=0,"",SUMPRODUCT('Calc_Mix'!$D$16:$W$16,'Matriz_Habilidades'!$D20:$W20)/'Calc_Mix'!$X$16+ROW()*0.000001))</f>
        <v/>
      </c>
      <c r="T20" s="34">
        <f>IF(OR($B20="",$C20&lt;&gt;"Ativo",$D20&lt;&gt;'Calc_Mix'!$C$17,'Calc_Mix'!$X$17=0,COUNTIFS(Esc_Turno,'Calc_Mix'!$C$17,Esc_Circ,$B20)+COUNTIFS(Esc_Turno,'Calc_Mix'!$C$17,Esc_Instr,$B20)&gt;0),"",IF(SUMPRODUCT('Calc_Mix'!$D$17:$W$17,'Matriz_Habilidades'!$D20:$W20)=0,"",SUMPRODUCT('Calc_Mix'!$D$17:$W$17,'Matriz_Habilidades'!$D20:$W20)/'Calc_Mix'!$X$17+ROW()*0.000001))</f>
        <v/>
      </c>
      <c r="U20" s="34">
        <f>IF(OR($B20="",$C20&lt;&gt;"Ativo",$D20&lt;&gt;'Calc_Mix'!$C$18,'Calc_Mix'!$X$18=0,COUNTIFS(Esc_Turno,'Calc_Mix'!$C$18,Esc_Circ,$B20)+COUNTIFS(Esc_Turno,'Calc_Mix'!$C$18,Esc_Instr,$B20)&gt;0),"",IF(SUMPRODUCT('Calc_Mix'!$D$18:$W$18,'Matriz_Habilidades'!$D20:$W20)=0,"",SUMPRODUCT('Calc_Mix'!$D$18:$W$18,'Matriz_Habilidades'!$D20:$W20)/'Calc_Mix'!$X$18+ROW()*0.000001))</f>
        <v/>
      </c>
      <c r="V20" s="34">
        <f>IF(OR($B20="",$C20&lt;&gt;"Ativo",$D20&lt;&gt;'Calc_Mix'!$C$19,'Calc_Mix'!$X$19=0,COUNTIFS(Esc_Turno,'Calc_Mix'!$C$19,Esc_Circ,$B20)+COUNTIFS(Esc_Turno,'Calc_Mix'!$C$19,Esc_Instr,$B20)&gt;0),"",IF(SUMPRODUCT('Calc_Mix'!$D$19:$W$19,'Matriz_Habilidades'!$D20:$W20)=0,"",SUMPRODUCT('Calc_Mix'!$D$19:$W$19,'Matriz_Habilidades'!$D20:$W20)/'Calc_Mix'!$X$19+ROW()*0.000001))</f>
        <v/>
      </c>
      <c r="W20" s="34">
        <f>IF(OR($B20="",$C20&lt;&gt;"Ativo",$D20&lt;&gt;'Calc_Mix'!$C$20,'Calc_Mix'!$X$20=0,COUNTIFS(Esc_Turno,'Calc_Mix'!$C$20,Esc_Circ,$B20)+COUNTIFS(Esc_Turno,'Calc_Mix'!$C$20,Esc_Instr,$B20)&gt;0),"",IF(SUMPRODUCT('Calc_Mix'!$D$20:$W$20,'Matriz_Habilidades'!$D20:$W20)=0,"",SUMPRODUCT('Calc_Mix'!$D$20:$W$20,'Matriz_Habilidades'!$D20:$W20)/'Calc_Mix'!$X$20+ROW()*0.000001))</f>
        <v/>
      </c>
      <c r="X20" s="34">
        <f>IF(OR($B20="",$C20&lt;&gt;"Ativo",$D20&lt;&gt;'Calc_Mix'!$C$21,'Calc_Mix'!$X$21=0,COUNTIFS(Esc_Turno,'Calc_Mix'!$C$21,Esc_Circ,$B20)+COUNTIFS(Esc_Turno,'Calc_Mix'!$C$21,Esc_Instr,$B20)&gt;0),"",IF(SUMPRODUCT('Calc_Mix'!$D$21:$W$21,'Matriz_Habilidades'!$D20:$W20)=0,"",SUMPRODUCT('Calc_Mix'!$D$21:$W$21,'Matriz_Habilidades'!$D20:$W20)/'Calc_Mix'!$X$21+ROW()*0.000001))</f>
        <v/>
      </c>
      <c r="Y20" s="34">
        <f>IF(OR($B20="",$C20&lt;&gt;"Ativo",$D20&lt;&gt;'Calc_Mix'!$C$22,'Calc_Mix'!$X$22=0,COUNTIFS(Esc_Turno,'Calc_Mix'!$C$22,Esc_Circ,$B20)+COUNTIFS(Esc_Turno,'Calc_Mix'!$C$22,Esc_Instr,$B20)&gt;0),"",IF(SUMPRODUCT('Calc_Mix'!$D$22:$W$22,'Matriz_Habilidades'!$D20:$W20)=0,"",SUMPRODUCT('Calc_Mix'!$D$22:$W$22,'Matriz_Habilidades'!$D20:$W20)/'Calc_Mix'!$X$22+ROW()*0.000001))</f>
        <v/>
      </c>
      <c r="Z20" s="34">
        <f>IF(OR($B20="",$C20&lt;&gt;"Ativo",$D20&lt;&gt;'Calc_Mix'!$C$23,'Calc_Mix'!$X$23=0,COUNTIFS(Esc_Turno,'Calc_Mix'!$C$23,Esc_Circ,$B20)+COUNTIFS(Esc_Turno,'Calc_Mix'!$C$23,Esc_Instr,$B20)&gt;0),"",IF(SUMPRODUCT('Calc_Mix'!$D$23:$W$23,'Matriz_Habilidades'!$D20:$W20)=0,"",SUMPRODUCT('Calc_Mix'!$D$23:$W$23,'Matriz_Habilidades'!$D20:$W20)/'Calc_Mix'!$X$23+ROW()*0.000001))</f>
        <v/>
      </c>
      <c r="AA20" s="34">
        <f>IF(OR($B20="",$C20&lt;&gt;"Ativo",$D20&lt;&gt;'Calc_Mix'!$C$24,'Calc_Mix'!$X$24=0,COUNTIFS(Esc_Turno,'Calc_Mix'!$C$24,Esc_Circ,$B20)+COUNTIFS(Esc_Turno,'Calc_Mix'!$C$24,Esc_Instr,$B20)&gt;0),"",IF(SUMPRODUCT('Calc_Mix'!$D$24:$W$24,'Matriz_Habilidades'!$D20:$W20)=0,"",SUMPRODUCT('Calc_Mix'!$D$24:$W$24,'Matriz_Habilidades'!$D20:$W20)/'Calc_Mix'!$X$24+ROW()*0.000001))</f>
        <v/>
      </c>
      <c r="AB20" s="34">
        <f>IF(OR($B20="",$C20&lt;&gt;"Ativo",$D20&lt;&gt;'Calc_Mix'!$C$25,'Calc_Mix'!$X$25=0,COUNTIFS(Esc_Turno,'Calc_Mix'!$C$25,Esc_Circ,$B20)+COUNTIFS(Esc_Turno,'Calc_Mix'!$C$25,Esc_Instr,$B20)&gt;0),"",IF(SUMPRODUCT('Calc_Mix'!$D$25:$W$25,'Matriz_Habilidades'!$D20:$W20)=0,"",SUMPRODUCT('Calc_Mix'!$D$25:$W$25,'Matriz_Habilidades'!$D20:$W20)/'Calc_Mix'!$X$25+ROW()*0.000001))</f>
        <v/>
      </c>
      <c r="AC20" s="34">
        <f>IF(OR($B20="",$C20&lt;&gt;"Ativo",$D20&lt;&gt;'Calc_Mix'!$C$26,'Calc_Mix'!$X$26=0,COUNTIFS(Esc_Turno,'Calc_Mix'!$C$26,Esc_Circ,$B20)+COUNTIFS(Esc_Turno,'Calc_Mix'!$C$26,Esc_Instr,$B20)&gt;0),"",IF(SUMPRODUCT('Calc_Mix'!$D$26:$W$26,'Matriz_Habilidades'!$D20:$W20)=0,"",SUMPRODUCT('Calc_Mix'!$D$26:$W$26,'Matriz_Habilidades'!$D20:$W20)/'Calc_Mix'!$X$26+ROW()*0.000001))</f>
        <v/>
      </c>
      <c r="AD20" s="34">
        <f>IF(OR($B20="",$C20&lt;&gt;"Ativo",$D20&lt;&gt;'Calc_Mix'!$C$27,'Calc_Mix'!$X$27=0,COUNTIFS(Esc_Turno,'Calc_Mix'!$C$27,Esc_Circ,$B20)+COUNTIFS(Esc_Turno,'Calc_Mix'!$C$27,Esc_Instr,$B20)&gt;0),"",IF(SUMPRODUCT('Calc_Mix'!$D$27:$W$27,'Matriz_Habilidades'!$D20:$W20)=0,"",SUMPRODUCT('Calc_Mix'!$D$27:$W$27,'Matriz_Habilidades'!$D20:$W20)/'Calc_Mix'!$X$27+ROW()*0.000001))</f>
        <v/>
      </c>
      <c r="AE20" s="34">
        <f>IF(OR($B20="",$C20&lt;&gt;"Ativo",$D20&lt;&gt;'Calc_Mix'!$C$28,'Calc_Mix'!$X$28=0,COUNTIFS(Esc_Turno,'Calc_Mix'!$C$28,Esc_Circ,$B20)+COUNTIFS(Esc_Turno,'Calc_Mix'!$C$28,Esc_Instr,$B20)&gt;0),"",IF(SUMPRODUCT('Calc_Mix'!$D$28:$W$28,'Matriz_Habilidades'!$D20:$W20)=0,"",SUMPRODUCT('Calc_Mix'!$D$28:$W$28,'Matriz_Habilidades'!$D20:$W20)/'Calc_Mix'!$X$28+ROW()*0.000001))</f>
        <v/>
      </c>
      <c r="AF20" s="34">
        <f>IF(OR($B20="",$C20&lt;&gt;"Ativo",$D20&lt;&gt;'Calc_Mix'!$C$29,'Calc_Mix'!$X$29=0,COUNTIFS(Esc_Turno,'Calc_Mix'!$C$29,Esc_Circ,$B20)+COUNTIFS(Esc_Turno,'Calc_Mix'!$C$29,Esc_Instr,$B20)&gt;0),"",IF(SUMPRODUCT('Calc_Mix'!$D$29:$W$29,'Matriz_Habilidades'!$D20:$W20)=0,"",SUMPRODUCT('Calc_Mix'!$D$29:$W$29,'Matriz_Habilidades'!$D20:$W20)/'Calc_Mix'!$X$29+ROW()*0.000001))</f>
        <v/>
      </c>
      <c r="AG20" s="34">
        <f>IF(OR($B20="",$C20&lt;&gt;"Ativo",$D20&lt;&gt;'Calc_Mix'!$C$30,'Calc_Mix'!$X$30=0,COUNTIFS(Esc_Turno,'Calc_Mix'!$C$30,Esc_Circ,$B20)+COUNTIFS(Esc_Turno,'Calc_Mix'!$C$30,Esc_Instr,$B20)&gt;0),"",IF(SUMPRODUCT('Calc_Mix'!$D$30:$W$30,'Matriz_Habilidades'!$D20:$W20)=0,"",SUMPRODUCT('Calc_Mix'!$D$30:$W$30,'Matriz_Habilidades'!$D20:$W20)/'Calc_Mix'!$X$30+ROW()*0.000001))</f>
        <v/>
      </c>
      <c r="AH20" s="34">
        <f>IF(OR($B20="",$C20&lt;&gt;"Ativo",$D20&lt;&gt;'Calc_Mix'!$C$31,'Calc_Mix'!$X$31=0,COUNTIFS(Esc_Turno,'Calc_Mix'!$C$31,Esc_Circ,$B20)+COUNTIFS(Esc_Turno,'Calc_Mix'!$C$31,Esc_Instr,$B20)&gt;0),"",IF(SUMPRODUCT('Calc_Mix'!$D$31:$W$31,'Matriz_Habilidades'!$D20:$W20)=0,"",SUMPRODUCT('Calc_Mix'!$D$31:$W$31,'Matriz_Habilidades'!$D20:$W20)/'Calc_Mix'!$X$31+ROW()*0.000001))</f>
        <v/>
      </c>
      <c r="AI20" s="34">
        <f>IF(OR($B20="",$C20&lt;&gt;"Ativo",$D20&lt;&gt;'Calc_Mix'!$C$32,'Calc_Mix'!$X$32=0,COUNTIFS(Esc_Turno,'Calc_Mix'!$C$32,Esc_Circ,$B20)+COUNTIFS(Esc_Turno,'Calc_Mix'!$C$32,Esc_Instr,$B20)&gt;0),"",IF(SUMPRODUCT('Calc_Mix'!$D$32:$W$32,'Matriz_Habilidades'!$D20:$W20)=0,"",SUMPRODUCT('Calc_Mix'!$D$32:$W$32,'Matriz_Habilidades'!$D20:$W20)/'Calc_Mix'!$X$32+ROW()*0.000001))</f>
        <v/>
      </c>
      <c r="AJ20" s="34">
        <f>IF(OR($B20="",$C20&lt;&gt;"Ativo",$D20&lt;&gt;'Calc_Mix'!$C$33,'Calc_Mix'!$X$33=0,COUNTIFS(Esc_Turno,'Calc_Mix'!$C$33,Esc_Circ,$B20)+COUNTIFS(Esc_Turno,'Calc_Mix'!$C$33,Esc_Instr,$B20)&gt;0),"",IF(SUMPRODUCT('Calc_Mix'!$D$33:$W$33,'Matriz_Habilidades'!$D20:$W20)=0,"",SUMPRODUCT('Calc_Mix'!$D$33:$W$33,'Matriz_Habilidades'!$D20:$W20)/'Calc_Mix'!$X$33+ROW()*0.000001))</f>
        <v/>
      </c>
      <c r="AK20" s="34">
        <f>IF(OR($B20="",$C20&lt;&gt;"Ativo",$D20&lt;&gt;'Calc_Mix'!$C$34,'Calc_Mix'!$X$34=0,COUNTIFS(Esc_Turno,'Calc_Mix'!$C$34,Esc_Circ,$B20)+COUNTIFS(Esc_Turno,'Calc_Mix'!$C$34,Esc_Instr,$B20)&gt;0),"",IF(SUMPRODUCT('Calc_Mix'!$D$34:$W$34,'Matriz_Habilidades'!$D20:$W20)=0,"",SUMPRODUCT('Calc_Mix'!$D$34:$W$34,'Matriz_Habilidades'!$D20:$W20)/'Calc_Mix'!$X$34+ROW()*0.000001))</f>
        <v/>
      </c>
      <c r="AL20" s="34">
        <f>IF(OR($B20="",$C20&lt;&gt;"Ativo",$D20&lt;&gt;'Calc_Mix'!$C$35,'Calc_Mix'!$X$35=0,COUNTIFS(Esc_Turno,'Calc_Mix'!$C$35,Esc_Circ,$B20)+COUNTIFS(Esc_Turno,'Calc_Mix'!$C$35,Esc_Instr,$B20)&gt;0),"",IF(SUMPRODUCT('Calc_Mix'!$D$35:$W$35,'Matriz_Habilidades'!$D20:$W20)=0,"",SUMPRODUCT('Calc_Mix'!$D$35:$W$35,'Matriz_Habilidades'!$D20:$W20)/'Calc_Mix'!$X$35+ROW()*0.000001))</f>
        <v/>
      </c>
      <c r="AM20" s="34">
        <f>IF(OR($B20="",$C20&lt;&gt;"Ativo",$D20&lt;&gt;'Calc_Mix'!$C$36,'Calc_Mix'!$X$36=0,COUNTIFS(Esc_Turno,'Calc_Mix'!$C$36,Esc_Circ,$B20)+COUNTIFS(Esc_Turno,'Calc_Mix'!$C$36,Esc_Instr,$B20)&gt;0),"",IF(SUMPRODUCT('Calc_Mix'!$D$36:$W$36,'Matriz_Habilidades'!$D20:$W20)=0,"",SUMPRODUCT('Calc_Mix'!$D$36:$W$36,'Matriz_Habilidades'!$D20:$W20)/'Calc_Mix'!$X$36+ROW()*0.000001))</f>
        <v/>
      </c>
      <c r="AN20" s="34">
        <f>IF(OR($B20="",$C20&lt;&gt;"Ativo",$D20&lt;&gt;'Calc_Mix'!$C$37,'Calc_Mix'!$X$37=0,COUNTIFS(Esc_Turno,'Calc_Mix'!$C$37,Esc_Circ,$B20)+COUNTIFS(Esc_Turno,'Calc_Mix'!$C$37,Esc_Instr,$B20)&gt;0),"",IF(SUMPRODUCT('Calc_Mix'!$D$37:$W$37,'Matriz_Habilidades'!$D20:$W20)=0,"",SUMPRODUCT('Calc_Mix'!$D$37:$W$37,'Matriz_Habilidades'!$D20:$W20)/'Calc_Mix'!$X$37+ROW()*0.000001))</f>
        <v/>
      </c>
    </row>
    <row r="21">
      <c r="A21" s="27">
        <f>IF('Matriz_Habilidades'!A21="","",'Matriz_Habilidades'!A21)</f>
        <v/>
      </c>
      <c r="B21" s="28">
        <f>IF('Matriz_Habilidades'!B21="","",'Matriz_Habilidades'!B21)</f>
        <v/>
      </c>
      <c r="C21" s="27">
        <f>IF($A21="","",IFERROR(INDEX(Equipe_Status,MATCH($B21,Equipe_Nome,0)),"?"))</f>
        <v/>
      </c>
      <c r="D21" s="27">
        <f>IF($A21="","",IFERROR(INDEX(Equipe_Turno,MATCH($B21,Equipe_Nome,0)),"?"))</f>
        <v/>
      </c>
      <c r="E21" s="34">
        <f>IF(OR($B21="",$C21&lt;&gt;"Ativo",$D21&lt;&gt;'Calc_Mix'!$C$2,'Calc_Mix'!$X$2=0,COUNTIFS(Esc_Turno,'Calc_Mix'!$C$2,Esc_Circ,$B21)+COUNTIFS(Esc_Turno,'Calc_Mix'!$C$2,Esc_Instr,$B21)&gt;0),"",IF(SUMPRODUCT('Calc_Mix'!$D$2:$W$2,'Matriz_Habilidades'!$D21:$W21)=0,"",SUMPRODUCT('Calc_Mix'!$D$2:$W$2,'Matriz_Habilidades'!$D21:$W21)/'Calc_Mix'!$X$2+ROW()*0.000001))</f>
        <v/>
      </c>
      <c r="F21" s="34">
        <f>IF(OR($B21="",$C21&lt;&gt;"Ativo",$D21&lt;&gt;'Calc_Mix'!$C$3,'Calc_Mix'!$X$3=0,COUNTIFS(Esc_Turno,'Calc_Mix'!$C$3,Esc_Circ,$B21)+COUNTIFS(Esc_Turno,'Calc_Mix'!$C$3,Esc_Instr,$B21)&gt;0),"",IF(SUMPRODUCT('Calc_Mix'!$D$3:$W$3,'Matriz_Habilidades'!$D21:$W21)=0,"",SUMPRODUCT('Calc_Mix'!$D$3:$W$3,'Matriz_Habilidades'!$D21:$W21)/'Calc_Mix'!$X$3+ROW()*0.000001))</f>
        <v/>
      </c>
      <c r="G21" s="34">
        <f>IF(OR($B21="",$C21&lt;&gt;"Ativo",$D21&lt;&gt;'Calc_Mix'!$C$4,'Calc_Mix'!$X$4=0,COUNTIFS(Esc_Turno,'Calc_Mix'!$C$4,Esc_Circ,$B21)+COUNTIFS(Esc_Turno,'Calc_Mix'!$C$4,Esc_Instr,$B21)&gt;0),"",IF(SUMPRODUCT('Calc_Mix'!$D$4:$W$4,'Matriz_Habilidades'!$D21:$W21)=0,"",SUMPRODUCT('Calc_Mix'!$D$4:$W$4,'Matriz_Habilidades'!$D21:$W21)/'Calc_Mix'!$X$4+ROW()*0.000001))</f>
        <v/>
      </c>
      <c r="H21" s="34">
        <f>IF(OR($B21="",$C21&lt;&gt;"Ativo",$D21&lt;&gt;'Calc_Mix'!$C$5,'Calc_Mix'!$X$5=0,COUNTIFS(Esc_Turno,'Calc_Mix'!$C$5,Esc_Circ,$B21)+COUNTIFS(Esc_Turno,'Calc_Mix'!$C$5,Esc_Instr,$B21)&gt;0),"",IF(SUMPRODUCT('Calc_Mix'!$D$5:$W$5,'Matriz_Habilidades'!$D21:$W21)=0,"",SUMPRODUCT('Calc_Mix'!$D$5:$W$5,'Matriz_Habilidades'!$D21:$W21)/'Calc_Mix'!$X$5+ROW()*0.000001))</f>
        <v/>
      </c>
      <c r="I21" s="34">
        <f>IF(OR($B21="",$C21&lt;&gt;"Ativo",$D21&lt;&gt;'Calc_Mix'!$C$6,'Calc_Mix'!$X$6=0,COUNTIFS(Esc_Turno,'Calc_Mix'!$C$6,Esc_Circ,$B21)+COUNTIFS(Esc_Turno,'Calc_Mix'!$C$6,Esc_Instr,$B21)&gt;0),"",IF(SUMPRODUCT('Calc_Mix'!$D$6:$W$6,'Matriz_Habilidades'!$D21:$W21)=0,"",SUMPRODUCT('Calc_Mix'!$D$6:$W$6,'Matriz_Habilidades'!$D21:$W21)/'Calc_Mix'!$X$6+ROW()*0.000001))</f>
        <v/>
      </c>
      <c r="J21" s="34">
        <f>IF(OR($B21="",$C21&lt;&gt;"Ativo",$D21&lt;&gt;'Calc_Mix'!$C$7,'Calc_Mix'!$X$7=0,COUNTIFS(Esc_Turno,'Calc_Mix'!$C$7,Esc_Circ,$B21)+COUNTIFS(Esc_Turno,'Calc_Mix'!$C$7,Esc_Instr,$B21)&gt;0),"",IF(SUMPRODUCT('Calc_Mix'!$D$7:$W$7,'Matriz_Habilidades'!$D21:$W21)=0,"",SUMPRODUCT('Calc_Mix'!$D$7:$W$7,'Matriz_Habilidades'!$D21:$W21)/'Calc_Mix'!$X$7+ROW()*0.000001))</f>
        <v/>
      </c>
      <c r="K21" s="34">
        <f>IF(OR($B21="",$C21&lt;&gt;"Ativo",$D21&lt;&gt;'Calc_Mix'!$C$8,'Calc_Mix'!$X$8=0,COUNTIFS(Esc_Turno,'Calc_Mix'!$C$8,Esc_Circ,$B21)+COUNTIFS(Esc_Turno,'Calc_Mix'!$C$8,Esc_Instr,$B21)&gt;0),"",IF(SUMPRODUCT('Calc_Mix'!$D$8:$W$8,'Matriz_Habilidades'!$D21:$W21)=0,"",SUMPRODUCT('Calc_Mix'!$D$8:$W$8,'Matriz_Habilidades'!$D21:$W21)/'Calc_Mix'!$X$8+ROW()*0.000001))</f>
        <v/>
      </c>
      <c r="L21" s="34">
        <f>IF(OR($B21="",$C21&lt;&gt;"Ativo",$D21&lt;&gt;'Calc_Mix'!$C$9,'Calc_Mix'!$X$9=0,COUNTIFS(Esc_Turno,'Calc_Mix'!$C$9,Esc_Circ,$B21)+COUNTIFS(Esc_Turno,'Calc_Mix'!$C$9,Esc_Instr,$B21)&gt;0),"",IF(SUMPRODUCT('Calc_Mix'!$D$9:$W$9,'Matriz_Habilidades'!$D21:$W21)=0,"",SUMPRODUCT('Calc_Mix'!$D$9:$W$9,'Matriz_Habilidades'!$D21:$W21)/'Calc_Mix'!$X$9+ROW()*0.000001))</f>
        <v/>
      </c>
      <c r="M21" s="34">
        <f>IF(OR($B21="",$C21&lt;&gt;"Ativo",$D21&lt;&gt;'Calc_Mix'!$C$10,'Calc_Mix'!$X$10=0,COUNTIFS(Esc_Turno,'Calc_Mix'!$C$10,Esc_Circ,$B21)+COUNTIFS(Esc_Turno,'Calc_Mix'!$C$10,Esc_Instr,$B21)&gt;0),"",IF(SUMPRODUCT('Calc_Mix'!$D$10:$W$10,'Matriz_Habilidades'!$D21:$W21)=0,"",SUMPRODUCT('Calc_Mix'!$D$10:$W$10,'Matriz_Habilidades'!$D21:$W21)/'Calc_Mix'!$X$10+ROW()*0.000001))</f>
        <v/>
      </c>
      <c r="N21" s="34">
        <f>IF(OR($B21="",$C21&lt;&gt;"Ativo",$D21&lt;&gt;'Calc_Mix'!$C$11,'Calc_Mix'!$X$11=0,COUNTIFS(Esc_Turno,'Calc_Mix'!$C$11,Esc_Circ,$B21)+COUNTIFS(Esc_Turno,'Calc_Mix'!$C$11,Esc_Instr,$B21)&gt;0),"",IF(SUMPRODUCT('Calc_Mix'!$D$11:$W$11,'Matriz_Habilidades'!$D21:$W21)=0,"",SUMPRODUCT('Calc_Mix'!$D$11:$W$11,'Matriz_Habilidades'!$D21:$W21)/'Calc_Mix'!$X$11+ROW()*0.000001))</f>
        <v/>
      </c>
      <c r="O21" s="34">
        <f>IF(OR($B21="",$C21&lt;&gt;"Ativo",$D21&lt;&gt;'Calc_Mix'!$C$12,'Calc_Mix'!$X$12=0,COUNTIFS(Esc_Turno,'Calc_Mix'!$C$12,Esc_Circ,$B21)+COUNTIFS(Esc_Turno,'Calc_Mix'!$C$12,Esc_Instr,$B21)&gt;0),"",IF(SUMPRODUCT('Calc_Mix'!$D$12:$W$12,'Matriz_Habilidades'!$D21:$W21)=0,"",SUMPRODUCT('Calc_Mix'!$D$12:$W$12,'Matriz_Habilidades'!$D21:$W21)/'Calc_Mix'!$X$12+ROW()*0.000001))</f>
        <v/>
      </c>
      <c r="P21" s="34">
        <f>IF(OR($B21="",$C21&lt;&gt;"Ativo",$D21&lt;&gt;'Calc_Mix'!$C$13,'Calc_Mix'!$X$13=0,COUNTIFS(Esc_Turno,'Calc_Mix'!$C$13,Esc_Circ,$B21)+COUNTIFS(Esc_Turno,'Calc_Mix'!$C$13,Esc_Instr,$B21)&gt;0),"",IF(SUMPRODUCT('Calc_Mix'!$D$13:$W$13,'Matriz_Habilidades'!$D21:$W21)=0,"",SUMPRODUCT('Calc_Mix'!$D$13:$W$13,'Matriz_Habilidades'!$D21:$W21)/'Calc_Mix'!$X$13+ROW()*0.000001))</f>
        <v/>
      </c>
      <c r="Q21" s="34">
        <f>IF(OR($B21="",$C21&lt;&gt;"Ativo",$D21&lt;&gt;'Calc_Mix'!$C$14,'Calc_Mix'!$X$14=0,COUNTIFS(Esc_Turno,'Calc_Mix'!$C$14,Esc_Circ,$B21)+COUNTIFS(Esc_Turno,'Calc_Mix'!$C$14,Esc_Instr,$B21)&gt;0),"",IF(SUMPRODUCT('Calc_Mix'!$D$14:$W$14,'Matriz_Habilidades'!$D21:$W21)=0,"",SUMPRODUCT('Calc_Mix'!$D$14:$W$14,'Matriz_Habilidades'!$D21:$W21)/'Calc_Mix'!$X$14+ROW()*0.000001))</f>
        <v/>
      </c>
      <c r="R21" s="34">
        <f>IF(OR($B21="",$C21&lt;&gt;"Ativo",$D21&lt;&gt;'Calc_Mix'!$C$15,'Calc_Mix'!$X$15=0,COUNTIFS(Esc_Turno,'Calc_Mix'!$C$15,Esc_Circ,$B21)+COUNTIFS(Esc_Turno,'Calc_Mix'!$C$15,Esc_Instr,$B21)&gt;0),"",IF(SUMPRODUCT('Calc_Mix'!$D$15:$W$15,'Matriz_Habilidades'!$D21:$W21)=0,"",SUMPRODUCT('Calc_Mix'!$D$15:$W$15,'Matriz_Habilidades'!$D21:$W21)/'Calc_Mix'!$X$15+ROW()*0.000001))</f>
        <v/>
      </c>
      <c r="S21" s="34">
        <f>IF(OR($B21="",$C21&lt;&gt;"Ativo",$D21&lt;&gt;'Calc_Mix'!$C$16,'Calc_Mix'!$X$16=0,COUNTIFS(Esc_Turno,'Calc_Mix'!$C$16,Esc_Circ,$B21)+COUNTIFS(Esc_Turno,'Calc_Mix'!$C$16,Esc_Instr,$B21)&gt;0),"",IF(SUMPRODUCT('Calc_Mix'!$D$16:$W$16,'Matriz_Habilidades'!$D21:$W21)=0,"",SUMPRODUCT('Calc_Mix'!$D$16:$W$16,'Matriz_Habilidades'!$D21:$W21)/'Calc_Mix'!$X$16+ROW()*0.000001))</f>
        <v/>
      </c>
      <c r="T21" s="34">
        <f>IF(OR($B21="",$C21&lt;&gt;"Ativo",$D21&lt;&gt;'Calc_Mix'!$C$17,'Calc_Mix'!$X$17=0,COUNTIFS(Esc_Turno,'Calc_Mix'!$C$17,Esc_Circ,$B21)+COUNTIFS(Esc_Turno,'Calc_Mix'!$C$17,Esc_Instr,$B21)&gt;0),"",IF(SUMPRODUCT('Calc_Mix'!$D$17:$W$17,'Matriz_Habilidades'!$D21:$W21)=0,"",SUMPRODUCT('Calc_Mix'!$D$17:$W$17,'Matriz_Habilidades'!$D21:$W21)/'Calc_Mix'!$X$17+ROW()*0.000001))</f>
        <v/>
      </c>
      <c r="U21" s="34">
        <f>IF(OR($B21="",$C21&lt;&gt;"Ativo",$D21&lt;&gt;'Calc_Mix'!$C$18,'Calc_Mix'!$X$18=0,COUNTIFS(Esc_Turno,'Calc_Mix'!$C$18,Esc_Circ,$B21)+COUNTIFS(Esc_Turno,'Calc_Mix'!$C$18,Esc_Instr,$B21)&gt;0),"",IF(SUMPRODUCT('Calc_Mix'!$D$18:$W$18,'Matriz_Habilidades'!$D21:$W21)=0,"",SUMPRODUCT('Calc_Mix'!$D$18:$W$18,'Matriz_Habilidades'!$D21:$W21)/'Calc_Mix'!$X$18+ROW()*0.000001))</f>
        <v/>
      </c>
      <c r="V21" s="34">
        <f>IF(OR($B21="",$C21&lt;&gt;"Ativo",$D21&lt;&gt;'Calc_Mix'!$C$19,'Calc_Mix'!$X$19=0,COUNTIFS(Esc_Turno,'Calc_Mix'!$C$19,Esc_Circ,$B21)+COUNTIFS(Esc_Turno,'Calc_Mix'!$C$19,Esc_Instr,$B21)&gt;0),"",IF(SUMPRODUCT('Calc_Mix'!$D$19:$W$19,'Matriz_Habilidades'!$D21:$W21)=0,"",SUMPRODUCT('Calc_Mix'!$D$19:$W$19,'Matriz_Habilidades'!$D21:$W21)/'Calc_Mix'!$X$19+ROW()*0.000001))</f>
        <v/>
      </c>
      <c r="W21" s="34">
        <f>IF(OR($B21="",$C21&lt;&gt;"Ativo",$D21&lt;&gt;'Calc_Mix'!$C$20,'Calc_Mix'!$X$20=0,COUNTIFS(Esc_Turno,'Calc_Mix'!$C$20,Esc_Circ,$B21)+COUNTIFS(Esc_Turno,'Calc_Mix'!$C$20,Esc_Instr,$B21)&gt;0),"",IF(SUMPRODUCT('Calc_Mix'!$D$20:$W$20,'Matriz_Habilidades'!$D21:$W21)=0,"",SUMPRODUCT('Calc_Mix'!$D$20:$W$20,'Matriz_Habilidades'!$D21:$W21)/'Calc_Mix'!$X$20+ROW()*0.000001))</f>
        <v/>
      </c>
      <c r="X21" s="34">
        <f>IF(OR($B21="",$C21&lt;&gt;"Ativo",$D21&lt;&gt;'Calc_Mix'!$C$21,'Calc_Mix'!$X$21=0,COUNTIFS(Esc_Turno,'Calc_Mix'!$C$21,Esc_Circ,$B21)+COUNTIFS(Esc_Turno,'Calc_Mix'!$C$21,Esc_Instr,$B21)&gt;0),"",IF(SUMPRODUCT('Calc_Mix'!$D$21:$W$21,'Matriz_Habilidades'!$D21:$W21)=0,"",SUMPRODUCT('Calc_Mix'!$D$21:$W$21,'Matriz_Habilidades'!$D21:$W21)/'Calc_Mix'!$X$21+ROW()*0.000001))</f>
        <v/>
      </c>
      <c r="Y21" s="34">
        <f>IF(OR($B21="",$C21&lt;&gt;"Ativo",$D21&lt;&gt;'Calc_Mix'!$C$22,'Calc_Mix'!$X$22=0,COUNTIFS(Esc_Turno,'Calc_Mix'!$C$22,Esc_Circ,$B21)+COUNTIFS(Esc_Turno,'Calc_Mix'!$C$22,Esc_Instr,$B21)&gt;0),"",IF(SUMPRODUCT('Calc_Mix'!$D$22:$W$22,'Matriz_Habilidades'!$D21:$W21)=0,"",SUMPRODUCT('Calc_Mix'!$D$22:$W$22,'Matriz_Habilidades'!$D21:$W21)/'Calc_Mix'!$X$22+ROW()*0.000001))</f>
        <v/>
      </c>
      <c r="Z21" s="34">
        <f>IF(OR($B21="",$C21&lt;&gt;"Ativo",$D21&lt;&gt;'Calc_Mix'!$C$23,'Calc_Mix'!$X$23=0,COUNTIFS(Esc_Turno,'Calc_Mix'!$C$23,Esc_Circ,$B21)+COUNTIFS(Esc_Turno,'Calc_Mix'!$C$23,Esc_Instr,$B21)&gt;0),"",IF(SUMPRODUCT('Calc_Mix'!$D$23:$W$23,'Matriz_Habilidades'!$D21:$W21)=0,"",SUMPRODUCT('Calc_Mix'!$D$23:$W$23,'Matriz_Habilidades'!$D21:$W21)/'Calc_Mix'!$X$23+ROW()*0.000001))</f>
        <v/>
      </c>
      <c r="AA21" s="34">
        <f>IF(OR($B21="",$C21&lt;&gt;"Ativo",$D21&lt;&gt;'Calc_Mix'!$C$24,'Calc_Mix'!$X$24=0,COUNTIFS(Esc_Turno,'Calc_Mix'!$C$24,Esc_Circ,$B21)+COUNTIFS(Esc_Turno,'Calc_Mix'!$C$24,Esc_Instr,$B21)&gt;0),"",IF(SUMPRODUCT('Calc_Mix'!$D$24:$W$24,'Matriz_Habilidades'!$D21:$W21)=0,"",SUMPRODUCT('Calc_Mix'!$D$24:$W$24,'Matriz_Habilidades'!$D21:$W21)/'Calc_Mix'!$X$24+ROW()*0.000001))</f>
        <v/>
      </c>
      <c r="AB21" s="34">
        <f>IF(OR($B21="",$C21&lt;&gt;"Ativo",$D21&lt;&gt;'Calc_Mix'!$C$25,'Calc_Mix'!$X$25=0,COUNTIFS(Esc_Turno,'Calc_Mix'!$C$25,Esc_Circ,$B21)+COUNTIFS(Esc_Turno,'Calc_Mix'!$C$25,Esc_Instr,$B21)&gt;0),"",IF(SUMPRODUCT('Calc_Mix'!$D$25:$W$25,'Matriz_Habilidades'!$D21:$W21)=0,"",SUMPRODUCT('Calc_Mix'!$D$25:$W$25,'Matriz_Habilidades'!$D21:$W21)/'Calc_Mix'!$X$25+ROW()*0.000001))</f>
        <v/>
      </c>
      <c r="AC21" s="34">
        <f>IF(OR($B21="",$C21&lt;&gt;"Ativo",$D21&lt;&gt;'Calc_Mix'!$C$26,'Calc_Mix'!$X$26=0,COUNTIFS(Esc_Turno,'Calc_Mix'!$C$26,Esc_Circ,$B21)+COUNTIFS(Esc_Turno,'Calc_Mix'!$C$26,Esc_Instr,$B21)&gt;0),"",IF(SUMPRODUCT('Calc_Mix'!$D$26:$W$26,'Matriz_Habilidades'!$D21:$W21)=0,"",SUMPRODUCT('Calc_Mix'!$D$26:$W$26,'Matriz_Habilidades'!$D21:$W21)/'Calc_Mix'!$X$26+ROW()*0.000001))</f>
        <v/>
      </c>
      <c r="AD21" s="34">
        <f>IF(OR($B21="",$C21&lt;&gt;"Ativo",$D21&lt;&gt;'Calc_Mix'!$C$27,'Calc_Mix'!$X$27=0,COUNTIFS(Esc_Turno,'Calc_Mix'!$C$27,Esc_Circ,$B21)+COUNTIFS(Esc_Turno,'Calc_Mix'!$C$27,Esc_Instr,$B21)&gt;0),"",IF(SUMPRODUCT('Calc_Mix'!$D$27:$W$27,'Matriz_Habilidades'!$D21:$W21)=0,"",SUMPRODUCT('Calc_Mix'!$D$27:$W$27,'Matriz_Habilidades'!$D21:$W21)/'Calc_Mix'!$X$27+ROW()*0.000001))</f>
        <v/>
      </c>
      <c r="AE21" s="34">
        <f>IF(OR($B21="",$C21&lt;&gt;"Ativo",$D21&lt;&gt;'Calc_Mix'!$C$28,'Calc_Mix'!$X$28=0,COUNTIFS(Esc_Turno,'Calc_Mix'!$C$28,Esc_Circ,$B21)+COUNTIFS(Esc_Turno,'Calc_Mix'!$C$28,Esc_Instr,$B21)&gt;0),"",IF(SUMPRODUCT('Calc_Mix'!$D$28:$W$28,'Matriz_Habilidades'!$D21:$W21)=0,"",SUMPRODUCT('Calc_Mix'!$D$28:$W$28,'Matriz_Habilidades'!$D21:$W21)/'Calc_Mix'!$X$28+ROW()*0.000001))</f>
        <v/>
      </c>
      <c r="AF21" s="34">
        <f>IF(OR($B21="",$C21&lt;&gt;"Ativo",$D21&lt;&gt;'Calc_Mix'!$C$29,'Calc_Mix'!$X$29=0,COUNTIFS(Esc_Turno,'Calc_Mix'!$C$29,Esc_Circ,$B21)+COUNTIFS(Esc_Turno,'Calc_Mix'!$C$29,Esc_Instr,$B21)&gt;0),"",IF(SUMPRODUCT('Calc_Mix'!$D$29:$W$29,'Matriz_Habilidades'!$D21:$W21)=0,"",SUMPRODUCT('Calc_Mix'!$D$29:$W$29,'Matriz_Habilidades'!$D21:$W21)/'Calc_Mix'!$X$29+ROW()*0.000001))</f>
        <v/>
      </c>
      <c r="AG21" s="34">
        <f>IF(OR($B21="",$C21&lt;&gt;"Ativo",$D21&lt;&gt;'Calc_Mix'!$C$30,'Calc_Mix'!$X$30=0,COUNTIFS(Esc_Turno,'Calc_Mix'!$C$30,Esc_Circ,$B21)+COUNTIFS(Esc_Turno,'Calc_Mix'!$C$30,Esc_Instr,$B21)&gt;0),"",IF(SUMPRODUCT('Calc_Mix'!$D$30:$W$30,'Matriz_Habilidades'!$D21:$W21)=0,"",SUMPRODUCT('Calc_Mix'!$D$30:$W$30,'Matriz_Habilidades'!$D21:$W21)/'Calc_Mix'!$X$30+ROW()*0.000001))</f>
        <v/>
      </c>
      <c r="AH21" s="34">
        <f>IF(OR($B21="",$C21&lt;&gt;"Ativo",$D21&lt;&gt;'Calc_Mix'!$C$31,'Calc_Mix'!$X$31=0,COUNTIFS(Esc_Turno,'Calc_Mix'!$C$31,Esc_Circ,$B21)+COUNTIFS(Esc_Turno,'Calc_Mix'!$C$31,Esc_Instr,$B21)&gt;0),"",IF(SUMPRODUCT('Calc_Mix'!$D$31:$W$31,'Matriz_Habilidades'!$D21:$W21)=0,"",SUMPRODUCT('Calc_Mix'!$D$31:$W$31,'Matriz_Habilidades'!$D21:$W21)/'Calc_Mix'!$X$31+ROW()*0.000001))</f>
        <v/>
      </c>
      <c r="AI21" s="34">
        <f>IF(OR($B21="",$C21&lt;&gt;"Ativo",$D21&lt;&gt;'Calc_Mix'!$C$32,'Calc_Mix'!$X$32=0,COUNTIFS(Esc_Turno,'Calc_Mix'!$C$32,Esc_Circ,$B21)+COUNTIFS(Esc_Turno,'Calc_Mix'!$C$32,Esc_Instr,$B21)&gt;0),"",IF(SUMPRODUCT('Calc_Mix'!$D$32:$W$32,'Matriz_Habilidades'!$D21:$W21)=0,"",SUMPRODUCT('Calc_Mix'!$D$32:$W$32,'Matriz_Habilidades'!$D21:$W21)/'Calc_Mix'!$X$32+ROW()*0.000001))</f>
        <v/>
      </c>
      <c r="AJ21" s="34">
        <f>IF(OR($B21="",$C21&lt;&gt;"Ativo",$D21&lt;&gt;'Calc_Mix'!$C$33,'Calc_Mix'!$X$33=0,COUNTIFS(Esc_Turno,'Calc_Mix'!$C$33,Esc_Circ,$B21)+COUNTIFS(Esc_Turno,'Calc_Mix'!$C$33,Esc_Instr,$B21)&gt;0),"",IF(SUMPRODUCT('Calc_Mix'!$D$33:$W$33,'Matriz_Habilidades'!$D21:$W21)=0,"",SUMPRODUCT('Calc_Mix'!$D$33:$W$33,'Matriz_Habilidades'!$D21:$W21)/'Calc_Mix'!$X$33+ROW()*0.000001))</f>
        <v/>
      </c>
      <c r="AK21" s="34">
        <f>IF(OR($B21="",$C21&lt;&gt;"Ativo",$D21&lt;&gt;'Calc_Mix'!$C$34,'Calc_Mix'!$X$34=0,COUNTIFS(Esc_Turno,'Calc_Mix'!$C$34,Esc_Circ,$B21)+COUNTIFS(Esc_Turno,'Calc_Mix'!$C$34,Esc_Instr,$B21)&gt;0),"",IF(SUMPRODUCT('Calc_Mix'!$D$34:$W$34,'Matriz_Habilidades'!$D21:$W21)=0,"",SUMPRODUCT('Calc_Mix'!$D$34:$W$34,'Matriz_Habilidades'!$D21:$W21)/'Calc_Mix'!$X$34+ROW()*0.000001))</f>
        <v/>
      </c>
      <c r="AL21" s="34">
        <f>IF(OR($B21="",$C21&lt;&gt;"Ativo",$D21&lt;&gt;'Calc_Mix'!$C$35,'Calc_Mix'!$X$35=0,COUNTIFS(Esc_Turno,'Calc_Mix'!$C$35,Esc_Circ,$B21)+COUNTIFS(Esc_Turno,'Calc_Mix'!$C$35,Esc_Instr,$B21)&gt;0),"",IF(SUMPRODUCT('Calc_Mix'!$D$35:$W$35,'Matriz_Habilidades'!$D21:$W21)=0,"",SUMPRODUCT('Calc_Mix'!$D$35:$W$35,'Matriz_Habilidades'!$D21:$W21)/'Calc_Mix'!$X$35+ROW()*0.000001))</f>
        <v/>
      </c>
      <c r="AM21" s="34">
        <f>IF(OR($B21="",$C21&lt;&gt;"Ativo",$D21&lt;&gt;'Calc_Mix'!$C$36,'Calc_Mix'!$X$36=0,COUNTIFS(Esc_Turno,'Calc_Mix'!$C$36,Esc_Circ,$B21)+COUNTIFS(Esc_Turno,'Calc_Mix'!$C$36,Esc_Instr,$B21)&gt;0),"",IF(SUMPRODUCT('Calc_Mix'!$D$36:$W$36,'Matriz_Habilidades'!$D21:$W21)=0,"",SUMPRODUCT('Calc_Mix'!$D$36:$W$36,'Matriz_Habilidades'!$D21:$W21)/'Calc_Mix'!$X$36+ROW()*0.000001))</f>
        <v/>
      </c>
      <c r="AN21" s="34">
        <f>IF(OR($B21="",$C21&lt;&gt;"Ativo",$D21&lt;&gt;'Calc_Mix'!$C$37,'Calc_Mix'!$X$37=0,COUNTIFS(Esc_Turno,'Calc_Mix'!$C$37,Esc_Circ,$B21)+COUNTIFS(Esc_Turno,'Calc_Mix'!$C$37,Esc_Instr,$B21)&gt;0),"",IF(SUMPRODUCT('Calc_Mix'!$D$37:$W$37,'Matriz_Habilidades'!$D21:$W21)=0,"",SUMPRODUCT('Calc_Mix'!$D$37:$W$37,'Matriz_Habilidades'!$D21:$W21)/'Calc_Mix'!$X$37+ROW()*0.000001))</f>
        <v/>
      </c>
    </row>
    <row r="22">
      <c r="A22" s="27">
        <f>IF('Matriz_Habilidades'!A22="","",'Matriz_Habilidades'!A22)</f>
        <v/>
      </c>
      <c r="B22" s="28">
        <f>IF('Matriz_Habilidades'!B22="","",'Matriz_Habilidades'!B22)</f>
        <v/>
      </c>
      <c r="C22" s="27">
        <f>IF($A22="","",IFERROR(INDEX(Equipe_Status,MATCH($B22,Equipe_Nome,0)),"?"))</f>
        <v/>
      </c>
      <c r="D22" s="27">
        <f>IF($A22="","",IFERROR(INDEX(Equipe_Turno,MATCH($B22,Equipe_Nome,0)),"?"))</f>
        <v/>
      </c>
      <c r="E22" s="34">
        <f>IF(OR($B22="",$C22&lt;&gt;"Ativo",$D22&lt;&gt;'Calc_Mix'!$C$2,'Calc_Mix'!$X$2=0,COUNTIFS(Esc_Turno,'Calc_Mix'!$C$2,Esc_Circ,$B22)+COUNTIFS(Esc_Turno,'Calc_Mix'!$C$2,Esc_Instr,$B22)&gt;0),"",IF(SUMPRODUCT('Calc_Mix'!$D$2:$W$2,'Matriz_Habilidades'!$D22:$W22)=0,"",SUMPRODUCT('Calc_Mix'!$D$2:$W$2,'Matriz_Habilidades'!$D22:$W22)/'Calc_Mix'!$X$2+ROW()*0.000001))</f>
        <v/>
      </c>
      <c r="F22" s="34">
        <f>IF(OR($B22="",$C22&lt;&gt;"Ativo",$D22&lt;&gt;'Calc_Mix'!$C$3,'Calc_Mix'!$X$3=0,COUNTIFS(Esc_Turno,'Calc_Mix'!$C$3,Esc_Circ,$B22)+COUNTIFS(Esc_Turno,'Calc_Mix'!$C$3,Esc_Instr,$B22)&gt;0),"",IF(SUMPRODUCT('Calc_Mix'!$D$3:$W$3,'Matriz_Habilidades'!$D22:$W22)=0,"",SUMPRODUCT('Calc_Mix'!$D$3:$W$3,'Matriz_Habilidades'!$D22:$W22)/'Calc_Mix'!$X$3+ROW()*0.000001))</f>
        <v/>
      </c>
      <c r="G22" s="34">
        <f>IF(OR($B22="",$C22&lt;&gt;"Ativo",$D22&lt;&gt;'Calc_Mix'!$C$4,'Calc_Mix'!$X$4=0,COUNTIFS(Esc_Turno,'Calc_Mix'!$C$4,Esc_Circ,$B22)+COUNTIFS(Esc_Turno,'Calc_Mix'!$C$4,Esc_Instr,$B22)&gt;0),"",IF(SUMPRODUCT('Calc_Mix'!$D$4:$W$4,'Matriz_Habilidades'!$D22:$W22)=0,"",SUMPRODUCT('Calc_Mix'!$D$4:$W$4,'Matriz_Habilidades'!$D22:$W22)/'Calc_Mix'!$X$4+ROW()*0.000001))</f>
        <v/>
      </c>
      <c r="H22" s="34">
        <f>IF(OR($B22="",$C22&lt;&gt;"Ativo",$D22&lt;&gt;'Calc_Mix'!$C$5,'Calc_Mix'!$X$5=0,COUNTIFS(Esc_Turno,'Calc_Mix'!$C$5,Esc_Circ,$B22)+COUNTIFS(Esc_Turno,'Calc_Mix'!$C$5,Esc_Instr,$B22)&gt;0),"",IF(SUMPRODUCT('Calc_Mix'!$D$5:$W$5,'Matriz_Habilidades'!$D22:$W22)=0,"",SUMPRODUCT('Calc_Mix'!$D$5:$W$5,'Matriz_Habilidades'!$D22:$W22)/'Calc_Mix'!$X$5+ROW()*0.000001))</f>
        <v/>
      </c>
      <c r="I22" s="34">
        <f>IF(OR($B22="",$C22&lt;&gt;"Ativo",$D22&lt;&gt;'Calc_Mix'!$C$6,'Calc_Mix'!$X$6=0,COUNTIFS(Esc_Turno,'Calc_Mix'!$C$6,Esc_Circ,$B22)+COUNTIFS(Esc_Turno,'Calc_Mix'!$C$6,Esc_Instr,$B22)&gt;0),"",IF(SUMPRODUCT('Calc_Mix'!$D$6:$W$6,'Matriz_Habilidades'!$D22:$W22)=0,"",SUMPRODUCT('Calc_Mix'!$D$6:$W$6,'Matriz_Habilidades'!$D22:$W22)/'Calc_Mix'!$X$6+ROW()*0.000001))</f>
        <v/>
      </c>
      <c r="J22" s="34">
        <f>IF(OR($B22="",$C22&lt;&gt;"Ativo",$D22&lt;&gt;'Calc_Mix'!$C$7,'Calc_Mix'!$X$7=0,COUNTIFS(Esc_Turno,'Calc_Mix'!$C$7,Esc_Circ,$B22)+COUNTIFS(Esc_Turno,'Calc_Mix'!$C$7,Esc_Instr,$B22)&gt;0),"",IF(SUMPRODUCT('Calc_Mix'!$D$7:$W$7,'Matriz_Habilidades'!$D22:$W22)=0,"",SUMPRODUCT('Calc_Mix'!$D$7:$W$7,'Matriz_Habilidades'!$D22:$W22)/'Calc_Mix'!$X$7+ROW()*0.000001))</f>
        <v/>
      </c>
      <c r="K22" s="34">
        <f>IF(OR($B22="",$C22&lt;&gt;"Ativo",$D22&lt;&gt;'Calc_Mix'!$C$8,'Calc_Mix'!$X$8=0,COUNTIFS(Esc_Turno,'Calc_Mix'!$C$8,Esc_Circ,$B22)+COUNTIFS(Esc_Turno,'Calc_Mix'!$C$8,Esc_Instr,$B22)&gt;0),"",IF(SUMPRODUCT('Calc_Mix'!$D$8:$W$8,'Matriz_Habilidades'!$D22:$W22)=0,"",SUMPRODUCT('Calc_Mix'!$D$8:$W$8,'Matriz_Habilidades'!$D22:$W22)/'Calc_Mix'!$X$8+ROW()*0.000001))</f>
        <v/>
      </c>
      <c r="L22" s="34">
        <f>IF(OR($B22="",$C22&lt;&gt;"Ativo",$D22&lt;&gt;'Calc_Mix'!$C$9,'Calc_Mix'!$X$9=0,COUNTIFS(Esc_Turno,'Calc_Mix'!$C$9,Esc_Circ,$B22)+COUNTIFS(Esc_Turno,'Calc_Mix'!$C$9,Esc_Instr,$B22)&gt;0),"",IF(SUMPRODUCT('Calc_Mix'!$D$9:$W$9,'Matriz_Habilidades'!$D22:$W22)=0,"",SUMPRODUCT('Calc_Mix'!$D$9:$W$9,'Matriz_Habilidades'!$D22:$W22)/'Calc_Mix'!$X$9+ROW()*0.000001))</f>
        <v/>
      </c>
      <c r="M22" s="34">
        <f>IF(OR($B22="",$C22&lt;&gt;"Ativo",$D22&lt;&gt;'Calc_Mix'!$C$10,'Calc_Mix'!$X$10=0,COUNTIFS(Esc_Turno,'Calc_Mix'!$C$10,Esc_Circ,$B22)+COUNTIFS(Esc_Turno,'Calc_Mix'!$C$10,Esc_Instr,$B22)&gt;0),"",IF(SUMPRODUCT('Calc_Mix'!$D$10:$W$10,'Matriz_Habilidades'!$D22:$W22)=0,"",SUMPRODUCT('Calc_Mix'!$D$10:$W$10,'Matriz_Habilidades'!$D22:$W22)/'Calc_Mix'!$X$10+ROW()*0.000001))</f>
        <v/>
      </c>
      <c r="N22" s="34">
        <f>IF(OR($B22="",$C22&lt;&gt;"Ativo",$D22&lt;&gt;'Calc_Mix'!$C$11,'Calc_Mix'!$X$11=0,COUNTIFS(Esc_Turno,'Calc_Mix'!$C$11,Esc_Circ,$B22)+COUNTIFS(Esc_Turno,'Calc_Mix'!$C$11,Esc_Instr,$B22)&gt;0),"",IF(SUMPRODUCT('Calc_Mix'!$D$11:$W$11,'Matriz_Habilidades'!$D22:$W22)=0,"",SUMPRODUCT('Calc_Mix'!$D$11:$W$11,'Matriz_Habilidades'!$D22:$W22)/'Calc_Mix'!$X$11+ROW()*0.000001))</f>
        <v/>
      </c>
      <c r="O22" s="34">
        <f>IF(OR($B22="",$C22&lt;&gt;"Ativo",$D22&lt;&gt;'Calc_Mix'!$C$12,'Calc_Mix'!$X$12=0,COUNTIFS(Esc_Turno,'Calc_Mix'!$C$12,Esc_Circ,$B22)+COUNTIFS(Esc_Turno,'Calc_Mix'!$C$12,Esc_Instr,$B22)&gt;0),"",IF(SUMPRODUCT('Calc_Mix'!$D$12:$W$12,'Matriz_Habilidades'!$D22:$W22)=0,"",SUMPRODUCT('Calc_Mix'!$D$12:$W$12,'Matriz_Habilidades'!$D22:$W22)/'Calc_Mix'!$X$12+ROW()*0.000001))</f>
        <v/>
      </c>
      <c r="P22" s="34">
        <f>IF(OR($B22="",$C22&lt;&gt;"Ativo",$D22&lt;&gt;'Calc_Mix'!$C$13,'Calc_Mix'!$X$13=0,COUNTIFS(Esc_Turno,'Calc_Mix'!$C$13,Esc_Circ,$B22)+COUNTIFS(Esc_Turno,'Calc_Mix'!$C$13,Esc_Instr,$B22)&gt;0),"",IF(SUMPRODUCT('Calc_Mix'!$D$13:$W$13,'Matriz_Habilidades'!$D22:$W22)=0,"",SUMPRODUCT('Calc_Mix'!$D$13:$W$13,'Matriz_Habilidades'!$D22:$W22)/'Calc_Mix'!$X$13+ROW()*0.000001))</f>
        <v/>
      </c>
      <c r="Q22" s="34">
        <f>IF(OR($B22="",$C22&lt;&gt;"Ativo",$D22&lt;&gt;'Calc_Mix'!$C$14,'Calc_Mix'!$X$14=0,COUNTIFS(Esc_Turno,'Calc_Mix'!$C$14,Esc_Circ,$B22)+COUNTIFS(Esc_Turno,'Calc_Mix'!$C$14,Esc_Instr,$B22)&gt;0),"",IF(SUMPRODUCT('Calc_Mix'!$D$14:$W$14,'Matriz_Habilidades'!$D22:$W22)=0,"",SUMPRODUCT('Calc_Mix'!$D$14:$W$14,'Matriz_Habilidades'!$D22:$W22)/'Calc_Mix'!$X$14+ROW()*0.000001))</f>
        <v/>
      </c>
      <c r="R22" s="34">
        <f>IF(OR($B22="",$C22&lt;&gt;"Ativo",$D22&lt;&gt;'Calc_Mix'!$C$15,'Calc_Mix'!$X$15=0,COUNTIFS(Esc_Turno,'Calc_Mix'!$C$15,Esc_Circ,$B22)+COUNTIFS(Esc_Turno,'Calc_Mix'!$C$15,Esc_Instr,$B22)&gt;0),"",IF(SUMPRODUCT('Calc_Mix'!$D$15:$W$15,'Matriz_Habilidades'!$D22:$W22)=0,"",SUMPRODUCT('Calc_Mix'!$D$15:$W$15,'Matriz_Habilidades'!$D22:$W22)/'Calc_Mix'!$X$15+ROW()*0.000001))</f>
        <v/>
      </c>
      <c r="S22" s="34">
        <f>IF(OR($B22="",$C22&lt;&gt;"Ativo",$D22&lt;&gt;'Calc_Mix'!$C$16,'Calc_Mix'!$X$16=0,COUNTIFS(Esc_Turno,'Calc_Mix'!$C$16,Esc_Circ,$B22)+COUNTIFS(Esc_Turno,'Calc_Mix'!$C$16,Esc_Instr,$B22)&gt;0),"",IF(SUMPRODUCT('Calc_Mix'!$D$16:$W$16,'Matriz_Habilidades'!$D22:$W22)=0,"",SUMPRODUCT('Calc_Mix'!$D$16:$W$16,'Matriz_Habilidades'!$D22:$W22)/'Calc_Mix'!$X$16+ROW()*0.000001))</f>
        <v/>
      </c>
      <c r="T22" s="34">
        <f>IF(OR($B22="",$C22&lt;&gt;"Ativo",$D22&lt;&gt;'Calc_Mix'!$C$17,'Calc_Mix'!$X$17=0,COUNTIFS(Esc_Turno,'Calc_Mix'!$C$17,Esc_Circ,$B22)+COUNTIFS(Esc_Turno,'Calc_Mix'!$C$17,Esc_Instr,$B22)&gt;0),"",IF(SUMPRODUCT('Calc_Mix'!$D$17:$W$17,'Matriz_Habilidades'!$D22:$W22)=0,"",SUMPRODUCT('Calc_Mix'!$D$17:$W$17,'Matriz_Habilidades'!$D22:$W22)/'Calc_Mix'!$X$17+ROW()*0.000001))</f>
        <v/>
      </c>
      <c r="U22" s="34">
        <f>IF(OR($B22="",$C22&lt;&gt;"Ativo",$D22&lt;&gt;'Calc_Mix'!$C$18,'Calc_Mix'!$X$18=0,COUNTIFS(Esc_Turno,'Calc_Mix'!$C$18,Esc_Circ,$B22)+COUNTIFS(Esc_Turno,'Calc_Mix'!$C$18,Esc_Instr,$B22)&gt;0),"",IF(SUMPRODUCT('Calc_Mix'!$D$18:$W$18,'Matriz_Habilidades'!$D22:$W22)=0,"",SUMPRODUCT('Calc_Mix'!$D$18:$W$18,'Matriz_Habilidades'!$D22:$W22)/'Calc_Mix'!$X$18+ROW()*0.000001))</f>
        <v/>
      </c>
      <c r="V22" s="34">
        <f>IF(OR($B22="",$C22&lt;&gt;"Ativo",$D22&lt;&gt;'Calc_Mix'!$C$19,'Calc_Mix'!$X$19=0,COUNTIFS(Esc_Turno,'Calc_Mix'!$C$19,Esc_Circ,$B22)+COUNTIFS(Esc_Turno,'Calc_Mix'!$C$19,Esc_Instr,$B22)&gt;0),"",IF(SUMPRODUCT('Calc_Mix'!$D$19:$W$19,'Matriz_Habilidades'!$D22:$W22)=0,"",SUMPRODUCT('Calc_Mix'!$D$19:$W$19,'Matriz_Habilidades'!$D22:$W22)/'Calc_Mix'!$X$19+ROW()*0.000001))</f>
        <v/>
      </c>
      <c r="W22" s="34">
        <f>IF(OR($B22="",$C22&lt;&gt;"Ativo",$D22&lt;&gt;'Calc_Mix'!$C$20,'Calc_Mix'!$X$20=0,COUNTIFS(Esc_Turno,'Calc_Mix'!$C$20,Esc_Circ,$B22)+COUNTIFS(Esc_Turno,'Calc_Mix'!$C$20,Esc_Instr,$B22)&gt;0),"",IF(SUMPRODUCT('Calc_Mix'!$D$20:$W$20,'Matriz_Habilidades'!$D22:$W22)=0,"",SUMPRODUCT('Calc_Mix'!$D$20:$W$20,'Matriz_Habilidades'!$D22:$W22)/'Calc_Mix'!$X$20+ROW()*0.000001))</f>
        <v/>
      </c>
      <c r="X22" s="34">
        <f>IF(OR($B22="",$C22&lt;&gt;"Ativo",$D22&lt;&gt;'Calc_Mix'!$C$21,'Calc_Mix'!$X$21=0,COUNTIFS(Esc_Turno,'Calc_Mix'!$C$21,Esc_Circ,$B22)+COUNTIFS(Esc_Turno,'Calc_Mix'!$C$21,Esc_Instr,$B22)&gt;0),"",IF(SUMPRODUCT('Calc_Mix'!$D$21:$W$21,'Matriz_Habilidades'!$D22:$W22)=0,"",SUMPRODUCT('Calc_Mix'!$D$21:$W$21,'Matriz_Habilidades'!$D22:$W22)/'Calc_Mix'!$X$21+ROW()*0.000001))</f>
        <v/>
      </c>
      <c r="Y22" s="34">
        <f>IF(OR($B22="",$C22&lt;&gt;"Ativo",$D22&lt;&gt;'Calc_Mix'!$C$22,'Calc_Mix'!$X$22=0,COUNTIFS(Esc_Turno,'Calc_Mix'!$C$22,Esc_Circ,$B22)+COUNTIFS(Esc_Turno,'Calc_Mix'!$C$22,Esc_Instr,$B22)&gt;0),"",IF(SUMPRODUCT('Calc_Mix'!$D$22:$W$22,'Matriz_Habilidades'!$D22:$W22)=0,"",SUMPRODUCT('Calc_Mix'!$D$22:$W$22,'Matriz_Habilidades'!$D22:$W22)/'Calc_Mix'!$X$22+ROW()*0.000001))</f>
        <v/>
      </c>
      <c r="Z22" s="34">
        <f>IF(OR($B22="",$C22&lt;&gt;"Ativo",$D22&lt;&gt;'Calc_Mix'!$C$23,'Calc_Mix'!$X$23=0,COUNTIFS(Esc_Turno,'Calc_Mix'!$C$23,Esc_Circ,$B22)+COUNTIFS(Esc_Turno,'Calc_Mix'!$C$23,Esc_Instr,$B22)&gt;0),"",IF(SUMPRODUCT('Calc_Mix'!$D$23:$W$23,'Matriz_Habilidades'!$D22:$W22)=0,"",SUMPRODUCT('Calc_Mix'!$D$23:$W$23,'Matriz_Habilidades'!$D22:$W22)/'Calc_Mix'!$X$23+ROW()*0.000001))</f>
        <v/>
      </c>
      <c r="AA22" s="34">
        <f>IF(OR($B22="",$C22&lt;&gt;"Ativo",$D22&lt;&gt;'Calc_Mix'!$C$24,'Calc_Mix'!$X$24=0,COUNTIFS(Esc_Turno,'Calc_Mix'!$C$24,Esc_Circ,$B22)+COUNTIFS(Esc_Turno,'Calc_Mix'!$C$24,Esc_Instr,$B22)&gt;0),"",IF(SUMPRODUCT('Calc_Mix'!$D$24:$W$24,'Matriz_Habilidades'!$D22:$W22)=0,"",SUMPRODUCT('Calc_Mix'!$D$24:$W$24,'Matriz_Habilidades'!$D22:$W22)/'Calc_Mix'!$X$24+ROW()*0.000001))</f>
        <v/>
      </c>
      <c r="AB22" s="34">
        <f>IF(OR($B22="",$C22&lt;&gt;"Ativo",$D22&lt;&gt;'Calc_Mix'!$C$25,'Calc_Mix'!$X$25=0,COUNTIFS(Esc_Turno,'Calc_Mix'!$C$25,Esc_Circ,$B22)+COUNTIFS(Esc_Turno,'Calc_Mix'!$C$25,Esc_Instr,$B22)&gt;0),"",IF(SUMPRODUCT('Calc_Mix'!$D$25:$W$25,'Matriz_Habilidades'!$D22:$W22)=0,"",SUMPRODUCT('Calc_Mix'!$D$25:$W$25,'Matriz_Habilidades'!$D22:$W22)/'Calc_Mix'!$X$25+ROW()*0.000001))</f>
        <v/>
      </c>
      <c r="AC22" s="34">
        <f>IF(OR($B22="",$C22&lt;&gt;"Ativo",$D22&lt;&gt;'Calc_Mix'!$C$26,'Calc_Mix'!$X$26=0,COUNTIFS(Esc_Turno,'Calc_Mix'!$C$26,Esc_Circ,$B22)+COUNTIFS(Esc_Turno,'Calc_Mix'!$C$26,Esc_Instr,$B22)&gt;0),"",IF(SUMPRODUCT('Calc_Mix'!$D$26:$W$26,'Matriz_Habilidades'!$D22:$W22)=0,"",SUMPRODUCT('Calc_Mix'!$D$26:$W$26,'Matriz_Habilidades'!$D22:$W22)/'Calc_Mix'!$X$26+ROW()*0.000001))</f>
        <v/>
      </c>
      <c r="AD22" s="34">
        <f>IF(OR($B22="",$C22&lt;&gt;"Ativo",$D22&lt;&gt;'Calc_Mix'!$C$27,'Calc_Mix'!$X$27=0,COUNTIFS(Esc_Turno,'Calc_Mix'!$C$27,Esc_Circ,$B22)+COUNTIFS(Esc_Turno,'Calc_Mix'!$C$27,Esc_Instr,$B22)&gt;0),"",IF(SUMPRODUCT('Calc_Mix'!$D$27:$W$27,'Matriz_Habilidades'!$D22:$W22)=0,"",SUMPRODUCT('Calc_Mix'!$D$27:$W$27,'Matriz_Habilidades'!$D22:$W22)/'Calc_Mix'!$X$27+ROW()*0.000001))</f>
        <v/>
      </c>
      <c r="AE22" s="34">
        <f>IF(OR($B22="",$C22&lt;&gt;"Ativo",$D22&lt;&gt;'Calc_Mix'!$C$28,'Calc_Mix'!$X$28=0,COUNTIFS(Esc_Turno,'Calc_Mix'!$C$28,Esc_Circ,$B22)+COUNTIFS(Esc_Turno,'Calc_Mix'!$C$28,Esc_Instr,$B22)&gt;0),"",IF(SUMPRODUCT('Calc_Mix'!$D$28:$W$28,'Matriz_Habilidades'!$D22:$W22)=0,"",SUMPRODUCT('Calc_Mix'!$D$28:$W$28,'Matriz_Habilidades'!$D22:$W22)/'Calc_Mix'!$X$28+ROW()*0.000001))</f>
        <v/>
      </c>
      <c r="AF22" s="34">
        <f>IF(OR($B22="",$C22&lt;&gt;"Ativo",$D22&lt;&gt;'Calc_Mix'!$C$29,'Calc_Mix'!$X$29=0,COUNTIFS(Esc_Turno,'Calc_Mix'!$C$29,Esc_Circ,$B22)+COUNTIFS(Esc_Turno,'Calc_Mix'!$C$29,Esc_Instr,$B22)&gt;0),"",IF(SUMPRODUCT('Calc_Mix'!$D$29:$W$29,'Matriz_Habilidades'!$D22:$W22)=0,"",SUMPRODUCT('Calc_Mix'!$D$29:$W$29,'Matriz_Habilidades'!$D22:$W22)/'Calc_Mix'!$X$29+ROW()*0.000001))</f>
        <v/>
      </c>
      <c r="AG22" s="34">
        <f>IF(OR($B22="",$C22&lt;&gt;"Ativo",$D22&lt;&gt;'Calc_Mix'!$C$30,'Calc_Mix'!$X$30=0,COUNTIFS(Esc_Turno,'Calc_Mix'!$C$30,Esc_Circ,$B22)+COUNTIFS(Esc_Turno,'Calc_Mix'!$C$30,Esc_Instr,$B22)&gt;0),"",IF(SUMPRODUCT('Calc_Mix'!$D$30:$W$30,'Matriz_Habilidades'!$D22:$W22)=0,"",SUMPRODUCT('Calc_Mix'!$D$30:$W$30,'Matriz_Habilidades'!$D22:$W22)/'Calc_Mix'!$X$30+ROW()*0.000001))</f>
        <v/>
      </c>
      <c r="AH22" s="34">
        <f>IF(OR($B22="",$C22&lt;&gt;"Ativo",$D22&lt;&gt;'Calc_Mix'!$C$31,'Calc_Mix'!$X$31=0,COUNTIFS(Esc_Turno,'Calc_Mix'!$C$31,Esc_Circ,$B22)+COUNTIFS(Esc_Turno,'Calc_Mix'!$C$31,Esc_Instr,$B22)&gt;0),"",IF(SUMPRODUCT('Calc_Mix'!$D$31:$W$31,'Matriz_Habilidades'!$D22:$W22)=0,"",SUMPRODUCT('Calc_Mix'!$D$31:$W$31,'Matriz_Habilidades'!$D22:$W22)/'Calc_Mix'!$X$31+ROW()*0.000001))</f>
        <v/>
      </c>
      <c r="AI22" s="34">
        <f>IF(OR($B22="",$C22&lt;&gt;"Ativo",$D22&lt;&gt;'Calc_Mix'!$C$32,'Calc_Mix'!$X$32=0,COUNTIFS(Esc_Turno,'Calc_Mix'!$C$32,Esc_Circ,$B22)+COUNTIFS(Esc_Turno,'Calc_Mix'!$C$32,Esc_Instr,$B22)&gt;0),"",IF(SUMPRODUCT('Calc_Mix'!$D$32:$W$32,'Matriz_Habilidades'!$D22:$W22)=0,"",SUMPRODUCT('Calc_Mix'!$D$32:$W$32,'Matriz_Habilidades'!$D22:$W22)/'Calc_Mix'!$X$32+ROW()*0.000001))</f>
        <v/>
      </c>
      <c r="AJ22" s="34">
        <f>IF(OR($B22="",$C22&lt;&gt;"Ativo",$D22&lt;&gt;'Calc_Mix'!$C$33,'Calc_Mix'!$X$33=0,COUNTIFS(Esc_Turno,'Calc_Mix'!$C$33,Esc_Circ,$B22)+COUNTIFS(Esc_Turno,'Calc_Mix'!$C$33,Esc_Instr,$B22)&gt;0),"",IF(SUMPRODUCT('Calc_Mix'!$D$33:$W$33,'Matriz_Habilidades'!$D22:$W22)=0,"",SUMPRODUCT('Calc_Mix'!$D$33:$W$33,'Matriz_Habilidades'!$D22:$W22)/'Calc_Mix'!$X$33+ROW()*0.000001))</f>
        <v/>
      </c>
      <c r="AK22" s="34">
        <f>IF(OR($B22="",$C22&lt;&gt;"Ativo",$D22&lt;&gt;'Calc_Mix'!$C$34,'Calc_Mix'!$X$34=0,COUNTIFS(Esc_Turno,'Calc_Mix'!$C$34,Esc_Circ,$B22)+COUNTIFS(Esc_Turno,'Calc_Mix'!$C$34,Esc_Instr,$B22)&gt;0),"",IF(SUMPRODUCT('Calc_Mix'!$D$34:$W$34,'Matriz_Habilidades'!$D22:$W22)=0,"",SUMPRODUCT('Calc_Mix'!$D$34:$W$34,'Matriz_Habilidades'!$D22:$W22)/'Calc_Mix'!$X$34+ROW()*0.000001))</f>
        <v/>
      </c>
      <c r="AL22" s="34">
        <f>IF(OR($B22="",$C22&lt;&gt;"Ativo",$D22&lt;&gt;'Calc_Mix'!$C$35,'Calc_Mix'!$X$35=0,COUNTIFS(Esc_Turno,'Calc_Mix'!$C$35,Esc_Circ,$B22)+COUNTIFS(Esc_Turno,'Calc_Mix'!$C$35,Esc_Instr,$B22)&gt;0),"",IF(SUMPRODUCT('Calc_Mix'!$D$35:$W$35,'Matriz_Habilidades'!$D22:$W22)=0,"",SUMPRODUCT('Calc_Mix'!$D$35:$W$35,'Matriz_Habilidades'!$D22:$W22)/'Calc_Mix'!$X$35+ROW()*0.000001))</f>
        <v/>
      </c>
      <c r="AM22" s="34">
        <f>IF(OR($B22="",$C22&lt;&gt;"Ativo",$D22&lt;&gt;'Calc_Mix'!$C$36,'Calc_Mix'!$X$36=0,COUNTIFS(Esc_Turno,'Calc_Mix'!$C$36,Esc_Circ,$B22)+COUNTIFS(Esc_Turno,'Calc_Mix'!$C$36,Esc_Instr,$B22)&gt;0),"",IF(SUMPRODUCT('Calc_Mix'!$D$36:$W$36,'Matriz_Habilidades'!$D22:$W22)=0,"",SUMPRODUCT('Calc_Mix'!$D$36:$W$36,'Matriz_Habilidades'!$D22:$W22)/'Calc_Mix'!$X$36+ROW()*0.000001))</f>
        <v/>
      </c>
      <c r="AN22" s="34">
        <f>IF(OR($B22="",$C22&lt;&gt;"Ativo",$D22&lt;&gt;'Calc_Mix'!$C$37,'Calc_Mix'!$X$37=0,COUNTIFS(Esc_Turno,'Calc_Mix'!$C$37,Esc_Circ,$B22)+COUNTIFS(Esc_Turno,'Calc_Mix'!$C$37,Esc_Instr,$B22)&gt;0),"",IF(SUMPRODUCT('Calc_Mix'!$D$37:$W$37,'Matriz_Habilidades'!$D22:$W22)=0,"",SUMPRODUCT('Calc_Mix'!$D$37:$W$37,'Matriz_Habilidades'!$D22:$W22)/'Calc_Mix'!$X$37+ROW()*0.000001))</f>
        <v/>
      </c>
    </row>
    <row r="23">
      <c r="A23" s="27">
        <f>IF('Matriz_Habilidades'!A23="","",'Matriz_Habilidades'!A23)</f>
        <v/>
      </c>
      <c r="B23" s="28">
        <f>IF('Matriz_Habilidades'!B23="","",'Matriz_Habilidades'!B23)</f>
        <v/>
      </c>
      <c r="C23" s="27">
        <f>IF($A23="","",IFERROR(INDEX(Equipe_Status,MATCH($B23,Equipe_Nome,0)),"?"))</f>
        <v/>
      </c>
      <c r="D23" s="27">
        <f>IF($A23="","",IFERROR(INDEX(Equipe_Turno,MATCH($B23,Equipe_Nome,0)),"?"))</f>
        <v/>
      </c>
      <c r="E23" s="34">
        <f>IF(OR($B23="",$C23&lt;&gt;"Ativo",$D23&lt;&gt;'Calc_Mix'!$C$2,'Calc_Mix'!$X$2=0,COUNTIFS(Esc_Turno,'Calc_Mix'!$C$2,Esc_Circ,$B23)+COUNTIFS(Esc_Turno,'Calc_Mix'!$C$2,Esc_Instr,$B23)&gt;0),"",IF(SUMPRODUCT('Calc_Mix'!$D$2:$W$2,'Matriz_Habilidades'!$D23:$W23)=0,"",SUMPRODUCT('Calc_Mix'!$D$2:$W$2,'Matriz_Habilidades'!$D23:$W23)/'Calc_Mix'!$X$2+ROW()*0.000001))</f>
        <v/>
      </c>
      <c r="F23" s="34">
        <f>IF(OR($B23="",$C23&lt;&gt;"Ativo",$D23&lt;&gt;'Calc_Mix'!$C$3,'Calc_Mix'!$X$3=0,COUNTIFS(Esc_Turno,'Calc_Mix'!$C$3,Esc_Circ,$B23)+COUNTIFS(Esc_Turno,'Calc_Mix'!$C$3,Esc_Instr,$B23)&gt;0),"",IF(SUMPRODUCT('Calc_Mix'!$D$3:$W$3,'Matriz_Habilidades'!$D23:$W23)=0,"",SUMPRODUCT('Calc_Mix'!$D$3:$W$3,'Matriz_Habilidades'!$D23:$W23)/'Calc_Mix'!$X$3+ROW()*0.000001))</f>
        <v/>
      </c>
      <c r="G23" s="34">
        <f>IF(OR($B23="",$C23&lt;&gt;"Ativo",$D23&lt;&gt;'Calc_Mix'!$C$4,'Calc_Mix'!$X$4=0,COUNTIFS(Esc_Turno,'Calc_Mix'!$C$4,Esc_Circ,$B23)+COUNTIFS(Esc_Turno,'Calc_Mix'!$C$4,Esc_Instr,$B23)&gt;0),"",IF(SUMPRODUCT('Calc_Mix'!$D$4:$W$4,'Matriz_Habilidades'!$D23:$W23)=0,"",SUMPRODUCT('Calc_Mix'!$D$4:$W$4,'Matriz_Habilidades'!$D23:$W23)/'Calc_Mix'!$X$4+ROW()*0.000001))</f>
        <v/>
      </c>
      <c r="H23" s="34">
        <f>IF(OR($B23="",$C23&lt;&gt;"Ativo",$D23&lt;&gt;'Calc_Mix'!$C$5,'Calc_Mix'!$X$5=0,COUNTIFS(Esc_Turno,'Calc_Mix'!$C$5,Esc_Circ,$B23)+COUNTIFS(Esc_Turno,'Calc_Mix'!$C$5,Esc_Instr,$B23)&gt;0),"",IF(SUMPRODUCT('Calc_Mix'!$D$5:$W$5,'Matriz_Habilidades'!$D23:$W23)=0,"",SUMPRODUCT('Calc_Mix'!$D$5:$W$5,'Matriz_Habilidades'!$D23:$W23)/'Calc_Mix'!$X$5+ROW()*0.000001))</f>
        <v/>
      </c>
      <c r="I23" s="34">
        <f>IF(OR($B23="",$C23&lt;&gt;"Ativo",$D23&lt;&gt;'Calc_Mix'!$C$6,'Calc_Mix'!$X$6=0,COUNTIFS(Esc_Turno,'Calc_Mix'!$C$6,Esc_Circ,$B23)+COUNTIFS(Esc_Turno,'Calc_Mix'!$C$6,Esc_Instr,$B23)&gt;0),"",IF(SUMPRODUCT('Calc_Mix'!$D$6:$W$6,'Matriz_Habilidades'!$D23:$W23)=0,"",SUMPRODUCT('Calc_Mix'!$D$6:$W$6,'Matriz_Habilidades'!$D23:$W23)/'Calc_Mix'!$X$6+ROW()*0.000001))</f>
        <v/>
      </c>
      <c r="J23" s="34">
        <f>IF(OR($B23="",$C23&lt;&gt;"Ativo",$D23&lt;&gt;'Calc_Mix'!$C$7,'Calc_Mix'!$X$7=0,COUNTIFS(Esc_Turno,'Calc_Mix'!$C$7,Esc_Circ,$B23)+COUNTIFS(Esc_Turno,'Calc_Mix'!$C$7,Esc_Instr,$B23)&gt;0),"",IF(SUMPRODUCT('Calc_Mix'!$D$7:$W$7,'Matriz_Habilidades'!$D23:$W23)=0,"",SUMPRODUCT('Calc_Mix'!$D$7:$W$7,'Matriz_Habilidades'!$D23:$W23)/'Calc_Mix'!$X$7+ROW()*0.000001))</f>
        <v/>
      </c>
      <c r="K23" s="34">
        <f>IF(OR($B23="",$C23&lt;&gt;"Ativo",$D23&lt;&gt;'Calc_Mix'!$C$8,'Calc_Mix'!$X$8=0,COUNTIFS(Esc_Turno,'Calc_Mix'!$C$8,Esc_Circ,$B23)+COUNTIFS(Esc_Turno,'Calc_Mix'!$C$8,Esc_Instr,$B23)&gt;0),"",IF(SUMPRODUCT('Calc_Mix'!$D$8:$W$8,'Matriz_Habilidades'!$D23:$W23)=0,"",SUMPRODUCT('Calc_Mix'!$D$8:$W$8,'Matriz_Habilidades'!$D23:$W23)/'Calc_Mix'!$X$8+ROW()*0.000001))</f>
        <v/>
      </c>
      <c r="L23" s="34">
        <f>IF(OR($B23="",$C23&lt;&gt;"Ativo",$D23&lt;&gt;'Calc_Mix'!$C$9,'Calc_Mix'!$X$9=0,COUNTIFS(Esc_Turno,'Calc_Mix'!$C$9,Esc_Circ,$B23)+COUNTIFS(Esc_Turno,'Calc_Mix'!$C$9,Esc_Instr,$B23)&gt;0),"",IF(SUMPRODUCT('Calc_Mix'!$D$9:$W$9,'Matriz_Habilidades'!$D23:$W23)=0,"",SUMPRODUCT('Calc_Mix'!$D$9:$W$9,'Matriz_Habilidades'!$D23:$W23)/'Calc_Mix'!$X$9+ROW()*0.000001))</f>
        <v/>
      </c>
      <c r="M23" s="34">
        <f>IF(OR($B23="",$C23&lt;&gt;"Ativo",$D23&lt;&gt;'Calc_Mix'!$C$10,'Calc_Mix'!$X$10=0,COUNTIFS(Esc_Turno,'Calc_Mix'!$C$10,Esc_Circ,$B23)+COUNTIFS(Esc_Turno,'Calc_Mix'!$C$10,Esc_Instr,$B23)&gt;0),"",IF(SUMPRODUCT('Calc_Mix'!$D$10:$W$10,'Matriz_Habilidades'!$D23:$W23)=0,"",SUMPRODUCT('Calc_Mix'!$D$10:$W$10,'Matriz_Habilidades'!$D23:$W23)/'Calc_Mix'!$X$10+ROW()*0.000001))</f>
        <v/>
      </c>
      <c r="N23" s="34">
        <f>IF(OR($B23="",$C23&lt;&gt;"Ativo",$D23&lt;&gt;'Calc_Mix'!$C$11,'Calc_Mix'!$X$11=0,COUNTIFS(Esc_Turno,'Calc_Mix'!$C$11,Esc_Circ,$B23)+COUNTIFS(Esc_Turno,'Calc_Mix'!$C$11,Esc_Instr,$B23)&gt;0),"",IF(SUMPRODUCT('Calc_Mix'!$D$11:$W$11,'Matriz_Habilidades'!$D23:$W23)=0,"",SUMPRODUCT('Calc_Mix'!$D$11:$W$11,'Matriz_Habilidades'!$D23:$W23)/'Calc_Mix'!$X$11+ROW()*0.000001))</f>
        <v/>
      </c>
      <c r="O23" s="34">
        <f>IF(OR($B23="",$C23&lt;&gt;"Ativo",$D23&lt;&gt;'Calc_Mix'!$C$12,'Calc_Mix'!$X$12=0,COUNTIFS(Esc_Turno,'Calc_Mix'!$C$12,Esc_Circ,$B23)+COUNTIFS(Esc_Turno,'Calc_Mix'!$C$12,Esc_Instr,$B23)&gt;0),"",IF(SUMPRODUCT('Calc_Mix'!$D$12:$W$12,'Matriz_Habilidades'!$D23:$W23)=0,"",SUMPRODUCT('Calc_Mix'!$D$12:$W$12,'Matriz_Habilidades'!$D23:$W23)/'Calc_Mix'!$X$12+ROW()*0.000001))</f>
        <v/>
      </c>
      <c r="P23" s="34">
        <f>IF(OR($B23="",$C23&lt;&gt;"Ativo",$D23&lt;&gt;'Calc_Mix'!$C$13,'Calc_Mix'!$X$13=0,COUNTIFS(Esc_Turno,'Calc_Mix'!$C$13,Esc_Circ,$B23)+COUNTIFS(Esc_Turno,'Calc_Mix'!$C$13,Esc_Instr,$B23)&gt;0),"",IF(SUMPRODUCT('Calc_Mix'!$D$13:$W$13,'Matriz_Habilidades'!$D23:$W23)=0,"",SUMPRODUCT('Calc_Mix'!$D$13:$W$13,'Matriz_Habilidades'!$D23:$W23)/'Calc_Mix'!$X$13+ROW()*0.000001))</f>
        <v/>
      </c>
      <c r="Q23" s="34">
        <f>IF(OR($B23="",$C23&lt;&gt;"Ativo",$D23&lt;&gt;'Calc_Mix'!$C$14,'Calc_Mix'!$X$14=0,COUNTIFS(Esc_Turno,'Calc_Mix'!$C$14,Esc_Circ,$B23)+COUNTIFS(Esc_Turno,'Calc_Mix'!$C$14,Esc_Instr,$B23)&gt;0),"",IF(SUMPRODUCT('Calc_Mix'!$D$14:$W$14,'Matriz_Habilidades'!$D23:$W23)=0,"",SUMPRODUCT('Calc_Mix'!$D$14:$W$14,'Matriz_Habilidades'!$D23:$W23)/'Calc_Mix'!$X$14+ROW()*0.000001))</f>
        <v/>
      </c>
      <c r="R23" s="34">
        <f>IF(OR($B23="",$C23&lt;&gt;"Ativo",$D23&lt;&gt;'Calc_Mix'!$C$15,'Calc_Mix'!$X$15=0,COUNTIFS(Esc_Turno,'Calc_Mix'!$C$15,Esc_Circ,$B23)+COUNTIFS(Esc_Turno,'Calc_Mix'!$C$15,Esc_Instr,$B23)&gt;0),"",IF(SUMPRODUCT('Calc_Mix'!$D$15:$W$15,'Matriz_Habilidades'!$D23:$W23)=0,"",SUMPRODUCT('Calc_Mix'!$D$15:$W$15,'Matriz_Habilidades'!$D23:$W23)/'Calc_Mix'!$X$15+ROW()*0.000001))</f>
        <v/>
      </c>
      <c r="S23" s="34">
        <f>IF(OR($B23="",$C23&lt;&gt;"Ativo",$D23&lt;&gt;'Calc_Mix'!$C$16,'Calc_Mix'!$X$16=0,COUNTIFS(Esc_Turno,'Calc_Mix'!$C$16,Esc_Circ,$B23)+COUNTIFS(Esc_Turno,'Calc_Mix'!$C$16,Esc_Instr,$B23)&gt;0),"",IF(SUMPRODUCT('Calc_Mix'!$D$16:$W$16,'Matriz_Habilidades'!$D23:$W23)=0,"",SUMPRODUCT('Calc_Mix'!$D$16:$W$16,'Matriz_Habilidades'!$D23:$W23)/'Calc_Mix'!$X$16+ROW()*0.000001))</f>
        <v/>
      </c>
      <c r="T23" s="34">
        <f>IF(OR($B23="",$C23&lt;&gt;"Ativo",$D23&lt;&gt;'Calc_Mix'!$C$17,'Calc_Mix'!$X$17=0,COUNTIFS(Esc_Turno,'Calc_Mix'!$C$17,Esc_Circ,$B23)+COUNTIFS(Esc_Turno,'Calc_Mix'!$C$17,Esc_Instr,$B23)&gt;0),"",IF(SUMPRODUCT('Calc_Mix'!$D$17:$W$17,'Matriz_Habilidades'!$D23:$W23)=0,"",SUMPRODUCT('Calc_Mix'!$D$17:$W$17,'Matriz_Habilidades'!$D23:$W23)/'Calc_Mix'!$X$17+ROW()*0.000001))</f>
        <v/>
      </c>
      <c r="U23" s="34">
        <f>IF(OR($B23="",$C23&lt;&gt;"Ativo",$D23&lt;&gt;'Calc_Mix'!$C$18,'Calc_Mix'!$X$18=0,COUNTIFS(Esc_Turno,'Calc_Mix'!$C$18,Esc_Circ,$B23)+COUNTIFS(Esc_Turno,'Calc_Mix'!$C$18,Esc_Instr,$B23)&gt;0),"",IF(SUMPRODUCT('Calc_Mix'!$D$18:$W$18,'Matriz_Habilidades'!$D23:$W23)=0,"",SUMPRODUCT('Calc_Mix'!$D$18:$W$18,'Matriz_Habilidades'!$D23:$W23)/'Calc_Mix'!$X$18+ROW()*0.000001))</f>
        <v/>
      </c>
      <c r="V23" s="34">
        <f>IF(OR($B23="",$C23&lt;&gt;"Ativo",$D23&lt;&gt;'Calc_Mix'!$C$19,'Calc_Mix'!$X$19=0,COUNTIFS(Esc_Turno,'Calc_Mix'!$C$19,Esc_Circ,$B23)+COUNTIFS(Esc_Turno,'Calc_Mix'!$C$19,Esc_Instr,$B23)&gt;0),"",IF(SUMPRODUCT('Calc_Mix'!$D$19:$W$19,'Matriz_Habilidades'!$D23:$W23)=0,"",SUMPRODUCT('Calc_Mix'!$D$19:$W$19,'Matriz_Habilidades'!$D23:$W23)/'Calc_Mix'!$X$19+ROW()*0.000001))</f>
        <v/>
      </c>
      <c r="W23" s="34">
        <f>IF(OR($B23="",$C23&lt;&gt;"Ativo",$D23&lt;&gt;'Calc_Mix'!$C$20,'Calc_Mix'!$X$20=0,COUNTIFS(Esc_Turno,'Calc_Mix'!$C$20,Esc_Circ,$B23)+COUNTIFS(Esc_Turno,'Calc_Mix'!$C$20,Esc_Instr,$B23)&gt;0),"",IF(SUMPRODUCT('Calc_Mix'!$D$20:$W$20,'Matriz_Habilidades'!$D23:$W23)=0,"",SUMPRODUCT('Calc_Mix'!$D$20:$W$20,'Matriz_Habilidades'!$D23:$W23)/'Calc_Mix'!$X$20+ROW()*0.000001))</f>
        <v/>
      </c>
      <c r="X23" s="34">
        <f>IF(OR($B23="",$C23&lt;&gt;"Ativo",$D23&lt;&gt;'Calc_Mix'!$C$21,'Calc_Mix'!$X$21=0,COUNTIFS(Esc_Turno,'Calc_Mix'!$C$21,Esc_Circ,$B23)+COUNTIFS(Esc_Turno,'Calc_Mix'!$C$21,Esc_Instr,$B23)&gt;0),"",IF(SUMPRODUCT('Calc_Mix'!$D$21:$W$21,'Matriz_Habilidades'!$D23:$W23)=0,"",SUMPRODUCT('Calc_Mix'!$D$21:$W$21,'Matriz_Habilidades'!$D23:$W23)/'Calc_Mix'!$X$21+ROW()*0.000001))</f>
        <v/>
      </c>
      <c r="Y23" s="34">
        <f>IF(OR($B23="",$C23&lt;&gt;"Ativo",$D23&lt;&gt;'Calc_Mix'!$C$22,'Calc_Mix'!$X$22=0,COUNTIFS(Esc_Turno,'Calc_Mix'!$C$22,Esc_Circ,$B23)+COUNTIFS(Esc_Turno,'Calc_Mix'!$C$22,Esc_Instr,$B23)&gt;0),"",IF(SUMPRODUCT('Calc_Mix'!$D$22:$W$22,'Matriz_Habilidades'!$D23:$W23)=0,"",SUMPRODUCT('Calc_Mix'!$D$22:$W$22,'Matriz_Habilidades'!$D23:$W23)/'Calc_Mix'!$X$22+ROW()*0.000001))</f>
        <v/>
      </c>
      <c r="Z23" s="34">
        <f>IF(OR($B23="",$C23&lt;&gt;"Ativo",$D23&lt;&gt;'Calc_Mix'!$C$23,'Calc_Mix'!$X$23=0,COUNTIFS(Esc_Turno,'Calc_Mix'!$C$23,Esc_Circ,$B23)+COUNTIFS(Esc_Turno,'Calc_Mix'!$C$23,Esc_Instr,$B23)&gt;0),"",IF(SUMPRODUCT('Calc_Mix'!$D$23:$W$23,'Matriz_Habilidades'!$D23:$W23)=0,"",SUMPRODUCT('Calc_Mix'!$D$23:$W$23,'Matriz_Habilidades'!$D23:$W23)/'Calc_Mix'!$X$23+ROW()*0.000001))</f>
        <v/>
      </c>
      <c r="AA23" s="34">
        <f>IF(OR($B23="",$C23&lt;&gt;"Ativo",$D23&lt;&gt;'Calc_Mix'!$C$24,'Calc_Mix'!$X$24=0,COUNTIFS(Esc_Turno,'Calc_Mix'!$C$24,Esc_Circ,$B23)+COUNTIFS(Esc_Turno,'Calc_Mix'!$C$24,Esc_Instr,$B23)&gt;0),"",IF(SUMPRODUCT('Calc_Mix'!$D$24:$W$24,'Matriz_Habilidades'!$D23:$W23)=0,"",SUMPRODUCT('Calc_Mix'!$D$24:$W$24,'Matriz_Habilidades'!$D23:$W23)/'Calc_Mix'!$X$24+ROW()*0.000001))</f>
        <v/>
      </c>
      <c r="AB23" s="34">
        <f>IF(OR($B23="",$C23&lt;&gt;"Ativo",$D23&lt;&gt;'Calc_Mix'!$C$25,'Calc_Mix'!$X$25=0,COUNTIFS(Esc_Turno,'Calc_Mix'!$C$25,Esc_Circ,$B23)+COUNTIFS(Esc_Turno,'Calc_Mix'!$C$25,Esc_Instr,$B23)&gt;0),"",IF(SUMPRODUCT('Calc_Mix'!$D$25:$W$25,'Matriz_Habilidades'!$D23:$W23)=0,"",SUMPRODUCT('Calc_Mix'!$D$25:$W$25,'Matriz_Habilidades'!$D23:$W23)/'Calc_Mix'!$X$25+ROW()*0.000001))</f>
        <v/>
      </c>
      <c r="AC23" s="34">
        <f>IF(OR($B23="",$C23&lt;&gt;"Ativo",$D23&lt;&gt;'Calc_Mix'!$C$26,'Calc_Mix'!$X$26=0,COUNTIFS(Esc_Turno,'Calc_Mix'!$C$26,Esc_Circ,$B23)+COUNTIFS(Esc_Turno,'Calc_Mix'!$C$26,Esc_Instr,$B23)&gt;0),"",IF(SUMPRODUCT('Calc_Mix'!$D$26:$W$26,'Matriz_Habilidades'!$D23:$W23)=0,"",SUMPRODUCT('Calc_Mix'!$D$26:$W$26,'Matriz_Habilidades'!$D23:$W23)/'Calc_Mix'!$X$26+ROW()*0.000001))</f>
        <v/>
      </c>
      <c r="AD23" s="34">
        <f>IF(OR($B23="",$C23&lt;&gt;"Ativo",$D23&lt;&gt;'Calc_Mix'!$C$27,'Calc_Mix'!$X$27=0,COUNTIFS(Esc_Turno,'Calc_Mix'!$C$27,Esc_Circ,$B23)+COUNTIFS(Esc_Turno,'Calc_Mix'!$C$27,Esc_Instr,$B23)&gt;0),"",IF(SUMPRODUCT('Calc_Mix'!$D$27:$W$27,'Matriz_Habilidades'!$D23:$W23)=0,"",SUMPRODUCT('Calc_Mix'!$D$27:$W$27,'Matriz_Habilidades'!$D23:$W23)/'Calc_Mix'!$X$27+ROW()*0.000001))</f>
        <v/>
      </c>
      <c r="AE23" s="34">
        <f>IF(OR($B23="",$C23&lt;&gt;"Ativo",$D23&lt;&gt;'Calc_Mix'!$C$28,'Calc_Mix'!$X$28=0,COUNTIFS(Esc_Turno,'Calc_Mix'!$C$28,Esc_Circ,$B23)+COUNTIFS(Esc_Turno,'Calc_Mix'!$C$28,Esc_Instr,$B23)&gt;0),"",IF(SUMPRODUCT('Calc_Mix'!$D$28:$W$28,'Matriz_Habilidades'!$D23:$W23)=0,"",SUMPRODUCT('Calc_Mix'!$D$28:$W$28,'Matriz_Habilidades'!$D23:$W23)/'Calc_Mix'!$X$28+ROW()*0.000001))</f>
        <v/>
      </c>
      <c r="AF23" s="34">
        <f>IF(OR($B23="",$C23&lt;&gt;"Ativo",$D23&lt;&gt;'Calc_Mix'!$C$29,'Calc_Mix'!$X$29=0,COUNTIFS(Esc_Turno,'Calc_Mix'!$C$29,Esc_Circ,$B23)+COUNTIFS(Esc_Turno,'Calc_Mix'!$C$29,Esc_Instr,$B23)&gt;0),"",IF(SUMPRODUCT('Calc_Mix'!$D$29:$W$29,'Matriz_Habilidades'!$D23:$W23)=0,"",SUMPRODUCT('Calc_Mix'!$D$29:$W$29,'Matriz_Habilidades'!$D23:$W23)/'Calc_Mix'!$X$29+ROW()*0.000001))</f>
        <v/>
      </c>
      <c r="AG23" s="34">
        <f>IF(OR($B23="",$C23&lt;&gt;"Ativo",$D23&lt;&gt;'Calc_Mix'!$C$30,'Calc_Mix'!$X$30=0,COUNTIFS(Esc_Turno,'Calc_Mix'!$C$30,Esc_Circ,$B23)+COUNTIFS(Esc_Turno,'Calc_Mix'!$C$30,Esc_Instr,$B23)&gt;0),"",IF(SUMPRODUCT('Calc_Mix'!$D$30:$W$30,'Matriz_Habilidades'!$D23:$W23)=0,"",SUMPRODUCT('Calc_Mix'!$D$30:$W$30,'Matriz_Habilidades'!$D23:$W23)/'Calc_Mix'!$X$30+ROW()*0.000001))</f>
        <v/>
      </c>
      <c r="AH23" s="34">
        <f>IF(OR($B23="",$C23&lt;&gt;"Ativo",$D23&lt;&gt;'Calc_Mix'!$C$31,'Calc_Mix'!$X$31=0,COUNTIFS(Esc_Turno,'Calc_Mix'!$C$31,Esc_Circ,$B23)+COUNTIFS(Esc_Turno,'Calc_Mix'!$C$31,Esc_Instr,$B23)&gt;0),"",IF(SUMPRODUCT('Calc_Mix'!$D$31:$W$31,'Matriz_Habilidades'!$D23:$W23)=0,"",SUMPRODUCT('Calc_Mix'!$D$31:$W$31,'Matriz_Habilidades'!$D23:$W23)/'Calc_Mix'!$X$31+ROW()*0.000001))</f>
        <v/>
      </c>
      <c r="AI23" s="34">
        <f>IF(OR($B23="",$C23&lt;&gt;"Ativo",$D23&lt;&gt;'Calc_Mix'!$C$32,'Calc_Mix'!$X$32=0,COUNTIFS(Esc_Turno,'Calc_Mix'!$C$32,Esc_Circ,$B23)+COUNTIFS(Esc_Turno,'Calc_Mix'!$C$32,Esc_Instr,$B23)&gt;0),"",IF(SUMPRODUCT('Calc_Mix'!$D$32:$W$32,'Matriz_Habilidades'!$D23:$W23)=0,"",SUMPRODUCT('Calc_Mix'!$D$32:$W$32,'Matriz_Habilidades'!$D23:$W23)/'Calc_Mix'!$X$32+ROW()*0.000001))</f>
        <v/>
      </c>
      <c r="AJ23" s="34">
        <f>IF(OR($B23="",$C23&lt;&gt;"Ativo",$D23&lt;&gt;'Calc_Mix'!$C$33,'Calc_Mix'!$X$33=0,COUNTIFS(Esc_Turno,'Calc_Mix'!$C$33,Esc_Circ,$B23)+COUNTIFS(Esc_Turno,'Calc_Mix'!$C$33,Esc_Instr,$B23)&gt;0),"",IF(SUMPRODUCT('Calc_Mix'!$D$33:$W$33,'Matriz_Habilidades'!$D23:$W23)=0,"",SUMPRODUCT('Calc_Mix'!$D$33:$W$33,'Matriz_Habilidades'!$D23:$W23)/'Calc_Mix'!$X$33+ROW()*0.000001))</f>
        <v/>
      </c>
      <c r="AK23" s="34">
        <f>IF(OR($B23="",$C23&lt;&gt;"Ativo",$D23&lt;&gt;'Calc_Mix'!$C$34,'Calc_Mix'!$X$34=0,COUNTIFS(Esc_Turno,'Calc_Mix'!$C$34,Esc_Circ,$B23)+COUNTIFS(Esc_Turno,'Calc_Mix'!$C$34,Esc_Instr,$B23)&gt;0),"",IF(SUMPRODUCT('Calc_Mix'!$D$34:$W$34,'Matriz_Habilidades'!$D23:$W23)=0,"",SUMPRODUCT('Calc_Mix'!$D$34:$W$34,'Matriz_Habilidades'!$D23:$W23)/'Calc_Mix'!$X$34+ROW()*0.000001))</f>
        <v/>
      </c>
      <c r="AL23" s="34">
        <f>IF(OR($B23="",$C23&lt;&gt;"Ativo",$D23&lt;&gt;'Calc_Mix'!$C$35,'Calc_Mix'!$X$35=0,COUNTIFS(Esc_Turno,'Calc_Mix'!$C$35,Esc_Circ,$B23)+COUNTIFS(Esc_Turno,'Calc_Mix'!$C$35,Esc_Instr,$B23)&gt;0),"",IF(SUMPRODUCT('Calc_Mix'!$D$35:$W$35,'Matriz_Habilidades'!$D23:$W23)=0,"",SUMPRODUCT('Calc_Mix'!$D$35:$W$35,'Matriz_Habilidades'!$D23:$W23)/'Calc_Mix'!$X$35+ROW()*0.000001))</f>
        <v/>
      </c>
      <c r="AM23" s="34">
        <f>IF(OR($B23="",$C23&lt;&gt;"Ativo",$D23&lt;&gt;'Calc_Mix'!$C$36,'Calc_Mix'!$X$36=0,COUNTIFS(Esc_Turno,'Calc_Mix'!$C$36,Esc_Circ,$B23)+COUNTIFS(Esc_Turno,'Calc_Mix'!$C$36,Esc_Instr,$B23)&gt;0),"",IF(SUMPRODUCT('Calc_Mix'!$D$36:$W$36,'Matriz_Habilidades'!$D23:$W23)=0,"",SUMPRODUCT('Calc_Mix'!$D$36:$W$36,'Matriz_Habilidades'!$D23:$W23)/'Calc_Mix'!$X$36+ROW()*0.000001))</f>
        <v/>
      </c>
      <c r="AN23" s="34">
        <f>IF(OR($B23="",$C23&lt;&gt;"Ativo",$D23&lt;&gt;'Calc_Mix'!$C$37,'Calc_Mix'!$X$37=0,COUNTIFS(Esc_Turno,'Calc_Mix'!$C$37,Esc_Circ,$B23)+COUNTIFS(Esc_Turno,'Calc_Mix'!$C$37,Esc_Instr,$B23)&gt;0),"",IF(SUMPRODUCT('Calc_Mix'!$D$37:$W$37,'Matriz_Habilidades'!$D23:$W23)=0,"",SUMPRODUCT('Calc_Mix'!$D$37:$W$37,'Matriz_Habilidades'!$D23:$W23)/'Calc_Mix'!$X$37+ROW()*0.000001))</f>
        <v/>
      </c>
    </row>
    <row r="24">
      <c r="A24" s="27">
        <f>IF('Matriz_Habilidades'!A24="","",'Matriz_Habilidades'!A24)</f>
        <v/>
      </c>
      <c r="B24" s="28">
        <f>IF('Matriz_Habilidades'!B24="","",'Matriz_Habilidades'!B24)</f>
        <v/>
      </c>
      <c r="C24" s="27">
        <f>IF($A24="","",IFERROR(INDEX(Equipe_Status,MATCH($B24,Equipe_Nome,0)),"?"))</f>
        <v/>
      </c>
      <c r="D24" s="27">
        <f>IF($A24="","",IFERROR(INDEX(Equipe_Turno,MATCH($B24,Equipe_Nome,0)),"?"))</f>
        <v/>
      </c>
      <c r="E24" s="34">
        <f>IF(OR($B24="",$C24&lt;&gt;"Ativo",$D24&lt;&gt;'Calc_Mix'!$C$2,'Calc_Mix'!$X$2=0,COUNTIFS(Esc_Turno,'Calc_Mix'!$C$2,Esc_Circ,$B24)+COUNTIFS(Esc_Turno,'Calc_Mix'!$C$2,Esc_Instr,$B24)&gt;0),"",IF(SUMPRODUCT('Calc_Mix'!$D$2:$W$2,'Matriz_Habilidades'!$D24:$W24)=0,"",SUMPRODUCT('Calc_Mix'!$D$2:$W$2,'Matriz_Habilidades'!$D24:$W24)/'Calc_Mix'!$X$2+ROW()*0.000001))</f>
        <v/>
      </c>
      <c r="F24" s="34">
        <f>IF(OR($B24="",$C24&lt;&gt;"Ativo",$D24&lt;&gt;'Calc_Mix'!$C$3,'Calc_Mix'!$X$3=0,COUNTIFS(Esc_Turno,'Calc_Mix'!$C$3,Esc_Circ,$B24)+COUNTIFS(Esc_Turno,'Calc_Mix'!$C$3,Esc_Instr,$B24)&gt;0),"",IF(SUMPRODUCT('Calc_Mix'!$D$3:$W$3,'Matriz_Habilidades'!$D24:$W24)=0,"",SUMPRODUCT('Calc_Mix'!$D$3:$W$3,'Matriz_Habilidades'!$D24:$W24)/'Calc_Mix'!$X$3+ROW()*0.000001))</f>
        <v/>
      </c>
      <c r="G24" s="34">
        <f>IF(OR($B24="",$C24&lt;&gt;"Ativo",$D24&lt;&gt;'Calc_Mix'!$C$4,'Calc_Mix'!$X$4=0,COUNTIFS(Esc_Turno,'Calc_Mix'!$C$4,Esc_Circ,$B24)+COUNTIFS(Esc_Turno,'Calc_Mix'!$C$4,Esc_Instr,$B24)&gt;0),"",IF(SUMPRODUCT('Calc_Mix'!$D$4:$W$4,'Matriz_Habilidades'!$D24:$W24)=0,"",SUMPRODUCT('Calc_Mix'!$D$4:$W$4,'Matriz_Habilidades'!$D24:$W24)/'Calc_Mix'!$X$4+ROW()*0.000001))</f>
        <v/>
      </c>
      <c r="H24" s="34">
        <f>IF(OR($B24="",$C24&lt;&gt;"Ativo",$D24&lt;&gt;'Calc_Mix'!$C$5,'Calc_Mix'!$X$5=0,COUNTIFS(Esc_Turno,'Calc_Mix'!$C$5,Esc_Circ,$B24)+COUNTIFS(Esc_Turno,'Calc_Mix'!$C$5,Esc_Instr,$B24)&gt;0),"",IF(SUMPRODUCT('Calc_Mix'!$D$5:$W$5,'Matriz_Habilidades'!$D24:$W24)=0,"",SUMPRODUCT('Calc_Mix'!$D$5:$W$5,'Matriz_Habilidades'!$D24:$W24)/'Calc_Mix'!$X$5+ROW()*0.000001))</f>
        <v/>
      </c>
      <c r="I24" s="34">
        <f>IF(OR($B24="",$C24&lt;&gt;"Ativo",$D24&lt;&gt;'Calc_Mix'!$C$6,'Calc_Mix'!$X$6=0,COUNTIFS(Esc_Turno,'Calc_Mix'!$C$6,Esc_Circ,$B24)+COUNTIFS(Esc_Turno,'Calc_Mix'!$C$6,Esc_Instr,$B24)&gt;0),"",IF(SUMPRODUCT('Calc_Mix'!$D$6:$W$6,'Matriz_Habilidades'!$D24:$W24)=0,"",SUMPRODUCT('Calc_Mix'!$D$6:$W$6,'Matriz_Habilidades'!$D24:$W24)/'Calc_Mix'!$X$6+ROW()*0.000001))</f>
        <v/>
      </c>
      <c r="J24" s="34">
        <f>IF(OR($B24="",$C24&lt;&gt;"Ativo",$D24&lt;&gt;'Calc_Mix'!$C$7,'Calc_Mix'!$X$7=0,COUNTIFS(Esc_Turno,'Calc_Mix'!$C$7,Esc_Circ,$B24)+COUNTIFS(Esc_Turno,'Calc_Mix'!$C$7,Esc_Instr,$B24)&gt;0),"",IF(SUMPRODUCT('Calc_Mix'!$D$7:$W$7,'Matriz_Habilidades'!$D24:$W24)=0,"",SUMPRODUCT('Calc_Mix'!$D$7:$W$7,'Matriz_Habilidades'!$D24:$W24)/'Calc_Mix'!$X$7+ROW()*0.000001))</f>
        <v/>
      </c>
      <c r="K24" s="34">
        <f>IF(OR($B24="",$C24&lt;&gt;"Ativo",$D24&lt;&gt;'Calc_Mix'!$C$8,'Calc_Mix'!$X$8=0,COUNTIFS(Esc_Turno,'Calc_Mix'!$C$8,Esc_Circ,$B24)+COUNTIFS(Esc_Turno,'Calc_Mix'!$C$8,Esc_Instr,$B24)&gt;0),"",IF(SUMPRODUCT('Calc_Mix'!$D$8:$W$8,'Matriz_Habilidades'!$D24:$W24)=0,"",SUMPRODUCT('Calc_Mix'!$D$8:$W$8,'Matriz_Habilidades'!$D24:$W24)/'Calc_Mix'!$X$8+ROW()*0.000001))</f>
        <v/>
      </c>
      <c r="L24" s="34">
        <f>IF(OR($B24="",$C24&lt;&gt;"Ativo",$D24&lt;&gt;'Calc_Mix'!$C$9,'Calc_Mix'!$X$9=0,COUNTIFS(Esc_Turno,'Calc_Mix'!$C$9,Esc_Circ,$B24)+COUNTIFS(Esc_Turno,'Calc_Mix'!$C$9,Esc_Instr,$B24)&gt;0),"",IF(SUMPRODUCT('Calc_Mix'!$D$9:$W$9,'Matriz_Habilidades'!$D24:$W24)=0,"",SUMPRODUCT('Calc_Mix'!$D$9:$W$9,'Matriz_Habilidades'!$D24:$W24)/'Calc_Mix'!$X$9+ROW()*0.000001))</f>
        <v/>
      </c>
      <c r="M24" s="34">
        <f>IF(OR($B24="",$C24&lt;&gt;"Ativo",$D24&lt;&gt;'Calc_Mix'!$C$10,'Calc_Mix'!$X$10=0,COUNTIFS(Esc_Turno,'Calc_Mix'!$C$10,Esc_Circ,$B24)+COUNTIFS(Esc_Turno,'Calc_Mix'!$C$10,Esc_Instr,$B24)&gt;0),"",IF(SUMPRODUCT('Calc_Mix'!$D$10:$W$10,'Matriz_Habilidades'!$D24:$W24)=0,"",SUMPRODUCT('Calc_Mix'!$D$10:$W$10,'Matriz_Habilidades'!$D24:$W24)/'Calc_Mix'!$X$10+ROW()*0.000001))</f>
        <v/>
      </c>
      <c r="N24" s="34">
        <f>IF(OR($B24="",$C24&lt;&gt;"Ativo",$D24&lt;&gt;'Calc_Mix'!$C$11,'Calc_Mix'!$X$11=0,COUNTIFS(Esc_Turno,'Calc_Mix'!$C$11,Esc_Circ,$B24)+COUNTIFS(Esc_Turno,'Calc_Mix'!$C$11,Esc_Instr,$B24)&gt;0),"",IF(SUMPRODUCT('Calc_Mix'!$D$11:$W$11,'Matriz_Habilidades'!$D24:$W24)=0,"",SUMPRODUCT('Calc_Mix'!$D$11:$W$11,'Matriz_Habilidades'!$D24:$W24)/'Calc_Mix'!$X$11+ROW()*0.000001))</f>
        <v/>
      </c>
      <c r="O24" s="34">
        <f>IF(OR($B24="",$C24&lt;&gt;"Ativo",$D24&lt;&gt;'Calc_Mix'!$C$12,'Calc_Mix'!$X$12=0,COUNTIFS(Esc_Turno,'Calc_Mix'!$C$12,Esc_Circ,$B24)+COUNTIFS(Esc_Turno,'Calc_Mix'!$C$12,Esc_Instr,$B24)&gt;0),"",IF(SUMPRODUCT('Calc_Mix'!$D$12:$W$12,'Matriz_Habilidades'!$D24:$W24)=0,"",SUMPRODUCT('Calc_Mix'!$D$12:$W$12,'Matriz_Habilidades'!$D24:$W24)/'Calc_Mix'!$X$12+ROW()*0.000001))</f>
        <v/>
      </c>
      <c r="P24" s="34">
        <f>IF(OR($B24="",$C24&lt;&gt;"Ativo",$D24&lt;&gt;'Calc_Mix'!$C$13,'Calc_Mix'!$X$13=0,COUNTIFS(Esc_Turno,'Calc_Mix'!$C$13,Esc_Circ,$B24)+COUNTIFS(Esc_Turno,'Calc_Mix'!$C$13,Esc_Instr,$B24)&gt;0),"",IF(SUMPRODUCT('Calc_Mix'!$D$13:$W$13,'Matriz_Habilidades'!$D24:$W24)=0,"",SUMPRODUCT('Calc_Mix'!$D$13:$W$13,'Matriz_Habilidades'!$D24:$W24)/'Calc_Mix'!$X$13+ROW()*0.000001))</f>
        <v/>
      </c>
      <c r="Q24" s="34">
        <f>IF(OR($B24="",$C24&lt;&gt;"Ativo",$D24&lt;&gt;'Calc_Mix'!$C$14,'Calc_Mix'!$X$14=0,COUNTIFS(Esc_Turno,'Calc_Mix'!$C$14,Esc_Circ,$B24)+COUNTIFS(Esc_Turno,'Calc_Mix'!$C$14,Esc_Instr,$B24)&gt;0),"",IF(SUMPRODUCT('Calc_Mix'!$D$14:$W$14,'Matriz_Habilidades'!$D24:$W24)=0,"",SUMPRODUCT('Calc_Mix'!$D$14:$W$14,'Matriz_Habilidades'!$D24:$W24)/'Calc_Mix'!$X$14+ROW()*0.000001))</f>
        <v/>
      </c>
      <c r="R24" s="34">
        <f>IF(OR($B24="",$C24&lt;&gt;"Ativo",$D24&lt;&gt;'Calc_Mix'!$C$15,'Calc_Mix'!$X$15=0,COUNTIFS(Esc_Turno,'Calc_Mix'!$C$15,Esc_Circ,$B24)+COUNTIFS(Esc_Turno,'Calc_Mix'!$C$15,Esc_Instr,$B24)&gt;0),"",IF(SUMPRODUCT('Calc_Mix'!$D$15:$W$15,'Matriz_Habilidades'!$D24:$W24)=0,"",SUMPRODUCT('Calc_Mix'!$D$15:$W$15,'Matriz_Habilidades'!$D24:$W24)/'Calc_Mix'!$X$15+ROW()*0.000001))</f>
        <v/>
      </c>
      <c r="S24" s="34">
        <f>IF(OR($B24="",$C24&lt;&gt;"Ativo",$D24&lt;&gt;'Calc_Mix'!$C$16,'Calc_Mix'!$X$16=0,COUNTIFS(Esc_Turno,'Calc_Mix'!$C$16,Esc_Circ,$B24)+COUNTIFS(Esc_Turno,'Calc_Mix'!$C$16,Esc_Instr,$B24)&gt;0),"",IF(SUMPRODUCT('Calc_Mix'!$D$16:$W$16,'Matriz_Habilidades'!$D24:$W24)=0,"",SUMPRODUCT('Calc_Mix'!$D$16:$W$16,'Matriz_Habilidades'!$D24:$W24)/'Calc_Mix'!$X$16+ROW()*0.000001))</f>
        <v/>
      </c>
      <c r="T24" s="34">
        <f>IF(OR($B24="",$C24&lt;&gt;"Ativo",$D24&lt;&gt;'Calc_Mix'!$C$17,'Calc_Mix'!$X$17=0,COUNTIFS(Esc_Turno,'Calc_Mix'!$C$17,Esc_Circ,$B24)+COUNTIFS(Esc_Turno,'Calc_Mix'!$C$17,Esc_Instr,$B24)&gt;0),"",IF(SUMPRODUCT('Calc_Mix'!$D$17:$W$17,'Matriz_Habilidades'!$D24:$W24)=0,"",SUMPRODUCT('Calc_Mix'!$D$17:$W$17,'Matriz_Habilidades'!$D24:$W24)/'Calc_Mix'!$X$17+ROW()*0.000001))</f>
        <v/>
      </c>
      <c r="U24" s="34">
        <f>IF(OR($B24="",$C24&lt;&gt;"Ativo",$D24&lt;&gt;'Calc_Mix'!$C$18,'Calc_Mix'!$X$18=0,COUNTIFS(Esc_Turno,'Calc_Mix'!$C$18,Esc_Circ,$B24)+COUNTIFS(Esc_Turno,'Calc_Mix'!$C$18,Esc_Instr,$B24)&gt;0),"",IF(SUMPRODUCT('Calc_Mix'!$D$18:$W$18,'Matriz_Habilidades'!$D24:$W24)=0,"",SUMPRODUCT('Calc_Mix'!$D$18:$W$18,'Matriz_Habilidades'!$D24:$W24)/'Calc_Mix'!$X$18+ROW()*0.000001))</f>
        <v/>
      </c>
      <c r="V24" s="34">
        <f>IF(OR($B24="",$C24&lt;&gt;"Ativo",$D24&lt;&gt;'Calc_Mix'!$C$19,'Calc_Mix'!$X$19=0,COUNTIFS(Esc_Turno,'Calc_Mix'!$C$19,Esc_Circ,$B24)+COUNTIFS(Esc_Turno,'Calc_Mix'!$C$19,Esc_Instr,$B24)&gt;0),"",IF(SUMPRODUCT('Calc_Mix'!$D$19:$W$19,'Matriz_Habilidades'!$D24:$W24)=0,"",SUMPRODUCT('Calc_Mix'!$D$19:$W$19,'Matriz_Habilidades'!$D24:$W24)/'Calc_Mix'!$X$19+ROW()*0.000001))</f>
        <v/>
      </c>
      <c r="W24" s="34">
        <f>IF(OR($B24="",$C24&lt;&gt;"Ativo",$D24&lt;&gt;'Calc_Mix'!$C$20,'Calc_Mix'!$X$20=0,COUNTIFS(Esc_Turno,'Calc_Mix'!$C$20,Esc_Circ,$B24)+COUNTIFS(Esc_Turno,'Calc_Mix'!$C$20,Esc_Instr,$B24)&gt;0),"",IF(SUMPRODUCT('Calc_Mix'!$D$20:$W$20,'Matriz_Habilidades'!$D24:$W24)=0,"",SUMPRODUCT('Calc_Mix'!$D$20:$W$20,'Matriz_Habilidades'!$D24:$W24)/'Calc_Mix'!$X$20+ROW()*0.000001))</f>
        <v/>
      </c>
      <c r="X24" s="34">
        <f>IF(OR($B24="",$C24&lt;&gt;"Ativo",$D24&lt;&gt;'Calc_Mix'!$C$21,'Calc_Mix'!$X$21=0,COUNTIFS(Esc_Turno,'Calc_Mix'!$C$21,Esc_Circ,$B24)+COUNTIFS(Esc_Turno,'Calc_Mix'!$C$21,Esc_Instr,$B24)&gt;0),"",IF(SUMPRODUCT('Calc_Mix'!$D$21:$W$21,'Matriz_Habilidades'!$D24:$W24)=0,"",SUMPRODUCT('Calc_Mix'!$D$21:$W$21,'Matriz_Habilidades'!$D24:$W24)/'Calc_Mix'!$X$21+ROW()*0.000001))</f>
        <v/>
      </c>
      <c r="Y24" s="34">
        <f>IF(OR($B24="",$C24&lt;&gt;"Ativo",$D24&lt;&gt;'Calc_Mix'!$C$22,'Calc_Mix'!$X$22=0,COUNTIFS(Esc_Turno,'Calc_Mix'!$C$22,Esc_Circ,$B24)+COUNTIFS(Esc_Turno,'Calc_Mix'!$C$22,Esc_Instr,$B24)&gt;0),"",IF(SUMPRODUCT('Calc_Mix'!$D$22:$W$22,'Matriz_Habilidades'!$D24:$W24)=0,"",SUMPRODUCT('Calc_Mix'!$D$22:$W$22,'Matriz_Habilidades'!$D24:$W24)/'Calc_Mix'!$X$22+ROW()*0.000001))</f>
        <v/>
      </c>
      <c r="Z24" s="34">
        <f>IF(OR($B24="",$C24&lt;&gt;"Ativo",$D24&lt;&gt;'Calc_Mix'!$C$23,'Calc_Mix'!$X$23=0,COUNTIFS(Esc_Turno,'Calc_Mix'!$C$23,Esc_Circ,$B24)+COUNTIFS(Esc_Turno,'Calc_Mix'!$C$23,Esc_Instr,$B24)&gt;0),"",IF(SUMPRODUCT('Calc_Mix'!$D$23:$W$23,'Matriz_Habilidades'!$D24:$W24)=0,"",SUMPRODUCT('Calc_Mix'!$D$23:$W$23,'Matriz_Habilidades'!$D24:$W24)/'Calc_Mix'!$X$23+ROW()*0.000001))</f>
        <v/>
      </c>
      <c r="AA24" s="34">
        <f>IF(OR($B24="",$C24&lt;&gt;"Ativo",$D24&lt;&gt;'Calc_Mix'!$C$24,'Calc_Mix'!$X$24=0,COUNTIFS(Esc_Turno,'Calc_Mix'!$C$24,Esc_Circ,$B24)+COUNTIFS(Esc_Turno,'Calc_Mix'!$C$24,Esc_Instr,$B24)&gt;0),"",IF(SUMPRODUCT('Calc_Mix'!$D$24:$W$24,'Matriz_Habilidades'!$D24:$W24)=0,"",SUMPRODUCT('Calc_Mix'!$D$24:$W$24,'Matriz_Habilidades'!$D24:$W24)/'Calc_Mix'!$X$24+ROW()*0.000001))</f>
        <v/>
      </c>
      <c r="AB24" s="34">
        <f>IF(OR($B24="",$C24&lt;&gt;"Ativo",$D24&lt;&gt;'Calc_Mix'!$C$25,'Calc_Mix'!$X$25=0,COUNTIFS(Esc_Turno,'Calc_Mix'!$C$25,Esc_Circ,$B24)+COUNTIFS(Esc_Turno,'Calc_Mix'!$C$25,Esc_Instr,$B24)&gt;0),"",IF(SUMPRODUCT('Calc_Mix'!$D$25:$W$25,'Matriz_Habilidades'!$D24:$W24)=0,"",SUMPRODUCT('Calc_Mix'!$D$25:$W$25,'Matriz_Habilidades'!$D24:$W24)/'Calc_Mix'!$X$25+ROW()*0.000001))</f>
        <v/>
      </c>
      <c r="AC24" s="34">
        <f>IF(OR($B24="",$C24&lt;&gt;"Ativo",$D24&lt;&gt;'Calc_Mix'!$C$26,'Calc_Mix'!$X$26=0,COUNTIFS(Esc_Turno,'Calc_Mix'!$C$26,Esc_Circ,$B24)+COUNTIFS(Esc_Turno,'Calc_Mix'!$C$26,Esc_Instr,$B24)&gt;0),"",IF(SUMPRODUCT('Calc_Mix'!$D$26:$W$26,'Matriz_Habilidades'!$D24:$W24)=0,"",SUMPRODUCT('Calc_Mix'!$D$26:$W$26,'Matriz_Habilidades'!$D24:$W24)/'Calc_Mix'!$X$26+ROW()*0.000001))</f>
        <v/>
      </c>
      <c r="AD24" s="34">
        <f>IF(OR($B24="",$C24&lt;&gt;"Ativo",$D24&lt;&gt;'Calc_Mix'!$C$27,'Calc_Mix'!$X$27=0,COUNTIFS(Esc_Turno,'Calc_Mix'!$C$27,Esc_Circ,$B24)+COUNTIFS(Esc_Turno,'Calc_Mix'!$C$27,Esc_Instr,$B24)&gt;0),"",IF(SUMPRODUCT('Calc_Mix'!$D$27:$W$27,'Matriz_Habilidades'!$D24:$W24)=0,"",SUMPRODUCT('Calc_Mix'!$D$27:$W$27,'Matriz_Habilidades'!$D24:$W24)/'Calc_Mix'!$X$27+ROW()*0.000001))</f>
        <v/>
      </c>
      <c r="AE24" s="34">
        <f>IF(OR($B24="",$C24&lt;&gt;"Ativo",$D24&lt;&gt;'Calc_Mix'!$C$28,'Calc_Mix'!$X$28=0,COUNTIFS(Esc_Turno,'Calc_Mix'!$C$28,Esc_Circ,$B24)+COUNTIFS(Esc_Turno,'Calc_Mix'!$C$28,Esc_Instr,$B24)&gt;0),"",IF(SUMPRODUCT('Calc_Mix'!$D$28:$W$28,'Matriz_Habilidades'!$D24:$W24)=0,"",SUMPRODUCT('Calc_Mix'!$D$28:$W$28,'Matriz_Habilidades'!$D24:$W24)/'Calc_Mix'!$X$28+ROW()*0.000001))</f>
        <v/>
      </c>
      <c r="AF24" s="34">
        <f>IF(OR($B24="",$C24&lt;&gt;"Ativo",$D24&lt;&gt;'Calc_Mix'!$C$29,'Calc_Mix'!$X$29=0,COUNTIFS(Esc_Turno,'Calc_Mix'!$C$29,Esc_Circ,$B24)+COUNTIFS(Esc_Turno,'Calc_Mix'!$C$29,Esc_Instr,$B24)&gt;0),"",IF(SUMPRODUCT('Calc_Mix'!$D$29:$W$29,'Matriz_Habilidades'!$D24:$W24)=0,"",SUMPRODUCT('Calc_Mix'!$D$29:$W$29,'Matriz_Habilidades'!$D24:$W24)/'Calc_Mix'!$X$29+ROW()*0.000001))</f>
        <v/>
      </c>
      <c r="AG24" s="34">
        <f>IF(OR($B24="",$C24&lt;&gt;"Ativo",$D24&lt;&gt;'Calc_Mix'!$C$30,'Calc_Mix'!$X$30=0,COUNTIFS(Esc_Turno,'Calc_Mix'!$C$30,Esc_Circ,$B24)+COUNTIFS(Esc_Turno,'Calc_Mix'!$C$30,Esc_Instr,$B24)&gt;0),"",IF(SUMPRODUCT('Calc_Mix'!$D$30:$W$30,'Matriz_Habilidades'!$D24:$W24)=0,"",SUMPRODUCT('Calc_Mix'!$D$30:$W$30,'Matriz_Habilidades'!$D24:$W24)/'Calc_Mix'!$X$30+ROW()*0.000001))</f>
        <v/>
      </c>
      <c r="AH24" s="34">
        <f>IF(OR($B24="",$C24&lt;&gt;"Ativo",$D24&lt;&gt;'Calc_Mix'!$C$31,'Calc_Mix'!$X$31=0,COUNTIFS(Esc_Turno,'Calc_Mix'!$C$31,Esc_Circ,$B24)+COUNTIFS(Esc_Turno,'Calc_Mix'!$C$31,Esc_Instr,$B24)&gt;0),"",IF(SUMPRODUCT('Calc_Mix'!$D$31:$W$31,'Matriz_Habilidades'!$D24:$W24)=0,"",SUMPRODUCT('Calc_Mix'!$D$31:$W$31,'Matriz_Habilidades'!$D24:$W24)/'Calc_Mix'!$X$31+ROW()*0.000001))</f>
        <v/>
      </c>
      <c r="AI24" s="34">
        <f>IF(OR($B24="",$C24&lt;&gt;"Ativo",$D24&lt;&gt;'Calc_Mix'!$C$32,'Calc_Mix'!$X$32=0,COUNTIFS(Esc_Turno,'Calc_Mix'!$C$32,Esc_Circ,$B24)+COUNTIFS(Esc_Turno,'Calc_Mix'!$C$32,Esc_Instr,$B24)&gt;0),"",IF(SUMPRODUCT('Calc_Mix'!$D$32:$W$32,'Matriz_Habilidades'!$D24:$W24)=0,"",SUMPRODUCT('Calc_Mix'!$D$32:$W$32,'Matriz_Habilidades'!$D24:$W24)/'Calc_Mix'!$X$32+ROW()*0.000001))</f>
        <v/>
      </c>
      <c r="AJ24" s="34">
        <f>IF(OR($B24="",$C24&lt;&gt;"Ativo",$D24&lt;&gt;'Calc_Mix'!$C$33,'Calc_Mix'!$X$33=0,COUNTIFS(Esc_Turno,'Calc_Mix'!$C$33,Esc_Circ,$B24)+COUNTIFS(Esc_Turno,'Calc_Mix'!$C$33,Esc_Instr,$B24)&gt;0),"",IF(SUMPRODUCT('Calc_Mix'!$D$33:$W$33,'Matriz_Habilidades'!$D24:$W24)=0,"",SUMPRODUCT('Calc_Mix'!$D$33:$W$33,'Matriz_Habilidades'!$D24:$W24)/'Calc_Mix'!$X$33+ROW()*0.000001))</f>
        <v/>
      </c>
      <c r="AK24" s="34">
        <f>IF(OR($B24="",$C24&lt;&gt;"Ativo",$D24&lt;&gt;'Calc_Mix'!$C$34,'Calc_Mix'!$X$34=0,COUNTIFS(Esc_Turno,'Calc_Mix'!$C$34,Esc_Circ,$B24)+COUNTIFS(Esc_Turno,'Calc_Mix'!$C$34,Esc_Instr,$B24)&gt;0),"",IF(SUMPRODUCT('Calc_Mix'!$D$34:$W$34,'Matriz_Habilidades'!$D24:$W24)=0,"",SUMPRODUCT('Calc_Mix'!$D$34:$W$34,'Matriz_Habilidades'!$D24:$W24)/'Calc_Mix'!$X$34+ROW()*0.000001))</f>
        <v/>
      </c>
      <c r="AL24" s="34">
        <f>IF(OR($B24="",$C24&lt;&gt;"Ativo",$D24&lt;&gt;'Calc_Mix'!$C$35,'Calc_Mix'!$X$35=0,COUNTIFS(Esc_Turno,'Calc_Mix'!$C$35,Esc_Circ,$B24)+COUNTIFS(Esc_Turno,'Calc_Mix'!$C$35,Esc_Instr,$B24)&gt;0),"",IF(SUMPRODUCT('Calc_Mix'!$D$35:$W$35,'Matriz_Habilidades'!$D24:$W24)=0,"",SUMPRODUCT('Calc_Mix'!$D$35:$W$35,'Matriz_Habilidades'!$D24:$W24)/'Calc_Mix'!$X$35+ROW()*0.000001))</f>
        <v/>
      </c>
      <c r="AM24" s="34">
        <f>IF(OR($B24="",$C24&lt;&gt;"Ativo",$D24&lt;&gt;'Calc_Mix'!$C$36,'Calc_Mix'!$X$36=0,COUNTIFS(Esc_Turno,'Calc_Mix'!$C$36,Esc_Circ,$B24)+COUNTIFS(Esc_Turno,'Calc_Mix'!$C$36,Esc_Instr,$B24)&gt;0),"",IF(SUMPRODUCT('Calc_Mix'!$D$36:$W$36,'Matriz_Habilidades'!$D24:$W24)=0,"",SUMPRODUCT('Calc_Mix'!$D$36:$W$36,'Matriz_Habilidades'!$D24:$W24)/'Calc_Mix'!$X$36+ROW()*0.000001))</f>
        <v/>
      </c>
      <c r="AN24" s="34">
        <f>IF(OR($B24="",$C24&lt;&gt;"Ativo",$D24&lt;&gt;'Calc_Mix'!$C$37,'Calc_Mix'!$X$37=0,COUNTIFS(Esc_Turno,'Calc_Mix'!$C$37,Esc_Circ,$B24)+COUNTIFS(Esc_Turno,'Calc_Mix'!$C$37,Esc_Instr,$B24)&gt;0),"",IF(SUMPRODUCT('Calc_Mix'!$D$37:$W$37,'Matriz_Habilidades'!$D24:$W24)=0,"",SUMPRODUCT('Calc_Mix'!$D$37:$W$37,'Matriz_Habilidades'!$D24:$W24)/'Calc_Mix'!$X$37+ROW()*0.000001))</f>
        <v/>
      </c>
    </row>
    <row r="25">
      <c r="A25" s="27">
        <f>IF('Matriz_Habilidades'!A25="","",'Matriz_Habilidades'!A25)</f>
        <v/>
      </c>
      <c r="B25" s="28">
        <f>IF('Matriz_Habilidades'!B25="","",'Matriz_Habilidades'!B25)</f>
        <v/>
      </c>
      <c r="C25" s="27">
        <f>IF($A25="","",IFERROR(INDEX(Equipe_Status,MATCH($B25,Equipe_Nome,0)),"?"))</f>
        <v/>
      </c>
      <c r="D25" s="27">
        <f>IF($A25="","",IFERROR(INDEX(Equipe_Turno,MATCH($B25,Equipe_Nome,0)),"?"))</f>
        <v/>
      </c>
      <c r="E25" s="34">
        <f>IF(OR($B25="",$C25&lt;&gt;"Ativo",$D25&lt;&gt;'Calc_Mix'!$C$2,'Calc_Mix'!$X$2=0,COUNTIFS(Esc_Turno,'Calc_Mix'!$C$2,Esc_Circ,$B25)+COUNTIFS(Esc_Turno,'Calc_Mix'!$C$2,Esc_Instr,$B25)&gt;0),"",IF(SUMPRODUCT('Calc_Mix'!$D$2:$W$2,'Matriz_Habilidades'!$D25:$W25)=0,"",SUMPRODUCT('Calc_Mix'!$D$2:$W$2,'Matriz_Habilidades'!$D25:$W25)/'Calc_Mix'!$X$2+ROW()*0.000001))</f>
        <v/>
      </c>
      <c r="F25" s="34">
        <f>IF(OR($B25="",$C25&lt;&gt;"Ativo",$D25&lt;&gt;'Calc_Mix'!$C$3,'Calc_Mix'!$X$3=0,COUNTIFS(Esc_Turno,'Calc_Mix'!$C$3,Esc_Circ,$B25)+COUNTIFS(Esc_Turno,'Calc_Mix'!$C$3,Esc_Instr,$B25)&gt;0),"",IF(SUMPRODUCT('Calc_Mix'!$D$3:$W$3,'Matriz_Habilidades'!$D25:$W25)=0,"",SUMPRODUCT('Calc_Mix'!$D$3:$W$3,'Matriz_Habilidades'!$D25:$W25)/'Calc_Mix'!$X$3+ROW()*0.000001))</f>
        <v/>
      </c>
      <c r="G25" s="34">
        <f>IF(OR($B25="",$C25&lt;&gt;"Ativo",$D25&lt;&gt;'Calc_Mix'!$C$4,'Calc_Mix'!$X$4=0,COUNTIFS(Esc_Turno,'Calc_Mix'!$C$4,Esc_Circ,$B25)+COUNTIFS(Esc_Turno,'Calc_Mix'!$C$4,Esc_Instr,$B25)&gt;0),"",IF(SUMPRODUCT('Calc_Mix'!$D$4:$W$4,'Matriz_Habilidades'!$D25:$W25)=0,"",SUMPRODUCT('Calc_Mix'!$D$4:$W$4,'Matriz_Habilidades'!$D25:$W25)/'Calc_Mix'!$X$4+ROW()*0.000001))</f>
        <v/>
      </c>
      <c r="H25" s="34">
        <f>IF(OR($B25="",$C25&lt;&gt;"Ativo",$D25&lt;&gt;'Calc_Mix'!$C$5,'Calc_Mix'!$X$5=0,COUNTIFS(Esc_Turno,'Calc_Mix'!$C$5,Esc_Circ,$B25)+COUNTIFS(Esc_Turno,'Calc_Mix'!$C$5,Esc_Instr,$B25)&gt;0),"",IF(SUMPRODUCT('Calc_Mix'!$D$5:$W$5,'Matriz_Habilidades'!$D25:$W25)=0,"",SUMPRODUCT('Calc_Mix'!$D$5:$W$5,'Matriz_Habilidades'!$D25:$W25)/'Calc_Mix'!$X$5+ROW()*0.000001))</f>
        <v/>
      </c>
      <c r="I25" s="34">
        <f>IF(OR($B25="",$C25&lt;&gt;"Ativo",$D25&lt;&gt;'Calc_Mix'!$C$6,'Calc_Mix'!$X$6=0,COUNTIFS(Esc_Turno,'Calc_Mix'!$C$6,Esc_Circ,$B25)+COUNTIFS(Esc_Turno,'Calc_Mix'!$C$6,Esc_Instr,$B25)&gt;0),"",IF(SUMPRODUCT('Calc_Mix'!$D$6:$W$6,'Matriz_Habilidades'!$D25:$W25)=0,"",SUMPRODUCT('Calc_Mix'!$D$6:$W$6,'Matriz_Habilidades'!$D25:$W25)/'Calc_Mix'!$X$6+ROW()*0.000001))</f>
        <v/>
      </c>
      <c r="J25" s="34">
        <f>IF(OR($B25="",$C25&lt;&gt;"Ativo",$D25&lt;&gt;'Calc_Mix'!$C$7,'Calc_Mix'!$X$7=0,COUNTIFS(Esc_Turno,'Calc_Mix'!$C$7,Esc_Circ,$B25)+COUNTIFS(Esc_Turno,'Calc_Mix'!$C$7,Esc_Instr,$B25)&gt;0),"",IF(SUMPRODUCT('Calc_Mix'!$D$7:$W$7,'Matriz_Habilidades'!$D25:$W25)=0,"",SUMPRODUCT('Calc_Mix'!$D$7:$W$7,'Matriz_Habilidades'!$D25:$W25)/'Calc_Mix'!$X$7+ROW()*0.000001))</f>
        <v/>
      </c>
      <c r="K25" s="34">
        <f>IF(OR($B25="",$C25&lt;&gt;"Ativo",$D25&lt;&gt;'Calc_Mix'!$C$8,'Calc_Mix'!$X$8=0,COUNTIFS(Esc_Turno,'Calc_Mix'!$C$8,Esc_Circ,$B25)+COUNTIFS(Esc_Turno,'Calc_Mix'!$C$8,Esc_Instr,$B25)&gt;0),"",IF(SUMPRODUCT('Calc_Mix'!$D$8:$W$8,'Matriz_Habilidades'!$D25:$W25)=0,"",SUMPRODUCT('Calc_Mix'!$D$8:$W$8,'Matriz_Habilidades'!$D25:$W25)/'Calc_Mix'!$X$8+ROW()*0.000001))</f>
        <v/>
      </c>
      <c r="L25" s="34">
        <f>IF(OR($B25="",$C25&lt;&gt;"Ativo",$D25&lt;&gt;'Calc_Mix'!$C$9,'Calc_Mix'!$X$9=0,COUNTIFS(Esc_Turno,'Calc_Mix'!$C$9,Esc_Circ,$B25)+COUNTIFS(Esc_Turno,'Calc_Mix'!$C$9,Esc_Instr,$B25)&gt;0),"",IF(SUMPRODUCT('Calc_Mix'!$D$9:$W$9,'Matriz_Habilidades'!$D25:$W25)=0,"",SUMPRODUCT('Calc_Mix'!$D$9:$W$9,'Matriz_Habilidades'!$D25:$W25)/'Calc_Mix'!$X$9+ROW()*0.000001))</f>
        <v/>
      </c>
      <c r="M25" s="34">
        <f>IF(OR($B25="",$C25&lt;&gt;"Ativo",$D25&lt;&gt;'Calc_Mix'!$C$10,'Calc_Mix'!$X$10=0,COUNTIFS(Esc_Turno,'Calc_Mix'!$C$10,Esc_Circ,$B25)+COUNTIFS(Esc_Turno,'Calc_Mix'!$C$10,Esc_Instr,$B25)&gt;0),"",IF(SUMPRODUCT('Calc_Mix'!$D$10:$W$10,'Matriz_Habilidades'!$D25:$W25)=0,"",SUMPRODUCT('Calc_Mix'!$D$10:$W$10,'Matriz_Habilidades'!$D25:$W25)/'Calc_Mix'!$X$10+ROW()*0.000001))</f>
        <v/>
      </c>
      <c r="N25" s="34">
        <f>IF(OR($B25="",$C25&lt;&gt;"Ativo",$D25&lt;&gt;'Calc_Mix'!$C$11,'Calc_Mix'!$X$11=0,COUNTIFS(Esc_Turno,'Calc_Mix'!$C$11,Esc_Circ,$B25)+COUNTIFS(Esc_Turno,'Calc_Mix'!$C$11,Esc_Instr,$B25)&gt;0),"",IF(SUMPRODUCT('Calc_Mix'!$D$11:$W$11,'Matriz_Habilidades'!$D25:$W25)=0,"",SUMPRODUCT('Calc_Mix'!$D$11:$W$11,'Matriz_Habilidades'!$D25:$W25)/'Calc_Mix'!$X$11+ROW()*0.000001))</f>
        <v/>
      </c>
      <c r="O25" s="34">
        <f>IF(OR($B25="",$C25&lt;&gt;"Ativo",$D25&lt;&gt;'Calc_Mix'!$C$12,'Calc_Mix'!$X$12=0,COUNTIFS(Esc_Turno,'Calc_Mix'!$C$12,Esc_Circ,$B25)+COUNTIFS(Esc_Turno,'Calc_Mix'!$C$12,Esc_Instr,$B25)&gt;0),"",IF(SUMPRODUCT('Calc_Mix'!$D$12:$W$12,'Matriz_Habilidades'!$D25:$W25)=0,"",SUMPRODUCT('Calc_Mix'!$D$12:$W$12,'Matriz_Habilidades'!$D25:$W25)/'Calc_Mix'!$X$12+ROW()*0.000001))</f>
        <v/>
      </c>
      <c r="P25" s="34">
        <f>IF(OR($B25="",$C25&lt;&gt;"Ativo",$D25&lt;&gt;'Calc_Mix'!$C$13,'Calc_Mix'!$X$13=0,COUNTIFS(Esc_Turno,'Calc_Mix'!$C$13,Esc_Circ,$B25)+COUNTIFS(Esc_Turno,'Calc_Mix'!$C$13,Esc_Instr,$B25)&gt;0),"",IF(SUMPRODUCT('Calc_Mix'!$D$13:$W$13,'Matriz_Habilidades'!$D25:$W25)=0,"",SUMPRODUCT('Calc_Mix'!$D$13:$W$13,'Matriz_Habilidades'!$D25:$W25)/'Calc_Mix'!$X$13+ROW()*0.000001))</f>
        <v/>
      </c>
      <c r="Q25" s="34">
        <f>IF(OR($B25="",$C25&lt;&gt;"Ativo",$D25&lt;&gt;'Calc_Mix'!$C$14,'Calc_Mix'!$X$14=0,COUNTIFS(Esc_Turno,'Calc_Mix'!$C$14,Esc_Circ,$B25)+COUNTIFS(Esc_Turno,'Calc_Mix'!$C$14,Esc_Instr,$B25)&gt;0),"",IF(SUMPRODUCT('Calc_Mix'!$D$14:$W$14,'Matriz_Habilidades'!$D25:$W25)=0,"",SUMPRODUCT('Calc_Mix'!$D$14:$W$14,'Matriz_Habilidades'!$D25:$W25)/'Calc_Mix'!$X$14+ROW()*0.000001))</f>
        <v/>
      </c>
      <c r="R25" s="34">
        <f>IF(OR($B25="",$C25&lt;&gt;"Ativo",$D25&lt;&gt;'Calc_Mix'!$C$15,'Calc_Mix'!$X$15=0,COUNTIFS(Esc_Turno,'Calc_Mix'!$C$15,Esc_Circ,$B25)+COUNTIFS(Esc_Turno,'Calc_Mix'!$C$15,Esc_Instr,$B25)&gt;0),"",IF(SUMPRODUCT('Calc_Mix'!$D$15:$W$15,'Matriz_Habilidades'!$D25:$W25)=0,"",SUMPRODUCT('Calc_Mix'!$D$15:$W$15,'Matriz_Habilidades'!$D25:$W25)/'Calc_Mix'!$X$15+ROW()*0.000001))</f>
        <v/>
      </c>
      <c r="S25" s="34">
        <f>IF(OR($B25="",$C25&lt;&gt;"Ativo",$D25&lt;&gt;'Calc_Mix'!$C$16,'Calc_Mix'!$X$16=0,COUNTIFS(Esc_Turno,'Calc_Mix'!$C$16,Esc_Circ,$B25)+COUNTIFS(Esc_Turno,'Calc_Mix'!$C$16,Esc_Instr,$B25)&gt;0),"",IF(SUMPRODUCT('Calc_Mix'!$D$16:$W$16,'Matriz_Habilidades'!$D25:$W25)=0,"",SUMPRODUCT('Calc_Mix'!$D$16:$W$16,'Matriz_Habilidades'!$D25:$W25)/'Calc_Mix'!$X$16+ROW()*0.000001))</f>
        <v/>
      </c>
      <c r="T25" s="34">
        <f>IF(OR($B25="",$C25&lt;&gt;"Ativo",$D25&lt;&gt;'Calc_Mix'!$C$17,'Calc_Mix'!$X$17=0,COUNTIFS(Esc_Turno,'Calc_Mix'!$C$17,Esc_Circ,$B25)+COUNTIFS(Esc_Turno,'Calc_Mix'!$C$17,Esc_Instr,$B25)&gt;0),"",IF(SUMPRODUCT('Calc_Mix'!$D$17:$W$17,'Matriz_Habilidades'!$D25:$W25)=0,"",SUMPRODUCT('Calc_Mix'!$D$17:$W$17,'Matriz_Habilidades'!$D25:$W25)/'Calc_Mix'!$X$17+ROW()*0.000001))</f>
        <v/>
      </c>
      <c r="U25" s="34">
        <f>IF(OR($B25="",$C25&lt;&gt;"Ativo",$D25&lt;&gt;'Calc_Mix'!$C$18,'Calc_Mix'!$X$18=0,COUNTIFS(Esc_Turno,'Calc_Mix'!$C$18,Esc_Circ,$B25)+COUNTIFS(Esc_Turno,'Calc_Mix'!$C$18,Esc_Instr,$B25)&gt;0),"",IF(SUMPRODUCT('Calc_Mix'!$D$18:$W$18,'Matriz_Habilidades'!$D25:$W25)=0,"",SUMPRODUCT('Calc_Mix'!$D$18:$W$18,'Matriz_Habilidades'!$D25:$W25)/'Calc_Mix'!$X$18+ROW()*0.000001))</f>
        <v/>
      </c>
      <c r="V25" s="34">
        <f>IF(OR($B25="",$C25&lt;&gt;"Ativo",$D25&lt;&gt;'Calc_Mix'!$C$19,'Calc_Mix'!$X$19=0,COUNTIFS(Esc_Turno,'Calc_Mix'!$C$19,Esc_Circ,$B25)+COUNTIFS(Esc_Turno,'Calc_Mix'!$C$19,Esc_Instr,$B25)&gt;0),"",IF(SUMPRODUCT('Calc_Mix'!$D$19:$W$19,'Matriz_Habilidades'!$D25:$W25)=0,"",SUMPRODUCT('Calc_Mix'!$D$19:$W$19,'Matriz_Habilidades'!$D25:$W25)/'Calc_Mix'!$X$19+ROW()*0.000001))</f>
        <v/>
      </c>
      <c r="W25" s="34">
        <f>IF(OR($B25="",$C25&lt;&gt;"Ativo",$D25&lt;&gt;'Calc_Mix'!$C$20,'Calc_Mix'!$X$20=0,COUNTIFS(Esc_Turno,'Calc_Mix'!$C$20,Esc_Circ,$B25)+COUNTIFS(Esc_Turno,'Calc_Mix'!$C$20,Esc_Instr,$B25)&gt;0),"",IF(SUMPRODUCT('Calc_Mix'!$D$20:$W$20,'Matriz_Habilidades'!$D25:$W25)=0,"",SUMPRODUCT('Calc_Mix'!$D$20:$W$20,'Matriz_Habilidades'!$D25:$W25)/'Calc_Mix'!$X$20+ROW()*0.000001))</f>
        <v/>
      </c>
      <c r="X25" s="34">
        <f>IF(OR($B25="",$C25&lt;&gt;"Ativo",$D25&lt;&gt;'Calc_Mix'!$C$21,'Calc_Mix'!$X$21=0,COUNTIFS(Esc_Turno,'Calc_Mix'!$C$21,Esc_Circ,$B25)+COUNTIFS(Esc_Turno,'Calc_Mix'!$C$21,Esc_Instr,$B25)&gt;0),"",IF(SUMPRODUCT('Calc_Mix'!$D$21:$W$21,'Matriz_Habilidades'!$D25:$W25)=0,"",SUMPRODUCT('Calc_Mix'!$D$21:$W$21,'Matriz_Habilidades'!$D25:$W25)/'Calc_Mix'!$X$21+ROW()*0.000001))</f>
        <v/>
      </c>
      <c r="Y25" s="34">
        <f>IF(OR($B25="",$C25&lt;&gt;"Ativo",$D25&lt;&gt;'Calc_Mix'!$C$22,'Calc_Mix'!$X$22=0,COUNTIFS(Esc_Turno,'Calc_Mix'!$C$22,Esc_Circ,$B25)+COUNTIFS(Esc_Turno,'Calc_Mix'!$C$22,Esc_Instr,$B25)&gt;0),"",IF(SUMPRODUCT('Calc_Mix'!$D$22:$W$22,'Matriz_Habilidades'!$D25:$W25)=0,"",SUMPRODUCT('Calc_Mix'!$D$22:$W$22,'Matriz_Habilidades'!$D25:$W25)/'Calc_Mix'!$X$22+ROW()*0.000001))</f>
        <v/>
      </c>
      <c r="Z25" s="34">
        <f>IF(OR($B25="",$C25&lt;&gt;"Ativo",$D25&lt;&gt;'Calc_Mix'!$C$23,'Calc_Mix'!$X$23=0,COUNTIFS(Esc_Turno,'Calc_Mix'!$C$23,Esc_Circ,$B25)+COUNTIFS(Esc_Turno,'Calc_Mix'!$C$23,Esc_Instr,$B25)&gt;0),"",IF(SUMPRODUCT('Calc_Mix'!$D$23:$W$23,'Matriz_Habilidades'!$D25:$W25)=0,"",SUMPRODUCT('Calc_Mix'!$D$23:$W$23,'Matriz_Habilidades'!$D25:$W25)/'Calc_Mix'!$X$23+ROW()*0.000001))</f>
        <v/>
      </c>
      <c r="AA25" s="34">
        <f>IF(OR($B25="",$C25&lt;&gt;"Ativo",$D25&lt;&gt;'Calc_Mix'!$C$24,'Calc_Mix'!$X$24=0,COUNTIFS(Esc_Turno,'Calc_Mix'!$C$24,Esc_Circ,$B25)+COUNTIFS(Esc_Turno,'Calc_Mix'!$C$24,Esc_Instr,$B25)&gt;0),"",IF(SUMPRODUCT('Calc_Mix'!$D$24:$W$24,'Matriz_Habilidades'!$D25:$W25)=0,"",SUMPRODUCT('Calc_Mix'!$D$24:$W$24,'Matriz_Habilidades'!$D25:$W25)/'Calc_Mix'!$X$24+ROW()*0.000001))</f>
        <v/>
      </c>
      <c r="AB25" s="34">
        <f>IF(OR($B25="",$C25&lt;&gt;"Ativo",$D25&lt;&gt;'Calc_Mix'!$C$25,'Calc_Mix'!$X$25=0,COUNTIFS(Esc_Turno,'Calc_Mix'!$C$25,Esc_Circ,$B25)+COUNTIFS(Esc_Turno,'Calc_Mix'!$C$25,Esc_Instr,$B25)&gt;0),"",IF(SUMPRODUCT('Calc_Mix'!$D$25:$W$25,'Matriz_Habilidades'!$D25:$W25)=0,"",SUMPRODUCT('Calc_Mix'!$D$25:$W$25,'Matriz_Habilidades'!$D25:$W25)/'Calc_Mix'!$X$25+ROW()*0.000001))</f>
        <v/>
      </c>
      <c r="AC25" s="34">
        <f>IF(OR($B25="",$C25&lt;&gt;"Ativo",$D25&lt;&gt;'Calc_Mix'!$C$26,'Calc_Mix'!$X$26=0,COUNTIFS(Esc_Turno,'Calc_Mix'!$C$26,Esc_Circ,$B25)+COUNTIFS(Esc_Turno,'Calc_Mix'!$C$26,Esc_Instr,$B25)&gt;0),"",IF(SUMPRODUCT('Calc_Mix'!$D$26:$W$26,'Matriz_Habilidades'!$D25:$W25)=0,"",SUMPRODUCT('Calc_Mix'!$D$26:$W$26,'Matriz_Habilidades'!$D25:$W25)/'Calc_Mix'!$X$26+ROW()*0.000001))</f>
        <v/>
      </c>
      <c r="AD25" s="34">
        <f>IF(OR($B25="",$C25&lt;&gt;"Ativo",$D25&lt;&gt;'Calc_Mix'!$C$27,'Calc_Mix'!$X$27=0,COUNTIFS(Esc_Turno,'Calc_Mix'!$C$27,Esc_Circ,$B25)+COUNTIFS(Esc_Turno,'Calc_Mix'!$C$27,Esc_Instr,$B25)&gt;0),"",IF(SUMPRODUCT('Calc_Mix'!$D$27:$W$27,'Matriz_Habilidades'!$D25:$W25)=0,"",SUMPRODUCT('Calc_Mix'!$D$27:$W$27,'Matriz_Habilidades'!$D25:$W25)/'Calc_Mix'!$X$27+ROW()*0.000001))</f>
        <v/>
      </c>
      <c r="AE25" s="34">
        <f>IF(OR($B25="",$C25&lt;&gt;"Ativo",$D25&lt;&gt;'Calc_Mix'!$C$28,'Calc_Mix'!$X$28=0,COUNTIFS(Esc_Turno,'Calc_Mix'!$C$28,Esc_Circ,$B25)+COUNTIFS(Esc_Turno,'Calc_Mix'!$C$28,Esc_Instr,$B25)&gt;0),"",IF(SUMPRODUCT('Calc_Mix'!$D$28:$W$28,'Matriz_Habilidades'!$D25:$W25)=0,"",SUMPRODUCT('Calc_Mix'!$D$28:$W$28,'Matriz_Habilidades'!$D25:$W25)/'Calc_Mix'!$X$28+ROW()*0.000001))</f>
        <v/>
      </c>
      <c r="AF25" s="34">
        <f>IF(OR($B25="",$C25&lt;&gt;"Ativo",$D25&lt;&gt;'Calc_Mix'!$C$29,'Calc_Mix'!$X$29=0,COUNTIFS(Esc_Turno,'Calc_Mix'!$C$29,Esc_Circ,$B25)+COUNTIFS(Esc_Turno,'Calc_Mix'!$C$29,Esc_Instr,$B25)&gt;0),"",IF(SUMPRODUCT('Calc_Mix'!$D$29:$W$29,'Matriz_Habilidades'!$D25:$W25)=0,"",SUMPRODUCT('Calc_Mix'!$D$29:$W$29,'Matriz_Habilidades'!$D25:$W25)/'Calc_Mix'!$X$29+ROW()*0.000001))</f>
        <v/>
      </c>
      <c r="AG25" s="34">
        <f>IF(OR($B25="",$C25&lt;&gt;"Ativo",$D25&lt;&gt;'Calc_Mix'!$C$30,'Calc_Mix'!$X$30=0,COUNTIFS(Esc_Turno,'Calc_Mix'!$C$30,Esc_Circ,$B25)+COUNTIFS(Esc_Turno,'Calc_Mix'!$C$30,Esc_Instr,$B25)&gt;0),"",IF(SUMPRODUCT('Calc_Mix'!$D$30:$W$30,'Matriz_Habilidades'!$D25:$W25)=0,"",SUMPRODUCT('Calc_Mix'!$D$30:$W$30,'Matriz_Habilidades'!$D25:$W25)/'Calc_Mix'!$X$30+ROW()*0.000001))</f>
        <v/>
      </c>
      <c r="AH25" s="34">
        <f>IF(OR($B25="",$C25&lt;&gt;"Ativo",$D25&lt;&gt;'Calc_Mix'!$C$31,'Calc_Mix'!$X$31=0,COUNTIFS(Esc_Turno,'Calc_Mix'!$C$31,Esc_Circ,$B25)+COUNTIFS(Esc_Turno,'Calc_Mix'!$C$31,Esc_Instr,$B25)&gt;0),"",IF(SUMPRODUCT('Calc_Mix'!$D$31:$W$31,'Matriz_Habilidades'!$D25:$W25)=0,"",SUMPRODUCT('Calc_Mix'!$D$31:$W$31,'Matriz_Habilidades'!$D25:$W25)/'Calc_Mix'!$X$31+ROW()*0.000001))</f>
        <v/>
      </c>
      <c r="AI25" s="34">
        <f>IF(OR($B25="",$C25&lt;&gt;"Ativo",$D25&lt;&gt;'Calc_Mix'!$C$32,'Calc_Mix'!$X$32=0,COUNTIFS(Esc_Turno,'Calc_Mix'!$C$32,Esc_Circ,$B25)+COUNTIFS(Esc_Turno,'Calc_Mix'!$C$32,Esc_Instr,$B25)&gt;0),"",IF(SUMPRODUCT('Calc_Mix'!$D$32:$W$32,'Matriz_Habilidades'!$D25:$W25)=0,"",SUMPRODUCT('Calc_Mix'!$D$32:$W$32,'Matriz_Habilidades'!$D25:$W25)/'Calc_Mix'!$X$32+ROW()*0.000001))</f>
        <v/>
      </c>
      <c r="AJ25" s="34">
        <f>IF(OR($B25="",$C25&lt;&gt;"Ativo",$D25&lt;&gt;'Calc_Mix'!$C$33,'Calc_Mix'!$X$33=0,COUNTIFS(Esc_Turno,'Calc_Mix'!$C$33,Esc_Circ,$B25)+COUNTIFS(Esc_Turno,'Calc_Mix'!$C$33,Esc_Instr,$B25)&gt;0),"",IF(SUMPRODUCT('Calc_Mix'!$D$33:$W$33,'Matriz_Habilidades'!$D25:$W25)=0,"",SUMPRODUCT('Calc_Mix'!$D$33:$W$33,'Matriz_Habilidades'!$D25:$W25)/'Calc_Mix'!$X$33+ROW()*0.000001))</f>
        <v/>
      </c>
      <c r="AK25" s="34">
        <f>IF(OR($B25="",$C25&lt;&gt;"Ativo",$D25&lt;&gt;'Calc_Mix'!$C$34,'Calc_Mix'!$X$34=0,COUNTIFS(Esc_Turno,'Calc_Mix'!$C$34,Esc_Circ,$B25)+COUNTIFS(Esc_Turno,'Calc_Mix'!$C$34,Esc_Instr,$B25)&gt;0),"",IF(SUMPRODUCT('Calc_Mix'!$D$34:$W$34,'Matriz_Habilidades'!$D25:$W25)=0,"",SUMPRODUCT('Calc_Mix'!$D$34:$W$34,'Matriz_Habilidades'!$D25:$W25)/'Calc_Mix'!$X$34+ROW()*0.000001))</f>
        <v/>
      </c>
      <c r="AL25" s="34">
        <f>IF(OR($B25="",$C25&lt;&gt;"Ativo",$D25&lt;&gt;'Calc_Mix'!$C$35,'Calc_Mix'!$X$35=0,COUNTIFS(Esc_Turno,'Calc_Mix'!$C$35,Esc_Circ,$B25)+COUNTIFS(Esc_Turno,'Calc_Mix'!$C$35,Esc_Instr,$B25)&gt;0),"",IF(SUMPRODUCT('Calc_Mix'!$D$35:$W$35,'Matriz_Habilidades'!$D25:$W25)=0,"",SUMPRODUCT('Calc_Mix'!$D$35:$W$35,'Matriz_Habilidades'!$D25:$W25)/'Calc_Mix'!$X$35+ROW()*0.000001))</f>
        <v/>
      </c>
      <c r="AM25" s="34">
        <f>IF(OR($B25="",$C25&lt;&gt;"Ativo",$D25&lt;&gt;'Calc_Mix'!$C$36,'Calc_Mix'!$X$36=0,COUNTIFS(Esc_Turno,'Calc_Mix'!$C$36,Esc_Circ,$B25)+COUNTIFS(Esc_Turno,'Calc_Mix'!$C$36,Esc_Instr,$B25)&gt;0),"",IF(SUMPRODUCT('Calc_Mix'!$D$36:$W$36,'Matriz_Habilidades'!$D25:$W25)=0,"",SUMPRODUCT('Calc_Mix'!$D$36:$W$36,'Matriz_Habilidades'!$D25:$W25)/'Calc_Mix'!$X$36+ROW()*0.000001))</f>
        <v/>
      </c>
      <c r="AN25" s="34">
        <f>IF(OR($B25="",$C25&lt;&gt;"Ativo",$D25&lt;&gt;'Calc_Mix'!$C$37,'Calc_Mix'!$X$37=0,COUNTIFS(Esc_Turno,'Calc_Mix'!$C$37,Esc_Circ,$B25)+COUNTIFS(Esc_Turno,'Calc_Mix'!$C$37,Esc_Instr,$B25)&gt;0),"",IF(SUMPRODUCT('Calc_Mix'!$D$37:$W$37,'Matriz_Habilidades'!$D25:$W25)=0,"",SUMPRODUCT('Calc_Mix'!$D$37:$W$37,'Matriz_Habilidades'!$D25:$W25)/'Calc_Mix'!$X$37+ROW()*0.000001))</f>
        <v/>
      </c>
    </row>
    <row r="26">
      <c r="A26" s="27">
        <f>IF('Matriz_Habilidades'!A26="","",'Matriz_Habilidades'!A26)</f>
        <v/>
      </c>
      <c r="B26" s="28">
        <f>IF('Matriz_Habilidades'!B26="","",'Matriz_Habilidades'!B26)</f>
        <v/>
      </c>
      <c r="C26" s="27">
        <f>IF($A26="","",IFERROR(INDEX(Equipe_Status,MATCH($B26,Equipe_Nome,0)),"?"))</f>
        <v/>
      </c>
      <c r="D26" s="27">
        <f>IF($A26="","",IFERROR(INDEX(Equipe_Turno,MATCH($B26,Equipe_Nome,0)),"?"))</f>
        <v/>
      </c>
      <c r="E26" s="34">
        <f>IF(OR($B26="",$C26&lt;&gt;"Ativo",$D26&lt;&gt;'Calc_Mix'!$C$2,'Calc_Mix'!$X$2=0,COUNTIFS(Esc_Turno,'Calc_Mix'!$C$2,Esc_Circ,$B26)+COUNTIFS(Esc_Turno,'Calc_Mix'!$C$2,Esc_Instr,$B26)&gt;0),"",IF(SUMPRODUCT('Calc_Mix'!$D$2:$W$2,'Matriz_Habilidades'!$D26:$W26)=0,"",SUMPRODUCT('Calc_Mix'!$D$2:$W$2,'Matriz_Habilidades'!$D26:$W26)/'Calc_Mix'!$X$2+ROW()*0.000001))</f>
        <v/>
      </c>
      <c r="F26" s="34">
        <f>IF(OR($B26="",$C26&lt;&gt;"Ativo",$D26&lt;&gt;'Calc_Mix'!$C$3,'Calc_Mix'!$X$3=0,COUNTIFS(Esc_Turno,'Calc_Mix'!$C$3,Esc_Circ,$B26)+COUNTIFS(Esc_Turno,'Calc_Mix'!$C$3,Esc_Instr,$B26)&gt;0),"",IF(SUMPRODUCT('Calc_Mix'!$D$3:$W$3,'Matriz_Habilidades'!$D26:$W26)=0,"",SUMPRODUCT('Calc_Mix'!$D$3:$W$3,'Matriz_Habilidades'!$D26:$W26)/'Calc_Mix'!$X$3+ROW()*0.000001))</f>
        <v/>
      </c>
      <c r="G26" s="34">
        <f>IF(OR($B26="",$C26&lt;&gt;"Ativo",$D26&lt;&gt;'Calc_Mix'!$C$4,'Calc_Mix'!$X$4=0,COUNTIFS(Esc_Turno,'Calc_Mix'!$C$4,Esc_Circ,$B26)+COUNTIFS(Esc_Turno,'Calc_Mix'!$C$4,Esc_Instr,$B26)&gt;0),"",IF(SUMPRODUCT('Calc_Mix'!$D$4:$W$4,'Matriz_Habilidades'!$D26:$W26)=0,"",SUMPRODUCT('Calc_Mix'!$D$4:$W$4,'Matriz_Habilidades'!$D26:$W26)/'Calc_Mix'!$X$4+ROW()*0.000001))</f>
        <v/>
      </c>
      <c r="H26" s="34">
        <f>IF(OR($B26="",$C26&lt;&gt;"Ativo",$D26&lt;&gt;'Calc_Mix'!$C$5,'Calc_Mix'!$X$5=0,COUNTIFS(Esc_Turno,'Calc_Mix'!$C$5,Esc_Circ,$B26)+COUNTIFS(Esc_Turno,'Calc_Mix'!$C$5,Esc_Instr,$B26)&gt;0),"",IF(SUMPRODUCT('Calc_Mix'!$D$5:$W$5,'Matriz_Habilidades'!$D26:$W26)=0,"",SUMPRODUCT('Calc_Mix'!$D$5:$W$5,'Matriz_Habilidades'!$D26:$W26)/'Calc_Mix'!$X$5+ROW()*0.000001))</f>
        <v/>
      </c>
      <c r="I26" s="34">
        <f>IF(OR($B26="",$C26&lt;&gt;"Ativo",$D26&lt;&gt;'Calc_Mix'!$C$6,'Calc_Mix'!$X$6=0,COUNTIFS(Esc_Turno,'Calc_Mix'!$C$6,Esc_Circ,$B26)+COUNTIFS(Esc_Turno,'Calc_Mix'!$C$6,Esc_Instr,$B26)&gt;0),"",IF(SUMPRODUCT('Calc_Mix'!$D$6:$W$6,'Matriz_Habilidades'!$D26:$W26)=0,"",SUMPRODUCT('Calc_Mix'!$D$6:$W$6,'Matriz_Habilidades'!$D26:$W26)/'Calc_Mix'!$X$6+ROW()*0.000001))</f>
        <v/>
      </c>
      <c r="J26" s="34">
        <f>IF(OR($B26="",$C26&lt;&gt;"Ativo",$D26&lt;&gt;'Calc_Mix'!$C$7,'Calc_Mix'!$X$7=0,COUNTIFS(Esc_Turno,'Calc_Mix'!$C$7,Esc_Circ,$B26)+COUNTIFS(Esc_Turno,'Calc_Mix'!$C$7,Esc_Instr,$B26)&gt;0),"",IF(SUMPRODUCT('Calc_Mix'!$D$7:$W$7,'Matriz_Habilidades'!$D26:$W26)=0,"",SUMPRODUCT('Calc_Mix'!$D$7:$W$7,'Matriz_Habilidades'!$D26:$W26)/'Calc_Mix'!$X$7+ROW()*0.000001))</f>
        <v/>
      </c>
      <c r="K26" s="34">
        <f>IF(OR($B26="",$C26&lt;&gt;"Ativo",$D26&lt;&gt;'Calc_Mix'!$C$8,'Calc_Mix'!$X$8=0,COUNTIFS(Esc_Turno,'Calc_Mix'!$C$8,Esc_Circ,$B26)+COUNTIFS(Esc_Turno,'Calc_Mix'!$C$8,Esc_Instr,$B26)&gt;0),"",IF(SUMPRODUCT('Calc_Mix'!$D$8:$W$8,'Matriz_Habilidades'!$D26:$W26)=0,"",SUMPRODUCT('Calc_Mix'!$D$8:$W$8,'Matriz_Habilidades'!$D26:$W26)/'Calc_Mix'!$X$8+ROW()*0.000001))</f>
        <v/>
      </c>
      <c r="L26" s="34">
        <f>IF(OR($B26="",$C26&lt;&gt;"Ativo",$D26&lt;&gt;'Calc_Mix'!$C$9,'Calc_Mix'!$X$9=0,COUNTIFS(Esc_Turno,'Calc_Mix'!$C$9,Esc_Circ,$B26)+COUNTIFS(Esc_Turno,'Calc_Mix'!$C$9,Esc_Instr,$B26)&gt;0),"",IF(SUMPRODUCT('Calc_Mix'!$D$9:$W$9,'Matriz_Habilidades'!$D26:$W26)=0,"",SUMPRODUCT('Calc_Mix'!$D$9:$W$9,'Matriz_Habilidades'!$D26:$W26)/'Calc_Mix'!$X$9+ROW()*0.000001))</f>
        <v/>
      </c>
      <c r="M26" s="34">
        <f>IF(OR($B26="",$C26&lt;&gt;"Ativo",$D26&lt;&gt;'Calc_Mix'!$C$10,'Calc_Mix'!$X$10=0,COUNTIFS(Esc_Turno,'Calc_Mix'!$C$10,Esc_Circ,$B26)+COUNTIFS(Esc_Turno,'Calc_Mix'!$C$10,Esc_Instr,$B26)&gt;0),"",IF(SUMPRODUCT('Calc_Mix'!$D$10:$W$10,'Matriz_Habilidades'!$D26:$W26)=0,"",SUMPRODUCT('Calc_Mix'!$D$10:$W$10,'Matriz_Habilidades'!$D26:$W26)/'Calc_Mix'!$X$10+ROW()*0.000001))</f>
        <v/>
      </c>
      <c r="N26" s="34">
        <f>IF(OR($B26="",$C26&lt;&gt;"Ativo",$D26&lt;&gt;'Calc_Mix'!$C$11,'Calc_Mix'!$X$11=0,COUNTIFS(Esc_Turno,'Calc_Mix'!$C$11,Esc_Circ,$B26)+COUNTIFS(Esc_Turno,'Calc_Mix'!$C$11,Esc_Instr,$B26)&gt;0),"",IF(SUMPRODUCT('Calc_Mix'!$D$11:$W$11,'Matriz_Habilidades'!$D26:$W26)=0,"",SUMPRODUCT('Calc_Mix'!$D$11:$W$11,'Matriz_Habilidades'!$D26:$W26)/'Calc_Mix'!$X$11+ROW()*0.000001))</f>
        <v/>
      </c>
      <c r="O26" s="34">
        <f>IF(OR($B26="",$C26&lt;&gt;"Ativo",$D26&lt;&gt;'Calc_Mix'!$C$12,'Calc_Mix'!$X$12=0,COUNTIFS(Esc_Turno,'Calc_Mix'!$C$12,Esc_Circ,$B26)+COUNTIFS(Esc_Turno,'Calc_Mix'!$C$12,Esc_Instr,$B26)&gt;0),"",IF(SUMPRODUCT('Calc_Mix'!$D$12:$W$12,'Matriz_Habilidades'!$D26:$W26)=0,"",SUMPRODUCT('Calc_Mix'!$D$12:$W$12,'Matriz_Habilidades'!$D26:$W26)/'Calc_Mix'!$X$12+ROW()*0.000001))</f>
        <v/>
      </c>
      <c r="P26" s="34">
        <f>IF(OR($B26="",$C26&lt;&gt;"Ativo",$D26&lt;&gt;'Calc_Mix'!$C$13,'Calc_Mix'!$X$13=0,COUNTIFS(Esc_Turno,'Calc_Mix'!$C$13,Esc_Circ,$B26)+COUNTIFS(Esc_Turno,'Calc_Mix'!$C$13,Esc_Instr,$B26)&gt;0),"",IF(SUMPRODUCT('Calc_Mix'!$D$13:$W$13,'Matriz_Habilidades'!$D26:$W26)=0,"",SUMPRODUCT('Calc_Mix'!$D$13:$W$13,'Matriz_Habilidades'!$D26:$W26)/'Calc_Mix'!$X$13+ROW()*0.000001))</f>
        <v/>
      </c>
      <c r="Q26" s="34">
        <f>IF(OR($B26="",$C26&lt;&gt;"Ativo",$D26&lt;&gt;'Calc_Mix'!$C$14,'Calc_Mix'!$X$14=0,COUNTIFS(Esc_Turno,'Calc_Mix'!$C$14,Esc_Circ,$B26)+COUNTIFS(Esc_Turno,'Calc_Mix'!$C$14,Esc_Instr,$B26)&gt;0),"",IF(SUMPRODUCT('Calc_Mix'!$D$14:$W$14,'Matriz_Habilidades'!$D26:$W26)=0,"",SUMPRODUCT('Calc_Mix'!$D$14:$W$14,'Matriz_Habilidades'!$D26:$W26)/'Calc_Mix'!$X$14+ROW()*0.000001))</f>
        <v/>
      </c>
      <c r="R26" s="34">
        <f>IF(OR($B26="",$C26&lt;&gt;"Ativo",$D26&lt;&gt;'Calc_Mix'!$C$15,'Calc_Mix'!$X$15=0,COUNTIFS(Esc_Turno,'Calc_Mix'!$C$15,Esc_Circ,$B26)+COUNTIFS(Esc_Turno,'Calc_Mix'!$C$15,Esc_Instr,$B26)&gt;0),"",IF(SUMPRODUCT('Calc_Mix'!$D$15:$W$15,'Matriz_Habilidades'!$D26:$W26)=0,"",SUMPRODUCT('Calc_Mix'!$D$15:$W$15,'Matriz_Habilidades'!$D26:$W26)/'Calc_Mix'!$X$15+ROW()*0.000001))</f>
        <v/>
      </c>
      <c r="S26" s="34">
        <f>IF(OR($B26="",$C26&lt;&gt;"Ativo",$D26&lt;&gt;'Calc_Mix'!$C$16,'Calc_Mix'!$X$16=0,COUNTIFS(Esc_Turno,'Calc_Mix'!$C$16,Esc_Circ,$B26)+COUNTIFS(Esc_Turno,'Calc_Mix'!$C$16,Esc_Instr,$B26)&gt;0),"",IF(SUMPRODUCT('Calc_Mix'!$D$16:$W$16,'Matriz_Habilidades'!$D26:$W26)=0,"",SUMPRODUCT('Calc_Mix'!$D$16:$W$16,'Matriz_Habilidades'!$D26:$W26)/'Calc_Mix'!$X$16+ROW()*0.000001))</f>
        <v/>
      </c>
      <c r="T26" s="34">
        <f>IF(OR($B26="",$C26&lt;&gt;"Ativo",$D26&lt;&gt;'Calc_Mix'!$C$17,'Calc_Mix'!$X$17=0,COUNTIFS(Esc_Turno,'Calc_Mix'!$C$17,Esc_Circ,$B26)+COUNTIFS(Esc_Turno,'Calc_Mix'!$C$17,Esc_Instr,$B26)&gt;0),"",IF(SUMPRODUCT('Calc_Mix'!$D$17:$W$17,'Matriz_Habilidades'!$D26:$W26)=0,"",SUMPRODUCT('Calc_Mix'!$D$17:$W$17,'Matriz_Habilidades'!$D26:$W26)/'Calc_Mix'!$X$17+ROW()*0.000001))</f>
        <v/>
      </c>
      <c r="U26" s="34">
        <f>IF(OR($B26="",$C26&lt;&gt;"Ativo",$D26&lt;&gt;'Calc_Mix'!$C$18,'Calc_Mix'!$X$18=0,COUNTIFS(Esc_Turno,'Calc_Mix'!$C$18,Esc_Circ,$B26)+COUNTIFS(Esc_Turno,'Calc_Mix'!$C$18,Esc_Instr,$B26)&gt;0),"",IF(SUMPRODUCT('Calc_Mix'!$D$18:$W$18,'Matriz_Habilidades'!$D26:$W26)=0,"",SUMPRODUCT('Calc_Mix'!$D$18:$W$18,'Matriz_Habilidades'!$D26:$W26)/'Calc_Mix'!$X$18+ROW()*0.000001))</f>
        <v/>
      </c>
      <c r="V26" s="34">
        <f>IF(OR($B26="",$C26&lt;&gt;"Ativo",$D26&lt;&gt;'Calc_Mix'!$C$19,'Calc_Mix'!$X$19=0,COUNTIFS(Esc_Turno,'Calc_Mix'!$C$19,Esc_Circ,$B26)+COUNTIFS(Esc_Turno,'Calc_Mix'!$C$19,Esc_Instr,$B26)&gt;0),"",IF(SUMPRODUCT('Calc_Mix'!$D$19:$W$19,'Matriz_Habilidades'!$D26:$W26)=0,"",SUMPRODUCT('Calc_Mix'!$D$19:$W$19,'Matriz_Habilidades'!$D26:$W26)/'Calc_Mix'!$X$19+ROW()*0.000001))</f>
        <v/>
      </c>
      <c r="W26" s="34">
        <f>IF(OR($B26="",$C26&lt;&gt;"Ativo",$D26&lt;&gt;'Calc_Mix'!$C$20,'Calc_Mix'!$X$20=0,COUNTIFS(Esc_Turno,'Calc_Mix'!$C$20,Esc_Circ,$B26)+COUNTIFS(Esc_Turno,'Calc_Mix'!$C$20,Esc_Instr,$B26)&gt;0),"",IF(SUMPRODUCT('Calc_Mix'!$D$20:$W$20,'Matriz_Habilidades'!$D26:$W26)=0,"",SUMPRODUCT('Calc_Mix'!$D$20:$W$20,'Matriz_Habilidades'!$D26:$W26)/'Calc_Mix'!$X$20+ROW()*0.000001))</f>
        <v/>
      </c>
      <c r="X26" s="34">
        <f>IF(OR($B26="",$C26&lt;&gt;"Ativo",$D26&lt;&gt;'Calc_Mix'!$C$21,'Calc_Mix'!$X$21=0,COUNTIFS(Esc_Turno,'Calc_Mix'!$C$21,Esc_Circ,$B26)+COUNTIFS(Esc_Turno,'Calc_Mix'!$C$21,Esc_Instr,$B26)&gt;0),"",IF(SUMPRODUCT('Calc_Mix'!$D$21:$W$21,'Matriz_Habilidades'!$D26:$W26)=0,"",SUMPRODUCT('Calc_Mix'!$D$21:$W$21,'Matriz_Habilidades'!$D26:$W26)/'Calc_Mix'!$X$21+ROW()*0.000001))</f>
        <v/>
      </c>
      <c r="Y26" s="34">
        <f>IF(OR($B26="",$C26&lt;&gt;"Ativo",$D26&lt;&gt;'Calc_Mix'!$C$22,'Calc_Mix'!$X$22=0,COUNTIFS(Esc_Turno,'Calc_Mix'!$C$22,Esc_Circ,$B26)+COUNTIFS(Esc_Turno,'Calc_Mix'!$C$22,Esc_Instr,$B26)&gt;0),"",IF(SUMPRODUCT('Calc_Mix'!$D$22:$W$22,'Matriz_Habilidades'!$D26:$W26)=0,"",SUMPRODUCT('Calc_Mix'!$D$22:$W$22,'Matriz_Habilidades'!$D26:$W26)/'Calc_Mix'!$X$22+ROW()*0.000001))</f>
        <v/>
      </c>
      <c r="Z26" s="34">
        <f>IF(OR($B26="",$C26&lt;&gt;"Ativo",$D26&lt;&gt;'Calc_Mix'!$C$23,'Calc_Mix'!$X$23=0,COUNTIFS(Esc_Turno,'Calc_Mix'!$C$23,Esc_Circ,$B26)+COUNTIFS(Esc_Turno,'Calc_Mix'!$C$23,Esc_Instr,$B26)&gt;0),"",IF(SUMPRODUCT('Calc_Mix'!$D$23:$W$23,'Matriz_Habilidades'!$D26:$W26)=0,"",SUMPRODUCT('Calc_Mix'!$D$23:$W$23,'Matriz_Habilidades'!$D26:$W26)/'Calc_Mix'!$X$23+ROW()*0.000001))</f>
        <v/>
      </c>
      <c r="AA26" s="34">
        <f>IF(OR($B26="",$C26&lt;&gt;"Ativo",$D26&lt;&gt;'Calc_Mix'!$C$24,'Calc_Mix'!$X$24=0,COUNTIFS(Esc_Turno,'Calc_Mix'!$C$24,Esc_Circ,$B26)+COUNTIFS(Esc_Turno,'Calc_Mix'!$C$24,Esc_Instr,$B26)&gt;0),"",IF(SUMPRODUCT('Calc_Mix'!$D$24:$W$24,'Matriz_Habilidades'!$D26:$W26)=0,"",SUMPRODUCT('Calc_Mix'!$D$24:$W$24,'Matriz_Habilidades'!$D26:$W26)/'Calc_Mix'!$X$24+ROW()*0.000001))</f>
        <v/>
      </c>
      <c r="AB26" s="34">
        <f>IF(OR($B26="",$C26&lt;&gt;"Ativo",$D26&lt;&gt;'Calc_Mix'!$C$25,'Calc_Mix'!$X$25=0,COUNTIFS(Esc_Turno,'Calc_Mix'!$C$25,Esc_Circ,$B26)+COUNTIFS(Esc_Turno,'Calc_Mix'!$C$25,Esc_Instr,$B26)&gt;0),"",IF(SUMPRODUCT('Calc_Mix'!$D$25:$W$25,'Matriz_Habilidades'!$D26:$W26)=0,"",SUMPRODUCT('Calc_Mix'!$D$25:$W$25,'Matriz_Habilidades'!$D26:$W26)/'Calc_Mix'!$X$25+ROW()*0.000001))</f>
        <v/>
      </c>
      <c r="AC26" s="34">
        <f>IF(OR($B26="",$C26&lt;&gt;"Ativo",$D26&lt;&gt;'Calc_Mix'!$C$26,'Calc_Mix'!$X$26=0,COUNTIFS(Esc_Turno,'Calc_Mix'!$C$26,Esc_Circ,$B26)+COUNTIFS(Esc_Turno,'Calc_Mix'!$C$26,Esc_Instr,$B26)&gt;0),"",IF(SUMPRODUCT('Calc_Mix'!$D$26:$W$26,'Matriz_Habilidades'!$D26:$W26)=0,"",SUMPRODUCT('Calc_Mix'!$D$26:$W$26,'Matriz_Habilidades'!$D26:$W26)/'Calc_Mix'!$X$26+ROW()*0.000001))</f>
        <v/>
      </c>
      <c r="AD26" s="34">
        <f>IF(OR($B26="",$C26&lt;&gt;"Ativo",$D26&lt;&gt;'Calc_Mix'!$C$27,'Calc_Mix'!$X$27=0,COUNTIFS(Esc_Turno,'Calc_Mix'!$C$27,Esc_Circ,$B26)+COUNTIFS(Esc_Turno,'Calc_Mix'!$C$27,Esc_Instr,$B26)&gt;0),"",IF(SUMPRODUCT('Calc_Mix'!$D$27:$W$27,'Matriz_Habilidades'!$D26:$W26)=0,"",SUMPRODUCT('Calc_Mix'!$D$27:$W$27,'Matriz_Habilidades'!$D26:$W26)/'Calc_Mix'!$X$27+ROW()*0.000001))</f>
        <v/>
      </c>
      <c r="AE26" s="34">
        <f>IF(OR($B26="",$C26&lt;&gt;"Ativo",$D26&lt;&gt;'Calc_Mix'!$C$28,'Calc_Mix'!$X$28=0,COUNTIFS(Esc_Turno,'Calc_Mix'!$C$28,Esc_Circ,$B26)+COUNTIFS(Esc_Turno,'Calc_Mix'!$C$28,Esc_Instr,$B26)&gt;0),"",IF(SUMPRODUCT('Calc_Mix'!$D$28:$W$28,'Matriz_Habilidades'!$D26:$W26)=0,"",SUMPRODUCT('Calc_Mix'!$D$28:$W$28,'Matriz_Habilidades'!$D26:$W26)/'Calc_Mix'!$X$28+ROW()*0.000001))</f>
        <v/>
      </c>
      <c r="AF26" s="34">
        <f>IF(OR($B26="",$C26&lt;&gt;"Ativo",$D26&lt;&gt;'Calc_Mix'!$C$29,'Calc_Mix'!$X$29=0,COUNTIFS(Esc_Turno,'Calc_Mix'!$C$29,Esc_Circ,$B26)+COUNTIFS(Esc_Turno,'Calc_Mix'!$C$29,Esc_Instr,$B26)&gt;0),"",IF(SUMPRODUCT('Calc_Mix'!$D$29:$W$29,'Matriz_Habilidades'!$D26:$W26)=0,"",SUMPRODUCT('Calc_Mix'!$D$29:$W$29,'Matriz_Habilidades'!$D26:$W26)/'Calc_Mix'!$X$29+ROW()*0.000001))</f>
        <v/>
      </c>
      <c r="AG26" s="34">
        <f>IF(OR($B26="",$C26&lt;&gt;"Ativo",$D26&lt;&gt;'Calc_Mix'!$C$30,'Calc_Mix'!$X$30=0,COUNTIFS(Esc_Turno,'Calc_Mix'!$C$30,Esc_Circ,$B26)+COUNTIFS(Esc_Turno,'Calc_Mix'!$C$30,Esc_Instr,$B26)&gt;0),"",IF(SUMPRODUCT('Calc_Mix'!$D$30:$W$30,'Matriz_Habilidades'!$D26:$W26)=0,"",SUMPRODUCT('Calc_Mix'!$D$30:$W$30,'Matriz_Habilidades'!$D26:$W26)/'Calc_Mix'!$X$30+ROW()*0.000001))</f>
        <v/>
      </c>
      <c r="AH26" s="34">
        <f>IF(OR($B26="",$C26&lt;&gt;"Ativo",$D26&lt;&gt;'Calc_Mix'!$C$31,'Calc_Mix'!$X$31=0,COUNTIFS(Esc_Turno,'Calc_Mix'!$C$31,Esc_Circ,$B26)+COUNTIFS(Esc_Turno,'Calc_Mix'!$C$31,Esc_Instr,$B26)&gt;0),"",IF(SUMPRODUCT('Calc_Mix'!$D$31:$W$31,'Matriz_Habilidades'!$D26:$W26)=0,"",SUMPRODUCT('Calc_Mix'!$D$31:$W$31,'Matriz_Habilidades'!$D26:$W26)/'Calc_Mix'!$X$31+ROW()*0.000001))</f>
        <v/>
      </c>
      <c r="AI26" s="34">
        <f>IF(OR($B26="",$C26&lt;&gt;"Ativo",$D26&lt;&gt;'Calc_Mix'!$C$32,'Calc_Mix'!$X$32=0,COUNTIFS(Esc_Turno,'Calc_Mix'!$C$32,Esc_Circ,$B26)+COUNTIFS(Esc_Turno,'Calc_Mix'!$C$32,Esc_Instr,$B26)&gt;0),"",IF(SUMPRODUCT('Calc_Mix'!$D$32:$W$32,'Matriz_Habilidades'!$D26:$W26)=0,"",SUMPRODUCT('Calc_Mix'!$D$32:$W$32,'Matriz_Habilidades'!$D26:$W26)/'Calc_Mix'!$X$32+ROW()*0.000001))</f>
        <v/>
      </c>
      <c r="AJ26" s="34">
        <f>IF(OR($B26="",$C26&lt;&gt;"Ativo",$D26&lt;&gt;'Calc_Mix'!$C$33,'Calc_Mix'!$X$33=0,COUNTIFS(Esc_Turno,'Calc_Mix'!$C$33,Esc_Circ,$B26)+COUNTIFS(Esc_Turno,'Calc_Mix'!$C$33,Esc_Instr,$B26)&gt;0),"",IF(SUMPRODUCT('Calc_Mix'!$D$33:$W$33,'Matriz_Habilidades'!$D26:$W26)=0,"",SUMPRODUCT('Calc_Mix'!$D$33:$W$33,'Matriz_Habilidades'!$D26:$W26)/'Calc_Mix'!$X$33+ROW()*0.000001))</f>
        <v/>
      </c>
      <c r="AK26" s="34">
        <f>IF(OR($B26="",$C26&lt;&gt;"Ativo",$D26&lt;&gt;'Calc_Mix'!$C$34,'Calc_Mix'!$X$34=0,COUNTIFS(Esc_Turno,'Calc_Mix'!$C$34,Esc_Circ,$B26)+COUNTIFS(Esc_Turno,'Calc_Mix'!$C$34,Esc_Instr,$B26)&gt;0),"",IF(SUMPRODUCT('Calc_Mix'!$D$34:$W$34,'Matriz_Habilidades'!$D26:$W26)=0,"",SUMPRODUCT('Calc_Mix'!$D$34:$W$34,'Matriz_Habilidades'!$D26:$W26)/'Calc_Mix'!$X$34+ROW()*0.000001))</f>
        <v/>
      </c>
      <c r="AL26" s="34">
        <f>IF(OR($B26="",$C26&lt;&gt;"Ativo",$D26&lt;&gt;'Calc_Mix'!$C$35,'Calc_Mix'!$X$35=0,COUNTIFS(Esc_Turno,'Calc_Mix'!$C$35,Esc_Circ,$B26)+COUNTIFS(Esc_Turno,'Calc_Mix'!$C$35,Esc_Instr,$B26)&gt;0),"",IF(SUMPRODUCT('Calc_Mix'!$D$35:$W$35,'Matriz_Habilidades'!$D26:$W26)=0,"",SUMPRODUCT('Calc_Mix'!$D$35:$W$35,'Matriz_Habilidades'!$D26:$W26)/'Calc_Mix'!$X$35+ROW()*0.000001))</f>
        <v/>
      </c>
      <c r="AM26" s="34">
        <f>IF(OR($B26="",$C26&lt;&gt;"Ativo",$D26&lt;&gt;'Calc_Mix'!$C$36,'Calc_Mix'!$X$36=0,COUNTIFS(Esc_Turno,'Calc_Mix'!$C$36,Esc_Circ,$B26)+COUNTIFS(Esc_Turno,'Calc_Mix'!$C$36,Esc_Instr,$B26)&gt;0),"",IF(SUMPRODUCT('Calc_Mix'!$D$36:$W$36,'Matriz_Habilidades'!$D26:$W26)=0,"",SUMPRODUCT('Calc_Mix'!$D$36:$W$36,'Matriz_Habilidades'!$D26:$W26)/'Calc_Mix'!$X$36+ROW()*0.000001))</f>
        <v/>
      </c>
      <c r="AN26" s="34">
        <f>IF(OR($B26="",$C26&lt;&gt;"Ativo",$D26&lt;&gt;'Calc_Mix'!$C$37,'Calc_Mix'!$X$37=0,COUNTIFS(Esc_Turno,'Calc_Mix'!$C$37,Esc_Circ,$B26)+COUNTIFS(Esc_Turno,'Calc_Mix'!$C$37,Esc_Instr,$B26)&gt;0),"",IF(SUMPRODUCT('Calc_Mix'!$D$37:$W$37,'Matriz_Habilidades'!$D26:$W26)=0,"",SUMPRODUCT('Calc_Mix'!$D$37:$W$37,'Matriz_Habilidades'!$D26:$W26)/'Calc_Mix'!$X$37+ROW()*0.000001))</f>
        <v/>
      </c>
    </row>
    <row r="27">
      <c r="A27" s="27">
        <f>IF('Matriz_Habilidades'!A27="","",'Matriz_Habilidades'!A27)</f>
        <v/>
      </c>
      <c r="B27" s="28">
        <f>IF('Matriz_Habilidades'!B27="","",'Matriz_Habilidades'!B27)</f>
        <v/>
      </c>
      <c r="C27" s="27">
        <f>IF($A27="","",IFERROR(INDEX(Equipe_Status,MATCH($B27,Equipe_Nome,0)),"?"))</f>
        <v/>
      </c>
      <c r="D27" s="27">
        <f>IF($A27="","",IFERROR(INDEX(Equipe_Turno,MATCH($B27,Equipe_Nome,0)),"?"))</f>
        <v/>
      </c>
      <c r="E27" s="34">
        <f>IF(OR($B27="",$C27&lt;&gt;"Ativo",$D27&lt;&gt;'Calc_Mix'!$C$2,'Calc_Mix'!$X$2=0,COUNTIFS(Esc_Turno,'Calc_Mix'!$C$2,Esc_Circ,$B27)+COUNTIFS(Esc_Turno,'Calc_Mix'!$C$2,Esc_Instr,$B27)&gt;0),"",IF(SUMPRODUCT('Calc_Mix'!$D$2:$W$2,'Matriz_Habilidades'!$D27:$W27)=0,"",SUMPRODUCT('Calc_Mix'!$D$2:$W$2,'Matriz_Habilidades'!$D27:$W27)/'Calc_Mix'!$X$2+ROW()*0.000001))</f>
        <v/>
      </c>
      <c r="F27" s="34">
        <f>IF(OR($B27="",$C27&lt;&gt;"Ativo",$D27&lt;&gt;'Calc_Mix'!$C$3,'Calc_Mix'!$X$3=0,COUNTIFS(Esc_Turno,'Calc_Mix'!$C$3,Esc_Circ,$B27)+COUNTIFS(Esc_Turno,'Calc_Mix'!$C$3,Esc_Instr,$B27)&gt;0),"",IF(SUMPRODUCT('Calc_Mix'!$D$3:$W$3,'Matriz_Habilidades'!$D27:$W27)=0,"",SUMPRODUCT('Calc_Mix'!$D$3:$W$3,'Matriz_Habilidades'!$D27:$W27)/'Calc_Mix'!$X$3+ROW()*0.000001))</f>
        <v/>
      </c>
      <c r="G27" s="34">
        <f>IF(OR($B27="",$C27&lt;&gt;"Ativo",$D27&lt;&gt;'Calc_Mix'!$C$4,'Calc_Mix'!$X$4=0,COUNTIFS(Esc_Turno,'Calc_Mix'!$C$4,Esc_Circ,$B27)+COUNTIFS(Esc_Turno,'Calc_Mix'!$C$4,Esc_Instr,$B27)&gt;0),"",IF(SUMPRODUCT('Calc_Mix'!$D$4:$W$4,'Matriz_Habilidades'!$D27:$W27)=0,"",SUMPRODUCT('Calc_Mix'!$D$4:$W$4,'Matriz_Habilidades'!$D27:$W27)/'Calc_Mix'!$X$4+ROW()*0.000001))</f>
        <v/>
      </c>
      <c r="H27" s="34">
        <f>IF(OR($B27="",$C27&lt;&gt;"Ativo",$D27&lt;&gt;'Calc_Mix'!$C$5,'Calc_Mix'!$X$5=0,COUNTIFS(Esc_Turno,'Calc_Mix'!$C$5,Esc_Circ,$B27)+COUNTIFS(Esc_Turno,'Calc_Mix'!$C$5,Esc_Instr,$B27)&gt;0),"",IF(SUMPRODUCT('Calc_Mix'!$D$5:$W$5,'Matriz_Habilidades'!$D27:$W27)=0,"",SUMPRODUCT('Calc_Mix'!$D$5:$W$5,'Matriz_Habilidades'!$D27:$W27)/'Calc_Mix'!$X$5+ROW()*0.000001))</f>
        <v/>
      </c>
      <c r="I27" s="34">
        <f>IF(OR($B27="",$C27&lt;&gt;"Ativo",$D27&lt;&gt;'Calc_Mix'!$C$6,'Calc_Mix'!$X$6=0,COUNTIFS(Esc_Turno,'Calc_Mix'!$C$6,Esc_Circ,$B27)+COUNTIFS(Esc_Turno,'Calc_Mix'!$C$6,Esc_Instr,$B27)&gt;0),"",IF(SUMPRODUCT('Calc_Mix'!$D$6:$W$6,'Matriz_Habilidades'!$D27:$W27)=0,"",SUMPRODUCT('Calc_Mix'!$D$6:$W$6,'Matriz_Habilidades'!$D27:$W27)/'Calc_Mix'!$X$6+ROW()*0.000001))</f>
        <v/>
      </c>
      <c r="J27" s="34">
        <f>IF(OR($B27="",$C27&lt;&gt;"Ativo",$D27&lt;&gt;'Calc_Mix'!$C$7,'Calc_Mix'!$X$7=0,COUNTIFS(Esc_Turno,'Calc_Mix'!$C$7,Esc_Circ,$B27)+COUNTIFS(Esc_Turno,'Calc_Mix'!$C$7,Esc_Instr,$B27)&gt;0),"",IF(SUMPRODUCT('Calc_Mix'!$D$7:$W$7,'Matriz_Habilidades'!$D27:$W27)=0,"",SUMPRODUCT('Calc_Mix'!$D$7:$W$7,'Matriz_Habilidades'!$D27:$W27)/'Calc_Mix'!$X$7+ROW()*0.000001))</f>
        <v/>
      </c>
      <c r="K27" s="34">
        <f>IF(OR($B27="",$C27&lt;&gt;"Ativo",$D27&lt;&gt;'Calc_Mix'!$C$8,'Calc_Mix'!$X$8=0,COUNTIFS(Esc_Turno,'Calc_Mix'!$C$8,Esc_Circ,$B27)+COUNTIFS(Esc_Turno,'Calc_Mix'!$C$8,Esc_Instr,$B27)&gt;0),"",IF(SUMPRODUCT('Calc_Mix'!$D$8:$W$8,'Matriz_Habilidades'!$D27:$W27)=0,"",SUMPRODUCT('Calc_Mix'!$D$8:$W$8,'Matriz_Habilidades'!$D27:$W27)/'Calc_Mix'!$X$8+ROW()*0.000001))</f>
        <v/>
      </c>
      <c r="L27" s="34">
        <f>IF(OR($B27="",$C27&lt;&gt;"Ativo",$D27&lt;&gt;'Calc_Mix'!$C$9,'Calc_Mix'!$X$9=0,COUNTIFS(Esc_Turno,'Calc_Mix'!$C$9,Esc_Circ,$B27)+COUNTIFS(Esc_Turno,'Calc_Mix'!$C$9,Esc_Instr,$B27)&gt;0),"",IF(SUMPRODUCT('Calc_Mix'!$D$9:$W$9,'Matriz_Habilidades'!$D27:$W27)=0,"",SUMPRODUCT('Calc_Mix'!$D$9:$W$9,'Matriz_Habilidades'!$D27:$W27)/'Calc_Mix'!$X$9+ROW()*0.000001))</f>
        <v/>
      </c>
      <c r="M27" s="34">
        <f>IF(OR($B27="",$C27&lt;&gt;"Ativo",$D27&lt;&gt;'Calc_Mix'!$C$10,'Calc_Mix'!$X$10=0,COUNTIFS(Esc_Turno,'Calc_Mix'!$C$10,Esc_Circ,$B27)+COUNTIFS(Esc_Turno,'Calc_Mix'!$C$10,Esc_Instr,$B27)&gt;0),"",IF(SUMPRODUCT('Calc_Mix'!$D$10:$W$10,'Matriz_Habilidades'!$D27:$W27)=0,"",SUMPRODUCT('Calc_Mix'!$D$10:$W$10,'Matriz_Habilidades'!$D27:$W27)/'Calc_Mix'!$X$10+ROW()*0.000001))</f>
        <v/>
      </c>
      <c r="N27" s="34">
        <f>IF(OR($B27="",$C27&lt;&gt;"Ativo",$D27&lt;&gt;'Calc_Mix'!$C$11,'Calc_Mix'!$X$11=0,COUNTIFS(Esc_Turno,'Calc_Mix'!$C$11,Esc_Circ,$B27)+COUNTIFS(Esc_Turno,'Calc_Mix'!$C$11,Esc_Instr,$B27)&gt;0),"",IF(SUMPRODUCT('Calc_Mix'!$D$11:$W$11,'Matriz_Habilidades'!$D27:$W27)=0,"",SUMPRODUCT('Calc_Mix'!$D$11:$W$11,'Matriz_Habilidades'!$D27:$W27)/'Calc_Mix'!$X$11+ROW()*0.000001))</f>
        <v/>
      </c>
      <c r="O27" s="34">
        <f>IF(OR($B27="",$C27&lt;&gt;"Ativo",$D27&lt;&gt;'Calc_Mix'!$C$12,'Calc_Mix'!$X$12=0,COUNTIFS(Esc_Turno,'Calc_Mix'!$C$12,Esc_Circ,$B27)+COUNTIFS(Esc_Turno,'Calc_Mix'!$C$12,Esc_Instr,$B27)&gt;0),"",IF(SUMPRODUCT('Calc_Mix'!$D$12:$W$12,'Matriz_Habilidades'!$D27:$W27)=0,"",SUMPRODUCT('Calc_Mix'!$D$12:$W$12,'Matriz_Habilidades'!$D27:$W27)/'Calc_Mix'!$X$12+ROW()*0.000001))</f>
        <v/>
      </c>
      <c r="P27" s="34">
        <f>IF(OR($B27="",$C27&lt;&gt;"Ativo",$D27&lt;&gt;'Calc_Mix'!$C$13,'Calc_Mix'!$X$13=0,COUNTIFS(Esc_Turno,'Calc_Mix'!$C$13,Esc_Circ,$B27)+COUNTIFS(Esc_Turno,'Calc_Mix'!$C$13,Esc_Instr,$B27)&gt;0),"",IF(SUMPRODUCT('Calc_Mix'!$D$13:$W$13,'Matriz_Habilidades'!$D27:$W27)=0,"",SUMPRODUCT('Calc_Mix'!$D$13:$W$13,'Matriz_Habilidades'!$D27:$W27)/'Calc_Mix'!$X$13+ROW()*0.000001))</f>
        <v/>
      </c>
      <c r="Q27" s="34">
        <f>IF(OR($B27="",$C27&lt;&gt;"Ativo",$D27&lt;&gt;'Calc_Mix'!$C$14,'Calc_Mix'!$X$14=0,COUNTIFS(Esc_Turno,'Calc_Mix'!$C$14,Esc_Circ,$B27)+COUNTIFS(Esc_Turno,'Calc_Mix'!$C$14,Esc_Instr,$B27)&gt;0),"",IF(SUMPRODUCT('Calc_Mix'!$D$14:$W$14,'Matriz_Habilidades'!$D27:$W27)=0,"",SUMPRODUCT('Calc_Mix'!$D$14:$W$14,'Matriz_Habilidades'!$D27:$W27)/'Calc_Mix'!$X$14+ROW()*0.000001))</f>
        <v/>
      </c>
      <c r="R27" s="34">
        <f>IF(OR($B27="",$C27&lt;&gt;"Ativo",$D27&lt;&gt;'Calc_Mix'!$C$15,'Calc_Mix'!$X$15=0,COUNTIFS(Esc_Turno,'Calc_Mix'!$C$15,Esc_Circ,$B27)+COUNTIFS(Esc_Turno,'Calc_Mix'!$C$15,Esc_Instr,$B27)&gt;0),"",IF(SUMPRODUCT('Calc_Mix'!$D$15:$W$15,'Matriz_Habilidades'!$D27:$W27)=0,"",SUMPRODUCT('Calc_Mix'!$D$15:$W$15,'Matriz_Habilidades'!$D27:$W27)/'Calc_Mix'!$X$15+ROW()*0.000001))</f>
        <v/>
      </c>
      <c r="S27" s="34">
        <f>IF(OR($B27="",$C27&lt;&gt;"Ativo",$D27&lt;&gt;'Calc_Mix'!$C$16,'Calc_Mix'!$X$16=0,COUNTIFS(Esc_Turno,'Calc_Mix'!$C$16,Esc_Circ,$B27)+COUNTIFS(Esc_Turno,'Calc_Mix'!$C$16,Esc_Instr,$B27)&gt;0),"",IF(SUMPRODUCT('Calc_Mix'!$D$16:$W$16,'Matriz_Habilidades'!$D27:$W27)=0,"",SUMPRODUCT('Calc_Mix'!$D$16:$W$16,'Matriz_Habilidades'!$D27:$W27)/'Calc_Mix'!$X$16+ROW()*0.000001))</f>
        <v/>
      </c>
      <c r="T27" s="34">
        <f>IF(OR($B27="",$C27&lt;&gt;"Ativo",$D27&lt;&gt;'Calc_Mix'!$C$17,'Calc_Mix'!$X$17=0,COUNTIFS(Esc_Turno,'Calc_Mix'!$C$17,Esc_Circ,$B27)+COUNTIFS(Esc_Turno,'Calc_Mix'!$C$17,Esc_Instr,$B27)&gt;0),"",IF(SUMPRODUCT('Calc_Mix'!$D$17:$W$17,'Matriz_Habilidades'!$D27:$W27)=0,"",SUMPRODUCT('Calc_Mix'!$D$17:$W$17,'Matriz_Habilidades'!$D27:$W27)/'Calc_Mix'!$X$17+ROW()*0.000001))</f>
        <v/>
      </c>
      <c r="U27" s="34">
        <f>IF(OR($B27="",$C27&lt;&gt;"Ativo",$D27&lt;&gt;'Calc_Mix'!$C$18,'Calc_Mix'!$X$18=0,COUNTIFS(Esc_Turno,'Calc_Mix'!$C$18,Esc_Circ,$B27)+COUNTIFS(Esc_Turno,'Calc_Mix'!$C$18,Esc_Instr,$B27)&gt;0),"",IF(SUMPRODUCT('Calc_Mix'!$D$18:$W$18,'Matriz_Habilidades'!$D27:$W27)=0,"",SUMPRODUCT('Calc_Mix'!$D$18:$W$18,'Matriz_Habilidades'!$D27:$W27)/'Calc_Mix'!$X$18+ROW()*0.000001))</f>
        <v/>
      </c>
      <c r="V27" s="34">
        <f>IF(OR($B27="",$C27&lt;&gt;"Ativo",$D27&lt;&gt;'Calc_Mix'!$C$19,'Calc_Mix'!$X$19=0,COUNTIFS(Esc_Turno,'Calc_Mix'!$C$19,Esc_Circ,$B27)+COUNTIFS(Esc_Turno,'Calc_Mix'!$C$19,Esc_Instr,$B27)&gt;0),"",IF(SUMPRODUCT('Calc_Mix'!$D$19:$W$19,'Matriz_Habilidades'!$D27:$W27)=0,"",SUMPRODUCT('Calc_Mix'!$D$19:$W$19,'Matriz_Habilidades'!$D27:$W27)/'Calc_Mix'!$X$19+ROW()*0.000001))</f>
        <v/>
      </c>
      <c r="W27" s="34">
        <f>IF(OR($B27="",$C27&lt;&gt;"Ativo",$D27&lt;&gt;'Calc_Mix'!$C$20,'Calc_Mix'!$X$20=0,COUNTIFS(Esc_Turno,'Calc_Mix'!$C$20,Esc_Circ,$B27)+COUNTIFS(Esc_Turno,'Calc_Mix'!$C$20,Esc_Instr,$B27)&gt;0),"",IF(SUMPRODUCT('Calc_Mix'!$D$20:$W$20,'Matriz_Habilidades'!$D27:$W27)=0,"",SUMPRODUCT('Calc_Mix'!$D$20:$W$20,'Matriz_Habilidades'!$D27:$W27)/'Calc_Mix'!$X$20+ROW()*0.000001))</f>
        <v/>
      </c>
      <c r="X27" s="34">
        <f>IF(OR($B27="",$C27&lt;&gt;"Ativo",$D27&lt;&gt;'Calc_Mix'!$C$21,'Calc_Mix'!$X$21=0,COUNTIFS(Esc_Turno,'Calc_Mix'!$C$21,Esc_Circ,$B27)+COUNTIFS(Esc_Turno,'Calc_Mix'!$C$21,Esc_Instr,$B27)&gt;0),"",IF(SUMPRODUCT('Calc_Mix'!$D$21:$W$21,'Matriz_Habilidades'!$D27:$W27)=0,"",SUMPRODUCT('Calc_Mix'!$D$21:$W$21,'Matriz_Habilidades'!$D27:$W27)/'Calc_Mix'!$X$21+ROW()*0.000001))</f>
        <v/>
      </c>
      <c r="Y27" s="34">
        <f>IF(OR($B27="",$C27&lt;&gt;"Ativo",$D27&lt;&gt;'Calc_Mix'!$C$22,'Calc_Mix'!$X$22=0,COUNTIFS(Esc_Turno,'Calc_Mix'!$C$22,Esc_Circ,$B27)+COUNTIFS(Esc_Turno,'Calc_Mix'!$C$22,Esc_Instr,$B27)&gt;0),"",IF(SUMPRODUCT('Calc_Mix'!$D$22:$W$22,'Matriz_Habilidades'!$D27:$W27)=0,"",SUMPRODUCT('Calc_Mix'!$D$22:$W$22,'Matriz_Habilidades'!$D27:$W27)/'Calc_Mix'!$X$22+ROW()*0.000001))</f>
        <v/>
      </c>
      <c r="Z27" s="34">
        <f>IF(OR($B27="",$C27&lt;&gt;"Ativo",$D27&lt;&gt;'Calc_Mix'!$C$23,'Calc_Mix'!$X$23=0,COUNTIFS(Esc_Turno,'Calc_Mix'!$C$23,Esc_Circ,$B27)+COUNTIFS(Esc_Turno,'Calc_Mix'!$C$23,Esc_Instr,$B27)&gt;0),"",IF(SUMPRODUCT('Calc_Mix'!$D$23:$W$23,'Matriz_Habilidades'!$D27:$W27)=0,"",SUMPRODUCT('Calc_Mix'!$D$23:$W$23,'Matriz_Habilidades'!$D27:$W27)/'Calc_Mix'!$X$23+ROW()*0.000001))</f>
        <v/>
      </c>
      <c r="AA27" s="34">
        <f>IF(OR($B27="",$C27&lt;&gt;"Ativo",$D27&lt;&gt;'Calc_Mix'!$C$24,'Calc_Mix'!$X$24=0,COUNTIFS(Esc_Turno,'Calc_Mix'!$C$24,Esc_Circ,$B27)+COUNTIFS(Esc_Turno,'Calc_Mix'!$C$24,Esc_Instr,$B27)&gt;0),"",IF(SUMPRODUCT('Calc_Mix'!$D$24:$W$24,'Matriz_Habilidades'!$D27:$W27)=0,"",SUMPRODUCT('Calc_Mix'!$D$24:$W$24,'Matriz_Habilidades'!$D27:$W27)/'Calc_Mix'!$X$24+ROW()*0.000001))</f>
        <v/>
      </c>
      <c r="AB27" s="34">
        <f>IF(OR($B27="",$C27&lt;&gt;"Ativo",$D27&lt;&gt;'Calc_Mix'!$C$25,'Calc_Mix'!$X$25=0,COUNTIFS(Esc_Turno,'Calc_Mix'!$C$25,Esc_Circ,$B27)+COUNTIFS(Esc_Turno,'Calc_Mix'!$C$25,Esc_Instr,$B27)&gt;0),"",IF(SUMPRODUCT('Calc_Mix'!$D$25:$W$25,'Matriz_Habilidades'!$D27:$W27)=0,"",SUMPRODUCT('Calc_Mix'!$D$25:$W$25,'Matriz_Habilidades'!$D27:$W27)/'Calc_Mix'!$X$25+ROW()*0.000001))</f>
        <v/>
      </c>
      <c r="AC27" s="34">
        <f>IF(OR($B27="",$C27&lt;&gt;"Ativo",$D27&lt;&gt;'Calc_Mix'!$C$26,'Calc_Mix'!$X$26=0,COUNTIFS(Esc_Turno,'Calc_Mix'!$C$26,Esc_Circ,$B27)+COUNTIFS(Esc_Turno,'Calc_Mix'!$C$26,Esc_Instr,$B27)&gt;0),"",IF(SUMPRODUCT('Calc_Mix'!$D$26:$W$26,'Matriz_Habilidades'!$D27:$W27)=0,"",SUMPRODUCT('Calc_Mix'!$D$26:$W$26,'Matriz_Habilidades'!$D27:$W27)/'Calc_Mix'!$X$26+ROW()*0.000001))</f>
        <v/>
      </c>
      <c r="AD27" s="34">
        <f>IF(OR($B27="",$C27&lt;&gt;"Ativo",$D27&lt;&gt;'Calc_Mix'!$C$27,'Calc_Mix'!$X$27=0,COUNTIFS(Esc_Turno,'Calc_Mix'!$C$27,Esc_Circ,$B27)+COUNTIFS(Esc_Turno,'Calc_Mix'!$C$27,Esc_Instr,$B27)&gt;0),"",IF(SUMPRODUCT('Calc_Mix'!$D$27:$W$27,'Matriz_Habilidades'!$D27:$W27)=0,"",SUMPRODUCT('Calc_Mix'!$D$27:$W$27,'Matriz_Habilidades'!$D27:$W27)/'Calc_Mix'!$X$27+ROW()*0.000001))</f>
        <v/>
      </c>
      <c r="AE27" s="34">
        <f>IF(OR($B27="",$C27&lt;&gt;"Ativo",$D27&lt;&gt;'Calc_Mix'!$C$28,'Calc_Mix'!$X$28=0,COUNTIFS(Esc_Turno,'Calc_Mix'!$C$28,Esc_Circ,$B27)+COUNTIFS(Esc_Turno,'Calc_Mix'!$C$28,Esc_Instr,$B27)&gt;0),"",IF(SUMPRODUCT('Calc_Mix'!$D$28:$W$28,'Matriz_Habilidades'!$D27:$W27)=0,"",SUMPRODUCT('Calc_Mix'!$D$28:$W$28,'Matriz_Habilidades'!$D27:$W27)/'Calc_Mix'!$X$28+ROW()*0.000001))</f>
        <v/>
      </c>
      <c r="AF27" s="34">
        <f>IF(OR($B27="",$C27&lt;&gt;"Ativo",$D27&lt;&gt;'Calc_Mix'!$C$29,'Calc_Mix'!$X$29=0,COUNTIFS(Esc_Turno,'Calc_Mix'!$C$29,Esc_Circ,$B27)+COUNTIFS(Esc_Turno,'Calc_Mix'!$C$29,Esc_Instr,$B27)&gt;0),"",IF(SUMPRODUCT('Calc_Mix'!$D$29:$W$29,'Matriz_Habilidades'!$D27:$W27)=0,"",SUMPRODUCT('Calc_Mix'!$D$29:$W$29,'Matriz_Habilidades'!$D27:$W27)/'Calc_Mix'!$X$29+ROW()*0.000001))</f>
        <v/>
      </c>
      <c r="AG27" s="34">
        <f>IF(OR($B27="",$C27&lt;&gt;"Ativo",$D27&lt;&gt;'Calc_Mix'!$C$30,'Calc_Mix'!$X$30=0,COUNTIFS(Esc_Turno,'Calc_Mix'!$C$30,Esc_Circ,$B27)+COUNTIFS(Esc_Turno,'Calc_Mix'!$C$30,Esc_Instr,$B27)&gt;0),"",IF(SUMPRODUCT('Calc_Mix'!$D$30:$W$30,'Matriz_Habilidades'!$D27:$W27)=0,"",SUMPRODUCT('Calc_Mix'!$D$30:$W$30,'Matriz_Habilidades'!$D27:$W27)/'Calc_Mix'!$X$30+ROW()*0.000001))</f>
        <v/>
      </c>
      <c r="AH27" s="34">
        <f>IF(OR($B27="",$C27&lt;&gt;"Ativo",$D27&lt;&gt;'Calc_Mix'!$C$31,'Calc_Mix'!$X$31=0,COUNTIFS(Esc_Turno,'Calc_Mix'!$C$31,Esc_Circ,$B27)+COUNTIFS(Esc_Turno,'Calc_Mix'!$C$31,Esc_Instr,$B27)&gt;0),"",IF(SUMPRODUCT('Calc_Mix'!$D$31:$W$31,'Matriz_Habilidades'!$D27:$W27)=0,"",SUMPRODUCT('Calc_Mix'!$D$31:$W$31,'Matriz_Habilidades'!$D27:$W27)/'Calc_Mix'!$X$31+ROW()*0.000001))</f>
        <v/>
      </c>
      <c r="AI27" s="34">
        <f>IF(OR($B27="",$C27&lt;&gt;"Ativo",$D27&lt;&gt;'Calc_Mix'!$C$32,'Calc_Mix'!$X$32=0,COUNTIFS(Esc_Turno,'Calc_Mix'!$C$32,Esc_Circ,$B27)+COUNTIFS(Esc_Turno,'Calc_Mix'!$C$32,Esc_Instr,$B27)&gt;0),"",IF(SUMPRODUCT('Calc_Mix'!$D$32:$W$32,'Matriz_Habilidades'!$D27:$W27)=0,"",SUMPRODUCT('Calc_Mix'!$D$32:$W$32,'Matriz_Habilidades'!$D27:$W27)/'Calc_Mix'!$X$32+ROW()*0.000001))</f>
        <v/>
      </c>
      <c r="AJ27" s="34">
        <f>IF(OR($B27="",$C27&lt;&gt;"Ativo",$D27&lt;&gt;'Calc_Mix'!$C$33,'Calc_Mix'!$X$33=0,COUNTIFS(Esc_Turno,'Calc_Mix'!$C$33,Esc_Circ,$B27)+COUNTIFS(Esc_Turno,'Calc_Mix'!$C$33,Esc_Instr,$B27)&gt;0),"",IF(SUMPRODUCT('Calc_Mix'!$D$33:$W$33,'Matriz_Habilidades'!$D27:$W27)=0,"",SUMPRODUCT('Calc_Mix'!$D$33:$W$33,'Matriz_Habilidades'!$D27:$W27)/'Calc_Mix'!$X$33+ROW()*0.000001))</f>
        <v/>
      </c>
      <c r="AK27" s="34">
        <f>IF(OR($B27="",$C27&lt;&gt;"Ativo",$D27&lt;&gt;'Calc_Mix'!$C$34,'Calc_Mix'!$X$34=0,COUNTIFS(Esc_Turno,'Calc_Mix'!$C$34,Esc_Circ,$B27)+COUNTIFS(Esc_Turno,'Calc_Mix'!$C$34,Esc_Instr,$B27)&gt;0),"",IF(SUMPRODUCT('Calc_Mix'!$D$34:$W$34,'Matriz_Habilidades'!$D27:$W27)=0,"",SUMPRODUCT('Calc_Mix'!$D$34:$W$34,'Matriz_Habilidades'!$D27:$W27)/'Calc_Mix'!$X$34+ROW()*0.000001))</f>
        <v/>
      </c>
      <c r="AL27" s="34">
        <f>IF(OR($B27="",$C27&lt;&gt;"Ativo",$D27&lt;&gt;'Calc_Mix'!$C$35,'Calc_Mix'!$X$35=0,COUNTIFS(Esc_Turno,'Calc_Mix'!$C$35,Esc_Circ,$B27)+COUNTIFS(Esc_Turno,'Calc_Mix'!$C$35,Esc_Instr,$B27)&gt;0),"",IF(SUMPRODUCT('Calc_Mix'!$D$35:$W$35,'Matriz_Habilidades'!$D27:$W27)=0,"",SUMPRODUCT('Calc_Mix'!$D$35:$W$35,'Matriz_Habilidades'!$D27:$W27)/'Calc_Mix'!$X$35+ROW()*0.000001))</f>
        <v/>
      </c>
      <c r="AM27" s="34">
        <f>IF(OR($B27="",$C27&lt;&gt;"Ativo",$D27&lt;&gt;'Calc_Mix'!$C$36,'Calc_Mix'!$X$36=0,COUNTIFS(Esc_Turno,'Calc_Mix'!$C$36,Esc_Circ,$B27)+COUNTIFS(Esc_Turno,'Calc_Mix'!$C$36,Esc_Instr,$B27)&gt;0),"",IF(SUMPRODUCT('Calc_Mix'!$D$36:$W$36,'Matriz_Habilidades'!$D27:$W27)=0,"",SUMPRODUCT('Calc_Mix'!$D$36:$W$36,'Matriz_Habilidades'!$D27:$W27)/'Calc_Mix'!$X$36+ROW()*0.000001))</f>
        <v/>
      </c>
      <c r="AN27" s="34">
        <f>IF(OR($B27="",$C27&lt;&gt;"Ativo",$D27&lt;&gt;'Calc_Mix'!$C$37,'Calc_Mix'!$X$37=0,COUNTIFS(Esc_Turno,'Calc_Mix'!$C$37,Esc_Circ,$B27)+COUNTIFS(Esc_Turno,'Calc_Mix'!$C$37,Esc_Instr,$B27)&gt;0),"",IF(SUMPRODUCT('Calc_Mix'!$D$37:$W$37,'Matriz_Habilidades'!$D27:$W27)=0,"",SUMPRODUCT('Calc_Mix'!$D$37:$W$37,'Matriz_Habilidades'!$D27:$W27)/'Calc_Mix'!$X$37+ROW()*0.000001))</f>
        <v/>
      </c>
    </row>
    <row r="28">
      <c r="A28" s="27">
        <f>IF('Matriz_Habilidades'!A28="","",'Matriz_Habilidades'!A28)</f>
        <v/>
      </c>
      <c r="B28" s="28">
        <f>IF('Matriz_Habilidades'!B28="","",'Matriz_Habilidades'!B28)</f>
        <v/>
      </c>
      <c r="C28" s="27">
        <f>IF($A28="","",IFERROR(INDEX(Equipe_Status,MATCH($B28,Equipe_Nome,0)),"?"))</f>
        <v/>
      </c>
      <c r="D28" s="27">
        <f>IF($A28="","",IFERROR(INDEX(Equipe_Turno,MATCH($B28,Equipe_Nome,0)),"?"))</f>
        <v/>
      </c>
      <c r="E28" s="34">
        <f>IF(OR($B28="",$C28&lt;&gt;"Ativo",$D28&lt;&gt;'Calc_Mix'!$C$2,'Calc_Mix'!$X$2=0,COUNTIFS(Esc_Turno,'Calc_Mix'!$C$2,Esc_Circ,$B28)+COUNTIFS(Esc_Turno,'Calc_Mix'!$C$2,Esc_Instr,$B28)&gt;0),"",IF(SUMPRODUCT('Calc_Mix'!$D$2:$W$2,'Matriz_Habilidades'!$D28:$W28)=0,"",SUMPRODUCT('Calc_Mix'!$D$2:$W$2,'Matriz_Habilidades'!$D28:$W28)/'Calc_Mix'!$X$2+ROW()*0.000001))</f>
        <v/>
      </c>
      <c r="F28" s="34">
        <f>IF(OR($B28="",$C28&lt;&gt;"Ativo",$D28&lt;&gt;'Calc_Mix'!$C$3,'Calc_Mix'!$X$3=0,COUNTIFS(Esc_Turno,'Calc_Mix'!$C$3,Esc_Circ,$B28)+COUNTIFS(Esc_Turno,'Calc_Mix'!$C$3,Esc_Instr,$B28)&gt;0),"",IF(SUMPRODUCT('Calc_Mix'!$D$3:$W$3,'Matriz_Habilidades'!$D28:$W28)=0,"",SUMPRODUCT('Calc_Mix'!$D$3:$W$3,'Matriz_Habilidades'!$D28:$W28)/'Calc_Mix'!$X$3+ROW()*0.000001))</f>
        <v/>
      </c>
      <c r="G28" s="34">
        <f>IF(OR($B28="",$C28&lt;&gt;"Ativo",$D28&lt;&gt;'Calc_Mix'!$C$4,'Calc_Mix'!$X$4=0,COUNTIFS(Esc_Turno,'Calc_Mix'!$C$4,Esc_Circ,$B28)+COUNTIFS(Esc_Turno,'Calc_Mix'!$C$4,Esc_Instr,$B28)&gt;0),"",IF(SUMPRODUCT('Calc_Mix'!$D$4:$W$4,'Matriz_Habilidades'!$D28:$W28)=0,"",SUMPRODUCT('Calc_Mix'!$D$4:$W$4,'Matriz_Habilidades'!$D28:$W28)/'Calc_Mix'!$X$4+ROW()*0.000001))</f>
        <v/>
      </c>
      <c r="H28" s="34">
        <f>IF(OR($B28="",$C28&lt;&gt;"Ativo",$D28&lt;&gt;'Calc_Mix'!$C$5,'Calc_Mix'!$X$5=0,COUNTIFS(Esc_Turno,'Calc_Mix'!$C$5,Esc_Circ,$B28)+COUNTIFS(Esc_Turno,'Calc_Mix'!$C$5,Esc_Instr,$B28)&gt;0),"",IF(SUMPRODUCT('Calc_Mix'!$D$5:$W$5,'Matriz_Habilidades'!$D28:$W28)=0,"",SUMPRODUCT('Calc_Mix'!$D$5:$W$5,'Matriz_Habilidades'!$D28:$W28)/'Calc_Mix'!$X$5+ROW()*0.000001))</f>
        <v/>
      </c>
      <c r="I28" s="34">
        <f>IF(OR($B28="",$C28&lt;&gt;"Ativo",$D28&lt;&gt;'Calc_Mix'!$C$6,'Calc_Mix'!$X$6=0,COUNTIFS(Esc_Turno,'Calc_Mix'!$C$6,Esc_Circ,$B28)+COUNTIFS(Esc_Turno,'Calc_Mix'!$C$6,Esc_Instr,$B28)&gt;0),"",IF(SUMPRODUCT('Calc_Mix'!$D$6:$W$6,'Matriz_Habilidades'!$D28:$W28)=0,"",SUMPRODUCT('Calc_Mix'!$D$6:$W$6,'Matriz_Habilidades'!$D28:$W28)/'Calc_Mix'!$X$6+ROW()*0.000001))</f>
        <v/>
      </c>
      <c r="J28" s="34">
        <f>IF(OR($B28="",$C28&lt;&gt;"Ativo",$D28&lt;&gt;'Calc_Mix'!$C$7,'Calc_Mix'!$X$7=0,COUNTIFS(Esc_Turno,'Calc_Mix'!$C$7,Esc_Circ,$B28)+COUNTIFS(Esc_Turno,'Calc_Mix'!$C$7,Esc_Instr,$B28)&gt;0),"",IF(SUMPRODUCT('Calc_Mix'!$D$7:$W$7,'Matriz_Habilidades'!$D28:$W28)=0,"",SUMPRODUCT('Calc_Mix'!$D$7:$W$7,'Matriz_Habilidades'!$D28:$W28)/'Calc_Mix'!$X$7+ROW()*0.000001))</f>
        <v/>
      </c>
      <c r="K28" s="34">
        <f>IF(OR($B28="",$C28&lt;&gt;"Ativo",$D28&lt;&gt;'Calc_Mix'!$C$8,'Calc_Mix'!$X$8=0,COUNTIFS(Esc_Turno,'Calc_Mix'!$C$8,Esc_Circ,$B28)+COUNTIFS(Esc_Turno,'Calc_Mix'!$C$8,Esc_Instr,$B28)&gt;0),"",IF(SUMPRODUCT('Calc_Mix'!$D$8:$W$8,'Matriz_Habilidades'!$D28:$W28)=0,"",SUMPRODUCT('Calc_Mix'!$D$8:$W$8,'Matriz_Habilidades'!$D28:$W28)/'Calc_Mix'!$X$8+ROW()*0.000001))</f>
        <v/>
      </c>
      <c r="L28" s="34">
        <f>IF(OR($B28="",$C28&lt;&gt;"Ativo",$D28&lt;&gt;'Calc_Mix'!$C$9,'Calc_Mix'!$X$9=0,COUNTIFS(Esc_Turno,'Calc_Mix'!$C$9,Esc_Circ,$B28)+COUNTIFS(Esc_Turno,'Calc_Mix'!$C$9,Esc_Instr,$B28)&gt;0),"",IF(SUMPRODUCT('Calc_Mix'!$D$9:$W$9,'Matriz_Habilidades'!$D28:$W28)=0,"",SUMPRODUCT('Calc_Mix'!$D$9:$W$9,'Matriz_Habilidades'!$D28:$W28)/'Calc_Mix'!$X$9+ROW()*0.000001))</f>
        <v/>
      </c>
      <c r="M28" s="34">
        <f>IF(OR($B28="",$C28&lt;&gt;"Ativo",$D28&lt;&gt;'Calc_Mix'!$C$10,'Calc_Mix'!$X$10=0,COUNTIFS(Esc_Turno,'Calc_Mix'!$C$10,Esc_Circ,$B28)+COUNTIFS(Esc_Turno,'Calc_Mix'!$C$10,Esc_Instr,$B28)&gt;0),"",IF(SUMPRODUCT('Calc_Mix'!$D$10:$W$10,'Matriz_Habilidades'!$D28:$W28)=0,"",SUMPRODUCT('Calc_Mix'!$D$10:$W$10,'Matriz_Habilidades'!$D28:$W28)/'Calc_Mix'!$X$10+ROW()*0.000001))</f>
        <v/>
      </c>
      <c r="N28" s="34">
        <f>IF(OR($B28="",$C28&lt;&gt;"Ativo",$D28&lt;&gt;'Calc_Mix'!$C$11,'Calc_Mix'!$X$11=0,COUNTIFS(Esc_Turno,'Calc_Mix'!$C$11,Esc_Circ,$B28)+COUNTIFS(Esc_Turno,'Calc_Mix'!$C$11,Esc_Instr,$B28)&gt;0),"",IF(SUMPRODUCT('Calc_Mix'!$D$11:$W$11,'Matriz_Habilidades'!$D28:$W28)=0,"",SUMPRODUCT('Calc_Mix'!$D$11:$W$11,'Matriz_Habilidades'!$D28:$W28)/'Calc_Mix'!$X$11+ROW()*0.000001))</f>
        <v/>
      </c>
      <c r="O28" s="34">
        <f>IF(OR($B28="",$C28&lt;&gt;"Ativo",$D28&lt;&gt;'Calc_Mix'!$C$12,'Calc_Mix'!$X$12=0,COUNTIFS(Esc_Turno,'Calc_Mix'!$C$12,Esc_Circ,$B28)+COUNTIFS(Esc_Turno,'Calc_Mix'!$C$12,Esc_Instr,$B28)&gt;0),"",IF(SUMPRODUCT('Calc_Mix'!$D$12:$W$12,'Matriz_Habilidades'!$D28:$W28)=0,"",SUMPRODUCT('Calc_Mix'!$D$12:$W$12,'Matriz_Habilidades'!$D28:$W28)/'Calc_Mix'!$X$12+ROW()*0.000001))</f>
        <v/>
      </c>
      <c r="P28" s="34">
        <f>IF(OR($B28="",$C28&lt;&gt;"Ativo",$D28&lt;&gt;'Calc_Mix'!$C$13,'Calc_Mix'!$X$13=0,COUNTIFS(Esc_Turno,'Calc_Mix'!$C$13,Esc_Circ,$B28)+COUNTIFS(Esc_Turno,'Calc_Mix'!$C$13,Esc_Instr,$B28)&gt;0),"",IF(SUMPRODUCT('Calc_Mix'!$D$13:$W$13,'Matriz_Habilidades'!$D28:$W28)=0,"",SUMPRODUCT('Calc_Mix'!$D$13:$W$13,'Matriz_Habilidades'!$D28:$W28)/'Calc_Mix'!$X$13+ROW()*0.000001))</f>
        <v/>
      </c>
      <c r="Q28" s="34">
        <f>IF(OR($B28="",$C28&lt;&gt;"Ativo",$D28&lt;&gt;'Calc_Mix'!$C$14,'Calc_Mix'!$X$14=0,COUNTIFS(Esc_Turno,'Calc_Mix'!$C$14,Esc_Circ,$B28)+COUNTIFS(Esc_Turno,'Calc_Mix'!$C$14,Esc_Instr,$B28)&gt;0),"",IF(SUMPRODUCT('Calc_Mix'!$D$14:$W$14,'Matriz_Habilidades'!$D28:$W28)=0,"",SUMPRODUCT('Calc_Mix'!$D$14:$W$14,'Matriz_Habilidades'!$D28:$W28)/'Calc_Mix'!$X$14+ROW()*0.000001))</f>
        <v/>
      </c>
      <c r="R28" s="34">
        <f>IF(OR($B28="",$C28&lt;&gt;"Ativo",$D28&lt;&gt;'Calc_Mix'!$C$15,'Calc_Mix'!$X$15=0,COUNTIFS(Esc_Turno,'Calc_Mix'!$C$15,Esc_Circ,$B28)+COUNTIFS(Esc_Turno,'Calc_Mix'!$C$15,Esc_Instr,$B28)&gt;0),"",IF(SUMPRODUCT('Calc_Mix'!$D$15:$W$15,'Matriz_Habilidades'!$D28:$W28)=0,"",SUMPRODUCT('Calc_Mix'!$D$15:$W$15,'Matriz_Habilidades'!$D28:$W28)/'Calc_Mix'!$X$15+ROW()*0.000001))</f>
        <v/>
      </c>
      <c r="S28" s="34">
        <f>IF(OR($B28="",$C28&lt;&gt;"Ativo",$D28&lt;&gt;'Calc_Mix'!$C$16,'Calc_Mix'!$X$16=0,COUNTIFS(Esc_Turno,'Calc_Mix'!$C$16,Esc_Circ,$B28)+COUNTIFS(Esc_Turno,'Calc_Mix'!$C$16,Esc_Instr,$B28)&gt;0),"",IF(SUMPRODUCT('Calc_Mix'!$D$16:$W$16,'Matriz_Habilidades'!$D28:$W28)=0,"",SUMPRODUCT('Calc_Mix'!$D$16:$W$16,'Matriz_Habilidades'!$D28:$W28)/'Calc_Mix'!$X$16+ROW()*0.000001))</f>
        <v/>
      </c>
      <c r="T28" s="34">
        <f>IF(OR($B28="",$C28&lt;&gt;"Ativo",$D28&lt;&gt;'Calc_Mix'!$C$17,'Calc_Mix'!$X$17=0,COUNTIFS(Esc_Turno,'Calc_Mix'!$C$17,Esc_Circ,$B28)+COUNTIFS(Esc_Turno,'Calc_Mix'!$C$17,Esc_Instr,$B28)&gt;0),"",IF(SUMPRODUCT('Calc_Mix'!$D$17:$W$17,'Matriz_Habilidades'!$D28:$W28)=0,"",SUMPRODUCT('Calc_Mix'!$D$17:$W$17,'Matriz_Habilidades'!$D28:$W28)/'Calc_Mix'!$X$17+ROW()*0.000001))</f>
        <v/>
      </c>
      <c r="U28" s="34">
        <f>IF(OR($B28="",$C28&lt;&gt;"Ativo",$D28&lt;&gt;'Calc_Mix'!$C$18,'Calc_Mix'!$X$18=0,COUNTIFS(Esc_Turno,'Calc_Mix'!$C$18,Esc_Circ,$B28)+COUNTIFS(Esc_Turno,'Calc_Mix'!$C$18,Esc_Instr,$B28)&gt;0),"",IF(SUMPRODUCT('Calc_Mix'!$D$18:$W$18,'Matriz_Habilidades'!$D28:$W28)=0,"",SUMPRODUCT('Calc_Mix'!$D$18:$W$18,'Matriz_Habilidades'!$D28:$W28)/'Calc_Mix'!$X$18+ROW()*0.000001))</f>
        <v/>
      </c>
      <c r="V28" s="34">
        <f>IF(OR($B28="",$C28&lt;&gt;"Ativo",$D28&lt;&gt;'Calc_Mix'!$C$19,'Calc_Mix'!$X$19=0,COUNTIFS(Esc_Turno,'Calc_Mix'!$C$19,Esc_Circ,$B28)+COUNTIFS(Esc_Turno,'Calc_Mix'!$C$19,Esc_Instr,$B28)&gt;0),"",IF(SUMPRODUCT('Calc_Mix'!$D$19:$W$19,'Matriz_Habilidades'!$D28:$W28)=0,"",SUMPRODUCT('Calc_Mix'!$D$19:$W$19,'Matriz_Habilidades'!$D28:$W28)/'Calc_Mix'!$X$19+ROW()*0.000001))</f>
        <v/>
      </c>
      <c r="W28" s="34">
        <f>IF(OR($B28="",$C28&lt;&gt;"Ativo",$D28&lt;&gt;'Calc_Mix'!$C$20,'Calc_Mix'!$X$20=0,COUNTIFS(Esc_Turno,'Calc_Mix'!$C$20,Esc_Circ,$B28)+COUNTIFS(Esc_Turno,'Calc_Mix'!$C$20,Esc_Instr,$B28)&gt;0),"",IF(SUMPRODUCT('Calc_Mix'!$D$20:$W$20,'Matriz_Habilidades'!$D28:$W28)=0,"",SUMPRODUCT('Calc_Mix'!$D$20:$W$20,'Matriz_Habilidades'!$D28:$W28)/'Calc_Mix'!$X$20+ROW()*0.000001))</f>
        <v/>
      </c>
      <c r="X28" s="34">
        <f>IF(OR($B28="",$C28&lt;&gt;"Ativo",$D28&lt;&gt;'Calc_Mix'!$C$21,'Calc_Mix'!$X$21=0,COUNTIFS(Esc_Turno,'Calc_Mix'!$C$21,Esc_Circ,$B28)+COUNTIFS(Esc_Turno,'Calc_Mix'!$C$21,Esc_Instr,$B28)&gt;0),"",IF(SUMPRODUCT('Calc_Mix'!$D$21:$W$21,'Matriz_Habilidades'!$D28:$W28)=0,"",SUMPRODUCT('Calc_Mix'!$D$21:$W$21,'Matriz_Habilidades'!$D28:$W28)/'Calc_Mix'!$X$21+ROW()*0.000001))</f>
        <v/>
      </c>
      <c r="Y28" s="34">
        <f>IF(OR($B28="",$C28&lt;&gt;"Ativo",$D28&lt;&gt;'Calc_Mix'!$C$22,'Calc_Mix'!$X$22=0,COUNTIFS(Esc_Turno,'Calc_Mix'!$C$22,Esc_Circ,$B28)+COUNTIFS(Esc_Turno,'Calc_Mix'!$C$22,Esc_Instr,$B28)&gt;0),"",IF(SUMPRODUCT('Calc_Mix'!$D$22:$W$22,'Matriz_Habilidades'!$D28:$W28)=0,"",SUMPRODUCT('Calc_Mix'!$D$22:$W$22,'Matriz_Habilidades'!$D28:$W28)/'Calc_Mix'!$X$22+ROW()*0.000001))</f>
        <v/>
      </c>
      <c r="Z28" s="34">
        <f>IF(OR($B28="",$C28&lt;&gt;"Ativo",$D28&lt;&gt;'Calc_Mix'!$C$23,'Calc_Mix'!$X$23=0,COUNTIFS(Esc_Turno,'Calc_Mix'!$C$23,Esc_Circ,$B28)+COUNTIFS(Esc_Turno,'Calc_Mix'!$C$23,Esc_Instr,$B28)&gt;0),"",IF(SUMPRODUCT('Calc_Mix'!$D$23:$W$23,'Matriz_Habilidades'!$D28:$W28)=0,"",SUMPRODUCT('Calc_Mix'!$D$23:$W$23,'Matriz_Habilidades'!$D28:$W28)/'Calc_Mix'!$X$23+ROW()*0.000001))</f>
        <v/>
      </c>
      <c r="AA28" s="34">
        <f>IF(OR($B28="",$C28&lt;&gt;"Ativo",$D28&lt;&gt;'Calc_Mix'!$C$24,'Calc_Mix'!$X$24=0,COUNTIFS(Esc_Turno,'Calc_Mix'!$C$24,Esc_Circ,$B28)+COUNTIFS(Esc_Turno,'Calc_Mix'!$C$24,Esc_Instr,$B28)&gt;0),"",IF(SUMPRODUCT('Calc_Mix'!$D$24:$W$24,'Matriz_Habilidades'!$D28:$W28)=0,"",SUMPRODUCT('Calc_Mix'!$D$24:$W$24,'Matriz_Habilidades'!$D28:$W28)/'Calc_Mix'!$X$24+ROW()*0.000001))</f>
        <v/>
      </c>
      <c r="AB28" s="34">
        <f>IF(OR($B28="",$C28&lt;&gt;"Ativo",$D28&lt;&gt;'Calc_Mix'!$C$25,'Calc_Mix'!$X$25=0,COUNTIFS(Esc_Turno,'Calc_Mix'!$C$25,Esc_Circ,$B28)+COUNTIFS(Esc_Turno,'Calc_Mix'!$C$25,Esc_Instr,$B28)&gt;0),"",IF(SUMPRODUCT('Calc_Mix'!$D$25:$W$25,'Matriz_Habilidades'!$D28:$W28)=0,"",SUMPRODUCT('Calc_Mix'!$D$25:$W$25,'Matriz_Habilidades'!$D28:$W28)/'Calc_Mix'!$X$25+ROW()*0.000001))</f>
        <v/>
      </c>
      <c r="AC28" s="34">
        <f>IF(OR($B28="",$C28&lt;&gt;"Ativo",$D28&lt;&gt;'Calc_Mix'!$C$26,'Calc_Mix'!$X$26=0,COUNTIFS(Esc_Turno,'Calc_Mix'!$C$26,Esc_Circ,$B28)+COUNTIFS(Esc_Turno,'Calc_Mix'!$C$26,Esc_Instr,$B28)&gt;0),"",IF(SUMPRODUCT('Calc_Mix'!$D$26:$W$26,'Matriz_Habilidades'!$D28:$W28)=0,"",SUMPRODUCT('Calc_Mix'!$D$26:$W$26,'Matriz_Habilidades'!$D28:$W28)/'Calc_Mix'!$X$26+ROW()*0.000001))</f>
        <v/>
      </c>
      <c r="AD28" s="34">
        <f>IF(OR($B28="",$C28&lt;&gt;"Ativo",$D28&lt;&gt;'Calc_Mix'!$C$27,'Calc_Mix'!$X$27=0,COUNTIFS(Esc_Turno,'Calc_Mix'!$C$27,Esc_Circ,$B28)+COUNTIFS(Esc_Turno,'Calc_Mix'!$C$27,Esc_Instr,$B28)&gt;0),"",IF(SUMPRODUCT('Calc_Mix'!$D$27:$W$27,'Matriz_Habilidades'!$D28:$W28)=0,"",SUMPRODUCT('Calc_Mix'!$D$27:$W$27,'Matriz_Habilidades'!$D28:$W28)/'Calc_Mix'!$X$27+ROW()*0.000001))</f>
        <v/>
      </c>
      <c r="AE28" s="34">
        <f>IF(OR($B28="",$C28&lt;&gt;"Ativo",$D28&lt;&gt;'Calc_Mix'!$C$28,'Calc_Mix'!$X$28=0,COUNTIFS(Esc_Turno,'Calc_Mix'!$C$28,Esc_Circ,$B28)+COUNTIFS(Esc_Turno,'Calc_Mix'!$C$28,Esc_Instr,$B28)&gt;0),"",IF(SUMPRODUCT('Calc_Mix'!$D$28:$W$28,'Matriz_Habilidades'!$D28:$W28)=0,"",SUMPRODUCT('Calc_Mix'!$D$28:$W$28,'Matriz_Habilidades'!$D28:$W28)/'Calc_Mix'!$X$28+ROW()*0.000001))</f>
        <v/>
      </c>
      <c r="AF28" s="34">
        <f>IF(OR($B28="",$C28&lt;&gt;"Ativo",$D28&lt;&gt;'Calc_Mix'!$C$29,'Calc_Mix'!$X$29=0,COUNTIFS(Esc_Turno,'Calc_Mix'!$C$29,Esc_Circ,$B28)+COUNTIFS(Esc_Turno,'Calc_Mix'!$C$29,Esc_Instr,$B28)&gt;0),"",IF(SUMPRODUCT('Calc_Mix'!$D$29:$W$29,'Matriz_Habilidades'!$D28:$W28)=0,"",SUMPRODUCT('Calc_Mix'!$D$29:$W$29,'Matriz_Habilidades'!$D28:$W28)/'Calc_Mix'!$X$29+ROW()*0.000001))</f>
        <v/>
      </c>
      <c r="AG28" s="34">
        <f>IF(OR($B28="",$C28&lt;&gt;"Ativo",$D28&lt;&gt;'Calc_Mix'!$C$30,'Calc_Mix'!$X$30=0,COUNTIFS(Esc_Turno,'Calc_Mix'!$C$30,Esc_Circ,$B28)+COUNTIFS(Esc_Turno,'Calc_Mix'!$C$30,Esc_Instr,$B28)&gt;0),"",IF(SUMPRODUCT('Calc_Mix'!$D$30:$W$30,'Matriz_Habilidades'!$D28:$W28)=0,"",SUMPRODUCT('Calc_Mix'!$D$30:$W$30,'Matriz_Habilidades'!$D28:$W28)/'Calc_Mix'!$X$30+ROW()*0.000001))</f>
        <v/>
      </c>
      <c r="AH28" s="34">
        <f>IF(OR($B28="",$C28&lt;&gt;"Ativo",$D28&lt;&gt;'Calc_Mix'!$C$31,'Calc_Mix'!$X$31=0,COUNTIFS(Esc_Turno,'Calc_Mix'!$C$31,Esc_Circ,$B28)+COUNTIFS(Esc_Turno,'Calc_Mix'!$C$31,Esc_Instr,$B28)&gt;0),"",IF(SUMPRODUCT('Calc_Mix'!$D$31:$W$31,'Matriz_Habilidades'!$D28:$W28)=0,"",SUMPRODUCT('Calc_Mix'!$D$31:$W$31,'Matriz_Habilidades'!$D28:$W28)/'Calc_Mix'!$X$31+ROW()*0.000001))</f>
        <v/>
      </c>
      <c r="AI28" s="34">
        <f>IF(OR($B28="",$C28&lt;&gt;"Ativo",$D28&lt;&gt;'Calc_Mix'!$C$32,'Calc_Mix'!$X$32=0,COUNTIFS(Esc_Turno,'Calc_Mix'!$C$32,Esc_Circ,$B28)+COUNTIFS(Esc_Turno,'Calc_Mix'!$C$32,Esc_Instr,$B28)&gt;0),"",IF(SUMPRODUCT('Calc_Mix'!$D$32:$W$32,'Matriz_Habilidades'!$D28:$W28)=0,"",SUMPRODUCT('Calc_Mix'!$D$32:$W$32,'Matriz_Habilidades'!$D28:$W28)/'Calc_Mix'!$X$32+ROW()*0.000001))</f>
        <v/>
      </c>
      <c r="AJ28" s="34">
        <f>IF(OR($B28="",$C28&lt;&gt;"Ativo",$D28&lt;&gt;'Calc_Mix'!$C$33,'Calc_Mix'!$X$33=0,COUNTIFS(Esc_Turno,'Calc_Mix'!$C$33,Esc_Circ,$B28)+COUNTIFS(Esc_Turno,'Calc_Mix'!$C$33,Esc_Instr,$B28)&gt;0),"",IF(SUMPRODUCT('Calc_Mix'!$D$33:$W$33,'Matriz_Habilidades'!$D28:$W28)=0,"",SUMPRODUCT('Calc_Mix'!$D$33:$W$33,'Matriz_Habilidades'!$D28:$W28)/'Calc_Mix'!$X$33+ROW()*0.000001))</f>
        <v/>
      </c>
      <c r="AK28" s="34">
        <f>IF(OR($B28="",$C28&lt;&gt;"Ativo",$D28&lt;&gt;'Calc_Mix'!$C$34,'Calc_Mix'!$X$34=0,COUNTIFS(Esc_Turno,'Calc_Mix'!$C$34,Esc_Circ,$B28)+COUNTIFS(Esc_Turno,'Calc_Mix'!$C$34,Esc_Instr,$B28)&gt;0),"",IF(SUMPRODUCT('Calc_Mix'!$D$34:$W$34,'Matriz_Habilidades'!$D28:$W28)=0,"",SUMPRODUCT('Calc_Mix'!$D$34:$W$34,'Matriz_Habilidades'!$D28:$W28)/'Calc_Mix'!$X$34+ROW()*0.000001))</f>
        <v/>
      </c>
      <c r="AL28" s="34">
        <f>IF(OR($B28="",$C28&lt;&gt;"Ativo",$D28&lt;&gt;'Calc_Mix'!$C$35,'Calc_Mix'!$X$35=0,COUNTIFS(Esc_Turno,'Calc_Mix'!$C$35,Esc_Circ,$B28)+COUNTIFS(Esc_Turno,'Calc_Mix'!$C$35,Esc_Instr,$B28)&gt;0),"",IF(SUMPRODUCT('Calc_Mix'!$D$35:$W$35,'Matriz_Habilidades'!$D28:$W28)=0,"",SUMPRODUCT('Calc_Mix'!$D$35:$W$35,'Matriz_Habilidades'!$D28:$W28)/'Calc_Mix'!$X$35+ROW()*0.000001))</f>
        <v/>
      </c>
      <c r="AM28" s="34">
        <f>IF(OR($B28="",$C28&lt;&gt;"Ativo",$D28&lt;&gt;'Calc_Mix'!$C$36,'Calc_Mix'!$X$36=0,COUNTIFS(Esc_Turno,'Calc_Mix'!$C$36,Esc_Circ,$B28)+COUNTIFS(Esc_Turno,'Calc_Mix'!$C$36,Esc_Instr,$B28)&gt;0),"",IF(SUMPRODUCT('Calc_Mix'!$D$36:$W$36,'Matriz_Habilidades'!$D28:$W28)=0,"",SUMPRODUCT('Calc_Mix'!$D$36:$W$36,'Matriz_Habilidades'!$D28:$W28)/'Calc_Mix'!$X$36+ROW()*0.000001))</f>
        <v/>
      </c>
      <c r="AN28" s="34">
        <f>IF(OR($B28="",$C28&lt;&gt;"Ativo",$D28&lt;&gt;'Calc_Mix'!$C$37,'Calc_Mix'!$X$37=0,COUNTIFS(Esc_Turno,'Calc_Mix'!$C$37,Esc_Circ,$B28)+COUNTIFS(Esc_Turno,'Calc_Mix'!$C$37,Esc_Instr,$B28)&gt;0),"",IF(SUMPRODUCT('Calc_Mix'!$D$37:$W$37,'Matriz_Habilidades'!$D28:$W28)=0,"",SUMPRODUCT('Calc_Mix'!$D$37:$W$37,'Matriz_Habilidades'!$D28:$W28)/'Calc_Mix'!$X$37+ROW()*0.000001))</f>
        <v/>
      </c>
    </row>
    <row r="29">
      <c r="A29" s="27">
        <f>IF('Matriz_Habilidades'!A29="","",'Matriz_Habilidades'!A29)</f>
        <v/>
      </c>
      <c r="B29" s="28">
        <f>IF('Matriz_Habilidades'!B29="","",'Matriz_Habilidades'!B29)</f>
        <v/>
      </c>
      <c r="C29" s="27">
        <f>IF($A29="","",IFERROR(INDEX(Equipe_Status,MATCH($B29,Equipe_Nome,0)),"?"))</f>
        <v/>
      </c>
      <c r="D29" s="27">
        <f>IF($A29="","",IFERROR(INDEX(Equipe_Turno,MATCH($B29,Equipe_Nome,0)),"?"))</f>
        <v/>
      </c>
      <c r="E29" s="34">
        <f>IF(OR($B29="",$C29&lt;&gt;"Ativo",$D29&lt;&gt;'Calc_Mix'!$C$2,'Calc_Mix'!$X$2=0,COUNTIFS(Esc_Turno,'Calc_Mix'!$C$2,Esc_Circ,$B29)+COUNTIFS(Esc_Turno,'Calc_Mix'!$C$2,Esc_Instr,$B29)&gt;0),"",IF(SUMPRODUCT('Calc_Mix'!$D$2:$W$2,'Matriz_Habilidades'!$D29:$W29)=0,"",SUMPRODUCT('Calc_Mix'!$D$2:$W$2,'Matriz_Habilidades'!$D29:$W29)/'Calc_Mix'!$X$2+ROW()*0.000001))</f>
        <v/>
      </c>
      <c r="F29" s="34">
        <f>IF(OR($B29="",$C29&lt;&gt;"Ativo",$D29&lt;&gt;'Calc_Mix'!$C$3,'Calc_Mix'!$X$3=0,COUNTIFS(Esc_Turno,'Calc_Mix'!$C$3,Esc_Circ,$B29)+COUNTIFS(Esc_Turno,'Calc_Mix'!$C$3,Esc_Instr,$B29)&gt;0),"",IF(SUMPRODUCT('Calc_Mix'!$D$3:$W$3,'Matriz_Habilidades'!$D29:$W29)=0,"",SUMPRODUCT('Calc_Mix'!$D$3:$W$3,'Matriz_Habilidades'!$D29:$W29)/'Calc_Mix'!$X$3+ROW()*0.000001))</f>
        <v/>
      </c>
      <c r="G29" s="34">
        <f>IF(OR($B29="",$C29&lt;&gt;"Ativo",$D29&lt;&gt;'Calc_Mix'!$C$4,'Calc_Mix'!$X$4=0,COUNTIFS(Esc_Turno,'Calc_Mix'!$C$4,Esc_Circ,$B29)+COUNTIFS(Esc_Turno,'Calc_Mix'!$C$4,Esc_Instr,$B29)&gt;0),"",IF(SUMPRODUCT('Calc_Mix'!$D$4:$W$4,'Matriz_Habilidades'!$D29:$W29)=0,"",SUMPRODUCT('Calc_Mix'!$D$4:$W$4,'Matriz_Habilidades'!$D29:$W29)/'Calc_Mix'!$X$4+ROW()*0.000001))</f>
        <v/>
      </c>
      <c r="H29" s="34">
        <f>IF(OR($B29="",$C29&lt;&gt;"Ativo",$D29&lt;&gt;'Calc_Mix'!$C$5,'Calc_Mix'!$X$5=0,COUNTIFS(Esc_Turno,'Calc_Mix'!$C$5,Esc_Circ,$B29)+COUNTIFS(Esc_Turno,'Calc_Mix'!$C$5,Esc_Instr,$B29)&gt;0),"",IF(SUMPRODUCT('Calc_Mix'!$D$5:$W$5,'Matriz_Habilidades'!$D29:$W29)=0,"",SUMPRODUCT('Calc_Mix'!$D$5:$W$5,'Matriz_Habilidades'!$D29:$W29)/'Calc_Mix'!$X$5+ROW()*0.000001))</f>
        <v/>
      </c>
      <c r="I29" s="34">
        <f>IF(OR($B29="",$C29&lt;&gt;"Ativo",$D29&lt;&gt;'Calc_Mix'!$C$6,'Calc_Mix'!$X$6=0,COUNTIFS(Esc_Turno,'Calc_Mix'!$C$6,Esc_Circ,$B29)+COUNTIFS(Esc_Turno,'Calc_Mix'!$C$6,Esc_Instr,$B29)&gt;0),"",IF(SUMPRODUCT('Calc_Mix'!$D$6:$W$6,'Matriz_Habilidades'!$D29:$W29)=0,"",SUMPRODUCT('Calc_Mix'!$D$6:$W$6,'Matriz_Habilidades'!$D29:$W29)/'Calc_Mix'!$X$6+ROW()*0.000001))</f>
        <v/>
      </c>
      <c r="J29" s="34">
        <f>IF(OR($B29="",$C29&lt;&gt;"Ativo",$D29&lt;&gt;'Calc_Mix'!$C$7,'Calc_Mix'!$X$7=0,COUNTIFS(Esc_Turno,'Calc_Mix'!$C$7,Esc_Circ,$B29)+COUNTIFS(Esc_Turno,'Calc_Mix'!$C$7,Esc_Instr,$B29)&gt;0),"",IF(SUMPRODUCT('Calc_Mix'!$D$7:$W$7,'Matriz_Habilidades'!$D29:$W29)=0,"",SUMPRODUCT('Calc_Mix'!$D$7:$W$7,'Matriz_Habilidades'!$D29:$W29)/'Calc_Mix'!$X$7+ROW()*0.000001))</f>
        <v/>
      </c>
      <c r="K29" s="34">
        <f>IF(OR($B29="",$C29&lt;&gt;"Ativo",$D29&lt;&gt;'Calc_Mix'!$C$8,'Calc_Mix'!$X$8=0,COUNTIFS(Esc_Turno,'Calc_Mix'!$C$8,Esc_Circ,$B29)+COUNTIFS(Esc_Turno,'Calc_Mix'!$C$8,Esc_Instr,$B29)&gt;0),"",IF(SUMPRODUCT('Calc_Mix'!$D$8:$W$8,'Matriz_Habilidades'!$D29:$W29)=0,"",SUMPRODUCT('Calc_Mix'!$D$8:$W$8,'Matriz_Habilidades'!$D29:$W29)/'Calc_Mix'!$X$8+ROW()*0.000001))</f>
        <v/>
      </c>
      <c r="L29" s="34">
        <f>IF(OR($B29="",$C29&lt;&gt;"Ativo",$D29&lt;&gt;'Calc_Mix'!$C$9,'Calc_Mix'!$X$9=0,COUNTIFS(Esc_Turno,'Calc_Mix'!$C$9,Esc_Circ,$B29)+COUNTIFS(Esc_Turno,'Calc_Mix'!$C$9,Esc_Instr,$B29)&gt;0),"",IF(SUMPRODUCT('Calc_Mix'!$D$9:$W$9,'Matriz_Habilidades'!$D29:$W29)=0,"",SUMPRODUCT('Calc_Mix'!$D$9:$W$9,'Matriz_Habilidades'!$D29:$W29)/'Calc_Mix'!$X$9+ROW()*0.000001))</f>
        <v/>
      </c>
      <c r="M29" s="34">
        <f>IF(OR($B29="",$C29&lt;&gt;"Ativo",$D29&lt;&gt;'Calc_Mix'!$C$10,'Calc_Mix'!$X$10=0,COUNTIFS(Esc_Turno,'Calc_Mix'!$C$10,Esc_Circ,$B29)+COUNTIFS(Esc_Turno,'Calc_Mix'!$C$10,Esc_Instr,$B29)&gt;0),"",IF(SUMPRODUCT('Calc_Mix'!$D$10:$W$10,'Matriz_Habilidades'!$D29:$W29)=0,"",SUMPRODUCT('Calc_Mix'!$D$10:$W$10,'Matriz_Habilidades'!$D29:$W29)/'Calc_Mix'!$X$10+ROW()*0.000001))</f>
        <v/>
      </c>
      <c r="N29" s="34">
        <f>IF(OR($B29="",$C29&lt;&gt;"Ativo",$D29&lt;&gt;'Calc_Mix'!$C$11,'Calc_Mix'!$X$11=0,COUNTIFS(Esc_Turno,'Calc_Mix'!$C$11,Esc_Circ,$B29)+COUNTIFS(Esc_Turno,'Calc_Mix'!$C$11,Esc_Instr,$B29)&gt;0),"",IF(SUMPRODUCT('Calc_Mix'!$D$11:$W$11,'Matriz_Habilidades'!$D29:$W29)=0,"",SUMPRODUCT('Calc_Mix'!$D$11:$W$11,'Matriz_Habilidades'!$D29:$W29)/'Calc_Mix'!$X$11+ROW()*0.000001))</f>
        <v/>
      </c>
      <c r="O29" s="34">
        <f>IF(OR($B29="",$C29&lt;&gt;"Ativo",$D29&lt;&gt;'Calc_Mix'!$C$12,'Calc_Mix'!$X$12=0,COUNTIFS(Esc_Turno,'Calc_Mix'!$C$12,Esc_Circ,$B29)+COUNTIFS(Esc_Turno,'Calc_Mix'!$C$12,Esc_Instr,$B29)&gt;0),"",IF(SUMPRODUCT('Calc_Mix'!$D$12:$W$12,'Matriz_Habilidades'!$D29:$W29)=0,"",SUMPRODUCT('Calc_Mix'!$D$12:$W$12,'Matriz_Habilidades'!$D29:$W29)/'Calc_Mix'!$X$12+ROW()*0.000001))</f>
        <v/>
      </c>
      <c r="P29" s="34">
        <f>IF(OR($B29="",$C29&lt;&gt;"Ativo",$D29&lt;&gt;'Calc_Mix'!$C$13,'Calc_Mix'!$X$13=0,COUNTIFS(Esc_Turno,'Calc_Mix'!$C$13,Esc_Circ,$B29)+COUNTIFS(Esc_Turno,'Calc_Mix'!$C$13,Esc_Instr,$B29)&gt;0),"",IF(SUMPRODUCT('Calc_Mix'!$D$13:$W$13,'Matriz_Habilidades'!$D29:$W29)=0,"",SUMPRODUCT('Calc_Mix'!$D$13:$W$13,'Matriz_Habilidades'!$D29:$W29)/'Calc_Mix'!$X$13+ROW()*0.000001))</f>
        <v/>
      </c>
      <c r="Q29" s="34">
        <f>IF(OR($B29="",$C29&lt;&gt;"Ativo",$D29&lt;&gt;'Calc_Mix'!$C$14,'Calc_Mix'!$X$14=0,COUNTIFS(Esc_Turno,'Calc_Mix'!$C$14,Esc_Circ,$B29)+COUNTIFS(Esc_Turno,'Calc_Mix'!$C$14,Esc_Instr,$B29)&gt;0),"",IF(SUMPRODUCT('Calc_Mix'!$D$14:$W$14,'Matriz_Habilidades'!$D29:$W29)=0,"",SUMPRODUCT('Calc_Mix'!$D$14:$W$14,'Matriz_Habilidades'!$D29:$W29)/'Calc_Mix'!$X$14+ROW()*0.000001))</f>
        <v/>
      </c>
      <c r="R29" s="34">
        <f>IF(OR($B29="",$C29&lt;&gt;"Ativo",$D29&lt;&gt;'Calc_Mix'!$C$15,'Calc_Mix'!$X$15=0,COUNTIFS(Esc_Turno,'Calc_Mix'!$C$15,Esc_Circ,$B29)+COUNTIFS(Esc_Turno,'Calc_Mix'!$C$15,Esc_Instr,$B29)&gt;0),"",IF(SUMPRODUCT('Calc_Mix'!$D$15:$W$15,'Matriz_Habilidades'!$D29:$W29)=0,"",SUMPRODUCT('Calc_Mix'!$D$15:$W$15,'Matriz_Habilidades'!$D29:$W29)/'Calc_Mix'!$X$15+ROW()*0.000001))</f>
        <v/>
      </c>
      <c r="S29" s="34">
        <f>IF(OR($B29="",$C29&lt;&gt;"Ativo",$D29&lt;&gt;'Calc_Mix'!$C$16,'Calc_Mix'!$X$16=0,COUNTIFS(Esc_Turno,'Calc_Mix'!$C$16,Esc_Circ,$B29)+COUNTIFS(Esc_Turno,'Calc_Mix'!$C$16,Esc_Instr,$B29)&gt;0),"",IF(SUMPRODUCT('Calc_Mix'!$D$16:$W$16,'Matriz_Habilidades'!$D29:$W29)=0,"",SUMPRODUCT('Calc_Mix'!$D$16:$W$16,'Matriz_Habilidades'!$D29:$W29)/'Calc_Mix'!$X$16+ROW()*0.000001))</f>
        <v/>
      </c>
      <c r="T29" s="34">
        <f>IF(OR($B29="",$C29&lt;&gt;"Ativo",$D29&lt;&gt;'Calc_Mix'!$C$17,'Calc_Mix'!$X$17=0,COUNTIFS(Esc_Turno,'Calc_Mix'!$C$17,Esc_Circ,$B29)+COUNTIFS(Esc_Turno,'Calc_Mix'!$C$17,Esc_Instr,$B29)&gt;0),"",IF(SUMPRODUCT('Calc_Mix'!$D$17:$W$17,'Matriz_Habilidades'!$D29:$W29)=0,"",SUMPRODUCT('Calc_Mix'!$D$17:$W$17,'Matriz_Habilidades'!$D29:$W29)/'Calc_Mix'!$X$17+ROW()*0.000001))</f>
        <v/>
      </c>
      <c r="U29" s="34">
        <f>IF(OR($B29="",$C29&lt;&gt;"Ativo",$D29&lt;&gt;'Calc_Mix'!$C$18,'Calc_Mix'!$X$18=0,COUNTIFS(Esc_Turno,'Calc_Mix'!$C$18,Esc_Circ,$B29)+COUNTIFS(Esc_Turno,'Calc_Mix'!$C$18,Esc_Instr,$B29)&gt;0),"",IF(SUMPRODUCT('Calc_Mix'!$D$18:$W$18,'Matriz_Habilidades'!$D29:$W29)=0,"",SUMPRODUCT('Calc_Mix'!$D$18:$W$18,'Matriz_Habilidades'!$D29:$W29)/'Calc_Mix'!$X$18+ROW()*0.000001))</f>
        <v/>
      </c>
      <c r="V29" s="34">
        <f>IF(OR($B29="",$C29&lt;&gt;"Ativo",$D29&lt;&gt;'Calc_Mix'!$C$19,'Calc_Mix'!$X$19=0,COUNTIFS(Esc_Turno,'Calc_Mix'!$C$19,Esc_Circ,$B29)+COUNTIFS(Esc_Turno,'Calc_Mix'!$C$19,Esc_Instr,$B29)&gt;0),"",IF(SUMPRODUCT('Calc_Mix'!$D$19:$W$19,'Matriz_Habilidades'!$D29:$W29)=0,"",SUMPRODUCT('Calc_Mix'!$D$19:$W$19,'Matriz_Habilidades'!$D29:$W29)/'Calc_Mix'!$X$19+ROW()*0.000001))</f>
        <v/>
      </c>
      <c r="W29" s="34">
        <f>IF(OR($B29="",$C29&lt;&gt;"Ativo",$D29&lt;&gt;'Calc_Mix'!$C$20,'Calc_Mix'!$X$20=0,COUNTIFS(Esc_Turno,'Calc_Mix'!$C$20,Esc_Circ,$B29)+COUNTIFS(Esc_Turno,'Calc_Mix'!$C$20,Esc_Instr,$B29)&gt;0),"",IF(SUMPRODUCT('Calc_Mix'!$D$20:$W$20,'Matriz_Habilidades'!$D29:$W29)=0,"",SUMPRODUCT('Calc_Mix'!$D$20:$W$20,'Matriz_Habilidades'!$D29:$W29)/'Calc_Mix'!$X$20+ROW()*0.000001))</f>
        <v/>
      </c>
      <c r="X29" s="34">
        <f>IF(OR($B29="",$C29&lt;&gt;"Ativo",$D29&lt;&gt;'Calc_Mix'!$C$21,'Calc_Mix'!$X$21=0,COUNTIFS(Esc_Turno,'Calc_Mix'!$C$21,Esc_Circ,$B29)+COUNTIFS(Esc_Turno,'Calc_Mix'!$C$21,Esc_Instr,$B29)&gt;0),"",IF(SUMPRODUCT('Calc_Mix'!$D$21:$W$21,'Matriz_Habilidades'!$D29:$W29)=0,"",SUMPRODUCT('Calc_Mix'!$D$21:$W$21,'Matriz_Habilidades'!$D29:$W29)/'Calc_Mix'!$X$21+ROW()*0.000001))</f>
        <v/>
      </c>
      <c r="Y29" s="34">
        <f>IF(OR($B29="",$C29&lt;&gt;"Ativo",$D29&lt;&gt;'Calc_Mix'!$C$22,'Calc_Mix'!$X$22=0,COUNTIFS(Esc_Turno,'Calc_Mix'!$C$22,Esc_Circ,$B29)+COUNTIFS(Esc_Turno,'Calc_Mix'!$C$22,Esc_Instr,$B29)&gt;0),"",IF(SUMPRODUCT('Calc_Mix'!$D$22:$W$22,'Matriz_Habilidades'!$D29:$W29)=0,"",SUMPRODUCT('Calc_Mix'!$D$22:$W$22,'Matriz_Habilidades'!$D29:$W29)/'Calc_Mix'!$X$22+ROW()*0.000001))</f>
        <v/>
      </c>
      <c r="Z29" s="34">
        <f>IF(OR($B29="",$C29&lt;&gt;"Ativo",$D29&lt;&gt;'Calc_Mix'!$C$23,'Calc_Mix'!$X$23=0,COUNTIFS(Esc_Turno,'Calc_Mix'!$C$23,Esc_Circ,$B29)+COUNTIFS(Esc_Turno,'Calc_Mix'!$C$23,Esc_Instr,$B29)&gt;0),"",IF(SUMPRODUCT('Calc_Mix'!$D$23:$W$23,'Matriz_Habilidades'!$D29:$W29)=0,"",SUMPRODUCT('Calc_Mix'!$D$23:$W$23,'Matriz_Habilidades'!$D29:$W29)/'Calc_Mix'!$X$23+ROW()*0.000001))</f>
        <v/>
      </c>
      <c r="AA29" s="34">
        <f>IF(OR($B29="",$C29&lt;&gt;"Ativo",$D29&lt;&gt;'Calc_Mix'!$C$24,'Calc_Mix'!$X$24=0,COUNTIFS(Esc_Turno,'Calc_Mix'!$C$24,Esc_Circ,$B29)+COUNTIFS(Esc_Turno,'Calc_Mix'!$C$24,Esc_Instr,$B29)&gt;0),"",IF(SUMPRODUCT('Calc_Mix'!$D$24:$W$24,'Matriz_Habilidades'!$D29:$W29)=0,"",SUMPRODUCT('Calc_Mix'!$D$24:$W$24,'Matriz_Habilidades'!$D29:$W29)/'Calc_Mix'!$X$24+ROW()*0.000001))</f>
        <v/>
      </c>
      <c r="AB29" s="34">
        <f>IF(OR($B29="",$C29&lt;&gt;"Ativo",$D29&lt;&gt;'Calc_Mix'!$C$25,'Calc_Mix'!$X$25=0,COUNTIFS(Esc_Turno,'Calc_Mix'!$C$25,Esc_Circ,$B29)+COUNTIFS(Esc_Turno,'Calc_Mix'!$C$25,Esc_Instr,$B29)&gt;0),"",IF(SUMPRODUCT('Calc_Mix'!$D$25:$W$25,'Matriz_Habilidades'!$D29:$W29)=0,"",SUMPRODUCT('Calc_Mix'!$D$25:$W$25,'Matriz_Habilidades'!$D29:$W29)/'Calc_Mix'!$X$25+ROW()*0.000001))</f>
        <v/>
      </c>
      <c r="AC29" s="34">
        <f>IF(OR($B29="",$C29&lt;&gt;"Ativo",$D29&lt;&gt;'Calc_Mix'!$C$26,'Calc_Mix'!$X$26=0,COUNTIFS(Esc_Turno,'Calc_Mix'!$C$26,Esc_Circ,$B29)+COUNTIFS(Esc_Turno,'Calc_Mix'!$C$26,Esc_Instr,$B29)&gt;0),"",IF(SUMPRODUCT('Calc_Mix'!$D$26:$W$26,'Matriz_Habilidades'!$D29:$W29)=0,"",SUMPRODUCT('Calc_Mix'!$D$26:$W$26,'Matriz_Habilidades'!$D29:$W29)/'Calc_Mix'!$X$26+ROW()*0.000001))</f>
        <v/>
      </c>
      <c r="AD29" s="34">
        <f>IF(OR($B29="",$C29&lt;&gt;"Ativo",$D29&lt;&gt;'Calc_Mix'!$C$27,'Calc_Mix'!$X$27=0,COUNTIFS(Esc_Turno,'Calc_Mix'!$C$27,Esc_Circ,$B29)+COUNTIFS(Esc_Turno,'Calc_Mix'!$C$27,Esc_Instr,$B29)&gt;0),"",IF(SUMPRODUCT('Calc_Mix'!$D$27:$W$27,'Matriz_Habilidades'!$D29:$W29)=0,"",SUMPRODUCT('Calc_Mix'!$D$27:$W$27,'Matriz_Habilidades'!$D29:$W29)/'Calc_Mix'!$X$27+ROW()*0.000001))</f>
        <v/>
      </c>
      <c r="AE29" s="34">
        <f>IF(OR($B29="",$C29&lt;&gt;"Ativo",$D29&lt;&gt;'Calc_Mix'!$C$28,'Calc_Mix'!$X$28=0,COUNTIFS(Esc_Turno,'Calc_Mix'!$C$28,Esc_Circ,$B29)+COUNTIFS(Esc_Turno,'Calc_Mix'!$C$28,Esc_Instr,$B29)&gt;0),"",IF(SUMPRODUCT('Calc_Mix'!$D$28:$W$28,'Matriz_Habilidades'!$D29:$W29)=0,"",SUMPRODUCT('Calc_Mix'!$D$28:$W$28,'Matriz_Habilidades'!$D29:$W29)/'Calc_Mix'!$X$28+ROW()*0.000001))</f>
        <v/>
      </c>
      <c r="AF29" s="34">
        <f>IF(OR($B29="",$C29&lt;&gt;"Ativo",$D29&lt;&gt;'Calc_Mix'!$C$29,'Calc_Mix'!$X$29=0,COUNTIFS(Esc_Turno,'Calc_Mix'!$C$29,Esc_Circ,$B29)+COUNTIFS(Esc_Turno,'Calc_Mix'!$C$29,Esc_Instr,$B29)&gt;0),"",IF(SUMPRODUCT('Calc_Mix'!$D$29:$W$29,'Matriz_Habilidades'!$D29:$W29)=0,"",SUMPRODUCT('Calc_Mix'!$D$29:$W$29,'Matriz_Habilidades'!$D29:$W29)/'Calc_Mix'!$X$29+ROW()*0.000001))</f>
        <v/>
      </c>
      <c r="AG29" s="34">
        <f>IF(OR($B29="",$C29&lt;&gt;"Ativo",$D29&lt;&gt;'Calc_Mix'!$C$30,'Calc_Mix'!$X$30=0,COUNTIFS(Esc_Turno,'Calc_Mix'!$C$30,Esc_Circ,$B29)+COUNTIFS(Esc_Turno,'Calc_Mix'!$C$30,Esc_Instr,$B29)&gt;0),"",IF(SUMPRODUCT('Calc_Mix'!$D$30:$W$30,'Matriz_Habilidades'!$D29:$W29)=0,"",SUMPRODUCT('Calc_Mix'!$D$30:$W$30,'Matriz_Habilidades'!$D29:$W29)/'Calc_Mix'!$X$30+ROW()*0.000001))</f>
        <v/>
      </c>
      <c r="AH29" s="34">
        <f>IF(OR($B29="",$C29&lt;&gt;"Ativo",$D29&lt;&gt;'Calc_Mix'!$C$31,'Calc_Mix'!$X$31=0,COUNTIFS(Esc_Turno,'Calc_Mix'!$C$31,Esc_Circ,$B29)+COUNTIFS(Esc_Turno,'Calc_Mix'!$C$31,Esc_Instr,$B29)&gt;0),"",IF(SUMPRODUCT('Calc_Mix'!$D$31:$W$31,'Matriz_Habilidades'!$D29:$W29)=0,"",SUMPRODUCT('Calc_Mix'!$D$31:$W$31,'Matriz_Habilidades'!$D29:$W29)/'Calc_Mix'!$X$31+ROW()*0.000001))</f>
        <v/>
      </c>
      <c r="AI29" s="34">
        <f>IF(OR($B29="",$C29&lt;&gt;"Ativo",$D29&lt;&gt;'Calc_Mix'!$C$32,'Calc_Mix'!$X$32=0,COUNTIFS(Esc_Turno,'Calc_Mix'!$C$32,Esc_Circ,$B29)+COUNTIFS(Esc_Turno,'Calc_Mix'!$C$32,Esc_Instr,$B29)&gt;0),"",IF(SUMPRODUCT('Calc_Mix'!$D$32:$W$32,'Matriz_Habilidades'!$D29:$W29)=0,"",SUMPRODUCT('Calc_Mix'!$D$32:$W$32,'Matriz_Habilidades'!$D29:$W29)/'Calc_Mix'!$X$32+ROW()*0.000001))</f>
        <v/>
      </c>
      <c r="AJ29" s="34">
        <f>IF(OR($B29="",$C29&lt;&gt;"Ativo",$D29&lt;&gt;'Calc_Mix'!$C$33,'Calc_Mix'!$X$33=0,COUNTIFS(Esc_Turno,'Calc_Mix'!$C$33,Esc_Circ,$B29)+COUNTIFS(Esc_Turno,'Calc_Mix'!$C$33,Esc_Instr,$B29)&gt;0),"",IF(SUMPRODUCT('Calc_Mix'!$D$33:$W$33,'Matriz_Habilidades'!$D29:$W29)=0,"",SUMPRODUCT('Calc_Mix'!$D$33:$W$33,'Matriz_Habilidades'!$D29:$W29)/'Calc_Mix'!$X$33+ROW()*0.000001))</f>
        <v/>
      </c>
      <c r="AK29" s="34">
        <f>IF(OR($B29="",$C29&lt;&gt;"Ativo",$D29&lt;&gt;'Calc_Mix'!$C$34,'Calc_Mix'!$X$34=0,COUNTIFS(Esc_Turno,'Calc_Mix'!$C$34,Esc_Circ,$B29)+COUNTIFS(Esc_Turno,'Calc_Mix'!$C$34,Esc_Instr,$B29)&gt;0),"",IF(SUMPRODUCT('Calc_Mix'!$D$34:$W$34,'Matriz_Habilidades'!$D29:$W29)=0,"",SUMPRODUCT('Calc_Mix'!$D$34:$W$34,'Matriz_Habilidades'!$D29:$W29)/'Calc_Mix'!$X$34+ROW()*0.000001))</f>
        <v/>
      </c>
      <c r="AL29" s="34">
        <f>IF(OR($B29="",$C29&lt;&gt;"Ativo",$D29&lt;&gt;'Calc_Mix'!$C$35,'Calc_Mix'!$X$35=0,COUNTIFS(Esc_Turno,'Calc_Mix'!$C$35,Esc_Circ,$B29)+COUNTIFS(Esc_Turno,'Calc_Mix'!$C$35,Esc_Instr,$B29)&gt;0),"",IF(SUMPRODUCT('Calc_Mix'!$D$35:$W$35,'Matriz_Habilidades'!$D29:$W29)=0,"",SUMPRODUCT('Calc_Mix'!$D$35:$W$35,'Matriz_Habilidades'!$D29:$W29)/'Calc_Mix'!$X$35+ROW()*0.000001))</f>
        <v/>
      </c>
      <c r="AM29" s="34">
        <f>IF(OR($B29="",$C29&lt;&gt;"Ativo",$D29&lt;&gt;'Calc_Mix'!$C$36,'Calc_Mix'!$X$36=0,COUNTIFS(Esc_Turno,'Calc_Mix'!$C$36,Esc_Circ,$B29)+COUNTIFS(Esc_Turno,'Calc_Mix'!$C$36,Esc_Instr,$B29)&gt;0),"",IF(SUMPRODUCT('Calc_Mix'!$D$36:$W$36,'Matriz_Habilidades'!$D29:$W29)=0,"",SUMPRODUCT('Calc_Mix'!$D$36:$W$36,'Matriz_Habilidades'!$D29:$W29)/'Calc_Mix'!$X$36+ROW()*0.000001))</f>
        <v/>
      </c>
      <c r="AN29" s="34">
        <f>IF(OR($B29="",$C29&lt;&gt;"Ativo",$D29&lt;&gt;'Calc_Mix'!$C$37,'Calc_Mix'!$X$37=0,COUNTIFS(Esc_Turno,'Calc_Mix'!$C$37,Esc_Circ,$B29)+COUNTIFS(Esc_Turno,'Calc_Mix'!$C$37,Esc_Instr,$B29)&gt;0),"",IF(SUMPRODUCT('Calc_Mix'!$D$37:$W$37,'Matriz_Habilidades'!$D29:$W29)=0,"",SUMPRODUCT('Calc_Mix'!$D$37:$W$37,'Matriz_Habilidades'!$D29:$W29)/'Calc_Mix'!$X$37+ROW()*0.000001))</f>
        <v/>
      </c>
    </row>
    <row r="30">
      <c r="A30" s="27">
        <f>IF('Matriz_Habilidades'!A30="","",'Matriz_Habilidades'!A30)</f>
        <v/>
      </c>
      <c r="B30" s="28">
        <f>IF('Matriz_Habilidades'!B30="","",'Matriz_Habilidades'!B30)</f>
        <v/>
      </c>
      <c r="C30" s="27">
        <f>IF($A30="","",IFERROR(INDEX(Equipe_Status,MATCH($B30,Equipe_Nome,0)),"?"))</f>
        <v/>
      </c>
      <c r="D30" s="27">
        <f>IF($A30="","",IFERROR(INDEX(Equipe_Turno,MATCH($B30,Equipe_Nome,0)),"?"))</f>
        <v/>
      </c>
      <c r="E30" s="34">
        <f>IF(OR($B30="",$C30&lt;&gt;"Ativo",$D30&lt;&gt;'Calc_Mix'!$C$2,'Calc_Mix'!$X$2=0,COUNTIFS(Esc_Turno,'Calc_Mix'!$C$2,Esc_Circ,$B30)+COUNTIFS(Esc_Turno,'Calc_Mix'!$C$2,Esc_Instr,$B30)&gt;0),"",IF(SUMPRODUCT('Calc_Mix'!$D$2:$W$2,'Matriz_Habilidades'!$D30:$W30)=0,"",SUMPRODUCT('Calc_Mix'!$D$2:$W$2,'Matriz_Habilidades'!$D30:$W30)/'Calc_Mix'!$X$2+ROW()*0.000001))</f>
        <v/>
      </c>
      <c r="F30" s="34">
        <f>IF(OR($B30="",$C30&lt;&gt;"Ativo",$D30&lt;&gt;'Calc_Mix'!$C$3,'Calc_Mix'!$X$3=0,COUNTIFS(Esc_Turno,'Calc_Mix'!$C$3,Esc_Circ,$B30)+COUNTIFS(Esc_Turno,'Calc_Mix'!$C$3,Esc_Instr,$B30)&gt;0),"",IF(SUMPRODUCT('Calc_Mix'!$D$3:$W$3,'Matriz_Habilidades'!$D30:$W30)=0,"",SUMPRODUCT('Calc_Mix'!$D$3:$W$3,'Matriz_Habilidades'!$D30:$W30)/'Calc_Mix'!$X$3+ROW()*0.000001))</f>
        <v/>
      </c>
      <c r="G30" s="34">
        <f>IF(OR($B30="",$C30&lt;&gt;"Ativo",$D30&lt;&gt;'Calc_Mix'!$C$4,'Calc_Mix'!$X$4=0,COUNTIFS(Esc_Turno,'Calc_Mix'!$C$4,Esc_Circ,$B30)+COUNTIFS(Esc_Turno,'Calc_Mix'!$C$4,Esc_Instr,$B30)&gt;0),"",IF(SUMPRODUCT('Calc_Mix'!$D$4:$W$4,'Matriz_Habilidades'!$D30:$W30)=0,"",SUMPRODUCT('Calc_Mix'!$D$4:$W$4,'Matriz_Habilidades'!$D30:$W30)/'Calc_Mix'!$X$4+ROW()*0.000001))</f>
        <v/>
      </c>
      <c r="H30" s="34">
        <f>IF(OR($B30="",$C30&lt;&gt;"Ativo",$D30&lt;&gt;'Calc_Mix'!$C$5,'Calc_Mix'!$X$5=0,COUNTIFS(Esc_Turno,'Calc_Mix'!$C$5,Esc_Circ,$B30)+COUNTIFS(Esc_Turno,'Calc_Mix'!$C$5,Esc_Instr,$B30)&gt;0),"",IF(SUMPRODUCT('Calc_Mix'!$D$5:$W$5,'Matriz_Habilidades'!$D30:$W30)=0,"",SUMPRODUCT('Calc_Mix'!$D$5:$W$5,'Matriz_Habilidades'!$D30:$W30)/'Calc_Mix'!$X$5+ROW()*0.000001))</f>
        <v/>
      </c>
      <c r="I30" s="34">
        <f>IF(OR($B30="",$C30&lt;&gt;"Ativo",$D30&lt;&gt;'Calc_Mix'!$C$6,'Calc_Mix'!$X$6=0,COUNTIFS(Esc_Turno,'Calc_Mix'!$C$6,Esc_Circ,$B30)+COUNTIFS(Esc_Turno,'Calc_Mix'!$C$6,Esc_Instr,$B30)&gt;0),"",IF(SUMPRODUCT('Calc_Mix'!$D$6:$W$6,'Matriz_Habilidades'!$D30:$W30)=0,"",SUMPRODUCT('Calc_Mix'!$D$6:$W$6,'Matriz_Habilidades'!$D30:$W30)/'Calc_Mix'!$X$6+ROW()*0.000001))</f>
        <v/>
      </c>
      <c r="J30" s="34">
        <f>IF(OR($B30="",$C30&lt;&gt;"Ativo",$D30&lt;&gt;'Calc_Mix'!$C$7,'Calc_Mix'!$X$7=0,COUNTIFS(Esc_Turno,'Calc_Mix'!$C$7,Esc_Circ,$B30)+COUNTIFS(Esc_Turno,'Calc_Mix'!$C$7,Esc_Instr,$B30)&gt;0),"",IF(SUMPRODUCT('Calc_Mix'!$D$7:$W$7,'Matriz_Habilidades'!$D30:$W30)=0,"",SUMPRODUCT('Calc_Mix'!$D$7:$W$7,'Matriz_Habilidades'!$D30:$W30)/'Calc_Mix'!$X$7+ROW()*0.000001))</f>
        <v/>
      </c>
      <c r="K30" s="34">
        <f>IF(OR($B30="",$C30&lt;&gt;"Ativo",$D30&lt;&gt;'Calc_Mix'!$C$8,'Calc_Mix'!$X$8=0,COUNTIFS(Esc_Turno,'Calc_Mix'!$C$8,Esc_Circ,$B30)+COUNTIFS(Esc_Turno,'Calc_Mix'!$C$8,Esc_Instr,$B30)&gt;0),"",IF(SUMPRODUCT('Calc_Mix'!$D$8:$W$8,'Matriz_Habilidades'!$D30:$W30)=0,"",SUMPRODUCT('Calc_Mix'!$D$8:$W$8,'Matriz_Habilidades'!$D30:$W30)/'Calc_Mix'!$X$8+ROW()*0.000001))</f>
        <v/>
      </c>
      <c r="L30" s="34">
        <f>IF(OR($B30="",$C30&lt;&gt;"Ativo",$D30&lt;&gt;'Calc_Mix'!$C$9,'Calc_Mix'!$X$9=0,COUNTIFS(Esc_Turno,'Calc_Mix'!$C$9,Esc_Circ,$B30)+COUNTIFS(Esc_Turno,'Calc_Mix'!$C$9,Esc_Instr,$B30)&gt;0),"",IF(SUMPRODUCT('Calc_Mix'!$D$9:$W$9,'Matriz_Habilidades'!$D30:$W30)=0,"",SUMPRODUCT('Calc_Mix'!$D$9:$W$9,'Matriz_Habilidades'!$D30:$W30)/'Calc_Mix'!$X$9+ROW()*0.000001))</f>
        <v/>
      </c>
      <c r="M30" s="34">
        <f>IF(OR($B30="",$C30&lt;&gt;"Ativo",$D30&lt;&gt;'Calc_Mix'!$C$10,'Calc_Mix'!$X$10=0,COUNTIFS(Esc_Turno,'Calc_Mix'!$C$10,Esc_Circ,$B30)+COUNTIFS(Esc_Turno,'Calc_Mix'!$C$10,Esc_Instr,$B30)&gt;0),"",IF(SUMPRODUCT('Calc_Mix'!$D$10:$W$10,'Matriz_Habilidades'!$D30:$W30)=0,"",SUMPRODUCT('Calc_Mix'!$D$10:$W$10,'Matriz_Habilidades'!$D30:$W30)/'Calc_Mix'!$X$10+ROW()*0.000001))</f>
        <v/>
      </c>
      <c r="N30" s="34">
        <f>IF(OR($B30="",$C30&lt;&gt;"Ativo",$D30&lt;&gt;'Calc_Mix'!$C$11,'Calc_Mix'!$X$11=0,COUNTIFS(Esc_Turno,'Calc_Mix'!$C$11,Esc_Circ,$B30)+COUNTIFS(Esc_Turno,'Calc_Mix'!$C$11,Esc_Instr,$B30)&gt;0),"",IF(SUMPRODUCT('Calc_Mix'!$D$11:$W$11,'Matriz_Habilidades'!$D30:$W30)=0,"",SUMPRODUCT('Calc_Mix'!$D$11:$W$11,'Matriz_Habilidades'!$D30:$W30)/'Calc_Mix'!$X$11+ROW()*0.000001))</f>
        <v/>
      </c>
      <c r="O30" s="34">
        <f>IF(OR($B30="",$C30&lt;&gt;"Ativo",$D30&lt;&gt;'Calc_Mix'!$C$12,'Calc_Mix'!$X$12=0,COUNTIFS(Esc_Turno,'Calc_Mix'!$C$12,Esc_Circ,$B30)+COUNTIFS(Esc_Turno,'Calc_Mix'!$C$12,Esc_Instr,$B30)&gt;0),"",IF(SUMPRODUCT('Calc_Mix'!$D$12:$W$12,'Matriz_Habilidades'!$D30:$W30)=0,"",SUMPRODUCT('Calc_Mix'!$D$12:$W$12,'Matriz_Habilidades'!$D30:$W30)/'Calc_Mix'!$X$12+ROW()*0.000001))</f>
        <v/>
      </c>
      <c r="P30" s="34">
        <f>IF(OR($B30="",$C30&lt;&gt;"Ativo",$D30&lt;&gt;'Calc_Mix'!$C$13,'Calc_Mix'!$X$13=0,COUNTIFS(Esc_Turno,'Calc_Mix'!$C$13,Esc_Circ,$B30)+COUNTIFS(Esc_Turno,'Calc_Mix'!$C$13,Esc_Instr,$B30)&gt;0),"",IF(SUMPRODUCT('Calc_Mix'!$D$13:$W$13,'Matriz_Habilidades'!$D30:$W30)=0,"",SUMPRODUCT('Calc_Mix'!$D$13:$W$13,'Matriz_Habilidades'!$D30:$W30)/'Calc_Mix'!$X$13+ROW()*0.000001))</f>
        <v/>
      </c>
      <c r="Q30" s="34">
        <f>IF(OR($B30="",$C30&lt;&gt;"Ativo",$D30&lt;&gt;'Calc_Mix'!$C$14,'Calc_Mix'!$X$14=0,COUNTIFS(Esc_Turno,'Calc_Mix'!$C$14,Esc_Circ,$B30)+COUNTIFS(Esc_Turno,'Calc_Mix'!$C$14,Esc_Instr,$B30)&gt;0),"",IF(SUMPRODUCT('Calc_Mix'!$D$14:$W$14,'Matriz_Habilidades'!$D30:$W30)=0,"",SUMPRODUCT('Calc_Mix'!$D$14:$W$14,'Matriz_Habilidades'!$D30:$W30)/'Calc_Mix'!$X$14+ROW()*0.000001))</f>
        <v/>
      </c>
      <c r="R30" s="34">
        <f>IF(OR($B30="",$C30&lt;&gt;"Ativo",$D30&lt;&gt;'Calc_Mix'!$C$15,'Calc_Mix'!$X$15=0,COUNTIFS(Esc_Turno,'Calc_Mix'!$C$15,Esc_Circ,$B30)+COUNTIFS(Esc_Turno,'Calc_Mix'!$C$15,Esc_Instr,$B30)&gt;0),"",IF(SUMPRODUCT('Calc_Mix'!$D$15:$W$15,'Matriz_Habilidades'!$D30:$W30)=0,"",SUMPRODUCT('Calc_Mix'!$D$15:$W$15,'Matriz_Habilidades'!$D30:$W30)/'Calc_Mix'!$X$15+ROW()*0.000001))</f>
        <v/>
      </c>
      <c r="S30" s="34">
        <f>IF(OR($B30="",$C30&lt;&gt;"Ativo",$D30&lt;&gt;'Calc_Mix'!$C$16,'Calc_Mix'!$X$16=0,COUNTIFS(Esc_Turno,'Calc_Mix'!$C$16,Esc_Circ,$B30)+COUNTIFS(Esc_Turno,'Calc_Mix'!$C$16,Esc_Instr,$B30)&gt;0),"",IF(SUMPRODUCT('Calc_Mix'!$D$16:$W$16,'Matriz_Habilidades'!$D30:$W30)=0,"",SUMPRODUCT('Calc_Mix'!$D$16:$W$16,'Matriz_Habilidades'!$D30:$W30)/'Calc_Mix'!$X$16+ROW()*0.000001))</f>
        <v/>
      </c>
      <c r="T30" s="34">
        <f>IF(OR($B30="",$C30&lt;&gt;"Ativo",$D30&lt;&gt;'Calc_Mix'!$C$17,'Calc_Mix'!$X$17=0,COUNTIFS(Esc_Turno,'Calc_Mix'!$C$17,Esc_Circ,$B30)+COUNTIFS(Esc_Turno,'Calc_Mix'!$C$17,Esc_Instr,$B30)&gt;0),"",IF(SUMPRODUCT('Calc_Mix'!$D$17:$W$17,'Matriz_Habilidades'!$D30:$W30)=0,"",SUMPRODUCT('Calc_Mix'!$D$17:$W$17,'Matriz_Habilidades'!$D30:$W30)/'Calc_Mix'!$X$17+ROW()*0.000001))</f>
        <v/>
      </c>
      <c r="U30" s="34">
        <f>IF(OR($B30="",$C30&lt;&gt;"Ativo",$D30&lt;&gt;'Calc_Mix'!$C$18,'Calc_Mix'!$X$18=0,COUNTIFS(Esc_Turno,'Calc_Mix'!$C$18,Esc_Circ,$B30)+COUNTIFS(Esc_Turno,'Calc_Mix'!$C$18,Esc_Instr,$B30)&gt;0),"",IF(SUMPRODUCT('Calc_Mix'!$D$18:$W$18,'Matriz_Habilidades'!$D30:$W30)=0,"",SUMPRODUCT('Calc_Mix'!$D$18:$W$18,'Matriz_Habilidades'!$D30:$W30)/'Calc_Mix'!$X$18+ROW()*0.000001))</f>
        <v/>
      </c>
      <c r="V30" s="34">
        <f>IF(OR($B30="",$C30&lt;&gt;"Ativo",$D30&lt;&gt;'Calc_Mix'!$C$19,'Calc_Mix'!$X$19=0,COUNTIFS(Esc_Turno,'Calc_Mix'!$C$19,Esc_Circ,$B30)+COUNTIFS(Esc_Turno,'Calc_Mix'!$C$19,Esc_Instr,$B30)&gt;0),"",IF(SUMPRODUCT('Calc_Mix'!$D$19:$W$19,'Matriz_Habilidades'!$D30:$W30)=0,"",SUMPRODUCT('Calc_Mix'!$D$19:$W$19,'Matriz_Habilidades'!$D30:$W30)/'Calc_Mix'!$X$19+ROW()*0.000001))</f>
        <v/>
      </c>
      <c r="W30" s="34">
        <f>IF(OR($B30="",$C30&lt;&gt;"Ativo",$D30&lt;&gt;'Calc_Mix'!$C$20,'Calc_Mix'!$X$20=0,COUNTIFS(Esc_Turno,'Calc_Mix'!$C$20,Esc_Circ,$B30)+COUNTIFS(Esc_Turno,'Calc_Mix'!$C$20,Esc_Instr,$B30)&gt;0),"",IF(SUMPRODUCT('Calc_Mix'!$D$20:$W$20,'Matriz_Habilidades'!$D30:$W30)=0,"",SUMPRODUCT('Calc_Mix'!$D$20:$W$20,'Matriz_Habilidades'!$D30:$W30)/'Calc_Mix'!$X$20+ROW()*0.000001))</f>
        <v/>
      </c>
      <c r="X30" s="34">
        <f>IF(OR($B30="",$C30&lt;&gt;"Ativo",$D30&lt;&gt;'Calc_Mix'!$C$21,'Calc_Mix'!$X$21=0,COUNTIFS(Esc_Turno,'Calc_Mix'!$C$21,Esc_Circ,$B30)+COUNTIFS(Esc_Turno,'Calc_Mix'!$C$21,Esc_Instr,$B30)&gt;0),"",IF(SUMPRODUCT('Calc_Mix'!$D$21:$W$21,'Matriz_Habilidades'!$D30:$W30)=0,"",SUMPRODUCT('Calc_Mix'!$D$21:$W$21,'Matriz_Habilidades'!$D30:$W30)/'Calc_Mix'!$X$21+ROW()*0.000001))</f>
        <v/>
      </c>
      <c r="Y30" s="34">
        <f>IF(OR($B30="",$C30&lt;&gt;"Ativo",$D30&lt;&gt;'Calc_Mix'!$C$22,'Calc_Mix'!$X$22=0,COUNTIFS(Esc_Turno,'Calc_Mix'!$C$22,Esc_Circ,$B30)+COUNTIFS(Esc_Turno,'Calc_Mix'!$C$22,Esc_Instr,$B30)&gt;0),"",IF(SUMPRODUCT('Calc_Mix'!$D$22:$W$22,'Matriz_Habilidades'!$D30:$W30)=0,"",SUMPRODUCT('Calc_Mix'!$D$22:$W$22,'Matriz_Habilidades'!$D30:$W30)/'Calc_Mix'!$X$22+ROW()*0.000001))</f>
        <v/>
      </c>
      <c r="Z30" s="34">
        <f>IF(OR($B30="",$C30&lt;&gt;"Ativo",$D30&lt;&gt;'Calc_Mix'!$C$23,'Calc_Mix'!$X$23=0,COUNTIFS(Esc_Turno,'Calc_Mix'!$C$23,Esc_Circ,$B30)+COUNTIFS(Esc_Turno,'Calc_Mix'!$C$23,Esc_Instr,$B30)&gt;0),"",IF(SUMPRODUCT('Calc_Mix'!$D$23:$W$23,'Matriz_Habilidades'!$D30:$W30)=0,"",SUMPRODUCT('Calc_Mix'!$D$23:$W$23,'Matriz_Habilidades'!$D30:$W30)/'Calc_Mix'!$X$23+ROW()*0.000001))</f>
        <v/>
      </c>
      <c r="AA30" s="34">
        <f>IF(OR($B30="",$C30&lt;&gt;"Ativo",$D30&lt;&gt;'Calc_Mix'!$C$24,'Calc_Mix'!$X$24=0,COUNTIFS(Esc_Turno,'Calc_Mix'!$C$24,Esc_Circ,$B30)+COUNTIFS(Esc_Turno,'Calc_Mix'!$C$24,Esc_Instr,$B30)&gt;0),"",IF(SUMPRODUCT('Calc_Mix'!$D$24:$W$24,'Matriz_Habilidades'!$D30:$W30)=0,"",SUMPRODUCT('Calc_Mix'!$D$24:$W$24,'Matriz_Habilidades'!$D30:$W30)/'Calc_Mix'!$X$24+ROW()*0.000001))</f>
        <v/>
      </c>
      <c r="AB30" s="34">
        <f>IF(OR($B30="",$C30&lt;&gt;"Ativo",$D30&lt;&gt;'Calc_Mix'!$C$25,'Calc_Mix'!$X$25=0,COUNTIFS(Esc_Turno,'Calc_Mix'!$C$25,Esc_Circ,$B30)+COUNTIFS(Esc_Turno,'Calc_Mix'!$C$25,Esc_Instr,$B30)&gt;0),"",IF(SUMPRODUCT('Calc_Mix'!$D$25:$W$25,'Matriz_Habilidades'!$D30:$W30)=0,"",SUMPRODUCT('Calc_Mix'!$D$25:$W$25,'Matriz_Habilidades'!$D30:$W30)/'Calc_Mix'!$X$25+ROW()*0.000001))</f>
        <v/>
      </c>
      <c r="AC30" s="34">
        <f>IF(OR($B30="",$C30&lt;&gt;"Ativo",$D30&lt;&gt;'Calc_Mix'!$C$26,'Calc_Mix'!$X$26=0,COUNTIFS(Esc_Turno,'Calc_Mix'!$C$26,Esc_Circ,$B30)+COUNTIFS(Esc_Turno,'Calc_Mix'!$C$26,Esc_Instr,$B30)&gt;0),"",IF(SUMPRODUCT('Calc_Mix'!$D$26:$W$26,'Matriz_Habilidades'!$D30:$W30)=0,"",SUMPRODUCT('Calc_Mix'!$D$26:$W$26,'Matriz_Habilidades'!$D30:$W30)/'Calc_Mix'!$X$26+ROW()*0.000001))</f>
        <v/>
      </c>
      <c r="AD30" s="34">
        <f>IF(OR($B30="",$C30&lt;&gt;"Ativo",$D30&lt;&gt;'Calc_Mix'!$C$27,'Calc_Mix'!$X$27=0,COUNTIFS(Esc_Turno,'Calc_Mix'!$C$27,Esc_Circ,$B30)+COUNTIFS(Esc_Turno,'Calc_Mix'!$C$27,Esc_Instr,$B30)&gt;0),"",IF(SUMPRODUCT('Calc_Mix'!$D$27:$W$27,'Matriz_Habilidades'!$D30:$W30)=0,"",SUMPRODUCT('Calc_Mix'!$D$27:$W$27,'Matriz_Habilidades'!$D30:$W30)/'Calc_Mix'!$X$27+ROW()*0.000001))</f>
        <v/>
      </c>
      <c r="AE30" s="34">
        <f>IF(OR($B30="",$C30&lt;&gt;"Ativo",$D30&lt;&gt;'Calc_Mix'!$C$28,'Calc_Mix'!$X$28=0,COUNTIFS(Esc_Turno,'Calc_Mix'!$C$28,Esc_Circ,$B30)+COUNTIFS(Esc_Turno,'Calc_Mix'!$C$28,Esc_Instr,$B30)&gt;0),"",IF(SUMPRODUCT('Calc_Mix'!$D$28:$W$28,'Matriz_Habilidades'!$D30:$W30)=0,"",SUMPRODUCT('Calc_Mix'!$D$28:$W$28,'Matriz_Habilidades'!$D30:$W30)/'Calc_Mix'!$X$28+ROW()*0.000001))</f>
        <v/>
      </c>
      <c r="AF30" s="34">
        <f>IF(OR($B30="",$C30&lt;&gt;"Ativo",$D30&lt;&gt;'Calc_Mix'!$C$29,'Calc_Mix'!$X$29=0,COUNTIFS(Esc_Turno,'Calc_Mix'!$C$29,Esc_Circ,$B30)+COUNTIFS(Esc_Turno,'Calc_Mix'!$C$29,Esc_Instr,$B30)&gt;0),"",IF(SUMPRODUCT('Calc_Mix'!$D$29:$W$29,'Matriz_Habilidades'!$D30:$W30)=0,"",SUMPRODUCT('Calc_Mix'!$D$29:$W$29,'Matriz_Habilidades'!$D30:$W30)/'Calc_Mix'!$X$29+ROW()*0.000001))</f>
        <v/>
      </c>
      <c r="AG30" s="34">
        <f>IF(OR($B30="",$C30&lt;&gt;"Ativo",$D30&lt;&gt;'Calc_Mix'!$C$30,'Calc_Mix'!$X$30=0,COUNTIFS(Esc_Turno,'Calc_Mix'!$C$30,Esc_Circ,$B30)+COUNTIFS(Esc_Turno,'Calc_Mix'!$C$30,Esc_Instr,$B30)&gt;0),"",IF(SUMPRODUCT('Calc_Mix'!$D$30:$W$30,'Matriz_Habilidades'!$D30:$W30)=0,"",SUMPRODUCT('Calc_Mix'!$D$30:$W$30,'Matriz_Habilidades'!$D30:$W30)/'Calc_Mix'!$X$30+ROW()*0.000001))</f>
        <v/>
      </c>
      <c r="AH30" s="34">
        <f>IF(OR($B30="",$C30&lt;&gt;"Ativo",$D30&lt;&gt;'Calc_Mix'!$C$31,'Calc_Mix'!$X$31=0,COUNTIFS(Esc_Turno,'Calc_Mix'!$C$31,Esc_Circ,$B30)+COUNTIFS(Esc_Turno,'Calc_Mix'!$C$31,Esc_Instr,$B30)&gt;0),"",IF(SUMPRODUCT('Calc_Mix'!$D$31:$W$31,'Matriz_Habilidades'!$D30:$W30)=0,"",SUMPRODUCT('Calc_Mix'!$D$31:$W$31,'Matriz_Habilidades'!$D30:$W30)/'Calc_Mix'!$X$31+ROW()*0.000001))</f>
        <v/>
      </c>
      <c r="AI30" s="34">
        <f>IF(OR($B30="",$C30&lt;&gt;"Ativo",$D30&lt;&gt;'Calc_Mix'!$C$32,'Calc_Mix'!$X$32=0,COUNTIFS(Esc_Turno,'Calc_Mix'!$C$32,Esc_Circ,$B30)+COUNTIFS(Esc_Turno,'Calc_Mix'!$C$32,Esc_Instr,$B30)&gt;0),"",IF(SUMPRODUCT('Calc_Mix'!$D$32:$W$32,'Matriz_Habilidades'!$D30:$W30)=0,"",SUMPRODUCT('Calc_Mix'!$D$32:$W$32,'Matriz_Habilidades'!$D30:$W30)/'Calc_Mix'!$X$32+ROW()*0.000001))</f>
        <v/>
      </c>
      <c r="AJ30" s="34">
        <f>IF(OR($B30="",$C30&lt;&gt;"Ativo",$D30&lt;&gt;'Calc_Mix'!$C$33,'Calc_Mix'!$X$33=0,COUNTIFS(Esc_Turno,'Calc_Mix'!$C$33,Esc_Circ,$B30)+COUNTIFS(Esc_Turno,'Calc_Mix'!$C$33,Esc_Instr,$B30)&gt;0),"",IF(SUMPRODUCT('Calc_Mix'!$D$33:$W$33,'Matriz_Habilidades'!$D30:$W30)=0,"",SUMPRODUCT('Calc_Mix'!$D$33:$W$33,'Matriz_Habilidades'!$D30:$W30)/'Calc_Mix'!$X$33+ROW()*0.000001))</f>
        <v/>
      </c>
      <c r="AK30" s="34">
        <f>IF(OR($B30="",$C30&lt;&gt;"Ativo",$D30&lt;&gt;'Calc_Mix'!$C$34,'Calc_Mix'!$X$34=0,COUNTIFS(Esc_Turno,'Calc_Mix'!$C$34,Esc_Circ,$B30)+COUNTIFS(Esc_Turno,'Calc_Mix'!$C$34,Esc_Instr,$B30)&gt;0),"",IF(SUMPRODUCT('Calc_Mix'!$D$34:$W$34,'Matriz_Habilidades'!$D30:$W30)=0,"",SUMPRODUCT('Calc_Mix'!$D$34:$W$34,'Matriz_Habilidades'!$D30:$W30)/'Calc_Mix'!$X$34+ROW()*0.000001))</f>
        <v/>
      </c>
      <c r="AL30" s="34">
        <f>IF(OR($B30="",$C30&lt;&gt;"Ativo",$D30&lt;&gt;'Calc_Mix'!$C$35,'Calc_Mix'!$X$35=0,COUNTIFS(Esc_Turno,'Calc_Mix'!$C$35,Esc_Circ,$B30)+COUNTIFS(Esc_Turno,'Calc_Mix'!$C$35,Esc_Instr,$B30)&gt;0),"",IF(SUMPRODUCT('Calc_Mix'!$D$35:$W$35,'Matriz_Habilidades'!$D30:$W30)=0,"",SUMPRODUCT('Calc_Mix'!$D$35:$W$35,'Matriz_Habilidades'!$D30:$W30)/'Calc_Mix'!$X$35+ROW()*0.000001))</f>
        <v/>
      </c>
      <c r="AM30" s="34">
        <f>IF(OR($B30="",$C30&lt;&gt;"Ativo",$D30&lt;&gt;'Calc_Mix'!$C$36,'Calc_Mix'!$X$36=0,COUNTIFS(Esc_Turno,'Calc_Mix'!$C$36,Esc_Circ,$B30)+COUNTIFS(Esc_Turno,'Calc_Mix'!$C$36,Esc_Instr,$B30)&gt;0),"",IF(SUMPRODUCT('Calc_Mix'!$D$36:$W$36,'Matriz_Habilidades'!$D30:$W30)=0,"",SUMPRODUCT('Calc_Mix'!$D$36:$W$36,'Matriz_Habilidades'!$D30:$W30)/'Calc_Mix'!$X$36+ROW()*0.000001))</f>
        <v/>
      </c>
      <c r="AN30" s="34">
        <f>IF(OR($B30="",$C30&lt;&gt;"Ativo",$D30&lt;&gt;'Calc_Mix'!$C$37,'Calc_Mix'!$X$37=0,COUNTIFS(Esc_Turno,'Calc_Mix'!$C$37,Esc_Circ,$B30)+COUNTIFS(Esc_Turno,'Calc_Mix'!$C$37,Esc_Instr,$B30)&gt;0),"",IF(SUMPRODUCT('Calc_Mix'!$D$37:$W$37,'Matriz_Habilidades'!$D30:$W30)=0,"",SUMPRODUCT('Calc_Mix'!$D$37:$W$37,'Matriz_Habilidades'!$D30:$W30)/'Calc_Mix'!$X$37+ROW()*0.000001))</f>
        <v/>
      </c>
    </row>
    <row r="31">
      <c r="A31" s="27">
        <f>IF('Matriz_Habilidades'!A31="","",'Matriz_Habilidades'!A31)</f>
        <v/>
      </c>
      <c r="B31" s="28">
        <f>IF('Matriz_Habilidades'!B31="","",'Matriz_Habilidades'!B31)</f>
        <v/>
      </c>
      <c r="C31" s="27">
        <f>IF($A31="","",IFERROR(INDEX(Equipe_Status,MATCH($B31,Equipe_Nome,0)),"?"))</f>
        <v/>
      </c>
      <c r="D31" s="27">
        <f>IF($A31="","",IFERROR(INDEX(Equipe_Turno,MATCH($B31,Equipe_Nome,0)),"?"))</f>
        <v/>
      </c>
      <c r="E31" s="34">
        <f>IF(OR($B31="",$C31&lt;&gt;"Ativo",$D31&lt;&gt;'Calc_Mix'!$C$2,'Calc_Mix'!$X$2=0,COUNTIFS(Esc_Turno,'Calc_Mix'!$C$2,Esc_Circ,$B31)+COUNTIFS(Esc_Turno,'Calc_Mix'!$C$2,Esc_Instr,$B31)&gt;0),"",IF(SUMPRODUCT('Calc_Mix'!$D$2:$W$2,'Matriz_Habilidades'!$D31:$W31)=0,"",SUMPRODUCT('Calc_Mix'!$D$2:$W$2,'Matriz_Habilidades'!$D31:$W31)/'Calc_Mix'!$X$2+ROW()*0.000001))</f>
        <v/>
      </c>
      <c r="F31" s="34">
        <f>IF(OR($B31="",$C31&lt;&gt;"Ativo",$D31&lt;&gt;'Calc_Mix'!$C$3,'Calc_Mix'!$X$3=0,COUNTIFS(Esc_Turno,'Calc_Mix'!$C$3,Esc_Circ,$B31)+COUNTIFS(Esc_Turno,'Calc_Mix'!$C$3,Esc_Instr,$B31)&gt;0),"",IF(SUMPRODUCT('Calc_Mix'!$D$3:$W$3,'Matriz_Habilidades'!$D31:$W31)=0,"",SUMPRODUCT('Calc_Mix'!$D$3:$W$3,'Matriz_Habilidades'!$D31:$W31)/'Calc_Mix'!$X$3+ROW()*0.000001))</f>
        <v/>
      </c>
      <c r="G31" s="34">
        <f>IF(OR($B31="",$C31&lt;&gt;"Ativo",$D31&lt;&gt;'Calc_Mix'!$C$4,'Calc_Mix'!$X$4=0,COUNTIFS(Esc_Turno,'Calc_Mix'!$C$4,Esc_Circ,$B31)+COUNTIFS(Esc_Turno,'Calc_Mix'!$C$4,Esc_Instr,$B31)&gt;0),"",IF(SUMPRODUCT('Calc_Mix'!$D$4:$W$4,'Matriz_Habilidades'!$D31:$W31)=0,"",SUMPRODUCT('Calc_Mix'!$D$4:$W$4,'Matriz_Habilidades'!$D31:$W31)/'Calc_Mix'!$X$4+ROW()*0.000001))</f>
        <v/>
      </c>
      <c r="H31" s="34">
        <f>IF(OR($B31="",$C31&lt;&gt;"Ativo",$D31&lt;&gt;'Calc_Mix'!$C$5,'Calc_Mix'!$X$5=0,COUNTIFS(Esc_Turno,'Calc_Mix'!$C$5,Esc_Circ,$B31)+COUNTIFS(Esc_Turno,'Calc_Mix'!$C$5,Esc_Instr,$B31)&gt;0),"",IF(SUMPRODUCT('Calc_Mix'!$D$5:$W$5,'Matriz_Habilidades'!$D31:$W31)=0,"",SUMPRODUCT('Calc_Mix'!$D$5:$W$5,'Matriz_Habilidades'!$D31:$W31)/'Calc_Mix'!$X$5+ROW()*0.000001))</f>
        <v/>
      </c>
      <c r="I31" s="34">
        <f>IF(OR($B31="",$C31&lt;&gt;"Ativo",$D31&lt;&gt;'Calc_Mix'!$C$6,'Calc_Mix'!$X$6=0,COUNTIFS(Esc_Turno,'Calc_Mix'!$C$6,Esc_Circ,$B31)+COUNTIFS(Esc_Turno,'Calc_Mix'!$C$6,Esc_Instr,$B31)&gt;0),"",IF(SUMPRODUCT('Calc_Mix'!$D$6:$W$6,'Matriz_Habilidades'!$D31:$W31)=0,"",SUMPRODUCT('Calc_Mix'!$D$6:$W$6,'Matriz_Habilidades'!$D31:$W31)/'Calc_Mix'!$X$6+ROW()*0.000001))</f>
        <v/>
      </c>
      <c r="J31" s="34">
        <f>IF(OR($B31="",$C31&lt;&gt;"Ativo",$D31&lt;&gt;'Calc_Mix'!$C$7,'Calc_Mix'!$X$7=0,COUNTIFS(Esc_Turno,'Calc_Mix'!$C$7,Esc_Circ,$B31)+COUNTIFS(Esc_Turno,'Calc_Mix'!$C$7,Esc_Instr,$B31)&gt;0),"",IF(SUMPRODUCT('Calc_Mix'!$D$7:$W$7,'Matriz_Habilidades'!$D31:$W31)=0,"",SUMPRODUCT('Calc_Mix'!$D$7:$W$7,'Matriz_Habilidades'!$D31:$W31)/'Calc_Mix'!$X$7+ROW()*0.000001))</f>
        <v/>
      </c>
      <c r="K31" s="34">
        <f>IF(OR($B31="",$C31&lt;&gt;"Ativo",$D31&lt;&gt;'Calc_Mix'!$C$8,'Calc_Mix'!$X$8=0,COUNTIFS(Esc_Turno,'Calc_Mix'!$C$8,Esc_Circ,$B31)+COUNTIFS(Esc_Turno,'Calc_Mix'!$C$8,Esc_Instr,$B31)&gt;0),"",IF(SUMPRODUCT('Calc_Mix'!$D$8:$W$8,'Matriz_Habilidades'!$D31:$W31)=0,"",SUMPRODUCT('Calc_Mix'!$D$8:$W$8,'Matriz_Habilidades'!$D31:$W31)/'Calc_Mix'!$X$8+ROW()*0.000001))</f>
        <v/>
      </c>
      <c r="L31" s="34">
        <f>IF(OR($B31="",$C31&lt;&gt;"Ativo",$D31&lt;&gt;'Calc_Mix'!$C$9,'Calc_Mix'!$X$9=0,COUNTIFS(Esc_Turno,'Calc_Mix'!$C$9,Esc_Circ,$B31)+COUNTIFS(Esc_Turno,'Calc_Mix'!$C$9,Esc_Instr,$B31)&gt;0),"",IF(SUMPRODUCT('Calc_Mix'!$D$9:$W$9,'Matriz_Habilidades'!$D31:$W31)=0,"",SUMPRODUCT('Calc_Mix'!$D$9:$W$9,'Matriz_Habilidades'!$D31:$W31)/'Calc_Mix'!$X$9+ROW()*0.000001))</f>
        <v/>
      </c>
      <c r="M31" s="34">
        <f>IF(OR($B31="",$C31&lt;&gt;"Ativo",$D31&lt;&gt;'Calc_Mix'!$C$10,'Calc_Mix'!$X$10=0,COUNTIFS(Esc_Turno,'Calc_Mix'!$C$10,Esc_Circ,$B31)+COUNTIFS(Esc_Turno,'Calc_Mix'!$C$10,Esc_Instr,$B31)&gt;0),"",IF(SUMPRODUCT('Calc_Mix'!$D$10:$W$10,'Matriz_Habilidades'!$D31:$W31)=0,"",SUMPRODUCT('Calc_Mix'!$D$10:$W$10,'Matriz_Habilidades'!$D31:$W31)/'Calc_Mix'!$X$10+ROW()*0.000001))</f>
        <v/>
      </c>
      <c r="N31" s="34">
        <f>IF(OR($B31="",$C31&lt;&gt;"Ativo",$D31&lt;&gt;'Calc_Mix'!$C$11,'Calc_Mix'!$X$11=0,COUNTIFS(Esc_Turno,'Calc_Mix'!$C$11,Esc_Circ,$B31)+COUNTIFS(Esc_Turno,'Calc_Mix'!$C$11,Esc_Instr,$B31)&gt;0),"",IF(SUMPRODUCT('Calc_Mix'!$D$11:$W$11,'Matriz_Habilidades'!$D31:$W31)=0,"",SUMPRODUCT('Calc_Mix'!$D$11:$W$11,'Matriz_Habilidades'!$D31:$W31)/'Calc_Mix'!$X$11+ROW()*0.000001))</f>
        <v/>
      </c>
      <c r="O31" s="34">
        <f>IF(OR($B31="",$C31&lt;&gt;"Ativo",$D31&lt;&gt;'Calc_Mix'!$C$12,'Calc_Mix'!$X$12=0,COUNTIFS(Esc_Turno,'Calc_Mix'!$C$12,Esc_Circ,$B31)+COUNTIFS(Esc_Turno,'Calc_Mix'!$C$12,Esc_Instr,$B31)&gt;0),"",IF(SUMPRODUCT('Calc_Mix'!$D$12:$W$12,'Matriz_Habilidades'!$D31:$W31)=0,"",SUMPRODUCT('Calc_Mix'!$D$12:$W$12,'Matriz_Habilidades'!$D31:$W31)/'Calc_Mix'!$X$12+ROW()*0.000001))</f>
        <v/>
      </c>
      <c r="P31" s="34">
        <f>IF(OR($B31="",$C31&lt;&gt;"Ativo",$D31&lt;&gt;'Calc_Mix'!$C$13,'Calc_Mix'!$X$13=0,COUNTIFS(Esc_Turno,'Calc_Mix'!$C$13,Esc_Circ,$B31)+COUNTIFS(Esc_Turno,'Calc_Mix'!$C$13,Esc_Instr,$B31)&gt;0),"",IF(SUMPRODUCT('Calc_Mix'!$D$13:$W$13,'Matriz_Habilidades'!$D31:$W31)=0,"",SUMPRODUCT('Calc_Mix'!$D$13:$W$13,'Matriz_Habilidades'!$D31:$W31)/'Calc_Mix'!$X$13+ROW()*0.000001))</f>
        <v/>
      </c>
      <c r="Q31" s="34">
        <f>IF(OR($B31="",$C31&lt;&gt;"Ativo",$D31&lt;&gt;'Calc_Mix'!$C$14,'Calc_Mix'!$X$14=0,COUNTIFS(Esc_Turno,'Calc_Mix'!$C$14,Esc_Circ,$B31)+COUNTIFS(Esc_Turno,'Calc_Mix'!$C$14,Esc_Instr,$B31)&gt;0),"",IF(SUMPRODUCT('Calc_Mix'!$D$14:$W$14,'Matriz_Habilidades'!$D31:$W31)=0,"",SUMPRODUCT('Calc_Mix'!$D$14:$W$14,'Matriz_Habilidades'!$D31:$W31)/'Calc_Mix'!$X$14+ROW()*0.000001))</f>
        <v/>
      </c>
      <c r="R31" s="34">
        <f>IF(OR($B31="",$C31&lt;&gt;"Ativo",$D31&lt;&gt;'Calc_Mix'!$C$15,'Calc_Mix'!$X$15=0,COUNTIFS(Esc_Turno,'Calc_Mix'!$C$15,Esc_Circ,$B31)+COUNTIFS(Esc_Turno,'Calc_Mix'!$C$15,Esc_Instr,$B31)&gt;0),"",IF(SUMPRODUCT('Calc_Mix'!$D$15:$W$15,'Matriz_Habilidades'!$D31:$W31)=0,"",SUMPRODUCT('Calc_Mix'!$D$15:$W$15,'Matriz_Habilidades'!$D31:$W31)/'Calc_Mix'!$X$15+ROW()*0.000001))</f>
        <v/>
      </c>
      <c r="S31" s="34">
        <f>IF(OR($B31="",$C31&lt;&gt;"Ativo",$D31&lt;&gt;'Calc_Mix'!$C$16,'Calc_Mix'!$X$16=0,COUNTIFS(Esc_Turno,'Calc_Mix'!$C$16,Esc_Circ,$B31)+COUNTIFS(Esc_Turno,'Calc_Mix'!$C$16,Esc_Instr,$B31)&gt;0),"",IF(SUMPRODUCT('Calc_Mix'!$D$16:$W$16,'Matriz_Habilidades'!$D31:$W31)=0,"",SUMPRODUCT('Calc_Mix'!$D$16:$W$16,'Matriz_Habilidades'!$D31:$W31)/'Calc_Mix'!$X$16+ROW()*0.000001))</f>
        <v/>
      </c>
      <c r="T31" s="34">
        <f>IF(OR($B31="",$C31&lt;&gt;"Ativo",$D31&lt;&gt;'Calc_Mix'!$C$17,'Calc_Mix'!$X$17=0,COUNTIFS(Esc_Turno,'Calc_Mix'!$C$17,Esc_Circ,$B31)+COUNTIFS(Esc_Turno,'Calc_Mix'!$C$17,Esc_Instr,$B31)&gt;0),"",IF(SUMPRODUCT('Calc_Mix'!$D$17:$W$17,'Matriz_Habilidades'!$D31:$W31)=0,"",SUMPRODUCT('Calc_Mix'!$D$17:$W$17,'Matriz_Habilidades'!$D31:$W31)/'Calc_Mix'!$X$17+ROW()*0.000001))</f>
        <v/>
      </c>
      <c r="U31" s="34">
        <f>IF(OR($B31="",$C31&lt;&gt;"Ativo",$D31&lt;&gt;'Calc_Mix'!$C$18,'Calc_Mix'!$X$18=0,COUNTIFS(Esc_Turno,'Calc_Mix'!$C$18,Esc_Circ,$B31)+COUNTIFS(Esc_Turno,'Calc_Mix'!$C$18,Esc_Instr,$B31)&gt;0),"",IF(SUMPRODUCT('Calc_Mix'!$D$18:$W$18,'Matriz_Habilidades'!$D31:$W31)=0,"",SUMPRODUCT('Calc_Mix'!$D$18:$W$18,'Matriz_Habilidades'!$D31:$W31)/'Calc_Mix'!$X$18+ROW()*0.000001))</f>
        <v/>
      </c>
      <c r="V31" s="34">
        <f>IF(OR($B31="",$C31&lt;&gt;"Ativo",$D31&lt;&gt;'Calc_Mix'!$C$19,'Calc_Mix'!$X$19=0,COUNTIFS(Esc_Turno,'Calc_Mix'!$C$19,Esc_Circ,$B31)+COUNTIFS(Esc_Turno,'Calc_Mix'!$C$19,Esc_Instr,$B31)&gt;0),"",IF(SUMPRODUCT('Calc_Mix'!$D$19:$W$19,'Matriz_Habilidades'!$D31:$W31)=0,"",SUMPRODUCT('Calc_Mix'!$D$19:$W$19,'Matriz_Habilidades'!$D31:$W31)/'Calc_Mix'!$X$19+ROW()*0.000001))</f>
        <v/>
      </c>
      <c r="W31" s="34">
        <f>IF(OR($B31="",$C31&lt;&gt;"Ativo",$D31&lt;&gt;'Calc_Mix'!$C$20,'Calc_Mix'!$X$20=0,COUNTIFS(Esc_Turno,'Calc_Mix'!$C$20,Esc_Circ,$B31)+COUNTIFS(Esc_Turno,'Calc_Mix'!$C$20,Esc_Instr,$B31)&gt;0),"",IF(SUMPRODUCT('Calc_Mix'!$D$20:$W$20,'Matriz_Habilidades'!$D31:$W31)=0,"",SUMPRODUCT('Calc_Mix'!$D$20:$W$20,'Matriz_Habilidades'!$D31:$W31)/'Calc_Mix'!$X$20+ROW()*0.000001))</f>
        <v/>
      </c>
      <c r="X31" s="34">
        <f>IF(OR($B31="",$C31&lt;&gt;"Ativo",$D31&lt;&gt;'Calc_Mix'!$C$21,'Calc_Mix'!$X$21=0,COUNTIFS(Esc_Turno,'Calc_Mix'!$C$21,Esc_Circ,$B31)+COUNTIFS(Esc_Turno,'Calc_Mix'!$C$21,Esc_Instr,$B31)&gt;0),"",IF(SUMPRODUCT('Calc_Mix'!$D$21:$W$21,'Matriz_Habilidades'!$D31:$W31)=0,"",SUMPRODUCT('Calc_Mix'!$D$21:$W$21,'Matriz_Habilidades'!$D31:$W31)/'Calc_Mix'!$X$21+ROW()*0.000001))</f>
        <v/>
      </c>
      <c r="Y31" s="34">
        <f>IF(OR($B31="",$C31&lt;&gt;"Ativo",$D31&lt;&gt;'Calc_Mix'!$C$22,'Calc_Mix'!$X$22=0,COUNTIFS(Esc_Turno,'Calc_Mix'!$C$22,Esc_Circ,$B31)+COUNTIFS(Esc_Turno,'Calc_Mix'!$C$22,Esc_Instr,$B31)&gt;0),"",IF(SUMPRODUCT('Calc_Mix'!$D$22:$W$22,'Matriz_Habilidades'!$D31:$W31)=0,"",SUMPRODUCT('Calc_Mix'!$D$22:$W$22,'Matriz_Habilidades'!$D31:$W31)/'Calc_Mix'!$X$22+ROW()*0.000001))</f>
        <v/>
      </c>
      <c r="Z31" s="34">
        <f>IF(OR($B31="",$C31&lt;&gt;"Ativo",$D31&lt;&gt;'Calc_Mix'!$C$23,'Calc_Mix'!$X$23=0,COUNTIFS(Esc_Turno,'Calc_Mix'!$C$23,Esc_Circ,$B31)+COUNTIFS(Esc_Turno,'Calc_Mix'!$C$23,Esc_Instr,$B31)&gt;0),"",IF(SUMPRODUCT('Calc_Mix'!$D$23:$W$23,'Matriz_Habilidades'!$D31:$W31)=0,"",SUMPRODUCT('Calc_Mix'!$D$23:$W$23,'Matriz_Habilidades'!$D31:$W31)/'Calc_Mix'!$X$23+ROW()*0.000001))</f>
        <v/>
      </c>
      <c r="AA31" s="34">
        <f>IF(OR($B31="",$C31&lt;&gt;"Ativo",$D31&lt;&gt;'Calc_Mix'!$C$24,'Calc_Mix'!$X$24=0,COUNTIFS(Esc_Turno,'Calc_Mix'!$C$24,Esc_Circ,$B31)+COUNTIFS(Esc_Turno,'Calc_Mix'!$C$24,Esc_Instr,$B31)&gt;0),"",IF(SUMPRODUCT('Calc_Mix'!$D$24:$W$24,'Matriz_Habilidades'!$D31:$W31)=0,"",SUMPRODUCT('Calc_Mix'!$D$24:$W$24,'Matriz_Habilidades'!$D31:$W31)/'Calc_Mix'!$X$24+ROW()*0.000001))</f>
        <v/>
      </c>
      <c r="AB31" s="34">
        <f>IF(OR($B31="",$C31&lt;&gt;"Ativo",$D31&lt;&gt;'Calc_Mix'!$C$25,'Calc_Mix'!$X$25=0,COUNTIFS(Esc_Turno,'Calc_Mix'!$C$25,Esc_Circ,$B31)+COUNTIFS(Esc_Turno,'Calc_Mix'!$C$25,Esc_Instr,$B31)&gt;0),"",IF(SUMPRODUCT('Calc_Mix'!$D$25:$W$25,'Matriz_Habilidades'!$D31:$W31)=0,"",SUMPRODUCT('Calc_Mix'!$D$25:$W$25,'Matriz_Habilidades'!$D31:$W31)/'Calc_Mix'!$X$25+ROW()*0.000001))</f>
        <v/>
      </c>
      <c r="AC31" s="34">
        <f>IF(OR($B31="",$C31&lt;&gt;"Ativo",$D31&lt;&gt;'Calc_Mix'!$C$26,'Calc_Mix'!$X$26=0,COUNTIFS(Esc_Turno,'Calc_Mix'!$C$26,Esc_Circ,$B31)+COUNTIFS(Esc_Turno,'Calc_Mix'!$C$26,Esc_Instr,$B31)&gt;0),"",IF(SUMPRODUCT('Calc_Mix'!$D$26:$W$26,'Matriz_Habilidades'!$D31:$W31)=0,"",SUMPRODUCT('Calc_Mix'!$D$26:$W$26,'Matriz_Habilidades'!$D31:$W31)/'Calc_Mix'!$X$26+ROW()*0.000001))</f>
        <v/>
      </c>
      <c r="AD31" s="34">
        <f>IF(OR($B31="",$C31&lt;&gt;"Ativo",$D31&lt;&gt;'Calc_Mix'!$C$27,'Calc_Mix'!$X$27=0,COUNTIFS(Esc_Turno,'Calc_Mix'!$C$27,Esc_Circ,$B31)+COUNTIFS(Esc_Turno,'Calc_Mix'!$C$27,Esc_Instr,$B31)&gt;0),"",IF(SUMPRODUCT('Calc_Mix'!$D$27:$W$27,'Matriz_Habilidades'!$D31:$W31)=0,"",SUMPRODUCT('Calc_Mix'!$D$27:$W$27,'Matriz_Habilidades'!$D31:$W31)/'Calc_Mix'!$X$27+ROW()*0.000001))</f>
        <v/>
      </c>
      <c r="AE31" s="34">
        <f>IF(OR($B31="",$C31&lt;&gt;"Ativo",$D31&lt;&gt;'Calc_Mix'!$C$28,'Calc_Mix'!$X$28=0,COUNTIFS(Esc_Turno,'Calc_Mix'!$C$28,Esc_Circ,$B31)+COUNTIFS(Esc_Turno,'Calc_Mix'!$C$28,Esc_Instr,$B31)&gt;0),"",IF(SUMPRODUCT('Calc_Mix'!$D$28:$W$28,'Matriz_Habilidades'!$D31:$W31)=0,"",SUMPRODUCT('Calc_Mix'!$D$28:$W$28,'Matriz_Habilidades'!$D31:$W31)/'Calc_Mix'!$X$28+ROW()*0.000001))</f>
        <v/>
      </c>
      <c r="AF31" s="34">
        <f>IF(OR($B31="",$C31&lt;&gt;"Ativo",$D31&lt;&gt;'Calc_Mix'!$C$29,'Calc_Mix'!$X$29=0,COUNTIFS(Esc_Turno,'Calc_Mix'!$C$29,Esc_Circ,$B31)+COUNTIFS(Esc_Turno,'Calc_Mix'!$C$29,Esc_Instr,$B31)&gt;0),"",IF(SUMPRODUCT('Calc_Mix'!$D$29:$W$29,'Matriz_Habilidades'!$D31:$W31)=0,"",SUMPRODUCT('Calc_Mix'!$D$29:$W$29,'Matriz_Habilidades'!$D31:$W31)/'Calc_Mix'!$X$29+ROW()*0.000001))</f>
        <v/>
      </c>
      <c r="AG31" s="34">
        <f>IF(OR($B31="",$C31&lt;&gt;"Ativo",$D31&lt;&gt;'Calc_Mix'!$C$30,'Calc_Mix'!$X$30=0,COUNTIFS(Esc_Turno,'Calc_Mix'!$C$30,Esc_Circ,$B31)+COUNTIFS(Esc_Turno,'Calc_Mix'!$C$30,Esc_Instr,$B31)&gt;0),"",IF(SUMPRODUCT('Calc_Mix'!$D$30:$W$30,'Matriz_Habilidades'!$D31:$W31)=0,"",SUMPRODUCT('Calc_Mix'!$D$30:$W$30,'Matriz_Habilidades'!$D31:$W31)/'Calc_Mix'!$X$30+ROW()*0.000001))</f>
        <v/>
      </c>
      <c r="AH31" s="34">
        <f>IF(OR($B31="",$C31&lt;&gt;"Ativo",$D31&lt;&gt;'Calc_Mix'!$C$31,'Calc_Mix'!$X$31=0,COUNTIFS(Esc_Turno,'Calc_Mix'!$C$31,Esc_Circ,$B31)+COUNTIFS(Esc_Turno,'Calc_Mix'!$C$31,Esc_Instr,$B31)&gt;0),"",IF(SUMPRODUCT('Calc_Mix'!$D$31:$W$31,'Matriz_Habilidades'!$D31:$W31)=0,"",SUMPRODUCT('Calc_Mix'!$D$31:$W$31,'Matriz_Habilidades'!$D31:$W31)/'Calc_Mix'!$X$31+ROW()*0.000001))</f>
        <v/>
      </c>
      <c r="AI31" s="34">
        <f>IF(OR($B31="",$C31&lt;&gt;"Ativo",$D31&lt;&gt;'Calc_Mix'!$C$32,'Calc_Mix'!$X$32=0,COUNTIFS(Esc_Turno,'Calc_Mix'!$C$32,Esc_Circ,$B31)+COUNTIFS(Esc_Turno,'Calc_Mix'!$C$32,Esc_Instr,$B31)&gt;0),"",IF(SUMPRODUCT('Calc_Mix'!$D$32:$W$32,'Matriz_Habilidades'!$D31:$W31)=0,"",SUMPRODUCT('Calc_Mix'!$D$32:$W$32,'Matriz_Habilidades'!$D31:$W31)/'Calc_Mix'!$X$32+ROW()*0.000001))</f>
        <v/>
      </c>
      <c r="AJ31" s="34">
        <f>IF(OR($B31="",$C31&lt;&gt;"Ativo",$D31&lt;&gt;'Calc_Mix'!$C$33,'Calc_Mix'!$X$33=0,COUNTIFS(Esc_Turno,'Calc_Mix'!$C$33,Esc_Circ,$B31)+COUNTIFS(Esc_Turno,'Calc_Mix'!$C$33,Esc_Instr,$B31)&gt;0),"",IF(SUMPRODUCT('Calc_Mix'!$D$33:$W$33,'Matriz_Habilidades'!$D31:$W31)=0,"",SUMPRODUCT('Calc_Mix'!$D$33:$W$33,'Matriz_Habilidades'!$D31:$W31)/'Calc_Mix'!$X$33+ROW()*0.000001))</f>
        <v/>
      </c>
      <c r="AK31" s="34">
        <f>IF(OR($B31="",$C31&lt;&gt;"Ativo",$D31&lt;&gt;'Calc_Mix'!$C$34,'Calc_Mix'!$X$34=0,COUNTIFS(Esc_Turno,'Calc_Mix'!$C$34,Esc_Circ,$B31)+COUNTIFS(Esc_Turno,'Calc_Mix'!$C$34,Esc_Instr,$B31)&gt;0),"",IF(SUMPRODUCT('Calc_Mix'!$D$34:$W$34,'Matriz_Habilidades'!$D31:$W31)=0,"",SUMPRODUCT('Calc_Mix'!$D$34:$W$34,'Matriz_Habilidades'!$D31:$W31)/'Calc_Mix'!$X$34+ROW()*0.000001))</f>
        <v/>
      </c>
      <c r="AL31" s="34">
        <f>IF(OR($B31="",$C31&lt;&gt;"Ativo",$D31&lt;&gt;'Calc_Mix'!$C$35,'Calc_Mix'!$X$35=0,COUNTIFS(Esc_Turno,'Calc_Mix'!$C$35,Esc_Circ,$B31)+COUNTIFS(Esc_Turno,'Calc_Mix'!$C$35,Esc_Instr,$B31)&gt;0),"",IF(SUMPRODUCT('Calc_Mix'!$D$35:$W$35,'Matriz_Habilidades'!$D31:$W31)=0,"",SUMPRODUCT('Calc_Mix'!$D$35:$W$35,'Matriz_Habilidades'!$D31:$W31)/'Calc_Mix'!$X$35+ROW()*0.000001))</f>
        <v/>
      </c>
      <c r="AM31" s="34">
        <f>IF(OR($B31="",$C31&lt;&gt;"Ativo",$D31&lt;&gt;'Calc_Mix'!$C$36,'Calc_Mix'!$X$36=0,COUNTIFS(Esc_Turno,'Calc_Mix'!$C$36,Esc_Circ,$B31)+COUNTIFS(Esc_Turno,'Calc_Mix'!$C$36,Esc_Instr,$B31)&gt;0),"",IF(SUMPRODUCT('Calc_Mix'!$D$36:$W$36,'Matriz_Habilidades'!$D31:$W31)=0,"",SUMPRODUCT('Calc_Mix'!$D$36:$W$36,'Matriz_Habilidades'!$D31:$W31)/'Calc_Mix'!$X$36+ROW()*0.000001))</f>
        <v/>
      </c>
      <c r="AN31" s="34">
        <f>IF(OR($B31="",$C31&lt;&gt;"Ativo",$D31&lt;&gt;'Calc_Mix'!$C$37,'Calc_Mix'!$X$37=0,COUNTIFS(Esc_Turno,'Calc_Mix'!$C$37,Esc_Circ,$B31)+COUNTIFS(Esc_Turno,'Calc_Mix'!$C$37,Esc_Instr,$B31)&gt;0),"",IF(SUMPRODUCT('Calc_Mix'!$D$37:$W$37,'Matriz_Habilidades'!$D31:$W31)=0,"",SUMPRODUCT('Calc_Mix'!$D$37:$W$37,'Matriz_Habilidades'!$D31:$W31)/'Calc_Mix'!$X$37+ROW()*0.000001))</f>
        <v/>
      </c>
    </row>
    <row r="32">
      <c r="A32" s="27">
        <f>IF('Matriz_Habilidades'!A32="","",'Matriz_Habilidades'!A32)</f>
        <v/>
      </c>
      <c r="B32" s="28">
        <f>IF('Matriz_Habilidades'!B32="","",'Matriz_Habilidades'!B32)</f>
        <v/>
      </c>
      <c r="C32" s="27">
        <f>IF($A32="","",IFERROR(INDEX(Equipe_Status,MATCH($B32,Equipe_Nome,0)),"?"))</f>
        <v/>
      </c>
      <c r="D32" s="27">
        <f>IF($A32="","",IFERROR(INDEX(Equipe_Turno,MATCH($B32,Equipe_Nome,0)),"?"))</f>
        <v/>
      </c>
      <c r="E32" s="34">
        <f>IF(OR($B32="",$C32&lt;&gt;"Ativo",$D32&lt;&gt;'Calc_Mix'!$C$2,'Calc_Mix'!$X$2=0,COUNTIFS(Esc_Turno,'Calc_Mix'!$C$2,Esc_Circ,$B32)+COUNTIFS(Esc_Turno,'Calc_Mix'!$C$2,Esc_Instr,$B32)&gt;0),"",IF(SUMPRODUCT('Calc_Mix'!$D$2:$W$2,'Matriz_Habilidades'!$D32:$W32)=0,"",SUMPRODUCT('Calc_Mix'!$D$2:$W$2,'Matriz_Habilidades'!$D32:$W32)/'Calc_Mix'!$X$2+ROW()*0.000001))</f>
        <v/>
      </c>
      <c r="F32" s="34">
        <f>IF(OR($B32="",$C32&lt;&gt;"Ativo",$D32&lt;&gt;'Calc_Mix'!$C$3,'Calc_Mix'!$X$3=0,COUNTIFS(Esc_Turno,'Calc_Mix'!$C$3,Esc_Circ,$B32)+COUNTIFS(Esc_Turno,'Calc_Mix'!$C$3,Esc_Instr,$B32)&gt;0),"",IF(SUMPRODUCT('Calc_Mix'!$D$3:$W$3,'Matriz_Habilidades'!$D32:$W32)=0,"",SUMPRODUCT('Calc_Mix'!$D$3:$W$3,'Matriz_Habilidades'!$D32:$W32)/'Calc_Mix'!$X$3+ROW()*0.000001))</f>
        <v/>
      </c>
      <c r="G32" s="34">
        <f>IF(OR($B32="",$C32&lt;&gt;"Ativo",$D32&lt;&gt;'Calc_Mix'!$C$4,'Calc_Mix'!$X$4=0,COUNTIFS(Esc_Turno,'Calc_Mix'!$C$4,Esc_Circ,$B32)+COUNTIFS(Esc_Turno,'Calc_Mix'!$C$4,Esc_Instr,$B32)&gt;0),"",IF(SUMPRODUCT('Calc_Mix'!$D$4:$W$4,'Matriz_Habilidades'!$D32:$W32)=0,"",SUMPRODUCT('Calc_Mix'!$D$4:$W$4,'Matriz_Habilidades'!$D32:$W32)/'Calc_Mix'!$X$4+ROW()*0.000001))</f>
        <v/>
      </c>
      <c r="H32" s="34">
        <f>IF(OR($B32="",$C32&lt;&gt;"Ativo",$D32&lt;&gt;'Calc_Mix'!$C$5,'Calc_Mix'!$X$5=0,COUNTIFS(Esc_Turno,'Calc_Mix'!$C$5,Esc_Circ,$B32)+COUNTIFS(Esc_Turno,'Calc_Mix'!$C$5,Esc_Instr,$B32)&gt;0),"",IF(SUMPRODUCT('Calc_Mix'!$D$5:$W$5,'Matriz_Habilidades'!$D32:$W32)=0,"",SUMPRODUCT('Calc_Mix'!$D$5:$W$5,'Matriz_Habilidades'!$D32:$W32)/'Calc_Mix'!$X$5+ROW()*0.000001))</f>
        <v/>
      </c>
      <c r="I32" s="34">
        <f>IF(OR($B32="",$C32&lt;&gt;"Ativo",$D32&lt;&gt;'Calc_Mix'!$C$6,'Calc_Mix'!$X$6=0,COUNTIFS(Esc_Turno,'Calc_Mix'!$C$6,Esc_Circ,$B32)+COUNTIFS(Esc_Turno,'Calc_Mix'!$C$6,Esc_Instr,$B32)&gt;0),"",IF(SUMPRODUCT('Calc_Mix'!$D$6:$W$6,'Matriz_Habilidades'!$D32:$W32)=0,"",SUMPRODUCT('Calc_Mix'!$D$6:$W$6,'Matriz_Habilidades'!$D32:$W32)/'Calc_Mix'!$X$6+ROW()*0.000001))</f>
        <v/>
      </c>
      <c r="J32" s="34">
        <f>IF(OR($B32="",$C32&lt;&gt;"Ativo",$D32&lt;&gt;'Calc_Mix'!$C$7,'Calc_Mix'!$X$7=0,COUNTIFS(Esc_Turno,'Calc_Mix'!$C$7,Esc_Circ,$B32)+COUNTIFS(Esc_Turno,'Calc_Mix'!$C$7,Esc_Instr,$B32)&gt;0),"",IF(SUMPRODUCT('Calc_Mix'!$D$7:$W$7,'Matriz_Habilidades'!$D32:$W32)=0,"",SUMPRODUCT('Calc_Mix'!$D$7:$W$7,'Matriz_Habilidades'!$D32:$W32)/'Calc_Mix'!$X$7+ROW()*0.000001))</f>
        <v/>
      </c>
      <c r="K32" s="34">
        <f>IF(OR($B32="",$C32&lt;&gt;"Ativo",$D32&lt;&gt;'Calc_Mix'!$C$8,'Calc_Mix'!$X$8=0,COUNTIFS(Esc_Turno,'Calc_Mix'!$C$8,Esc_Circ,$B32)+COUNTIFS(Esc_Turno,'Calc_Mix'!$C$8,Esc_Instr,$B32)&gt;0),"",IF(SUMPRODUCT('Calc_Mix'!$D$8:$W$8,'Matriz_Habilidades'!$D32:$W32)=0,"",SUMPRODUCT('Calc_Mix'!$D$8:$W$8,'Matriz_Habilidades'!$D32:$W32)/'Calc_Mix'!$X$8+ROW()*0.000001))</f>
        <v/>
      </c>
      <c r="L32" s="34">
        <f>IF(OR($B32="",$C32&lt;&gt;"Ativo",$D32&lt;&gt;'Calc_Mix'!$C$9,'Calc_Mix'!$X$9=0,COUNTIFS(Esc_Turno,'Calc_Mix'!$C$9,Esc_Circ,$B32)+COUNTIFS(Esc_Turno,'Calc_Mix'!$C$9,Esc_Instr,$B32)&gt;0),"",IF(SUMPRODUCT('Calc_Mix'!$D$9:$W$9,'Matriz_Habilidades'!$D32:$W32)=0,"",SUMPRODUCT('Calc_Mix'!$D$9:$W$9,'Matriz_Habilidades'!$D32:$W32)/'Calc_Mix'!$X$9+ROW()*0.000001))</f>
        <v/>
      </c>
      <c r="M32" s="34">
        <f>IF(OR($B32="",$C32&lt;&gt;"Ativo",$D32&lt;&gt;'Calc_Mix'!$C$10,'Calc_Mix'!$X$10=0,COUNTIFS(Esc_Turno,'Calc_Mix'!$C$10,Esc_Circ,$B32)+COUNTIFS(Esc_Turno,'Calc_Mix'!$C$10,Esc_Instr,$B32)&gt;0),"",IF(SUMPRODUCT('Calc_Mix'!$D$10:$W$10,'Matriz_Habilidades'!$D32:$W32)=0,"",SUMPRODUCT('Calc_Mix'!$D$10:$W$10,'Matriz_Habilidades'!$D32:$W32)/'Calc_Mix'!$X$10+ROW()*0.000001))</f>
        <v/>
      </c>
      <c r="N32" s="34">
        <f>IF(OR($B32="",$C32&lt;&gt;"Ativo",$D32&lt;&gt;'Calc_Mix'!$C$11,'Calc_Mix'!$X$11=0,COUNTIFS(Esc_Turno,'Calc_Mix'!$C$11,Esc_Circ,$B32)+COUNTIFS(Esc_Turno,'Calc_Mix'!$C$11,Esc_Instr,$B32)&gt;0),"",IF(SUMPRODUCT('Calc_Mix'!$D$11:$W$11,'Matriz_Habilidades'!$D32:$W32)=0,"",SUMPRODUCT('Calc_Mix'!$D$11:$W$11,'Matriz_Habilidades'!$D32:$W32)/'Calc_Mix'!$X$11+ROW()*0.000001))</f>
        <v/>
      </c>
      <c r="O32" s="34">
        <f>IF(OR($B32="",$C32&lt;&gt;"Ativo",$D32&lt;&gt;'Calc_Mix'!$C$12,'Calc_Mix'!$X$12=0,COUNTIFS(Esc_Turno,'Calc_Mix'!$C$12,Esc_Circ,$B32)+COUNTIFS(Esc_Turno,'Calc_Mix'!$C$12,Esc_Instr,$B32)&gt;0),"",IF(SUMPRODUCT('Calc_Mix'!$D$12:$W$12,'Matriz_Habilidades'!$D32:$W32)=0,"",SUMPRODUCT('Calc_Mix'!$D$12:$W$12,'Matriz_Habilidades'!$D32:$W32)/'Calc_Mix'!$X$12+ROW()*0.000001))</f>
        <v/>
      </c>
      <c r="P32" s="34">
        <f>IF(OR($B32="",$C32&lt;&gt;"Ativo",$D32&lt;&gt;'Calc_Mix'!$C$13,'Calc_Mix'!$X$13=0,COUNTIFS(Esc_Turno,'Calc_Mix'!$C$13,Esc_Circ,$B32)+COUNTIFS(Esc_Turno,'Calc_Mix'!$C$13,Esc_Instr,$B32)&gt;0),"",IF(SUMPRODUCT('Calc_Mix'!$D$13:$W$13,'Matriz_Habilidades'!$D32:$W32)=0,"",SUMPRODUCT('Calc_Mix'!$D$13:$W$13,'Matriz_Habilidades'!$D32:$W32)/'Calc_Mix'!$X$13+ROW()*0.000001))</f>
        <v/>
      </c>
      <c r="Q32" s="34">
        <f>IF(OR($B32="",$C32&lt;&gt;"Ativo",$D32&lt;&gt;'Calc_Mix'!$C$14,'Calc_Mix'!$X$14=0,COUNTIFS(Esc_Turno,'Calc_Mix'!$C$14,Esc_Circ,$B32)+COUNTIFS(Esc_Turno,'Calc_Mix'!$C$14,Esc_Instr,$B32)&gt;0),"",IF(SUMPRODUCT('Calc_Mix'!$D$14:$W$14,'Matriz_Habilidades'!$D32:$W32)=0,"",SUMPRODUCT('Calc_Mix'!$D$14:$W$14,'Matriz_Habilidades'!$D32:$W32)/'Calc_Mix'!$X$14+ROW()*0.000001))</f>
        <v/>
      </c>
      <c r="R32" s="34">
        <f>IF(OR($B32="",$C32&lt;&gt;"Ativo",$D32&lt;&gt;'Calc_Mix'!$C$15,'Calc_Mix'!$X$15=0,COUNTIFS(Esc_Turno,'Calc_Mix'!$C$15,Esc_Circ,$B32)+COUNTIFS(Esc_Turno,'Calc_Mix'!$C$15,Esc_Instr,$B32)&gt;0),"",IF(SUMPRODUCT('Calc_Mix'!$D$15:$W$15,'Matriz_Habilidades'!$D32:$W32)=0,"",SUMPRODUCT('Calc_Mix'!$D$15:$W$15,'Matriz_Habilidades'!$D32:$W32)/'Calc_Mix'!$X$15+ROW()*0.000001))</f>
        <v/>
      </c>
      <c r="S32" s="34">
        <f>IF(OR($B32="",$C32&lt;&gt;"Ativo",$D32&lt;&gt;'Calc_Mix'!$C$16,'Calc_Mix'!$X$16=0,COUNTIFS(Esc_Turno,'Calc_Mix'!$C$16,Esc_Circ,$B32)+COUNTIFS(Esc_Turno,'Calc_Mix'!$C$16,Esc_Instr,$B32)&gt;0),"",IF(SUMPRODUCT('Calc_Mix'!$D$16:$W$16,'Matriz_Habilidades'!$D32:$W32)=0,"",SUMPRODUCT('Calc_Mix'!$D$16:$W$16,'Matriz_Habilidades'!$D32:$W32)/'Calc_Mix'!$X$16+ROW()*0.000001))</f>
        <v/>
      </c>
      <c r="T32" s="34">
        <f>IF(OR($B32="",$C32&lt;&gt;"Ativo",$D32&lt;&gt;'Calc_Mix'!$C$17,'Calc_Mix'!$X$17=0,COUNTIFS(Esc_Turno,'Calc_Mix'!$C$17,Esc_Circ,$B32)+COUNTIFS(Esc_Turno,'Calc_Mix'!$C$17,Esc_Instr,$B32)&gt;0),"",IF(SUMPRODUCT('Calc_Mix'!$D$17:$W$17,'Matriz_Habilidades'!$D32:$W32)=0,"",SUMPRODUCT('Calc_Mix'!$D$17:$W$17,'Matriz_Habilidades'!$D32:$W32)/'Calc_Mix'!$X$17+ROW()*0.000001))</f>
        <v/>
      </c>
      <c r="U32" s="34">
        <f>IF(OR($B32="",$C32&lt;&gt;"Ativo",$D32&lt;&gt;'Calc_Mix'!$C$18,'Calc_Mix'!$X$18=0,COUNTIFS(Esc_Turno,'Calc_Mix'!$C$18,Esc_Circ,$B32)+COUNTIFS(Esc_Turno,'Calc_Mix'!$C$18,Esc_Instr,$B32)&gt;0),"",IF(SUMPRODUCT('Calc_Mix'!$D$18:$W$18,'Matriz_Habilidades'!$D32:$W32)=0,"",SUMPRODUCT('Calc_Mix'!$D$18:$W$18,'Matriz_Habilidades'!$D32:$W32)/'Calc_Mix'!$X$18+ROW()*0.000001))</f>
        <v/>
      </c>
      <c r="V32" s="34">
        <f>IF(OR($B32="",$C32&lt;&gt;"Ativo",$D32&lt;&gt;'Calc_Mix'!$C$19,'Calc_Mix'!$X$19=0,COUNTIFS(Esc_Turno,'Calc_Mix'!$C$19,Esc_Circ,$B32)+COUNTIFS(Esc_Turno,'Calc_Mix'!$C$19,Esc_Instr,$B32)&gt;0),"",IF(SUMPRODUCT('Calc_Mix'!$D$19:$W$19,'Matriz_Habilidades'!$D32:$W32)=0,"",SUMPRODUCT('Calc_Mix'!$D$19:$W$19,'Matriz_Habilidades'!$D32:$W32)/'Calc_Mix'!$X$19+ROW()*0.000001))</f>
        <v/>
      </c>
      <c r="W32" s="34">
        <f>IF(OR($B32="",$C32&lt;&gt;"Ativo",$D32&lt;&gt;'Calc_Mix'!$C$20,'Calc_Mix'!$X$20=0,COUNTIFS(Esc_Turno,'Calc_Mix'!$C$20,Esc_Circ,$B32)+COUNTIFS(Esc_Turno,'Calc_Mix'!$C$20,Esc_Instr,$B32)&gt;0),"",IF(SUMPRODUCT('Calc_Mix'!$D$20:$W$20,'Matriz_Habilidades'!$D32:$W32)=0,"",SUMPRODUCT('Calc_Mix'!$D$20:$W$20,'Matriz_Habilidades'!$D32:$W32)/'Calc_Mix'!$X$20+ROW()*0.000001))</f>
        <v/>
      </c>
      <c r="X32" s="34">
        <f>IF(OR($B32="",$C32&lt;&gt;"Ativo",$D32&lt;&gt;'Calc_Mix'!$C$21,'Calc_Mix'!$X$21=0,COUNTIFS(Esc_Turno,'Calc_Mix'!$C$21,Esc_Circ,$B32)+COUNTIFS(Esc_Turno,'Calc_Mix'!$C$21,Esc_Instr,$B32)&gt;0),"",IF(SUMPRODUCT('Calc_Mix'!$D$21:$W$21,'Matriz_Habilidades'!$D32:$W32)=0,"",SUMPRODUCT('Calc_Mix'!$D$21:$W$21,'Matriz_Habilidades'!$D32:$W32)/'Calc_Mix'!$X$21+ROW()*0.000001))</f>
        <v/>
      </c>
      <c r="Y32" s="34">
        <f>IF(OR($B32="",$C32&lt;&gt;"Ativo",$D32&lt;&gt;'Calc_Mix'!$C$22,'Calc_Mix'!$X$22=0,COUNTIFS(Esc_Turno,'Calc_Mix'!$C$22,Esc_Circ,$B32)+COUNTIFS(Esc_Turno,'Calc_Mix'!$C$22,Esc_Instr,$B32)&gt;0),"",IF(SUMPRODUCT('Calc_Mix'!$D$22:$W$22,'Matriz_Habilidades'!$D32:$W32)=0,"",SUMPRODUCT('Calc_Mix'!$D$22:$W$22,'Matriz_Habilidades'!$D32:$W32)/'Calc_Mix'!$X$22+ROW()*0.000001))</f>
        <v/>
      </c>
      <c r="Z32" s="34">
        <f>IF(OR($B32="",$C32&lt;&gt;"Ativo",$D32&lt;&gt;'Calc_Mix'!$C$23,'Calc_Mix'!$X$23=0,COUNTIFS(Esc_Turno,'Calc_Mix'!$C$23,Esc_Circ,$B32)+COUNTIFS(Esc_Turno,'Calc_Mix'!$C$23,Esc_Instr,$B32)&gt;0),"",IF(SUMPRODUCT('Calc_Mix'!$D$23:$W$23,'Matriz_Habilidades'!$D32:$W32)=0,"",SUMPRODUCT('Calc_Mix'!$D$23:$W$23,'Matriz_Habilidades'!$D32:$W32)/'Calc_Mix'!$X$23+ROW()*0.000001))</f>
        <v/>
      </c>
      <c r="AA32" s="34">
        <f>IF(OR($B32="",$C32&lt;&gt;"Ativo",$D32&lt;&gt;'Calc_Mix'!$C$24,'Calc_Mix'!$X$24=0,COUNTIFS(Esc_Turno,'Calc_Mix'!$C$24,Esc_Circ,$B32)+COUNTIFS(Esc_Turno,'Calc_Mix'!$C$24,Esc_Instr,$B32)&gt;0),"",IF(SUMPRODUCT('Calc_Mix'!$D$24:$W$24,'Matriz_Habilidades'!$D32:$W32)=0,"",SUMPRODUCT('Calc_Mix'!$D$24:$W$24,'Matriz_Habilidades'!$D32:$W32)/'Calc_Mix'!$X$24+ROW()*0.000001))</f>
        <v/>
      </c>
      <c r="AB32" s="34">
        <f>IF(OR($B32="",$C32&lt;&gt;"Ativo",$D32&lt;&gt;'Calc_Mix'!$C$25,'Calc_Mix'!$X$25=0,COUNTIFS(Esc_Turno,'Calc_Mix'!$C$25,Esc_Circ,$B32)+COUNTIFS(Esc_Turno,'Calc_Mix'!$C$25,Esc_Instr,$B32)&gt;0),"",IF(SUMPRODUCT('Calc_Mix'!$D$25:$W$25,'Matriz_Habilidades'!$D32:$W32)=0,"",SUMPRODUCT('Calc_Mix'!$D$25:$W$25,'Matriz_Habilidades'!$D32:$W32)/'Calc_Mix'!$X$25+ROW()*0.000001))</f>
        <v/>
      </c>
      <c r="AC32" s="34">
        <f>IF(OR($B32="",$C32&lt;&gt;"Ativo",$D32&lt;&gt;'Calc_Mix'!$C$26,'Calc_Mix'!$X$26=0,COUNTIFS(Esc_Turno,'Calc_Mix'!$C$26,Esc_Circ,$B32)+COUNTIFS(Esc_Turno,'Calc_Mix'!$C$26,Esc_Instr,$B32)&gt;0),"",IF(SUMPRODUCT('Calc_Mix'!$D$26:$W$26,'Matriz_Habilidades'!$D32:$W32)=0,"",SUMPRODUCT('Calc_Mix'!$D$26:$W$26,'Matriz_Habilidades'!$D32:$W32)/'Calc_Mix'!$X$26+ROW()*0.000001))</f>
        <v/>
      </c>
      <c r="AD32" s="34">
        <f>IF(OR($B32="",$C32&lt;&gt;"Ativo",$D32&lt;&gt;'Calc_Mix'!$C$27,'Calc_Mix'!$X$27=0,COUNTIFS(Esc_Turno,'Calc_Mix'!$C$27,Esc_Circ,$B32)+COUNTIFS(Esc_Turno,'Calc_Mix'!$C$27,Esc_Instr,$B32)&gt;0),"",IF(SUMPRODUCT('Calc_Mix'!$D$27:$W$27,'Matriz_Habilidades'!$D32:$W32)=0,"",SUMPRODUCT('Calc_Mix'!$D$27:$W$27,'Matriz_Habilidades'!$D32:$W32)/'Calc_Mix'!$X$27+ROW()*0.000001))</f>
        <v/>
      </c>
      <c r="AE32" s="34">
        <f>IF(OR($B32="",$C32&lt;&gt;"Ativo",$D32&lt;&gt;'Calc_Mix'!$C$28,'Calc_Mix'!$X$28=0,COUNTIFS(Esc_Turno,'Calc_Mix'!$C$28,Esc_Circ,$B32)+COUNTIFS(Esc_Turno,'Calc_Mix'!$C$28,Esc_Instr,$B32)&gt;0),"",IF(SUMPRODUCT('Calc_Mix'!$D$28:$W$28,'Matriz_Habilidades'!$D32:$W32)=0,"",SUMPRODUCT('Calc_Mix'!$D$28:$W$28,'Matriz_Habilidades'!$D32:$W32)/'Calc_Mix'!$X$28+ROW()*0.000001))</f>
        <v/>
      </c>
      <c r="AF32" s="34">
        <f>IF(OR($B32="",$C32&lt;&gt;"Ativo",$D32&lt;&gt;'Calc_Mix'!$C$29,'Calc_Mix'!$X$29=0,COUNTIFS(Esc_Turno,'Calc_Mix'!$C$29,Esc_Circ,$B32)+COUNTIFS(Esc_Turno,'Calc_Mix'!$C$29,Esc_Instr,$B32)&gt;0),"",IF(SUMPRODUCT('Calc_Mix'!$D$29:$W$29,'Matriz_Habilidades'!$D32:$W32)=0,"",SUMPRODUCT('Calc_Mix'!$D$29:$W$29,'Matriz_Habilidades'!$D32:$W32)/'Calc_Mix'!$X$29+ROW()*0.000001))</f>
        <v/>
      </c>
      <c r="AG32" s="34">
        <f>IF(OR($B32="",$C32&lt;&gt;"Ativo",$D32&lt;&gt;'Calc_Mix'!$C$30,'Calc_Mix'!$X$30=0,COUNTIFS(Esc_Turno,'Calc_Mix'!$C$30,Esc_Circ,$B32)+COUNTIFS(Esc_Turno,'Calc_Mix'!$C$30,Esc_Instr,$B32)&gt;0),"",IF(SUMPRODUCT('Calc_Mix'!$D$30:$W$30,'Matriz_Habilidades'!$D32:$W32)=0,"",SUMPRODUCT('Calc_Mix'!$D$30:$W$30,'Matriz_Habilidades'!$D32:$W32)/'Calc_Mix'!$X$30+ROW()*0.000001))</f>
        <v/>
      </c>
      <c r="AH32" s="34">
        <f>IF(OR($B32="",$C32&lt;&gt;"Ativo",$D32&lt;&gt;'Calc_Mix'!$C$31,'Calc_Mix'!$X$31=0,COUNTIFS(Esc_Turno,'Calc_Mix'!$C$31,Esc_Circ,$B32)+COUNTIFS(Esc_Turno,'Calc_Mix'!$C$31,Esc_Instr,$B32)&gt;0),"",IF(SUMPRODUCT('Calc_Mix'!$D$31:$W$31,'Matriz_Habilidades'!$D32:$W32)=0,"",SUMPRODUCT('Calc_Mix'!$D$31:$W$31,'Matriz_Habilidades'!$D32:$W32)/'Calc_Mix'!$X$31+ROW()*0.000001))</f>
        <v/>
      </c>
      <c r="AI32" s="34">
        <f>IF(OR($B32="",$C32&lt;&gt;"Ativo",$D32&lt;&gt;'Calc_Mix'!$C$32,'Calc_Mix'!$X$32=0,COUNTIFS(Esc_Turno,'Calc_Mix'!$C$32,Esc_Circ,$B32)+COUNTIFS(Esc_Turno,'Calc_Mix'!$C$32,Esc_Instr,$B32)&gt;0),"",IF(SUMPRODUCT('Calc_Mix'!$D$32:$W$32,'Matriz_Habilidades'!$D32:$W32)=0,"",SUMPRODUCT('Calc_Mix'!$D$32:$W$32,'Matriz_Habilidades'!$D32:$W32)/'Calc_Mix'!$X$32+ROW()*0.000001))</f>
        <v/>
      </c>
      <c r="AJ32" s="34">
        <f>IF(OR($B32="",$C32&lt;&gt;"Ativo",$D32&lt;&gt;'Calc_Mix'!$C$33,'Calc_Mix'!$X$33=0,COUNTIFS(Esc_Turno,'Calc_Mix'!$C$33,Esc_Circ,$B32)+COUNTIFS(Esc_Turno,'Calc_Mix'!$C$33,Esc_Instr,$B32)&gt;0),"",IF(SUMPRODUCT('Calc_Mix'!$D$33:$W$33,'Matriz_Habilidades'!$D32:$W32)=0,"",SUMPRODUCT('Calc_Mix'!$D$33:$W$33,'Matriz_Habilidades'!$D32:$W32)/'Calc_Mix'!$X$33+ROW()*0.000001))</f>
        <v/>
      </c>
      <c r="AK32" s="34">
        <f>IF(OR($B32="",$C32&lt;&gt;"Ativo",$D32&lt;&gt;'Calc_Mix'!$C$34,'Calc_Mix'!$X$34=0,COUNTIFS(Esc_Turno,'Calc_Mix'!$C$34,Esc_Circ,$B32)+COUNTIFS(Esc_Turno,'Calc_Mix'!$C$34,Esc_Instr,$B32)&gt;0),"",IF(SUMPRODUCT('Calc_Mix'!$D$34:$W$34,'Matriz_Habilidades'!$D32:$W32)=0,"",SUMPRODUCT('Calc_Mix'!$D$34:$W$34,'Matriz_Habilidades'!$D32:$W32)/'Calc_Mix'!$X$34+ROW()*0.000001))</f>
        <v/>
      </c>
      <c r="AL32" s="34">
        <f>IF(OR($B32="",$C32&lt;&gt;"Ativo",$D32&lt;&gt;'Calc_Mix'!$C$35,'Calc_Mix'!$X$35=0,COUNTIFS(Esc_Turno,'Calc_Mix'!$C$35,Esc_Circ,$B32)+COUNTIFS(Esc_Turno,'Calc_Mix'!$C$35,Esc_Instr,$B32)&gt;0),"",IF(SUMPRODUCT('Calc_Mix'!$D$35:$W$35,'Matriz_Habilidades'!$D32:$W32)=0,"",SUMPRODUCT('Calc_Mix'!$D$35:$W$35,'Matriz_Habilidades'!$D32:$W32)/'Calc_Mix'!$X$35+ROW()*0.000001))</f>
        <v/>
      </c>
      <c r="AM32" s="34">
        <f>IF(OR($B32="",$C32&lt;&gt;"Ativo",$D32&lt;&gt;'Calc_Mix'!$C$36,'Calc_Mix'!$X$36=0,COUNTIFS(Esc_Turno,'Calc_Mix'!$C$36,Esc_Circ,$B32)+COUNTIFS(Esc_Turno,'Calc_Mix'!$C$36,Esc_Instr,$B32)&gt;0),"",IF(SUMPRODUCT('Calc_Mix'!$D$36:$W$36,'Matriz_Habilidades'!$D32:$W32)=0,"",SUMPRODUCT('Calc_Mix'!$D$36:$W$36,'Matriz_Habilidades'!$D32:$W32)/'Calc_Mix'!$X$36+ROW()*0.000001))</f>
        <v/>
      </c>
      <c r="AN32" s="34">
        <f>IF(OR($B32="",$C32&lt;&gt;"Ativo",$D32&lt;&gt;'Calc_Mix'!$C$37,'Calc_Mix'!$X$37=0,COUNTIFS(Esc_Turno,'Calc_Mix'!$C$37,Esc_Circ,$B32)+COUNTIFS(Esc_Turno,'Calc_Mix'!$C$37,Esc_Instr,$B32)&gt;0),"",IF(SUMPRODUCT('Calc_Mix'!$D$37:$W$37,'Matriz_Habilidades'!$D32:$W32)=0,"",SUMPRODUCT('Calc_Mix'!$D$37:$W$37,'Matriz_Habilidades'!$D32:$W32)/'Calc_Mix'!$X$37+ROW()*0.000001))</f>
        <v/>
      </c>
    </row>
    <row r="33">
      <c r="A33" s="27">
        <f>IF('Matriz_Habilidades'!A33="","",'Matriz_Habilidades'!A33)</f>
        <v/>
      </c>
      <c r="B33" s="28">
        <f>IF('Matriz_Habilidades'!B33="","",'Matriz_Habilidades'!B33)</f>
        <v/>
      </c>
      <c r="C33" s="27">
        <f>IF($A33="","",IFERROR(INDEX(Equipe_Status,MATCH($B33,Equipe_Nome,0)),"?"))</f>
        <v/>
      </c>
      <c r="D33" s="27">
        <f>IF($A33="","",IFERROR(INDEX(Equipe_Turno,MATCH($B33,Equipe_Nome,0)),"?"))</f>
        <v/>
      </c>
      <c r="E33" s="34">
        <f>IF(OR($B33="",$C33&lt;&gt;"Ativo",$D33&lt;&gt;'Calc_Mix'!$C$2,'Calc_Mix'!$X$2=0,COUNTIFS(Esc_Turno,'Calc_Mix'!$C$2,Esc_Circ,$B33)+COUNTIFS(Esc_Turno,'Calc_Mix'!$C$2,Esc_Instr,$B33)&gt;0),"",IF(SUMPRODUCT('Calc_Mix'!$D$2:$W$2,'Matriz_Habilidades'!$D33:$W33)=0,"",SUMPRODUCT('Calc_Mix'!$D$2:$W$2,'Matriz_Habilidades'!$D33:$W33)/'Calc_Mix'!$X$2+ROW()*0.000001))</f>
        <v/>
      </c>
      <c r="F33" s="34">
        <f>IF(OR($B33="",$C33&lt;&gt;"Ativo",$D33&lt;&gt;'Calc_Mix'!$C$3,'Calc_Mix'!$X$3=0,COUNTIFS(Esc_Turno,'Calc_Mix'!$C$3,Esc_Circ,$B33)+COUNTIFS(Esc_Turno,'Calc_Mix'!$C$3,Esc_Instr,$B33)&gt;0),"",IF(SUMPRODUCT('Calc_Mix'!$D$3:$W$3,'Matriz_Habilidades'!$D33:$W33)=0,"",SUMPRODUCT('Calc_Mix'!$D$3:$W$3,'Matriz_Habilidades'!$D33:$W33)/'Calc_Mix'!$X$3+ROW()*0.000001))</f>
        <v/>
      </c>
      <c r="G33" s="34">
        <f>IF(OR($B33="",$C33&lt;&gt;"Ativo",$D33&lt;&gt;'Calc_Mix'!$C$4,'Calc_Mix'!$X$4=0,COUNTIFS(Esc_Turno,'Calc_Mix'!$C$4,Esc_Circ,$B33)+COUNTIFS(Esc_Turno,'Calc_Mix'!$C$4,Esc_Instr,$B33)&gt;0),"",IF(SUMPRODUCT('Calc_Mix'!$D$4:$W$4,'Matriz_Habilidades'!$D33:$W33)=0,"",SUMPRODUCT('Calc_Mix'!$D$4:$W$4,'Matriz_Habilidades'!$D33:$W33)/'Calc_Mix'!$X$4+ROW()*0.000001))</f>
        <v/>
      </c>
      <c r="H33" s="34">
        <f>IF(OR($B33="",$C33&lt;&gt;"Ativo",$D33&lt;&gt;'Calc_Mix'!$C$5,'Calc_Mix'!$X$5=0,COUNTIFS(Esc_Turno,'Calc_Mix'!$C$5,Esc_Circ,$B33)+COUNTIFS(Esc_Turno,'Calc_Mix'!$C$5,Esc_Instr,$B33)&gt;0),"",IF(SUMPRODUCT('Calc_Mix'!$D$5:$W$5,'Matriz_Habilidades'!$D33:$W33)=0,"",SUMPRODUCT('Calc_Mix'!$D$5:$W$5,'Matriz_Habilidades'!$D33:$W33)/'Calc_Mix'!$X$5+ROW()*0.000001))</f>
        <v/>
      </c>
      <c r="I33" s="34">
        <f>IF(OR($B33="",$C33&lt;&gt;"Ativo",$D33&lt;&gt;'Calc_Mix'!$C$6,'Calc_Mix'!$X$6=0,COUNTIFS(Esc_Turno,'Calc_Mix'!$C$6,Esc_Circ,$B33)+COUNTIFS(Esc_Turno,'Calc_Mix'!$C$6,Esc_Instr,$B33)&gt;0),"",IF(SUMPRODUCT('Calc_Mix'!$D$6:$W$6,'Matriz_Habilidades'!$D33:$W33)=0,"",SUMPRODUCT('Calc_Mix'!$D$6:$W$6,'Matriz_Habilidades'!$D33:$W33)/'Calc_Mix'!$X$6+ROW()*0.000001))</f>
        <v/>
      </c>
      <c r="J33" s="34">
        <f>IF(OR($B33="",$C33&lt;&gt;"Ativo",$D33&lt;&gt;'Calc_Mix'!$C$7,'Calc_Mix'!$X$7=0,COUNTIFS(Esc_Turno,'Calc_Mix'!$C$7,Esc_Circ,$B33)+COUNTIFS(Esc_Turno,'Calc_Mix'!$C$7,Esc_Instr,$B33)&gt;0),"",IF(SUMPRODUCT('Calc_Mix'!$D$7:$W$7,'Matriz_Habilidades'!$D33:$W33)=0,"",SUMPRODUCT('Calc_Mix'!$D$7:$W$7,'Matriz_Habilidades'!$D33:$W33)/'Calc_Mix'!$X$7+ROW()*0.000001))</f>
        <v/>
      </c>
      <c r="K33" s="34">
        <f>IF(OR($B33="",$C33&lt;&gt;"Ativo",$D33&lt;&gt;'Calc_Mix'!$C$8,'Calc_Mix'!$X$8=0,COUNTIFS(Esc_Turno,'Calc_Mix'!$C$8,Esc_Circ,$B33)+COUNTIFS(Esc_Turno,'Calc_Mix'!$C$8,Esc_Instr,$B33)&gt;0),"",IF(SUMPRODUCT('Calc_Mix'!$D$8:$W$8,'Matriz_Habilidades'!$D33:$W33)=0,"",SUMPRODUCT('Calc_Mix'!$D$8:$W$8,'Matriz_Habilidades'!$D33:$W33)/'Calc_Mix'!$X$8+ROW()*0.000001))</f>
        <v/>
      </c>
      <c r="L33" s="34">
        <f>IF(OR($B33="",$C33&lt;&gt;"Ativo",$D33&lt;&gt;'Calc_Mix'!$C$9,'Calc_Mix'!$X$9=0,COUNTIFS(Esc_Turno,'Calc_Mix'!$C$9,Esc_Circ,$B33)+COUNTIFS(Esc_Turno,'Calc_Mix'!$C$9,Esc_Instr,$B33)&gt;0),"",IF(SUMPRODUCT('Calc_Mix'!$D$9:$W$9,'Matriz_Habilidades'!$D33:$W33)=0,"",SUMPRODUCT('Calc_Mix'!$D$9:$W$9,'Matriz_Habilidades'!$D33:$W33)/'Calc_Mix'!$X$9+ROW()*0.000001))</f>
        <v/>
      </c>
      <c r="M33" s="34">
        <f>IF(OR($B33="",$C33&lt;&gt;"Ativo",$D33&lt;&gt;'Calc_Mix'!$C$10,'Calc_Mix'!$X$10=0,COUNTIFS(Esc_Turno,'Calc_Mix'!$C$10,Esc_Circ,$B33)+COUNTIFS(Esc_Turno,'Calc_Mix'!$C$10,Esc_Instr,$B33)&gt;0),"",IF(SUMPRODUCT('Calc_Mix'!$D$10:$W$10,'Matriz_Habilidades'!$D33:$W33)=0,"",SUMPRODUCT('Calc_Mix'!$D$10:$W$10,'Matriz_Habilidades'!$D33:$W33)/'Calc_Mix'!$X$10+ROW()*0.000001))</f>
        <v/>
      </c>
      <c r="N33" s="34">
        <f>IF(OR($B33="",$C33&lt;&gt;"Ativo",$D33&lt;&gt;'Calc_Mix'!$C$11,'Calc_Mix'!$X$11=0,COUNTIFS(Esc_Turno,'Calc_Mix'!$C$11,Esc_Circ,$B33)+COUNTIFS(Esc_Turno,'Calc_Mix'!$C$11,Esc_Instr,$B33)&gt;0),"",IF(SUMPRODUCT('Calc_Mix'!$D$11:$W$11,'Matriz_Habilidades'!$D33:$W33)=0,"",SUMPRODUCT('Calc_Mix'!$D$11:$W$11,'Matriz_Habilidades'!$D33:$W33)/'Calc_Mix'!$X$11+ROW()*0.000001))</f>
        <v/>
      </c>
      <c r="O33" s="34">
        <f>IF(OR($B33="",$C33&lt;&gt;"Ativo",$D33&lt;&gt;'Calc_Mix'!$C$12,'Calc_Mix'!$X$12=0,COUNTIFS(Esc_Turno,'Calc_Mix'!$C$12,Esc_Circ,$B33)+COUNTIFS(Esc_Turno,'Calc_Mix'!$C$12,Esc_Instr,$B33)&gt;0),"",IF(SUMPRODUCT('Calc_Mix'!$D$12:$W$12,'Matriz_Habilidades'!$D33:$W33)=0,"",SUMPRODUCT('Calc_Mix'!$D$12:$W$12,'Matriz_Habilidades'!$D33:$W33)/'Calc_Mix'!$X$12+ROW()*0.000001))</f>
        <v/>
      </c>
      <c r="P33" s="34">
        <f>IF(OR($B33="",$C33&lt;&gt;"Ativo",$D33&lt;&gt;'Calc_Mix'!$C$13,'Calc_Mix'!$X$13=0,COUNTIFS(Esc_Turno,'Calc_Mix'!$C$13,Esc_Circ,$B33)+COUNTIFS(Esc_Turno,'Calc_Mix'!$C$13,Esc_Instr,$B33)&gt;0),"",IF(SUMPRODUCT('Calc_Mix'!$D$13:$W$13,'Matriz_Habilidades'!$D33:$W33)=0,"",SUMPRODUCT('Calc_Mix'!$D$13:$W$13,'Matriz_Habilidades'!$D33:$W33)/'Calc_Mix'!$X$13+ROW()*0.000001))</f>
        <v/>
      </c>
      <c r="Q33" s="34">
        <f>IF(OR($B33="",$C33&lt;&gt;"Ativo",$D33&lt;&gt;'Calc_Mix'!$C$14,'Calc_Mix'!$X$14=0,COUNTIFS(Esc_Turno,'Calc_Mix'!$C$14,Esc_Circ,$B33)+COUNTIFS(Esc_Turno,'Calc_Mix'!$C$14,Esc_Instr,$B33)&gt;0),"",IF(SUMPRODUCT('Calc_Mix'!$D$14:$W$14,'Matriz_Habilidades'!$D33:$W33)=0,"",SUMPRODUCT('Calc_Mix'!$D$14:$W$14,'Matriz_Habilidades'!$D33:$W33)/'Calc_Mix'!$X$14+ROW()*0.000001))</f>
        <v/>
      </c>
      <c r="R33" s="34">
        <f>IF(OR($B33="",$C33&lt;&gt;"Ativo",$D33&lt;&gt;'Calc_Mix'!$C$15,'Calc_Mix'!$X$15=0,COUNTIFS(Esc_Turno,'Calc_Mix'!$C$15,Esc_Circ,$B33)+COUNTIFS(Esc_Turno,'Calc_Mix'!$C$15,Esc_Instr,$B33)&gt;0),"",IF(SUMPRODUCT('Calc_Mix'!$D$15:$W$15,'Matriz_Habilidades'!$D33:$W33)=0,"",SUMPRODUCT('Calc_Mix'!$D$15:$W$15,'Matriz_Habilidades'!$D33:$W33)/'Calc_Mix'!$X$15+ROW()*0.000001))</f>
        <v/>
      </c>
      <c r="S33" s="34">
        <f>IF(OR($B33="",$C33&lt;&gt;"Ativo",$D33&lt;&gt;'Calc_Mix'!$C$16,'Calc_Mix'!$X$16=0,COUNTIFS(Esc_Turno,'Calc_Mix'!$C$16,Esc_Circ,$B33)+COUNTIFS(Esc_Turno,'Calc_Mix'!$C$16,Esc_Instr,$B33)&gt;0),"",IF(SUMPRODUCT('Calc_Mix'!$D$16:$W$16,'Matriz_Habilidades'!$D33:$W33)=0,"",SUMPRODUCT('Calc_Mix'!$D$16:$W$16,'Matriz_Habilidades'!$D33:$W33)/'Calc_Mix'!$X$16+ROW()*0.000001))</f>
        <v/>
      </c>
      <c r="T33" s="34">
        <f>IF(OR($B33="",$C33&lt;&gt;"Ativo",$D33&lt;&gt;'Calc_Mix'!$C$17,'Calc_Mix'!$X$17=0,COUNTIFS(Esc_Turno,'Calc_Mix'!$C$17,Esc_Circ,$B33)+COUNTIFS(Esc_Turno,'Calc_Mix'!$C$17,Esc_Instr,$B33)&gt;0),"",IF(SUMPRODUCT('Calc_Mix'!$D$17:$W$17,'Matriz_Habilidades'!$D33:$W33)=0,"",SUMPRODUCT('Calc_Mix'!$D$17:$W$17,'Matriz_Habilidades'!$D33:$W33)/'Calc_Mix'!$X$17+ROW()*0.000001))</f>
        <v/>
      </c>
      <c r="U33" s="34">
        <f>IF(OR($B33="",$C33&lt;&gt;"Ativo",$D33&lt;&gt;'Calc_Mix'!$C$18,'Calc_Mix'!$X$18=0,COUNTIFS(Esc_Turno,'Calc_Mix'!$C$18,Esc_Circ,$B33)+COUNTIFS(Esc_Turno,'Calc_Mix'!$C$18,Esc_Instr,$B33)&gt;0),"",IF(SUMPRODUCT('Calc_Mix'!$D$18:$W$18,'Matriz_Habilidades'!$D33:$W33)=0,"",SUMPRODUCT('Calc_Mix'!$D$18:$W$18,'Matriz_Habilidades'!$D33:$W33)/'Calc_Mix'!$X$18+ROW()*0.000001))</f>
        <v/>
      </c>
      <c r="V33" s="34">
        <f>IF(OR($B33="",$C33&lt;&gt;"Ativo",$D33&lt;&gt;'Calc_Mix'!$C$19,'Calc_Mix'!$X$19=0,COUNTIFS(Esc_Turno,'Calc_Mix'!$C$19,Esc_Circ,$B33)+COUNTIFS(Esc_Turno,'Calc_Mix'!$C$19,Esc_Instr,$B33)&gt;0),"",IF(SUMPRODUCT('Calc_Mix'!$D$19:$W$19,'Matriz_Habilidades'!$D33:$W33)=0,"",SUMPRODUCT('Calc_Mix'!$D$19:$W$19,'Matriz_Habilidades'!$D33:$W33)/'Calc_Mix'!$X$19+ROW()*0.000001))</f>
        <v/>
      </c>
      <c r="W33" s="34">
        <f>IF(OR($B33="",$C33&lt;&gt;"Ativo",$D33&lt;&gt;'Calc_Mix'!$C$20,'Calc_Mix'!$X$20=0,COUNTIFS(Esc_Turno,'Calc_Mix'!$C$20,Esc_Circ,$B33)+COUNTIFS(Esc_Turno,'Calc_Mix'!$C$20,Esc_Instr,$B33)&gt;0),"",IF(SUMPRODUCT('Calc_Mix'!$D$20:$W$20,'Matriz_Habilidades'!$D33:$W33)=0,"",SUMPRODUCT('Calc_Mix'!$D$20:$W$20,'Matriz_Habilidades'!$D33:$W33)/'Calc_Mix'!$X$20+ROW()*0.000001))</f>
        <v/>
      </c>
      <c r="X33" s="34">
        <f>IF(OR($B33="",$C33&lt;&gt;"Ativo",$D33&lt;&gt;'Calc_Mix'!$C$21,'Calc_Mix'!$X$21=0,COUNTIFS(Esc_Turno,'Calc_Mix'!$C$21,Esc_Circ,$B33)+COUNTIFS(Esc_Turno,'Calc_Mix'!$C$21,Esc_Instr,$B33)&gt;0),"",IF(SUMPRODUCT('Calc_Mix'!$D$21:$W$21,'Matriz_Habilidades'!$D33:$W33)=0,"",SUMPRODUCT('Calc_Mix'!$D$21:$W$21,'Matriz_Habilidades'!$D33:$W33)/'Calc_Mix'!$X$21+ROW()*0.000001))</f>
        <v/>
      </c>
      <c r="Y33" s="34">
        <f>IF(OR($B33="",$C33&lt;&gt;"Ativo",$D33&lt;&gt;'Calc_Mix'!$C$22,'Calc_Mix'!$X$22=0,COUNTIFS(Esc_Turno,'Calc_Mix'!$C$22,Esc_Circ,$B33)+COUNTIFS(Esc_Turno,'Calc_Mix'!$C$22,Esc_Instr,$B33)&gt;0),"",IF(SUMPRODUCT('Calc_Mix'!$D$22:$W$22,'Matriz_Habilidades'!$D33:$W33)=0,"",SUMPRODUCT('Calc_Mix'!$D$22:$W$22,'Matriz_Habilidades'!$D33:$W33)/'Calc_Mix'!$X$22+ROW()*0.000001))</f>
        <v/>
      </c>
      <c r="Z33" s="34">
        <f>IF(OR($B33="",$C33&lt;&gt;"Ativo",$D33&lt;&gt;'Calc_Mix'!$C$23,'Calc_Mix'!$X$23=0,COUNTIFS(Esc_Turno,'Calc_Mix'!$C$23,Esc_Circ,$B33)+COUNTIFS(Esc_Turno,'Calc_Mix'!$C$23,Esc_Instr,$B33)&gt;0),"",IF(SUMPRODUCT('Calc_Mix'!$D$23:$W$23,'Matriz_Habilidades'!$D33:$W33)=0,"",SUMPRODUCT('Calc_Mix'!$D$23:$W$23,'Matriz_Habilidades'!$D33:$W33)/'Calc_Mix'!$X$23+ROW()*0.000001))</f>
        <v/>
      </c>
      <c r="AA33" s="34">
        <f>IF(OR($B33="",$C33&lt;&gt;"Ativo",$D33&lt;&gt;'Calc_Mix'!$C$24,'Calc_Mix'!$X$24=0,COUNTIFS(Esc_Turno,'Calc_Mix'!$C$24,Esc_Circ,$B33)+COUNTIFS(Esc_Turno,'Calc_Mix'!$C$24,Esc_Instr,$B33)&gt;0),"",IF(SUMPRODUCT('Calc_Mix'!$D$24:$W$24,'Matriz_Habilidades'!$D33:$W33)=0,"",SUMPRODUCT('Calc_Mix'!$D$24:$W$24,'Matriz_Habilidades'!$D33:$W33)/'Calc_Mix'!$X$24+ROW()*0.000001))</f>
        <v/>
      </c>
      <c r="AB33" s="34">
        <f>IF(OR($B33="",$C33&lt;&gt;"Ativo",$D33&lt;&gt;'Calc_Mix'!$C$25,'Calc_Mix'!$X$25=0,COUNTIFS(Esc_Turno,'Calc_Mix'!$C$25,Esc_Circ,$B33)+COUNTIFS(Esc_Turno,'Calc_Mix'!$C$25,Esc_Instr,$B33)&gt;0),"",IF(SUMPRODUCT('Calc_Mix'!$D$25:$W$25,'Matriz_Habilidades'!$D33:$W33)=0,"",SUMPRODUCT('Calc_Mix'!$D$25:$W$25,'Matriz_Habilidades'!$D33:$W33)/'Calc_Mix'!$X$25+ROW()*0.000001))</f>
        <v/>
      </c>
      <c r="AC33" s="34">
        <f>IF(OR($B33="",$C33&lt;&gt;"Ativo",$D33&lt;&gt;'Calc_Mix'!$C$26,'Calc_Mix'!$X$26=0,COUNTIFS(Esc_Turno,'Calc_Mix'!$C$26,Esc_Circ,$B33)+COUNTIFS(Esc_Turno,'Calc_Mix'!$C$26,Esc_Instr,$B33)&gt;0),"",IF(SUMPRODUCT('Calc_Mix'!$D$26:$W$26,'Matriz_Habilidades'!$D33:$W33)=0,"",SUMPRODUCT('Calc_Mix'!$D$26:$W$26,'Matriz_Habilidades'!$D33:$W33)/'Calc_Mix'!$X$26+ROW()*0.000001))</f>
        <v/>
      </c>
      <c r="AD33" s="34">
        <f>IF(OR($B33="",$C33&lt;&gt;"Ativo",$D33&lt;&gt;'Calc_Mix'!$C$27,'Calc_Mix'!$X$27=0,COUNTIFS(Esc_Turno,'Calc_Mix'!$C$27,Esc_Circ,$B33)+COUNTIFS(Esc_Turno,'Calc_Mix'!$C$27,Esc_Instr,$B33)&gt;0),"",IF(SUMPRODUCT('Calc_Mix'!$D$27:$W$27,'Matriz_Habilidades'!$D33:$W33)=0,"",SUMPRODUCT('Calc_Mix'!$D$27:$W$27,'Matriz_Habilidades'!$D33:$W33)/'Calc_Mix'!$X$27+ROW()*0.000001))</f>
        <v/>
      </c>
      <c r="AE33" s="34">
        <f>IF(OR($B33="",$C33&lt;&gt;"Ativo",$D33&lt;&gt;'Calc_Mix'!$C$28,'Calc_Mix'!$X$28=0,COUNTIFS(Esc_Turno,'Calc_Mix'!$C$28,Esc_Circ,$B33)+COUNTIFS(Esc_Turno,'Calc_Mix'!$C$28,Esc_Instr,$B33)&gt;0),"",IF(SUMPRODUCT('Calc_Mix'!$D$28:$W$28,'Matriz_Habilidades'!$D33:$W33)=0,"",SUMPRODUCT('Calc_Mix'!$D$28:$W$28,'Matriz_Habilidades'!$D33:$W33)/'Calc_Mix'!$X$28+ROW()*0.000001))</f>
        <v/>
      </c>
      <c r="AF33" s="34">
        <f>IF(OR($B33="",$C33&lt;&gt;"Ativo",$D33&lt;&gt;'Calc_Mix'!$C$29,'Calc_Mix'!$X$29=0,COUNTIFS(Esc_Turno,'Calc_Mix'!$C$29,Esc_Circ,$B33)+COUNTIFS(Esc_Turno,'Calc_Mix'!$C$29,Esc_Instr,$B33)&gt;0),"",IF(SUMPRODUCT('Calc_Mix'!$D$29:$W$29,'Matriz_Habilidades'!$D33:$W33)=0,"",SUMPRODUCT('Calc_Mix'!$D$29:$W$29,'Matriz_Habilidades'!$D33:$W33)/'Calc_Mix'!$X$29+ROW()*0.000001))</f>
        <v/>
      </c>
      <c r="AG33" s="34">
        <f>IF(OR($B33="",$C33&lt;&gt;"Ativo",$D33&lt;&gt;'Calc_Mix'!$C$30,'Calc_Mix'!$X$30=0,COUNTIFS(Esc_Turno,'Calc_Mix'!$C$30,Esc_Circ,$B33)+COUNTIFS(Esc_Turno,'Calc_Mix'!$C$30,Esc_Instr,$B33)&gt;0),"",IF(SUMPRODUCT('Calc_Mix'!$D$30:$W$30,'Matriz_Habilidades'!$D33:$W33)=0,"",SUMPRODUCT('Calc_Mix'!$D$30:$W$30,'Matriz_Habilidades'!$D33:$W33)/'Calc_Mix'!$X$30+ROW()*0.000001))</f>
        <v/>
      </c>
      <c r="AH33" s="34">
        <f>IF(OR($B33="",$C33&lt;&gt;"Ativo",$D33&lt;&gt;'Calc_Mix'!$C$31,'Calc_Mix'!$X$31=0,COUNTIFS(Esc_Turno,'Calc_Mix'!$C$31,Esc_Circ,$B33)+COUNTIFS(Esc_Turno,'Calc_Mix'!$C$31,Esc_Instr,$B33)&gt;0),"",IF(SUMPRODUCT('Calc_Mix'!$D$31:$W$31,'Matriz_Habilidades'!$D33:$W33)=0,"",SUMPRODUCT('Calc_Mix'!$D$31:$W$31,'Matriz_Habilidades'!$D33:$W33)/'Calc_Mix'!$X$31+ROW()*0.000001))</f>
        <v/>
      </c>
      <c r="AI33" s="34">
        <f>IF(OR($B33="",$C33&lt;&gt;"Ativo",$D33&lt;&gt;'Calc_Mix'!$C$32,'Calc_Mix'!$X$32=0,COUNTIFS(Esc_Turno,'Calc_Mix'!$C$32,Esc_Circ,$B33)+COUNTIFS(Esc_Turno,'Calc_Mix'!$C$32,Esc_Instr,$B33)&gt;0),"",IF(SUMPRODUCT('Calc_Mix'!$D$32:$W$32,'Matriz_Habilidades'!$D33:$W33)=0,"",SUMPRODUCT('Calc_Mix'!$D$32:$W$32,'Matriz_Habilidades'!$D33:$W33)/'Calc_Mix'!$X$32+ROW()*0.000001))</f>
        <v/>
      </c>
      <c r="AJ33" s="34">
        <f>IF(OR($B33="",$C33&lt;&gt;"Ativo",$D33&lt;&gt;'Calc_Mix'!$C$33,'Calc_Mix'!$X$33=0,COUNTIFS(Esc_Turno,'Calc_Mix'!$C$33,Esc_Circ,$B33)+COUNTIFS(Esc_Turno,'Calc_Mix'!$C$33,Esc_Instr,$B33)&gt;0),"",IF(SUMPRODUCT('Calc_Mix'!$D$33:$W$33,'Matriz_Habilidades'!$D33:$W33)=0,"",SUMPRODUCT('Calc_Mix'!$D$33:$W$33,'Matriz_Habilidades'!$D33:$W33)/'Calc_Mix'!$X$33+ROW()*0.000001))</f>
        <v/>
      </c>
      <c r="AK33" s="34">
        <f>IF(OR($B33="",$C33&lt;&gt;"Ativo",$D33&lt;&gt;'Calc_Mix'!$C$34,'Calc_Mix'!$X$34=0,COUNTIFS(Esc_Turno,'Calc_Mix'!$C$34,Esc_Circ,$B33)+COUNTIFS(Esc_Turno,'Calc_Mix'!$C$34,Esc_Instr,$B33)&gt;0),"",IF(SUMPRODUCT('Calc_Mix'!$D$34:$W$34,'Matriz_Habilidades'!$D33:$W33)=0,"",SUMPRODUCT('Calc_Mix'!$D$34:$W$34,'Matriz_Habilidades'!$D33:$W33)/'Calc_Mix'!$X$34+ROW()*0.000001))</f>
        <v/>
      </c>
      <c r="AL33" s="34">
        <f>IF(OR($B33="",$C33&lt;&gt;"Ativo",$D33&lt;&gt;'Calc_Mix'!$C$35,'Calc_Mix'!$X$35=0,COUNTIFS(Esc_Turno,'Calc_Mix'!$C$35,Esc_Circ,$B33)+COUNTIFS(Esc_Turno,'Calc_Mix'!$C$35,Esc_Instr,$B33)&gt;0),"",IF(SUMPRODUCT('Calc_Mix'!$D$35:$W$35,'Matriz_Habilidades'!$D33:$W33)=0,"",SUMPRODUCT('Calc_Mix'!$D$35:$W$35,'Matriz_Habilidades'!$D33:$W33)/'Calc_Mix'!$X$35+ROW()*0.000001))</f>
        <v/>
      </c>
      <c r="AM33" s="34">
        <f>IF(OR($B33="",$C33&lt;&gt;"Ativo",$D33&lt;&gt;'Calc_Mix'!$C$36,'Calc_Mix'!$X$36=0,COUNTIFS(Esc_Turno,'Calc_Mix'!$C$36,Esc_Circ,$B33)+COUNTIFS(Esc_Turno,'Calc_Mix'!$C$36,Esc_Instr,$B33)&gt;0),"",IF(SUMPRODUCT('Calc_Mix'!$D$36:$W$36,'Matriz_Habilidades'!$D33:$W33)=0,"",SUMPRODUCT('Calc_Mix'!$D$36:$W$36,'Matriz_Habilidades'!$D33:$W33)/'Calc_Mix'!$X$36+ROW()*0.000001))</f>
        <v/>
      </c>
      <c r="AN33" s="34">
        <f>IF(OR($B33="",$C33&lt;&gt;"Ativo",$D33&lt;&gt;'Calc_Mix'!$C$37,'Calc_Mix'!$X$37=0,COUNTIFS(Esc_Turno,'Calc_Mix'!$C$37,Esc_Circ,$B33)+COUNTIFS(Esc_Turno,'Calc_Mix'!$C$37,Esc_Instr,$B33)&gt;0),"",IF(SUMPRODUCT('Calc_Mix'!$D$37:$W$37,'Matriz_Habilidades'!$D33:$W33)=0,"",SUMPRODUCT('Calc_Mix'!$D$37:$W$37,'Matriz_Habilidades'!$D33:$W33)/'Calc_Mix'!$X$37+ROW()*0.000001))</f>
        <v/>
      </c>
    </row>
    <row r="34">
      <c r="A34" s="27">
        <f>IF('Matriz_Habilidades'!A34="","",'Matriz_Habilidades'!A34)</f>
        <v/>
      </c>
      <c r="B34" s="28">
        <f>IF('Matriz_Habilidades'!B34="","",'Matriz_Habilidades'!B34)</f>
        <v/>
      </c>
      <c r="C34" s="27">
        <f>IF($A34="","",IFERROR(INDEX(Equipe_Status,MATCH($B34,Equipe_Nome,0)),"?"))</f>
        <v/>
      </c>
      <c r="D34" s="27">
        <f>IF($A34="","",IFERROR(INDEX(Equipe_Turno,MATCH($B34,Equipe_Nome,0)),"?"))</f>
        <v/>
      </c>
      <c r="E34" s="34">
        <f>IF(OR($B34="",$C34&lt;&gt;"Ativo",$D34&lt;&gt;'Calc_Mix'!$C$2,'Calc_Mix'!$X$2=0,COUNTIFS(Esc_Turno,'Calc_Mix'!$C$2,Esc_Circ,$B34)+COUNTIFS(Esc_Turno,'Calc_Mix'!$C$2,Esc_Instr,$B34)&gt;0),"",IF(SUMPRODUCT('Calc_Mix'!$D$2:$W$2,'Matriz_Habilidades'!$D34:$W34)=0,"",SUMPRODUCT('Calc_Mix'!$D$2:$W$2,'Matriz_Habilidades'!$D34:$W34)/'Calc_Mix'!$X$2+ROW()*0.000001))</f>
        <v/>
      </c>
      <c r="F34" s="34">
        <f>IF(OR($B34="",$C34&lt;&gt;"Ativo",$D34&lt;&gt;'Calc_Mix'!$C$3,'Calc_Mix'!$X$3=0,COUNTIFS(Esc_Turno,'Calc_Mix'!$C$3,Esc_Circ,$B34)+COUNTIFS(Esc_Turno,'Calc_Mix'!$C$3,Esc_Instr,$B34)&gt;0),"",IF(SUMPRODUCT('Calc_Mix'!$D$3:$W$3,'Matriz_Habilidades'!$D34:$W34)=0,"",SUMPRODUCT('Calc_Mix'!$D$3:$W$3,'Matriz_Habilidades'!$D34:$W34)/'Calc_Mix'!$X$3+ROW()*0.000001))</f>
        <v/>
      </c>
      <c r="G34" s="34">
        <f>IF(OR($B34="",$C34&lt;&gt;"Ativo",$D34&lt;&gt;'Calc_Mix'!$C$4,'Calc_Mix'!$X$4=0,COUNTIFS(Esc_Turno,'Calc_Mix'!$C$4,Esc_Circ,$B34)+COUNTIFS(Esc_Turno,'Calc_Mix'!$C$4,Esc_Instr,$B34)&gt;0),"",IF(SUMPRODUCT('Calc_Mix'!$D$4:$W$4,'Matriz_Habilidades'!$D34:$W34)=0,"",SUMPRODUCT('Calc_Mix'!$D$4:$W$4,'Matriz_Habilidades'!$D34:$W34)/'Calc_Mix'!$X$4+ROW()*0.000001))</f>
        <v/>
      </c>
      <c r="H34" s="34">
        <f>IF(OR($B34="",$C34&lt;&gt;"Ativo",$D34&lt;&gt;'Calc_Mix'!$C$5,'Calc_Mix'!$X$5=0,COUNTIFS(Esc_Turno,'Calc_Mix'!$C$5,Esc_Circ,$B34)+COUNTIFS(Esc_Turno,'Calc_Mix'!$C$5,Esc_Instr,$B34)&gt;0),"",IF(SUMPRODUCT('Calc_Mix'!$D$5:$W$5,'Matriz_Habilidades'!$D34:$W34)=0,"",SUMPRODUCT('Calc_Mix'!$D$5:$W$5,'Matriz_Habilidades'!$D34:$W34)/'Calc_Mix'!$X$5+ROW()*0.000001))</f>
        <v/>
      </c>
      <c r="I34" s="34">
        <f>IF(OR($B34="",$C34&lt;&gt;"Ativo",$D34&lt;&gt;'Calc_Mix'!$C$6,'Calc_Mix'!$X$6=0,COUNTIFS(Esc_Turno,'Calc_Mix'!$C$6,Esc_Circ,$B34)+COUNTIFS(Esc_Turno,'Calc_Mix'!$C$6,Esc_Instr,$B34)&gt;0),"",IF(SUMPRODUCT('Calc_Mix'!$D$6:$W$6,'Matriz_Habilidades'!$D34:$W34)=0,"",SUMPRODUCT('Calc_Mix'!$D$6:$W$6,'Matriz_Habilidades'!$D34:$W34)/'Calc_Mix'!$X$6+ROW()*0.000001))</f>
        <v/>
      </c>
      <c r="J34" s="34">
        <f>IF(OR($B34="",$C34&lt;&gt;"Ativo",$D34&lt;&gt;'Calc_Mix'!$C$7,'Calc_Mix'!$X$7=0,COUNTIFS(Esc_Turno,'Calc_Mix'!$C$7,Esc_Circ,$B34)+COUNTIFS(Esc_Turno,'Calc_Mix'!$C$7,Esc_Instr,$B34)&gt;0),"",IF(SUMPRODUCT('Calc_Mix'!$D$7:$W$7,'Matriz_Habilidades'!$D34:$W34)=0,"",SUMPRODUCT('Calc_Mix'!$D$7:$W$7,'Matriz_Habilidades'!$D34:$W34)/'Calc_Mix'!$X$7+ROW()*0.000001))</f>
        <v/>
      </c>
      <c r="K34" s="34">
        <f>IF(OR($B34="",$C34&lt;&gt;"Ativo",$D34&lt;&gt;'Calc_Mix'!$C$8,'Calc_Mix'!$X$8=0,COUNTIFS(Esc_Turno,'Calc_Mix'!$C$8,Esc_Circ,$B34)+COUNTIFS(Esc_Turno,'Calc_Mix'!$C$8,Esc_Instr,$B34)&gt;0),"",IF(SUMPRODUCT('Calc_Mix'!$D$8:$W$8,'Matriz_Habilidades'!$D34:$W34)=0,"",SUMPRODUCT('Calc_Mix'!$D$8:$W$8,'Matriz_Habilidades'!$D34:$W34)/'Calc_Mix'!$X$8+ROW()*0.000001))</f>
        <v/>
      </c>
      <c r="L34" s="34">
        <f>IF(OR($B34="",$C34&lt;&gt;"Ativo",$D34&lt;&gt;'Calc_Mix'!$C$9,'Calc_Mix'!$X$9=0,COUNTIFS(Esc_Turno,'Calc_Mix'!$C$9,Esc_Circ,$B34)+COUNTIFS(Esc_Turno,'Calc_Mix'!$C$9,Esc_Instr,$B34)&gt;0),"",IF(SUMPRODUCT('Calc_Mix'!$D$9:$W$9,'Matriz_Habilidades'!$D34:$W34)=0,"",SUMPRODUCT('Calc_Mix'!$D$9:$W$9,'Matriz_Habilidades'!$D34:$W34)/'Calc_Mix'!$X$9+ROW()*0.000001))</f>
        <v/>
      </c>
      <c r="M34" s="34">
        <f>IF(OR($B34="",$C34&lt;&gt;"Ativo",$D34&lt;&gt;'Calc_Mix'!$C$10,'Calc_Mix'!$X$10=0,COUNTIFS(Esc_Turno,'Calc_Mix'!$C$10,Esc_Circ,$B34)+COUNTIFS(Esc_Turno,'Calc_Mix'!$C$10,Esc_Instr,$B34)&gt;0),"",IF(SUMPRODUCT('Calc_Mix'!$D$10:$W$10,'Matriz_Habilidades'!$D34:$W34)=0,"",SUMPRODUCT('Calc_Mix'!$D$10:$W$10,'Matriz_Habilidades'!$D34:$W34)/'Calc_Mix'!$X$10+ROW()*0.000001))</f>
        <v/>
      </c>
      <c r="N34" s="34">
        <f>IF(OR($B34="",$C34&lt;&gt;"Ativo",$D34&lt;&gt;'Calc_Mix'!$C$11,'Calc_Mix'!$X$11=0,COUNTIFS(Esc_Turno,'Calc_Mix'!$C$11,Esc_Circ,$B34)+COUNTIFS(Esc_Turno,'Calc_Mix'!$C$11,Esc_Instr,$B34)&gt;0),"",IF(SUMPRODUCT('Calc_Mix'!$D$11:$W$11,'Matriz_Habilidades'!$D34:$W34)=0,"",SUMPRODUCT('Calc_Mix'!$D$11:$W$11,'Matriz_Habilidades'!$D34:$W34)/'Calc_Mix'!$X$11+ROW()*0.000001))</f>
        <v/>
      </c>
      <c r="O34" s="34">
        <f>IF(OR($B34="",$C34&lt;&gt;"Ativo",$D34&lt;&gt;'Calc_Mix'!$C$12,'Calc_Mix'!$X$12=0,COUNTIFS(Esc_Turno,'Calc_Mix'!$C$12,Esc_Circ,$B34)+COUNTIFS(Esc_Turno,'Calc_Mix'!$C$12,Esc_Instr,$B34)&gt;0),"",IF(SUMPRODUCT('Calc_Mix'!$D$12:$W$12,'Matriz_Habilidades'!$D34:$W34)=0,"",SUMPRODUCT('Calc_Mix'!$D$12:$W$12,'Matriz_Habilidades'!$D34:$W34)/'Calc_Mix'!$X$12+ROW()*0.000001))</f>
        <v/>
      </c>
      <c r="P34" s="34">
        <f>IF(OR($B34="",$C34&lt;&gt;"Ativo",$D34&lt;&gt;'Calc_Mix'!$C$13,'Calc_Mix'!$X$13=0,COUNTIFS(Esc_Turno,'Calc_Mix'!$C$13,Esc_Circ,$B34)+COUNTIFS(Esc_Turno,'Calc_Mix'!$C$13,Esc_Instr,$B34)&gt;0),"",IF(SUMPRODUCT('Calc_Mix'!$D$13:$W$13,'Matriz_Habilidades'!$D34:$W34)=0,"",SUMPRODUCT('Calc_Mix'!$D$13:$W$13,'Matriz_Habilidades'!$D34:$W34)/'Calc_Mix'!$X$13+ROW()*0.000001))</f>
        <v/>
      </c>
      <c r="Q34" s="34">
        <f>IF(OR($B34="",$C34&lt;&gt;"Ativo",$D34&lt;&gt;'Calc_Mix'!$C$14,'Calc_Mix'!$X$14=0,COUNTIFS(Esc_Turno,'Calc_Mix'!$C$14,Esc_Circ,$B34)+COUNTIFS(Esc_Turno,'Calc_Mix'!$C$14,Esc_Instr,$B34)&gt;0),"",IF(SUMPRODUCT('Calc_Mix'!$D$14:$W$14,'Matriz_Habilidades'!$D34:$W34)=0,"",SUMPRODUCT('Calc_Mix'!$D$14:$W$14,'Matriz_Habilidades'!$D34:$W34)/'Calc_Mix'!$X$14+ROW()*0.000001))</f>
        <v/>
      </c>
      <c r="R34" s="34">
        <f>IF(OR($B34="",$C34&lt;&gt;"Ativo",$D34&lt;&gt;'Calc_Mix'!$C$15,'Calc_Mix'!$X$15=0,COUNTIFS(Esc_Turno,'Calc_Mix'!$C$15,Esc_Circ,$B34)+COUNTIFS(Esc_Turno,'Calc_Mix'!$C$15,Esc_Instr,$B34)&gt;0),"",IF(SUMPRODUCT('Calc_Mix'!$D$15:$W$15,'Matriz_Habilidades'!$D34:$W34)=0,"",SUMPRODUCT('Calc_Mix'!$D$15:$W$15,'Matriz_Habilidades'!$D34:$W34)/'Calc_Mix'!$X$15+ROW()*0.000001))</f>
        <v/>
      </c>
      <c r="S34" s="34">
        <f>IF(OR($B34="",$C34&lt;&gt;"Ativo",$D34&lt;&gt;'Calc_Mix'!$C$16,'Calc_Mix'!$X$16=0,COUNTIFS(Esc_Turno,'Calc_Mix'!$C$16,Esc_Circ,$B34)+COUNTIFS(Esc_Turno,'Calc_Mix'!$C$16,Esc_Instr,$B34)&gt;0),"",IF(SUMPRODUCT('Calc_Mix'!$D$16:$W$16,'Matriz_Habilidades'!$D34:$W34)=0,"",SUMPRODUCT('Calc_Mix'!$D$16:$W$16,'Matriz_Habilidades'!$D34:$W34)/'Calc_Mix'!$X$16+ROW()*0.000001))</f>
        <v/>
      </c>
      <c r="T34" s="34">
        <f>IF(OR($B34="",$C34&lt;&gt;"Ativo",$D34&lt;&gt;'Calc_Mix'!$C$17,'Calc_Mix'!$X$17=0,COUNTIFS(Esc_Turno,'Calc_Mix'!$C$17,Esc_Circ,$B34)+COUNTIFS(Esc_Turno,'Calc_Mix'!$C$17,Esc_Instr,$B34)&gt;0),"",IF(SUMPRODUCT('Calc_Mix'!$D$17:$W$17,'Matriz_Habilidades'!$D34:$W34)=0,"",SUMPRODUCT('Calc_Mix'!$D$17:$W$17,'Matriz_Habilidades'!$D34:$W34)/'Calc_Mix'!$X$17+ROW()*0.000001))</f>
        <v/>
      </c>
      <c r="U34" s="34">
        <f>IF(OR($B34="",$C34&lt;&gt;"Ativo",$D34&lt;&gt;'Calc_Mix'!$C$18,'Calc_Mix'!$X$18=0,COUNTIFS(Esc_Turno,'Calc_Mix'!$C$18,Esc_Circ,$B34)+COUNTIFS(Esc_Turno,'Calc_Mix'!$C$18,Esc_Instr,$B34)&gt;0),"",IF(SUMPRODUCT('Calc_Mix'!$D$18:$W$18,'Matriz_Habilidades'!$D34:$W34)=0,"",SUMPRODUCT('Calc_Mix'!$D$18:$W$18,'Matriz_Habilidades'!$D34:$W34)/'Calc_Mix'!$X$18+ROW()*0.000001))</f>
        <v/>
      </c>
      <c r="V34" s="34">
        <f>IF(OR($B34="",$C34&lt;&gt;"Ativo",$D34&lt;&gt;'Calc_Mix'!$C$19,'Calc_Mix'!$X$19=0,COUNTIFS(Esc_Turno,'Calc_Mix'!$C$19,Esc_Circ,$B34)+COUNTIFS(Esc_Turno,'Calc_Mix'!$C$19,Esc_Instr,$B34)&gt;0),"",IF(SUMPRODUCT('Calc_Mix'!$D$19:$W$19,'Matriz_Habilidades'!$D34:$W34)=0,"",SUMPRODUCT('Calc_Mix'!$D$19:$W$19,'Matriz_Habilidades'!$D34:$W34)/'Calc_Mix'!$X$19+ROW()*0.000001))</f>
        <v/>
      </c>
      <c r="W34" s="34">
        <f>IF(OR($B34="",$C34&lt;&gt;"Ativo",$D34&lt;&gt;'Calc_Mix'!$C$20,'Calc_Mix'!$X$20=0,COUNTIFS(Esc_Turno,'Calc_Mix'!$C$20,Esc_Circ,$B34)+COUNTIFS(Esc_Turno,'Calc_Mix'!$C$20,Esc_Instr,$B34)&gt;0),"",IF(SUMPRODUCT('Calc_Mix'!$D$20:$W$20,'Matriz_Habilidades'!$D34:$W34)=0,"",SUMPRODUCT('Calc_Mix'!$D$20:$W$20,'Matriz_Habilidades'!$D34:$W34)/'Calc_Mix'!$X$20+ROW()*0.000001))</f>
        <v/>
      </c>
      <c r="X34" s="34">
        <f>IF(OR($B34="",$C34&lt;&gt;"Ativo",$D34&lt;&gt;'Calc_Mix'!$C$21,'Calc_Mix'!$X$21=0,COUNTIFS(Esc_Turno,'Calc_Mix'!$C$21,Esc_Circ,$B34)+COUNTIFS(Esc_Turno,'Calc_Mix'!$C$21,Esc_Instr,$B34)&gt;0),"",IF(SUMPRODUCT('Calc_Mix'!$D$21:$W$21,'Matriz_Habilidades'!$D34:$W34)=0,"",SUMPRODUCT('Calc_Mix'!$D$21:$W$21,'Matriz_Habilidades'!$D34:$W34)/'Calc_Mix'!$X$21+ROW()*0.000001))</f>
        <v/>
      </c>
      <c r="Y34" s="34">
        <f>IF(OR($B34="",$C34&lt;&gt;"Ativo",$D34&lt;&gt;'Calc_Mix'!$C$22,'Calc_Mix'!$X$22=0,COUNTIFS(Esc_Turno,'Calc_Mix'!$C$22,Esc_Circ,$B34)+COUNTIFS(Esc_Turno,'Calc_Mix'!$C$22,Esc_Instr,$B34)&gt;0),"",IF(SUMPRODUCT('Calc_Mix'!$D$22:$W$22,'Matriz_Habilidades'!$D34:$W34)=0,"",SUMPRODUCT('Calc_Mix'!$D$22:$W$22,'Matriz_Habilidades'!$D34:$W34)/'Calc_Mix'!$X$22+ROW()*0.000001))</f>
        <v/>
      </c>
      <c r="Z34" s="34">
        <f>IF(OR($B34="",$C34&lt;&gt;"Ativo",$D34&lt;&gt;'Calc_Mix'!$C$23,'Calc_Mix'!$X$23=0,COUNTIFS(Esc_Turno,'Calc_Mix'!$C$23,Esc_Circ,$B34)+COUNTIFS(Esc_Turno,'Calc_Mix'!$C$23,Esc_Instr,$B34)&gt;0),"",IF(SUMPRODUCT('Calc_Mix'!$D$23:$W$23,'Matriz_Habilidades'!$D34:$W34)=0,"",SUMPRODUCT('Calc_Mix'!$D$23:$W$23,'Matriz_Habilidades'!$D34:$W34)/'Calc_Mix'!$X$23+ROW()*0.000001))</f>
        <v/>
      </c>
      <c r="AA34" s="34">
        <f>IF(OR($B34="",$C34&lt;&gt;"Ativo",$D34&lt;&gt;'Calc_Mix'!$C$24,'Calc_Mix'!$X$24=0,COUNTIFS(Esc_Turno,'Calc_Mix'!$C$24,Esc_Circ,$B34)+COUNTIFS(Esc_Turno,'Calc_Mix'!$C$24,Esc_Instr,$B34)&gt;0),"",IF(SUMPRODUCT('Calc_Mix'!$D$24:$W$24,'Matriz_Habilidades'!$D34:$W34)=0,"",SUMPRODUCT('Calc_Mix'!$D$24:$W$24,'Matriz_Habilidades'!$D34:$W34)/'Calc_Mix'!$X$24+ROW()*0.000001))</f>
        <v/>
      </c>
      <c r="AB34" s="34">
        <f>IF(OR($B34="",$C34&lt;&gt;"Ativo",$D34&lt;&gt;'Calc_Mix'!$C$25,'Calc_Mix'!$X$25=0,COUNTIFS(Esc_Turno,'Calc_Mix'!$C$25,Esc_Circ,$B34)+COUNTIFS(Esc_Turno,'Calc_Mix'!$C$25,Esc_Instr,$B34)&gt;0),"",IF(SUMPRODUCT('Calc_Mix'!$D$25:$W$25,'Matriz_Habilidades'!$D34:$W34)=0,"",SUMPRODUCT('Calc_Mix'!$D$25:$W$25,'Matriz_Habilidades'!$D34:$W34)/'Calc_Mix'!$X$25+ROW()*0.000001))</f>
        <v/>
      </c>
      <c r="AC34" s="34">
        <f>IF(OR($B34="",$C34&lt;&gt;"Ativo",$D34&lt;&gt;'Calc_Mix'!$C$26,'Calc_Mix'!$X$26=0,COUNTIFS(Esc_Turno,'Calc_Mix'!$C$26,Esc_Circ,$B34)+COUNTIFS(Esc_Turno,'Calc_Mix'!$C$26,Esc_Instr,$B34)&gt;0),"",IF(SUMPRODUCT('Calc_Mix'!$D$26:$W$26,'Matriz_Habilidades'!$D34:$W34)=0,"",SUMPRODUCT('Calc_Mix'!$D$26:$W$26,'Matriz_Habilidades'!$D34:$W34)/'Calc_Mix'!$X$26+ROW()*0.000001))</f>
        <v/>
      </c>
      <c r="AD34" s="34">
        <f>IF(OR($B34="",$C34&lt;&gt;"Ativo",$D34&lt;&gt;'Calc_Mix'!$C$27,'Calc_Mix'!$X$27=0,COUNTIFS(Esc_Turno,'Calc_Mix'!$C$27,Esc_Circ,$B34)+COUNTIFS(Esc_Turno,'Calc_Mix'!$C$27,Esc_Instr,$B34)&gt;0),"",IF(SUMPRODUCT('Calc_Mix'!$D$27:$W$27,'Matriz_Habilidades'!$D34:$W34)=0,"",SUMPRODUCT('Calc_Mix'!$D$27:$W$27,'Matriz_Habilidades'!$D34:$W34)/'Calc_Mix'!$X$27+ROW()*0.000001))</f>
        <v/>
      </c>
      <c r="AE34" s="34">
        <f>IF(OR($B34="",$C34&lt;&gt;"Ativo",$D34&lt;&gt;'Calc_Mix'!$C$28,'Calc_Mix'!$X$28=0,COUNTIFS(Esc_Turno,'Calc_Mix'!$C$28,Esc_Circ,$B34)+COUNTIFS(Esc_Turno,'Calc_Mix'!$C$28,Esc_Instr,$B34)&gt;0),"",IF(SUMPRODUCT('Calc_Mix'!$D$28:$W$28,'Matriz_Habilidades'!$D34:$W34)=0,"",SUMPRODUCT('Calc_Mix'!$D$28:$W$28,'Matriz_Habilidades'!$D34:$W34)/'Calc_Mix'!$X$28+ROW()*0.000001))</f>
        <v/>
      </c>
      <c r="AF34" s="34">
        <f>IF(OR($B34="",$C34&lt;&gt;"Ativo",$D34&lt;&gt;'Calc_Mix'!$C$29,'Calc_Mix'!$X$29=0,COUNTIFS(Esc_Turno,'Calc_Mix'!$C$29,Esc_Circ,$B34)+COUNTIFS(Esc_Turno,'Calc_Mix'!$C$29,Esc_Instr,$B34)&gt;0),"",IF(SUMPRODUCT('Calc_Mix'!$D$29:$W$29,'Matriz_Habilidades'!$D34:$W34)=0,"",SUMPRODUCT('Calc_Mix'!$D$29:$W$29,'Matriz_Habilidades'!$D34:$W34)/'Calc_Mix'!$X$29+ROW()*0.000001))</f>
        <v/>
      </c>
      <c r="AG34" s="34">
        <f>IF(OR($B34="",$C34&lt;&gt;"Ativo",$D34&lt;&gt;'Calc_Mix'!$C$30,'Calc_Mix'!$X$30=0,COUNTIFS(Esc_Turno,'Calc_Mix'!$C$30,Esc_Circ,$B34)+COUNTIFS(Esc_Turno,'Calc_Mix'!$C$30,Esc_Instr,$B34)&gt;0),"",IF(SUMPRODUCT('Calc_Mix'!$D$30:$W$30,'Matriz_Habilidades'!$D34:$W34)=0,"",SUMPRODUCT('Calc_Mix'!$D$30:$W$30,'Matriz_Habilidades'!$D34:$W34)/'Calc_Mix'!$X$30+ROW()*0.000001))</f>
        <v/>
      </c>
      <c r="AH34" s="34">
        <f>IF(OR($B34="",$C34&lt;&gt;"Ativo",$D34&lt;&gt;'Calc_Mix'!$C$31,'Calc_Mix'!$X$31=0,COUNTIFS(Esc_Turno,'Calc_Mix'!$C$31,Esc_Circ,$B34)+COUNTIFS(Esc_Turno,'Calc_Mix'!$C$31,Esc_Instr,$B34)&gt;0),"",IF(SUMPRODUCT('Calc_Mix'!$D$31:$W$31,'Matriz_Habilidades'!$D34:$W34)=0,"",SUMPRODUCT('Calc_Mix'!$D$31:$W$31,'Matriz_Habilidades'!$D34:$W34)/'Calc_Mix'!$X$31+ROW()*0.000001))</f>
        <v/>
      </c>
      <c r="AI34" s="34">
        <f>IF(OR($B34="",$C34&lt;&gt;"Ativo",$D34&lt;&gt;'Calc_Mix'!$C$32,'Calc_Mix'!$X$32=0,COUNTIFS(Esc_Turno,'Calc_Mix'!$C$32,Esc_Circ,$B34)+COUNTIFS(Esc_Turno,'Calc_Mix'!$C$32,Esc_Instr,$B34)&gt;0),"",IF(SUMPRODUCT('Calc_Mix'!$D$32:$W$32,'Matriz_Habilidades'!$D34:$W34)=0,"",SUMPRODUCT('Calc_Mix'!$D$32:$W$32,'Matriz_Habilidades'!$D34:$W34)/'Calc_Mix'!$X$32+ROW()*0.000001))</f>
        <v/>
      </c>
      <c r="AJ34" s="34">
        <f>IF(OR($B34="",$C34&lt;&gt;"Ativo",$D34&lt;&gt;'Calc_Mix'!$C$33,'Calc_Mix'!$X$33=0,COUNTIFS(Esc_Turno,'Calc_Mix'!$C$33,Esc_Circ,$B34)+COUNTIFS(Esc_Turno,'Calc_Mix'!$C$33,Esc_Instr,$B34)&gt;0),"",IF(SUMPRODUCT('Calc_Mix'!$D$33:$W$33,'Matriz_Habilidades'!$D34:$W34)=0,"",SUMPRODUCT('Calc_Mix'!$D$33:$W$33,'Matriz_Habilidades'!$D34:$W34)/'Calc_Mix'!$X$33+ROW()*0.000001))</f>
        <v/>
      </c>
      <c r="AK34" s="34">
        <f>IF(OR($B34="",$C34&lt;&gt;"Ativo",$D34&lt;&gt;'Calc_Mix'!$C$34,'Calc_Mix'!$X$34=0,COUNTIFS(Esc_Turno,'Calc_Mix'!$C$34,Esc_Circ,$B34)+COUNTIFS(Esc_Turno,'Calc_Mix'!$C$34,Esc_Instr,$B34)&gt;0),"",IF(SUMPRODUCT('Calc_Mix'!$D$34:$W$34,'Matriz_Habilidades'!$D34:$W34)=0,"",SUMPRODUCT('Calc_Mix'!$D$34:$W$34,'Matriz_Habilidades'!$D34:$W34)/'Calc_Mix'!$X$34+ROW()*0.000001))</f>
        <v/>
      </c>
      <c r="AL34" s="34">
        <f>IF(OR($B34="",$C34&lt;&gt;"Ativo",$D34&lt;&gt;'Calc_Mix'!$C$35,'Calc_Mix'!$X$35=0,COUNTIFS(Esc_Turno,'Calc_Mix'!$C$35,Esc_Circ,$B34)+COUNTIFS(Esc_Turno,'Calc_Mix'!$C$35,Esc_Instr,$B34)&gt;0),"",IF(SUMPRODUCT('Calc_Mix'!$D$35:$W$35,'Matriz_Habilidades'!$D34:$W34)=0,"",SUMPRODUCT('Calc_Mix'!$D$35:$W$35,'Matriz_Habilidades'!$D34:$W34)/'Calc_Mix'!$X$35+ROW()*0.000001))</f>
        <v/>
      </c>
      <c r="AM34" s="34">
        <f>IF(OR($B34="",$C34&lt;&gt;"Ativo",$D34&lt;&gt;'Calc_Mix'!$C$36,'Calc_Mix'!$X$36=0,COUNTIFS(Esc_Turno,'Calc_Mix'!$C$36,Esc_Circ,$B34)+COUNTIFS(Esc_Turno,'Calc_Mix'!$C$36,Esc_Instr,$B34)&gt;0),"",IF(SUMPRODUCT('Calc_Mix'!$D$36:$W$36,'Matriz_Habilidades'!$D34:$W34)=0,"",SUMPRODUCT('Calc_Mix'!$D$36:$W$36,'Matriz_Habilidades'!$D34:$W34)/'Calc_Mix'!$X$36+ROW()*0.000001))</f>
        <v/>
      </c>
      <c r="AN34" s="34">
        <f>IF(OR($B34="",$C34&lt;&gt;"Ativo",$D34&lt;&gt;'Calc_Mix'!$C$37,'Calc_Mix'!$X$37=0,COUNTIFS(Esc_Turno,'Calc_Mix'!$C$37,Esc_Circ,$B34)+COUNTIFS(Esc_Turno,'Calc_Mix'!$C$37,Esc_Instr,$B34)&gt;0),"",IF(SUMPRODUCT('Calc_Mix'!$D$37:$W$37,'Matriz_Habilidades'!$D34:$W34)=0,"",SUMPRODUCT('Calc_Mix'!$D$37:$W$37,'Matriz_Habilidades'!$D34:$W34)/'Calc_Mix'!$X$37+ROW()*0.000001))</f>
        <v/>
      </c>
    </row>
    <row r="35">
      <c r="A35" s="27">
        <f>IF('Matriz_Habilidades'!A35="","",'Matriz_Habilidades'!A35)</f>
        <v/>
      </c>
      <c r="B35" s="28">
        <f>IF('Matriz_Habilidades'!B35="","",'Matriz_Habilidades'!B35)</f>
        <v/>
      </c>
      <c r="C35" s="27">
        <f>IF($A35="","",IFERROR(INDEX(Equipe_Status,MATCH($B35,Equipe_Nome,0)),"?"))</f>
        <v/>
      </c>
      <c r="D35" s="27">
        <f>IF($A35="","",IFERROR(INDEX(Equipe_Turno,MATCH($B35,Equipe_Nome,0)),"?"))</f>
        <v/>
      </c>
      <c r="E35" s="34">
        <f>IF(OR($B35="",$C35&lt;&gt;"Ativo",$D35&lt;&gt;'Calc_Mix'!$C$2,'Calc_Mix'!$X$2=0,COUNTIFS(Esc_Turno,'Calc_Mix'!$C$2,Esc_Circ,$B35)+COUNTIFS(Esc_Turno,'Calc_Mix'!$C$2,Esc_Instr,$B35)&gt;0),"",IF(SUMPRODUCT('Calc_Mix'!$D$2:$W$2,'Matriz_Habilidades'!$D35:$W35)=0,"",SUMPRODUCT('Calc_Mix'!$D$2:$W$2,'Matriz_Habilidades'!$D35:$W35)/'Calc_Mix'!$X$2+ROW()*0.000001))</f>
        <v/>
      </c>
      <c r="F35" s="34">
        <f>IF(OR($B35="",$C35&lt;&gt;"Ativo",$D35&lt;&gt;'Calc_Mix'!$C$3,'Calc_Mix'!$X$3=0,COUNTIFS(Esc_Turno,'Calc_Mix'!$C$3,Esc_Circ,$B35)+COUNTIFS(Esc_Turno,'Calc_Mix'!$C$3,Esc_Instr,$B35)&gt;0),"",IF(SUMPRODUCT('Calc_Mix'!$D$3:$W$3,'Matriz_Habilidades'!$D35:$W35)=0,"",SUMPRODUCT('Calc_Mix'!$D$3:$W$3,'Matriz_Habilidades'!$D35:$W35)/'Calc_Mix'!$X$3+ROW()*0.000001))</f>
        <v/>
      </c>
      <c r="G35" s="34">
        <f>IF(OR($B35="",$C35&lt;&gt;"Ativo",$D35&lt;&gt;'Calc_Mix'!$C$4,'Calc_Mix'!$X$4=0,COUNTIFS(Esc_Turno,'Calc_Mix'!$C$4,Esc_Circ,$B35)+COUNTIFS(Esc_Turno,'Calc_Mix'!$C$4,Esc_Instr,$B35)&gt;0),"",IF(SUMPRODUCT('Calc_Mix'!$D$4:$W$4,'Matriz_Habilidades'!$D35:$W35)=0,"",SUMPRODUCT('Calc_Mix'!$D$4:$W$4,'Matriz_Habilidades'!$D35:$W35)/'Calc_Mix'!$X$4+ROW()*0.000001))</f>
        <v/>
      </c>
      <c r="H35" s="34">
        <f>IF(OR($B35="",$C35&lt;&gt;"Ativo",$D35&lt;&gt;'Calc_Mix'!$C$5,'Calc_Mix'!$X$5=0,COUNTIFS(Esc_Turno,'Calc_Mix'!$C$5,Esc_Circ,$B35)+COUNTIFS(Esc_Turno,'Calc_Mix'!$C$5,Esc_Instr,$B35)&gt;0),"",IF(SUMPRODUCT('Calc_Mix'!$D$5:$W$5,'Matriz_Habilidades'!$D35:$W35)=0,"",SUMPRODUCT('Calc_Mix'!$D$5:$W$5,'Matriz_Habilidades'!$D35:$W35)/'Calc_Mix'!$X$5+ROW()*0.000001))</f>
        <v/>
      </c>
      <c r="I35" s="34">
        <f>IF(OR($B35="",$C35&lt;&gt;"Ativo",$D35&lt;&gt;'Calc_Mix'!$C$6,'Calc_Mix'!$X$6=0,COUNTIFS(Esc_Turno,'Calc_Mix'!$C$6,Esc_Circ,$B35)+COUNTIFS(Esc_Turno,'Calc_Mix'!$C$6,Esc_Instr,$B35)&gt;0),"",IF(SUMPRODUCT('Calc_Mix'!$D$6:$W$6,'Matriz_Habilidades'!$D35:$W35)=0,"",SUMPRODUCT('Calc_Mix'!$D$6:$W$6,'Matriz_Habilidades'!$D35:$W35)/'Calc_Mix'!$X$6+ROW()*0.000001))</f>
        <v/>
      </c>
      <c r="J35" s="34">
        <f>IF(OR($B35="",$C35&lt;&gt;"Ativo",$D35&lt;&gt;'Calc_Mix'!$C$7,'Calc_Mix'!$X$7=0,COUNTIFS(Esc_Turno,'Calc_Mix'!$C$7,Esc_Circ,$B35)+COUNTIFS(Esc_Turno,'Calc_Mix'!$C$7,Esc_Instr,$B35)&gt;0),"",IF(SUMPRODUCT('Calc_Mix'!$D$7:$W$7,'Matriz_Habilidades'!$D35:$W35)=0,"",SUMPRODUCT('Calc_Mix'!$D$7:$W$7,'Matriz_Habilidades'!$D35:$W35)/'Calc_Mix'!$X$7+ROW()*0.000001))</f>
        <v/>
      </c>
      <c r="K35" s="34">
        <f>IF(OR($B35="",$C35&lt;&gt;"Ativo",$D35&lt;&gt;'Calc_Mix'!$C$8,'Calc_Mix'!$X$8=0,COUNTIFS(Esc_Turno,'Calc_Mix'!$C$8,Esc_Circ,$B35)+COUNTIFS(Esc_Turno,'Calc_Mix'!$C$8,Esc_Instr,$B35)&gt;0),"",IF(SUMPRODUCT('Calc_Mix'!$D$8:$W$8,'Matriz_Habilidades'!$D35:$W35)=0,"",SUMPRODUCT('Calc_Mix'!$D$8:$W$8,'Matriz_Habilidades'!$D35:$W35)/'Calc_Mix'!$X$8+ROW()*0.000001))</f>
        <v/>
      </c>
      <c r="L35" s="34">
        <f>IF(OR($B35="",$C35&lt;&gt;"Ativo",$D35&lt;&gt;'Calc_Mix'!$C$9,'Calc_Mix'!$X$9=0,COUNTIFS(Esc_Turno,'Calc_Mix'!$C$9,Esc_Circ,$B35)+COUNTIFS(Esc_Turno,'Calc_Mix'!$C$9,Esc_Instr,$B35)&gt;0),"",IF(SUMPRODUCT('Calc_Mix'!$D$9:$W$9,'Matriz_Habilidades'!$D35:$W35)=0,"",SUMPRODUCT('Calc_Mix'!$D$9:$W$9,'Matriz_Habilidades'!$D35:$W35)/'Calc_Mix'!$X$9+ROW()*0.000001))</f>
        <v/>
      </c>
      <c r="M35" s="34">
        <f>IF(OR($B35="",$C35&lt;&gt;"Ativo",$D35&lt;&gt;'Calc_Mix'!$C$10,'Calc_Mix'!$X$10=0,COUNTIFS(Esc_Turno,'Calc_Mix'!$C$10,Esc_Circ,$B35)+COUNTIFS(Esc_Turno,'Calc_Mix'!$C$10,Esc_Instr,$B35)&gt;0),"",IF(SUMPRODUCT('Calc_Mix'!$D$10:$W$10,'Matriz_Habilidades'!$D35:$W35)=0,"",SUMPRODUCT('Calc_Mix'!$D$10:$W$10,'Matriz_Habilidades'!$D35:$W35)/'Calc_Mix'!$X$10+ROW()*0.000001))</f>
        <v/>
      </c>
      <c r="N35" s="34">
        <f>IF(OR($B35="",$C35&lt;&gt;"Ativo",$D35&lt;&gt;'Calc_Mix'!$C$11,'Calc_Mix'!$X$11=0,COUNTIFS(Esc_Turno,'Calc_Mix'!$C$11,Esc_Circ,$B35)+COUNTIFS(Esc_Turno,'Calc_Mix'!$C$11,Esc_Instr,$B35)&gt;0),"",IF(SUMPRODUCT('Calc_Mix'!$D$11:$W$11,'Matriz_Habilidades'!$D35:$W35)=0,"",SUMPRODUCT('Calc_Mix'!$D$11:$W$11,'Matriz_Habilidades'!$D35:$W35)/'Calc_Mix'!$X$11+ROW()*0.000001))</f>
        <v/>
      </c>
      <c r="O35" s="34">
        <f>IF(OR($B35="",$C35&lt;&gt;"Ativo",$D35&lt;&gt;'Calc_Mix'!$C$12,'Calc_Mix'!$X$12=0,COUNTIFS(Esc_Turno,'Calc_Mix'!$C$12,Esc_Circ,$B35)+COUNTIFS(Esc_Turno,'Calc_Mix'!$C$12,Esc_Instr,$B35)&gt;0),"",IF(SUMPRODUCT('Calc_Mix'!$D$12:$W$12,'Matriz_Habilidades'!$D35:$W35)=0,"",SUMPRODUCT('Calc_Mix'!$D$12:$W$12,'Matriz_Habilidades'!$D35:$W35)/'Calc_Mix'!$X$12+ROW()*0.000001))</f>
        <v/>
      </c>
      <c r="P35" s="34">
        <f>IF(OR($B35="",$C35&lt;&gt;"Ativo",$D35&lt;&gt;'Calc_Mix'!$C$13,'Calc_Mix'!$X$13=0,COUNTIFS(Esc_Turno,'Calc_Mix'!$C$13,Esc_Circ,$B35)+COUNTIFS(Esc_Turno,'Calc_Mix'!$C$13,Esc_Instr,$B35)&gt;0),"",IF(SUMPRODUCT('Calc_Mix'!$D$13:$W$13,'Matriz_Habilidades'!$D35:$W35)=0,"",SUMPRODUCT('Calc_Mix'!$D$13:$W$13,'Matriz_Habilidades'!$D35:$W35)/'Calc_Mix'!$X$13+ROW()*0.000001))</f>
        <v/>
      </c>
      <c r="Q35" s="34">
        <f>IF(OR($B35="",$C35&lt;&gt;"Ativo",$D35&lt;&gt;'Calc_Mix'!$C$14,'Calc_Mix'!$X$14=0,COUNTIFS(Esc_Turno,'Calc_Mix'!$C$14,Esc_Circ,$B35)+COUNTIFS(Esc_Turno,'Calc_Mix'!$C$14,Esc_Instr,$B35)&gt;0),"",IF(SUMPRODUCT('Calc_Mix'!$D$14:$W$14,'Matriz_Habilidades'!$D35:$W35)=0,"",SUMPRODUCT('Calc_Mix'!$D$14:$W$14,'Matriz_Habilidades'!$D35:$W35)/'Calc_Mix'!$X$14+ROW()*0.000001))</f>
        <v/>
      </c>
      <c r="R35" s="34">
        <f>IF(OR($B35="",$C35&lt;&gt;"Ativo",$D35&lt;&gt;'Calc_Mix'!$C$15,'Calc_Mix'!$X$15=0,COUNTIFS(Esc_Turno,'Calc_Mix'!$C$15,Esc_Circ,$B35)+COUNTIFS(Esc_Turno,'Calc_Mix'!$C$15,Esc_Instr,$B35)&gt;0),"",IF(SUMPRODUCT('Calc_Mix'!$D$15:$W$15,'Matriz_Habilidades'!$D35:$W35)=0,"",SUMPRODUCT('Calc_Mix'!$D$15:$W$15,'Matriz_Habilidades'!$D35:$W35)/'Calc_Mix'!$X$15+ROW()*0.000001))</f>
        <v/>
      </c>
      <c r="S35" s="34">
        <f>IF(OR($B35="",$C35&lt;&gt;"Ativo",$D35&lt;&gt;'Calc_Mix'!$C$16,'Calc_Mix'!$X$16=0,COUNTIFS(Esc_Turno,'Calc_Mix'!$C$16,Esc_Circ,$B35)+COUNTIFS(Esc_Turno,'Calc_Mix'!$C$16,Esc_Instr,$B35)&gt;0),"",IF(SUMPRODUCT('Calc_Mix'!$D$16:$W$16,'Matriz_Habilidades'!$D35:$W35)=0,"",SUMPRODUCT('Calc_Mix'!$D$16:$W$16,'Matriz_Habilidades'!$D35:$W35)/'Calc_Mix'!$X$16+ROW()*0.000001))</f>
        <v/>
      </c>
      <c r="T35" s="34">
        <f>IF(OR($B35="",$C35&lt;&gt;"Ativo",$D35&lt;&gt;'Calc_Mix'!$C$17,'Calc_Mix'!$X$17=0,COUNTIFS(Esc_Turno,'Calc_Mix'!$C$17,Esc_Circ,$B35)+COUNTIFS(Esc_Turno,'Calc_Mix'!$C$17,Esc_Instr,$B35)&gt;0),"",IF(SUMPRODUCT('Calc_Mix'!$D$17:$W$17,'Matriz_Habilidades'!$D35:$W35)=0,"",SUMPRODUCT('Calc_Mix'!$D$17:$W$17,'Matriz_Habilidades'!$D35:$W35)/'Calc_Mix'!$X$17+ROW()*0.000001))</f>
        <v/>
      </c>
      <c r="U35" s="34">
        <f>IF(OR($B35="",$C35&lt;&gt;"Ativo",$D35&lt;&gt;'Calc_Mix'!$C$18,'Calc_Mix'!$X$18=0,COUNTIFS(Esc_Turno,'Calc_Mix'!$C$18,Esc_Circ,$B35)+COUNTIFS(Esc_Turno,'Calc_Mix'!$C$18,Esc_Instr,$B35)&gt;0),"",IF(SUMPRODUCT('Calc_Mix'!$D$18:$W$18,'Matriz_Habilidades'!$D35:$W35)=0,"",SUMPRODUCT('Calc_Mix'!$D$18:$W$18,'Matriz_Habilidades'!$D35:$W35)/'Calc_Mix'!$X$18+ROW()*0.000001))</f>
        <v/>
      </c>
      <c r="V35" s="34">
        <f>IF(OR($B35="",$C35&lt;&gt;"Ativo",$D35&lt;&gt;'Calc_Mix'!$C$19,'Calc_Mix'!$X$19=0,COUNTIFS(Esc_Turno,'Calc_Mix'!$C$19,Esc_Circ,$B35)+COUNTIFS(Esc_Turno,'Calc_Mix'!$C$19,Esc_Instr,$B35)&gt;0),"",IF(SUMPRODUCT('Calc_Mix'!$D$19:$W$19,'Matriz_Habilidades'!$D35:$W35)=0,"",SUMPRODUCT('Calc_Mix'!$D$19:$W$19,'Matriz_Habilidades'!$D35:$W35)/'Calc_Mix'!$X$19+ROW()*0.000001))</f>
        <v/>
      </c>
      <c r="W35" s="34">
        <f>IF(OR($B35="",$C35&lt;&gt;"Ativo",$D35&lt;&gt;'Calc_Mix'!$C$20,'Calc_Mix'!$X$20=0,COUNTIFS(Esc_Turno,'Calc_Mix'!$C$20,Esc_Circ,$B35)+COUNTIFS(Esc_Turno,'Calc_Mix'!$C$20,Esc_Instr,$B35)&gt;0),"",IF(SUMPRODUCT('Calc_Mix'!$D$20:$W$20,'Matriz_Habilidades'!$D35:$W35)=0,"",SUMPRODUCT('Calc_Mix'!$D$20:$W$20,'Matriz_Habilidades'!$D35:$W35)/'Calc_Mix'!$X$20+ROW()*0.000001))</f>
        <v/>
      </c>
      <c r="X35" s="34">
        <f>IF(OR($B35="",$C35&lt;&gt;"Ativo",$D35&lt;&gt;'Calc_Mix'!$C$21,'Calc_Mix'!$X$21=0,COUNTIFS(Esc_Turno,'Calc_Mix'!$C$21,Esc_Circ,$B35)+COUNTIFS(Esc_Turno,'Calc_Mix'!$C$21,Esc_Instr,$B35)&gt;0),"",IF(SUMPRODUCT('Calc_Mix'!$D$21:$W$21,'Matriz_Habilidades'!$D35:$W35)=0,"",SUMPRODUCT('Calc_Mix'!$D$21:$W$21,'Matriz_Habilidades'!$D35:$W35)/'Calc_Mix'!$X$21+ROW()*0.000001))</f>
        <v/>
      </c>
      <c r="Y35" s="34">
        <f>IF(OR($B35="",$C35&lt;&gt;"Ativo",$D35&lt;&gt;'Calc_Mix'!$C$22,'Calc_Mix'!$X$22=0,COUNTIFS(Esc_Turno,'Calc_Mix'!$C$22,Esc_Circ,$B35)+COUNTIFS(Esc_Turno,'Calc_Mix'!$C$22,Esc_Instr,$B35)&gt;0),"",IF(SUMPRODUCT('Calc_Mix'!$D$22:$W$22,'Matriz_Habilidades'!$D35:$W35)=0,"",SUMPRODUCT('Calc_Mix'!$D$22:$W$22,'Matriz_Habilidades'!$D35:$W35)/'Calc_Mix'!$X$22+ROW()*0.000001))</f>
        <v/>
      </c>
      <c r="Z35" s="34">
        <f>IF(OR($B35="",$C35&lt;&gt;"Ativo",$D35&lt;&gt;'Calc_Mix'!$C$23,'Calc_Mix'!$X$23=0,COUNTIFS(Esc_Turno,'Calc_Mix'!$C$23,Esc_Circ,$B35)+COUNTIFS(Esc_Turno,'Calc_Mix'!$C$23,Esc_Instr,$B35)&gt;0),"",IF(SUMPRODUCT('Calc_Mix'!$D$23:$W$23,'Matriz_Habilidades'!$D35:$W35)=0,"",SUMPRODUCT('Calc_Mix'!$D$23:$W$23,'Matriz_Habilidades'!$D35:$W35)/'Calc_Mix'!$X$23+ROW()*0.000001))</f>
        <v/>
      </c>
      <c r="AA35" s="34">
        <f>IF(OR($B35="",$C35&lt;&gt;"Ativo",$D35&lt;&gt;'Calc_Mix'!$C$24,'Calc_Mix'!$X$24=0,COUNTIFS(Esc_Turno,'Calc_Mix'!$C$24,Esc_Circ,$B35)+COUNTIFS(Esc_Turno,'Calc_Mix'!$C$24,Esc_Instr,$B35)&gt;0),"",IF(SUMPRODUCT('Calc_Mix'!$D$24:$W$24,'Matriz_Habilidades'!$D35:$W35)=0,"",SUMPRODUCT('Calc_Mix'!$D$24:$W$24,'Matriz_Habilidades'!$D35:$W35)/'Calc_Mix'!$X$24+ROW()*0.000001))</f>
        <v/>
      </c>
      <c r="AB35" s="34">
        <f>IF(OR($B35="",$C35&lt;&gt;"Ativo",$D35&lt;&gt;'Calc_Mix'!$C$25,'Calc_Mix'!$X$25=0,COUNTIFS(Esc_Turno,'Calc_Mix'!$C$25,Esc_Circ,$B35)+COUNTIFS(Esc_Turno,'Calc_Mix'!$C$25,Esc_Instr,$B35)&gt;0),"",IF(SUMPRODUCT('Calc_Mix'!$D$25:$W$25,'Matriz_Habilidades'!$D35:$W35)=0,"",SUMPRODUCT('Calc_Mix'!$D$25:$W$25,'Matriz_Habilidades'!$D35:$W35)/'Calc_Mix'!$X$25+ROW()*0.000001))</f>
        <v/>
      </c>
      <c r="AC35" s="34">
        <f>IF(OR($B35="",$C35&lt;&gt;"Ativo",$D35&lt;&gt;'Calc_Mix'!$C$26,'Calc_Mix'!$X$26=0,COUNTIFS(Esc_Turno,'Calc_Mix'!$C$26,Esc_Circ,$B35)+COUNTIFS(Esc_Turno,'Calc_Mix'!$C$26,Esc_Instr,$B35)&gt;0),"",IF(SUMPRODUCT('Calc_Mix'!$D$26:$W$26,'Matriz_Habilidades'!$D35:$W35)=0,"",SUMPRODUCT('Calc_Mix'!$D$26:$W$26,'Matriz_Habilidades'!$D35:$W35)/'Calc_Mix'!$X$26+ROW()*0.000001))</f>
        <v/>
      </c>
      <c r="AD35" s="34">
        <f>IF(OR($B35="",$C35&lt;&gt;"Ativo",$D35&lt;&gt;'Calc_Mix'!$C$27,'Calc_Mix'!$X$27=0,COUNTIFS(Esc_Turno,'Calc_Mix'!$C$27,Esc_Circ,$B35)+COUNTIFS(Esc_Turno,'Calc_Mix'!$C$27,Esc_Instr,$B35)&gt;0),"",IF(SUMPRODUCT('Calc_Mix'!$D$27:$W$27,'Matriz_Habilidades'!$D35:$W35)=0,"",SUMPRODUCT('Calc_Mix'!$D$27:$W$27,'Matriz_Habilidades'!$D35:$W35)/'Calc_Mix'!$X$27+ROW()*0.000001))</f>
        <v/>
      </c>
      <c r="AE35" s="34">
        <f>IF(OR($B35="",$C35&lt;&gt;"Ativo",$D35&lt;&gt;'Calc_Mix'!$C$28,'Calc_Mix'!$X$28=0,COUNTIFS(Esc_Turno,'Calc_Mix'!$C$28,Esc_Circ,$B35)+COUNTIFS(Esc_Turno,'Calc_Mix'!$C$28,Esc_Instr,$B35)&gt;0),"",IF(SUMPRODUCT('Calc_Mix'!$D$28:$W$28,'Matriz_Habilidades'!$D35:$W35)=0,"",SUMPRODUCT('Calc_Mix'!$D$28:$W$28,'Matriz_Habilidades'!$D35:$W35)/'Calc_Mix'!$X$28+ROW()*0.000001))</f>
        <v/>
      </c>
      <c r="AF35" s="34">
        <f>IF(OR($B35="",$C35&lt;&gt;"Ativo",$D35&lt;&gt;'Calc_Mix'!$C$29,'Calc_Mix'!$X$29=0,COUNTIFS(Esc_Turno,'Calc_Mix'!$C$29,Esc_Circ,$B35)+COUNTIFS(Esc_Turno,'Calc_Mix'!$C$29,Esc_Instr,$B35)&gt;0),"",IF(SUMPRODUCT('Calc_Mix'!$D$29:$W$29,'Matriz_Habilidades'!$D35:$W35)=0,"",SUMPRODUCT('Calc_Mix'!$D$29:$W$29,'Matriz_Habilidades'!$D35:$W35)/'Calc_Mix'!$X$29+ROW()*0.000001))</f>
        <v/>
      </c>
      <c r="AG35" s="34">
        <f>IF(OR($B35="",$C35&lt;&gt;"Ativo",$D35&lt;&gt;'Calc_Mix'!$C$30,'Calc_Mix'!$X$30=0,COUNTIFS(Esc_Turno,'Calc_Mix'!$C$30,Esc_Circ,$B35)+COUNTIFS(Esc_Turno,'Calc_Mix'!$C$30,Esc_Instr,$B35)&gt;0),"",IF(SUMPRODUCT('Calc_Mix'!$D$30:$W$30,'Matriz_Habilidades'!$D35:$W35)=0,"",SUMPRODUCT('Calc_Mix'!$D$30:$W$30,'Matriz_Habilidades'!$D35:$W35)/'Calc_Mix'!$X$30+ROW()*0.000001))</f>
        <v/>
      </c>
      <c r="AH35" s="34">
        <f>IF(OR($B35="",$C35&lt;&gt;"Ativo",$D35&lt;&gt;'Calc_Mix'!$C$31,'Calc_Mix'!$X$31=0,COUNTIFS(Esc_Turno,'Calc_Mix'!$C$31,Esc_Circ,$B35)+COUNTIFS(Esc_Turno,'Calc_Mix'!$C$31,Esc_Instr,$B35)&gt;0),"",IF(SUMPRODUCT('Calc_Mix'!$D$31:$W$31,'Matriz_Habilidades'!$D35:$W35)=0,"",SUMPRODUCT('Calc_Mix'!$D$31:$W$31,'Matriz_Habilidades'!$D35:$W35)/'Calc_Mix'!$X$31+ROW()*0.000001))</f>
        <v/>
      </c>
      <c r="AI35" s="34">
        <f>IF(OR($B35="",$C35&lt;&gt;"Ativo",$D35&lt;&gt;'Calc_Mix'!$C$32,'Calc_Mix'!$X$32=0,COUNTIFS(Esc_Turno,'Calc_Mix'!$C$32,Esc_Circ,$B35)+COUNTIFS(Esc_Turno,'Calc_Mix'!$C$32,Esc_Instr,$B35)&gt;0),"",IF(SUMPRODUCT('Calc_Mix'!$D$32:$W$32,'Matriz_Habilidades'!$D35:$W35)=0,"",SUMPRODUCT('Calc_Mix'!$D$32:$W$32,'Matriz_Habilidades'!$D35:$W35)/'Calc_Mix'!$X$32+ROW()*0.000001))</f>
        <v/>
      </c>
      <c r="AJ35" s="34">
        <f>IF(OR($B35="",$C35&lt;&gt;"Ativo",$D35&lt;&gt;'Calc_Mix'!$C$33,'Calc_Mix'!$X$33=0,COUNTIFS(Esc_Turno,'Calc_Mix'!$C$33,Esc_Circ,$B35)+COUNTIFS(Esc_Turno,'Calc_Mix'!$C$33,Esc_Instr,$B35)&gt;0),"",IF(SUMPRODUCT('Calc_Mix'!$D$33:$W$33,'Matriz_Habilidades'!$D35:$W35)=0,"",SUMPRODUCT('Calc_Mix'!$D$33:$W$33,'Matriz_Habilidades'!$D35:$W35)/'Calc_Mix'!$X$33+ROW()*0.000001))</f>
        <v/>
      </c>
      <c r="AK35" s="34">
        <f>IF(OR($B35="",$C35&lt;&gt;"Ativo",$D35&lt;&gt;'Calc_Mix'!$C$34,'Calc_Mix'!$X$34=0,COUNTIFS(Esc_Turno,'Calc_Mix'!$C$34,Esc_Circ,$B35)+COUNTIFS(Esc_Turno,'Calc_Mix'!$C$34,Esc_Instr,$B35)&gt;0),"",IF(SUMPRODUCT('Calc_Mix'!$D$34:$W$34,'Matriz_Habilidades'!$D35:$W35)=0,"",SUMPRODUCT('Calc_Mix'!$D$34:$W$34,'Matriz_Habilidades'!$D35:$W35)/'Calc_Mix'!$X$34+ROW()*0.000001))</f>
        <v/>
      </c>
      <c r="AL35" s="34">
        <f>IF(OR($B35="",$C35&lt;&gt;"Ativo",$D35&lt;&gt;'Calc_Mix'!$C$35,'Calc_Mix'!$X$35=0,COUNTIFS(Esc_Turno,'Calc_Mix'!$C$35,Esc_Circ,$B35)+COUNTIFS(Esc_Turno,'Calc_Mix'!$C$35,Esc_Instr,$B35)&gt;0),"",IF(SUMPRODUCT('Calc_Mix'!$D$35:$W$35,'Matriz_Habilidades'!$D35:$W35)=0,"",SUMPRODUCT('Calc_Mix'!$D$35:$W$35,'Matriz_Habilidades'!$D35:$W35)/'Calc_Mix'!$X$35+ROW()*0.000001))</f>
        <v/>
      </c>
      <c r="AM35" s="34">
        <f>IF(OR($B35="",$C35&lt;&gt;"Ativo",$D35&lt;&gt;'Calc_Mix'!$C$36,'Calc_Mix'!$X$36=0,COUNTIFS(Esc_Turno,'Calc_Mix'!$C$36,Esc_Circ,$B35)+COUNTIFS(Esc_Turno,'Calc_Mix'!$C$36,Esc_Instr,$B35)&gt;0),"",IF(SUMPRODUCT('Calc_Mix'!$D$36:$W$36,'Matriz_Habilidades'!$D35:$W35)=0,"",SUMPRODUCT('Calc_Mix'!$D$36:$W$36,'Matriz_Habilidades'!$D35:$W35)/'Calc_Mix'!$X$36+ROW()*0.000001))</f>
        <v/>
      </c>
      <c r="AN35" s="34">
        <f>IF(OR($B35="",$C35&lt;&gt;"Ativo",$D35&lt;&gt;'Calc_Mix'!$C$37,'Calc_Mix'!$X$37=0,COUNTIFS(Esc_Turno,'Calc_Mix'!$C$37,Esc_Circ,$B35)+COUNTIFS(Esc_Turno,'Calc_Mix'!$C$37,Esc_Instr,$B35)&gt;0),"",IF(SUMPRODUCT('Calc_Mix'!$D$37:$W$37,'Matriz_Habilidades'!$D35:$W35)=0,"",SUMPRODUCT('Calc_Mix'!$D$37:$W$37,'Matriz_Habilidades'!$D35:$W35)/'Calc_Mix'!$X$37+ROW()*0.000001))</f>
        <v/>
      </c>
    </row>
    <row r="36">
      <c r="A36" s="27">
        <f>IF('Matriz_Habilidades'!A36="","",'Matriz_Habilidades'!A36)</f>
        <v/>
      </c>
      <c r="B36" s="28">
        <f>IF('Matriz_Habilidades'!B36="","",'Matriz_Habilidades'!B36)</f>
        <v/>
      </c>
      <c r="C36" s="27">
        <f>IF($A36="","",IFERROR(INDEX(Equipe_Status,MATCH($B36,Equipe_Nome,0)),"?"))</f>
        <v/>
      </c>
      <c r="D36" s="27">
        <f>IF($A36="","",IFERROR(INDEX(Equipe_Turno,MATCH($B36,Equipe_Nome,0)),"?"))</f>
        <v/>
      </c>
      <c r="E36" s="34">
        <f>IF(OR($B36="",$C36&lt;&gt;"Ativo",$D36&lt;&gt;'Calc_Mix'!$C$2,'Calc_Mix'!$X$2=0,COUNTIFS(Esc_Turno,'Calc_Mix'!$C$2,Esc_Circ,$B36)+COUNTIFS(Esc_Turno,'Calc_Mix'!$C$2,Esc_Instr,$B36)&gt;0),"",IF(SUMPRODUCT('Calc_Mix'!$D$2:$W$2,'Matriz_Habilidades'!$D36:$W36)=0,"",SUMPRODUCT('Calc_Mix'!$D$2:$W$2,'Matriz_Habilidades'!$D36:$W36)/'Calc_Mix'!$X$2+ROW()*0.000001))</f>
        <v/>
      </c>
      <c r="F36" s="34">
        <f>IF(OR($B36="",$C36&lt;&gt;"Ativo",$D36&lt;&gt;'Calc_Mix'!$C$3,'Calc_Mix'!$X$3=0,COUNTIFS(Esc_Turno,'Calc_Mix'!$C$3,Esc_Circ,$B36)+COUNTIFS(Esc_Turno,'Calc_Mix'!$C$3,Esc_Instr,$B36)&gt;0),"",IF(SUMPRODUCT('Calc_Mix'!$D$3:$W$3,'Matriz_Habilidades'!$D36:$W36)=0,"",SUMPRODUCT('Calc_Mix'!$D$3:$W$3,'Matriz_Habilidades'!$D36:$W36)/'Calc_Mix'!$X$3+ROW()*0.000001))</f>
        <v/>
      </c>
      <c r="G36" s="34">
        <f>IF(OR($B36="",$C36&lt;&gt;"Ativo",$D36&lt;&gt;'Calc_Mix'!$C$4,'Calc_Mix'!$X$4=0,COUNTIFS(Esc_Turno,'Calc_Mix'!$C$4,Esc_Circ,$B36)+COUNTIFS(Esc_Turno,'Calc_Mix'!$C$4,Esc_Instr,$B36)&gt;0),"",IF(SUMPRODUCT('Calc_Mix'!$D$4:$W$4,'Matriz_Habilidades'!$D36:$W36)=0,"",SUMPRODUCT('Calc_Mix'!$D$4:$W$4,'Matriz_Habilidades'!$D36:$W36)/'Calc_Mix'!$X$4+ROW()*0.000001))</f>
        <v/>
      </c>
      <c r="H36" s="34">
        <f>IF(OR($B36="",$C36&lt;&gt;"Ativo",$D36&lt;&gt;'Calc_Mix'!$C$5,'Calc_Mix'!$X$5=0,COUNTIFS(Esc_Turno,'Calc_Mix'!$C$5,Esc_Circ,$B36)+COUNTIFS(Esc_Turno,'Calc_Mix'!$C$5,Esc_Instr,$B36)&gt;0),"",IF(SUMPRODUCT('Calc_Mix'!$D$5:$W$5,'Matriz_Habilidades'!$D36:$W36)=0,"",SUMPRODUCT('Calc_Mix'!$D$5:$W$5,'Matriz_Habilidades'!$D36:$W36)/'Calc_Mix'!$X$5+ROW()*0.000001))</f>
        <v/>
      </c>
      <c r="I36" s="34">
        <f>IF(OR($B36="",$C36&lt;&gt;"Ativo",$D36&lt;&gt;'Calc_Mix'!$C$6,'Calc_Mix'!$X$6=0,COUNTIFS(Esc_Turno,'Calc_Mix'!$C$6,Esc_Circ,$B36)+COUNTIFS(Esc_Turno,'Calc_Mix'!$C$6,Esc_Instr,$B36)&gt;0),"",IF(SUMPRODUCT('Calc_Mix'!$D$6:$W$6,'Matriz_Habilidades'!$D36:$W36)=0,"",SUMPRODUCT('Calc_Mix'!$D$6:$W$6,'Matriz_Habilidades'!$D36:$W36)/'Calc_Mix'!$X$6+ROW()*0.000001))</f>
        <v/>
      </c>
      <c r="J36" s="34">
        <f>IF(OR($B36="",$C36&lt;&gt;"Ativo",$D36&lt;&gt;'Calc_Mix'!$C$7,'Calc_Mix'!$X$7=0,COUNTIFS(Esc_Turno,'Calc_Mix'!$C$7,Esc_Circ,$B36)+COUNTIFS(Esc_Turno,'Calc_Mix'!$C$7,Esc_Instr,$B36)&gt;0),"",IF(SUMPRODUCT('Calc_Mix'!$D$7:$W$7,'Matriz_Habilidades'!$D36:$W36)=0,"",SUMPRODUCT('Calc_Mix'!$D$7:$W$7,'Matriz_Habilidades'!$D36:$W36)/'Calc_Mix'!$X$7+ROW()*0.000001))</f>
        <v/>
      </c>
      <c r="K36" s="34">
        <f>IF(OR($B36="",$C36&lt;&gt;"Ativo",$D36&lt;&gt;'Calc_Mix'!$C$8,'Calc_Mix'!$X$8=0,COUNTIFS(Esc_Turno,'Calc_Mix'!$C$8,Esc_Circ,$B36)+COUNTIFS(Esc_Turno,'Calc_Mix'!$C$8,Esc_Instr,$B36)&gt;0),"",IF(SUMPRODUCT('Calc_Mix'!$D$8:$W$8,'Matriz_Habilidades'!$D36:$W36)=0,"",SUMPRODUCT('Calc_Mix'!$D$8:$W$8,'Matriz_Habilidades'!$D36:$W36)/'Calc_Mix'!$X$8+ROW()*0.000001))</f>
        <v/>
      </c>
      <c r="L36" s="34">
        <f>IF(OR($B36="",$C36&lt;&gt;"Ativo",$D36&lt;&gt;'Calc_Mix'!$C$9,'Calc_Mix'!$X$9=0,COUNTIFS(Esc_Turno,'Calc_Mix'!$C$9,Esc_Circ,$B36)+COUNTIFS(Esc_Turno,'Calc_Mix'!$C$9,Esc_Instr,$B36)&gt;0),"",IF(SUMPRODUCT('Calc_Mix'!$D$9:$W$9,'Matriz_Habilidades'!$D36:$W36)=0,"",SUMPRODUCT('Calc_Mix'!$D$9:$W$9,'Matriz_Habilidades'!$D36:$W36)/'Calc_Mix'!$X$9+ROW()*0.000001))</f>
        <v/>
      </c>
      <c r="M36" s="34">
        <f>IF(OR($B36="",$C36&lt;&gt;"Ativo",$D36&lt;&gt;'Calc_Mix'!$C$10,'Calc_Mix'!$X$10=0,COUNTIFS(Esc_Turno,'Calc_Mix'!$C$10,Esc_Circ,$B36)+COUNTIFS(Esc_Turno,'Calc_Mix'!$C$10,Esc_Instr,$B36)&gt;0),"",IF(SUMPRODUCT('Calc_Mix'!$D$10:$W$10,'Matriz_Habilidades'!$D36:$W36)=0,"",SUMPRODUCT('Calc_Mix'!$D$10:$W$10,'Matriz_Habilidades'!$D36:$W36)/'Calc_Mix'!$X$10+ROW()*0.000001))</f>
        <v/>
      </c>
      <c r="N36" s="34">
        <f>IF(OR($B36="",$C36&lt;&gt;"Ativo",$D36&lt;&gt;'Calc_Mix'!$C$11,'Calc_Mix'!$X$11=0,COUNTIFS(Esc_Turno,'Calc_Mix'!$C$11,Esc_Circ,$B36)+COUNTIFS(Esc_Turno,'Calc_Mix'!$C$11,Esc_Instr,$B36)&gt;0),"",IF(SUMPRODUCT('Calc_Mix'!$D$11:$W$11,'Matriz_Habilidades'!$D36:$W36)=0,"",SUMPRODUCT('Calc_Mix'!$D$11:$W$11,'Matriz_Habilidades'!$D36:$W36)/'Calc_Mix'!$X$11+ROW()*0.000001))</f>
        <v/>
      </c>
      <c r="O36" s="34">
        <f>IF(OR($B36="",$C36&lt;&gt;"Ativo",$D36&lt;&gt;'Calc_Mix'!$C$12,'Calc_Mix'!$X$12=0,COUNTIFS(Esc_Turno,'Calc_Mix'!$C$12,Esc_Circ,$B36)+COUNTIFS(Esc_Turno,'Calc_Mix'!$C$12,Esc_Instr,$B36)&gt;0),"",IF(SUMPRODUCT('Calc_Mix'!$D$12:$W$12,'Matriz_Habilidades'!$D36:$W36)=0,"",SUMPRODUCT('Calc_Mix'!$D$12:$W$12,'Matriz_Habilidades'!$D36:$W36)/'Calc_Mix'!$X$12+ROW()*0.000001))</f>
        <v/>
      </c>
      <c r="P36" s="34">
        <f>IF(OR($B36="",$C36&lt;&gt;"Ativo",$D36&lt;&gt;'Calc_Mix'!$C$13,'Calc_Mix'!$X$13=0,COUNTIFS(Esc_Turno,'Calc_Mix'!$C$13,Esc_Circ,$B36)+COUNTIFS(Esc_Turno,'Calc_Mix'!$C$13,Esc_Instr,$B36)&gt;0),"",IF(SUMPRODUCT('Calc_Mix'!$D$13:$W$13,'Matriz_Habilidades'!$D36:$W36)=0,"",SUMPRODUCT('Calc_Mix'!$D$13:$W$13,'Matriz_Habilidades'!$D36:$W36)/'Calc_Mix'!$X$13+ROW()*0.000001))</f>
        <v/>
      </c>
      <c r="Q36" s="34">
        <f>IF(OR($B36="",$C36&lt;&gt;"Ativo",$D36&lt;&gt;'Calc_Mix'!$C$14,'Calc_Mix'!$X$14=0,COUNTIFS(Esc_Turno,'Calc_Mix'!$C$14,Esc_Circ,$B36)+COUNTIFS(Esc_Turno,'Calc_Mix'!$C$14,Esc_Instr,$B36)&gt;0),"",IF(SUMPRODUCT('Calc_Mix'!$D$14:$W$14,'Matriz_Habilidades'!$D36:$W36)=0,"",SUMPRODUCT('Calc_Mix'!$D$14:$W$14,'Matriz_Habilidades'!$D36:$W36)/'Calc_Mix'!$X$14+ROW()*0.000001))</f>
        <v/>
      </c>
      <c r="R36" s="34">
        <f>IF(OR($B36="",$C36&lt;&gt;"Ativo",$D36&lt;&gt;'Calc_Mix'!$C$15,'Calc_Mix'!$X$15=0,COUNTIFS(Esc_Turno,'Calc_Mix'!$C$15,Esc_Circ,$B36)+COUNTIFS(Esc_Turno,'Calc_Mix'!$C$15,Esc_Instr,$B36)&gt;0),"",IF(SUMPRODUCT('Calc_Mix'!$D$15:$W$15,'Matriz_Habilidades'!$D36:$W36)=0,"",SUMPRODUCT('Calc_Mix'!$D$15:$W$15,'Matriz_Habilidades'!$D36:$W36)/'Calc_Mix'!$X$15+ROW()*0.000001))</f>
        <v/>
      </c>
      <c r="S36" s="34">
        <f>IF(OR($B36="",$C36&lt;&gt;"Ativo",$D36&lt;&gt;'Calc_Mix'!$C$16,'Calc_Mix'!$X$16=0,COUNTIFS(Esc_Turno,'Calc_Mix'!$C$16,Esc_Circ,$B36)+COUNTIFS(Esc_Turno,'Calc_Mix'!$C$16,Esc_Instr,$B36)&gt;0),"",IF(SUMPRODUCT('Calc_Mix'!$D$16:$W$16,'Matriz_Habilidades'!$D36:$W36)=0,"",SUMPRODUCT('Calc_Mix'!$D$16:$W$16,'Matriz_Habilidades'!$D36:$W36)/'Calc_Mix'!$X$16+ROW()*0.000001))</f>
        <v/>
      </c>
      <c r="T36" s="34">
        <f>IF(OR($B36="",$C36&lt;&gt;"Ativo",$D36&lt;&gt;'Calc_Mix'!$C$17,'Calc_Mix'!$X$17=0,COUNTIFS(Esc_Turno,'Calc_Mix'!$C$17,Esc_Circ,$B36)+COUNTIFS(Esc_Turno,'Calc_Mix'!$C$17,Esc_Instr,$B36)&gt;0),"",IF(SUMPRODUCT('Calc_Mix'!$D$17:$W$17,'Matriz_Habilidades'!$D36:$W36)=0,"",SUMPRODUCT('Calc_Mix'!$D$17:$W$17,'Matriz_Habilidades'!$D36:$W36)/'Calc_Mix'!$X$17+ROW()*0.000001))</f>
        <v/>
      </c>
      <c r="U36" s="34">
        <f>IF(OR($B36="",$C36&lt;&gt;"Ativo",$D36&lt;&gt;'Calc_Mix'!$C$18,'Calc_Mix'!$X$18=0,COUNTIFS(Esc_Turno,'Calc_Mix'!$C$18,Esc_Circ,$B36)+COUNTIFS(Esc_Turno,'Calc_Mix'!$C$18,Esc_Instr,$B36)&gt;0),"",IF(SUMPRODUCT('Calc_Mix'!$D$18:$W$18,'Matriz_Habilidades'!$D36:$W36)=0,"",SUMPRODUCT('Calc_Mix'!$D$18:$W$18,'Matriz_Habilidades'!$D36:$W36)/'Calc_Mix'!$X$18+ROW()*0.000001))</f>
        <v/>
      </c>
      <c r="V36" s="34">
        <f>IF(OR($B36="",$C36&lt;&gt;"Ativo",$D36&lt;&gt;'Calc_Mix'!$C$19,'Calc_Mix'!$X$19=0,COUNTIFS(Esc_Turno,'Calc_Mix'!$C$19,Esc_Circ,$B36)+COUNTIFS(Esc_Turno,'Calc_Mix'!$C$19,Esc_Instr,$B36)&gt;0),"",IF(SUMPRODUCT('Calc_Mix'!$D$19:$W$19,'Matriz_Habilidades'!$D36:$W36)=0,"",SUMPRODUCT('Calc_Mix'!$D$19:$W$19,'Matriz_Habilidades'!$D36:$W36)/'Calc_Mix'!$X$19+ROW()*0.000001))</f>
        <v/>
      </c>
      <c r="W36" s="34">
        <f>IF(OR($B36="",$C36&lt;&gt;"Ativo",$D36&lt;&gt;'Calc_Mix'!$C$20,'Calc_Mix'!$X$20=0,COUNTIFS(Esc_Turno,'Calc_Mix'!$C$20,Esc_Circ,$B36)+COUNTIFS(Esc_Turno,'Calc_Mix'!$C$20,Esc_Instr,$B36)&gt;0),"",IF(SUMPRODUCT('Calc_Mix'!$D$20:$W$20,'Matriz_Habilidades'!$D36:$W36)=0,"",SUMPRODUCT('Calc_Mix'!$D$20:$W$20,'Matriz_Habilidades'!$D36:$W36)/'Calc_Mix'!$X$20+ROW()*0.000001))</f>
        <v/>
      </c>
      <c r="X36" s="34">
        <f>IF(OR($B36="",$C36&lt;&gt;"Ativo",$D36&lt;&gt;'Calc_Mix'!$C$21,'Calc_Mix'!$X$21=0,COUNTIFS(Esc_Turno,'Calc_Mix'!$C$21,Esc_Circ,$B36)+COUNTIFS(Esc_Turno,'Calc_Mix'!$C$21,Esc_Instr,$B36)&gt;0),"",IF(SUMPRODUCT('Calc_Mix'!$D$21:$W$21,'Matriz_Habilidades'!$D36:$W36)=0,"",SUMPRODUCT('Calc_Mix'!$D$21:$W$21,'Matriz_Habilidades'!$D36:$W36)/'Calc_Mix'!$X$21+ROW()*0.000001))</f>
        <v/>
      </c>
      <c r="Y36" s="34">
        <f>IF(OR($B36="",$C36&lt;&gt;"Ativo",$D36&lt;&gt;'Calc_Mix'!$C$22,'Calc_Mix'!$X$22=0,COUNTIFS(Esc_Turno,'Calc_Mix'!$C$22,Esc_Circ,$B36)+COUNTIFS(Esc_Turno,'Calc_Mix'!$C$22,Esc_Instr,$B36)&gt;0),"",IF(SUMPRODUCT('Calc_Mix'!$D$22:$W$22,'Matriz_Habilidades'!$D36:$W36)=0,"",SUMPRODUCT('Calc_Mix'!$D$22:$W$22,'Matriz_Habilidades'!$D36:$W36)/'Calc_Mix'!$X$22+ROW()*0.000001))</f>
        <v/>
      </c>
      <c r="Z36" s="34">
        <f>IF(OR($B36="",$C36&lt;&gt;"Ativo",$D36&lt;&gt;'Calc_Mix'!$C$23,'Calc_Mix'!$X$23=0,COUNTIFS(Esc_Turno,'Calc_Mix'!$C$23,Esc_Circ,$B36)+COUNTIFS(Esc_Turno,'Calc_Mix'!$C$23,Esc_Instr,$B36)&gt;0),"",IF(SUMPRODUCT('Calc_Mix'!$D$23:$W$23,'Matriz_Habilidades'!$D36:$W36)=0,"",SUMPRODUCT('Calc_Mix'!$D$23:$W$23,'Matriz_Habilidades'!$D36:$W36)/'Calc_Mix'!$X$23+ROW()*0.000001))</f>
        <v/>
      </c>
      <c r="AA36" s="34">
        <f>IF(OR($B36="",$C36&lt;&gt;"Ativo",$D36&lt;&gt;'Calc_Mix'!$C$24,'Calc_Mix'!$X$24=0,COUNTIFS(Esc_Turno,'Calc_Mix'!$C$24,Esc_Circ,$B36)+COUNTIFS(Esc_Turno,'Calc_Mix'!$C$24,Esc_Instr,$B36)&gt;0),"",IF(SUMPRODUCT('Calc_Mix'!$D$24:$W$24,'Matriz_Habilidades'!$D36:$W36)=0,"",SUMPRODUCT('Calc_Mix'!$D$24:$W$24,'Matriz_Habilidades'!$D36:$W36)/'Calc_Mix'!$X$24+ROW()*0.000001))</f>
        <v/>
      </c>
      <c r="AB36" s="34">
        <f>IF(OR($B36="",$C36&lt;&gt;"Ativo",$D36&lt;&gt;'Calc_Mix'!$C$25,'Calc_Mix'!$X$25=0,COUNTIFS(Esc_Turno,'Calc_Mix'!$C$25,Esc_Circ,$B36)+COUNTIFS(Esc_Turno,'Calc_Mix'!$C$25,Esc_Instr,$B36)&gt;0),"",IF(SUMPRODUCT('Calc_Mix'!$D$25:$W$25,'Matriz_Habilidades'!$D36:$W36)=0,"",SUMPRODUCT('Calc_Mix'!$D$25:$W$25,'Matriz_Habilidades'!$D36:$W36)/'Calc_Mix'!$X$25+ROW()*0.000001))</f>
        <v/>
      </c>
      <c r="AC36" s="34">
        <f>IF(OR($B36="",$C36&lt;&gt;"Ativo",$D36&lt;&gt;'Calc_Mix'!$C$26,'Calc_Mix'!$X$26=0,COUNTIFS(Esc_Turno,'Calc_Mix'!$C$26,Esc_Circ,$B36)+COUNTIFS(Esc_Turno,'Calc_Mix'!$C$26,Esc_Instr,$B36)&gt;0),"",IF(SUMPRODUCT('Calc_Mix'!$D$26:$W$26,'Matriz_Habilidades'!$D36:$W36)=0,"",SUMPRODUCT('Calc_Mix'!$D$26:$W$26,'Matriz_Habilidades'!$D36:$W36)/'Calc_Mix'!$X$26+ROW()*0.000001))</f>
        <v/>
      </c>
      <c r="AD36" s="34">
        <f>IF(OR($B36="",$C36&lt;&gt;"Ativo",$D36&lt;&gt;'Calc_Mix'!$C$27,'Calc_Mix'!$X$27=0,COUNTIFS(Esc_Turno,'Calc_Mix'!$C$27,Esc_Circ,$B36)+COUNTIFS(Esc_Turno,'Calc_Mix'!$C$27,Esc_Instr,$B36)&gt;0),"",IF(SUMPRODUCT('Calc_Mix'!$D$27:$W$27,'Matriz_Habilidades'!$D36:$W36)=0,"",SUMPRODUCT('Calc_Mix'!$D$27:$W$27,'Matriz_Habilidades'!$D36:$W36)/'Calc_Mix'!$X$27+ROW()*0.000001))</f>
        <v/>
      </c>
      <c r="AE36" s="34">
        <f>IF(OR($B36="",$C36&lt;&gt;"Ativo",$D36&lt;&gt;'Calc_Mix'!$C$28,'Calc_Mix'!$X$28=0,COUNTIFS(Esc_Turno,'Calc_Mix'!$C$28,Esc_Circ,$B36)+COUNTIFS(Esc_Turno,'Calc_Mix'!$C$28,Esc_Instr,$B36)&gt;0),"",IF(SUMPRODUCT('Calc_Mix'!$D$28:$W$28,'Matriz_Habilidades'!$D36:$W36)=0,"",SUMPRODUCT('Calc_Mix'!$D$28:$W$28,'Matriz_Habilidades'!$D36:$W36)/'Calc_Mix'!$X$28+ROW()*0.000001))</f>
        <v/>
      </c>
      <c r="AF36" s="34">
        <f>IF(OR($B36="",$C36&lt;&gt;"Ativo",$D36&lt;&gt;'Calc_Mix'!$C$29,'Calc_Mix'!$X$29=0,COUNTIFS(Esc_Turno,'Calc_Mix'!$C$29,Esc_Circ,$B36)+COUNTIFS(Esc_Turno,'Calc_Mix'!$C$29,Esc_Instr,$B36)&gt;0),"",IF(SUMPRODUCT('Calc_Mix'!$D$29:$W$29,'Matriz_Habilidades'!$D36:$W36)=0,"",SUMPRODUCT('Calc_Mix'!$D$29:$W$29,'Matriz_Habilidades'!$D36:$W36)/'Calc_Mix'!$X$29+ROW()*0.000001))</f>
        <v/>
      </c>
      <c r="AG36" s="34">
        <f>IF(OR($B36="",$C36&lt;&gt;"Ativo",$D36&lt;&gt;'Calc_Mix'!$C$30,'Calc_Mix'!$X$30=0,COUNTIFS(Esc_Turno,'Calc_Mix'!$C$30,Esc_Circ,$B36)+COUNTIFS(Esc_Turno,'Calc_Mix'!$C$30,Esc_Instr,$B36)&gt;0),"",IF(SUMPRODUCT('Calc_Mix'!$D$30:$W$30,'Matriz_Habilidades'!$D36:$W36)=0,"",SUMPRODUCT('Calc_Mix'!$D$30:$W$30,'Matriz_Habilidades'!$D36:$W36)/'Calc_Mix'!$X$30+ROW()*0.000001))</f>
        <v/>
      </c>
      <c r="AH36" s="34">
        <f>IF(OR($B36="",$C36&lt;&gt;"Ativo",$D36&lt;&gt;'Calc_Mix'!$C$31,'Calc_Mix'!$X$31=0,COUNTIFS(Esc_Turno,'Calc_Mix'!$C$31,Esc_Circ,$B36)+COUNTIFS(Esc_Turno,'Calc_Mix'!$C$31,Esc_Instr,$B36)&gt;0),"",IF(SUMPRODUCT('Calc_Mix'!$D$31:$W$31,'Matriz_Habilidades'!$D36:$W36)=0,"",SUMPRODUCT('Calc_Mix'!$D$31:$W$31,'Matriz_Habilidades'!$D36:$W36)/'Calc_Mix'!$X$31+ROW()*0.000001))</f>
        <v/>
      </c>
      <c r="AI36" s="34">
        <f>IF(OR($B36="",$C36&lt;&gt;"Ativo",$D36&lt;&gt;'Calc_Mix'!$C$32,'Calc_Mix'!$X$32=0,COUNTIFS(Esc_Turno,'Calc_Mix'!$C$32,Esc_Circ,$B36)+COUNTIFS(Esc_Turno,'Calc_Mix'!$C$32,Esc_Instr,$B36)&gt;0),"",IF(SUMPRODUCT('Calc_Mix'!$D$32:$W$32,'Matriz_Habilidades'!$D36:$W36)=0,"",SUMPRODUCT('Calc_Mix'!$D$32:$W$32,'Matriz_Habilidades'!$D36:$W36)/'Calc_Mix'!$X$32+ROW()*0.000001))</f>
        <v/>
      </c>
      <c r="AJ36" s="34">
        <f>IF(OR($B36="",$C36&lt;&gt;"Ativo",$D36&lt;&gt;'Calc_Mix'!$C$33,'Calc_Mix'!$X$33=0,COUNTIFS(Esc_Turno,'Calc_Mix'!$C$33,Esc_Circ,$B36)+COUNTIFS(Esc_Turno,'Calc_Mix'!$C$33,Esc_Instr,$B36)&gt;0),"",IF(SUMPRODUCT('Calc_Mix'!$D$33:$W$33,'Matriz_Habilidades'!$D36:$W36)=0,"",SUMPRODUCT('Calc_Mix'!$D$33:$W$33,'Matriz_Habilidades'!$D36:$W36)/'Calc_Mix'!$X$33+ROW()*0.000001))</f>
        <v/>
      </c>
      <c r="AK36" s="34">
        <f>IF(OR($B36="",$C36&lt;&gt;"Ativo",$D36&lt;&gt;'Calc_Mix'!$C$34,'Calc_Mix'!$X$34=0,COUNTIFS(Esc_Turno,'Calc_Mix'!$C$34,Esc_Circ,$B36)+COUNTIFS(Esc_Turno,'Calc_Mix'!$C$34,Esc_Instr,$B36)&gt;0),"",IF(SUMPRODUCT('Calc_Mix'!$D$34:$W$34,'Matriz_Habilidades'!$D36:$W36)=0,"",SUMPRODUCT('Calc_Mix'!$D$34:$W$34,'Matriz_Habilidades'!$D36:$W36)/'Calc_Mix'!$X$34+ROW()*0.000001))</f>
        <v/>
      </c>
      <c r="AL36" s="34">
        <f>IF(OR($B36="",$C36&lt;&gt;"Ativo",$D36&lt;&gt;'Calc_Mix'!$C$35,'Calc_Mix'!$X$35=0,COUNTIFS(Esc_Turno,'Calc_Mix'!$C$35,Esc_Circ,$B36)+COUNTIFS(Esc_Turno,'Calc_Mix'!$C$35,Esc_Instr,$B36)&gt;0),"",IF(SUMPRODUCT('Calc_Mix'!$D$35:$W$35,'Matriz_Habilidades'!$D36:$W36)=0,"",SUMPRODUCT('Calc_Mix'!$D$35:$W$35,'Matriz_Habilidades'!$D36:$W36)/'Calc_Mix'!$X$35+ROW()*0.000001))</f>
        <v/>
      </c>
      <c r="AM36" s="34">
        <f>IF(OR($B36="",$C36&lt;&gt;"Ativo",$D36&lt;&gt;'Calc_Mix'!$C$36,'Calc_Mix'!$X$36=0,COUNTIFS(Esc_Turno,'Calc_Mix'!$C$36,Esc_Circ,$B36)+COUNTIFS(Esc_Turno,'Calc_Mix'!$C$36,Esc_Instr,$B36)&gt;0),"",IF(SUMPRODUCT('Calc_Mix'!$D$36:$W$36,'Matriz_Habilidades'!$D36:$W36)=0,"",SUMPRODUCT('Calc_Mix'!$D$36:$W$36,'Matriz_Habilidades'!$D36:$W36)/'Calc_Mix'!$X$36+ROW()*0.000001))</f>
        <v/>
      </c>
      <c r="AN36" s="34">
        <f>IF(OR($B36="",$C36&lt;&gt;"Ativo",$D36&lt;&gt;'Calc_Mix'!$C$37,'Calc_Mix'!$X$37=0,COUNTIFS(Esc_Turno,'Calc_Mix'!$C$37,Esc_Circ,$B36)+COUNTIFS(Esc_Turno,'Calc_Mix'!$C$37,Esc_Instr,$B36)&gt;0),"",IF(SUMPRODUCT('Calc_Mix'!$D$37:$W$37,'Matriz_Habilidades'!$D36:$W36)=0,"",SUMPRODUCT('Calc_Mix'!$D$37:$W$37,'Matriz_Habilidades'!$D36:$W36)/'Calc_Mix'!$X$37+ROW()*0.000001))</f>
        <v/>
      </c>
    </row>
    <row r="37">
      <c r="A37" s="27">
        <f>IF('Matriz_Habilidades'!A37="","",'Matriz_Habilidades'!A37)</f>
        <v/>
      </c>
      <c r="B37" s="28">
        <f>IF('Matriz_Habilidades'!B37="","",'Matriz_Habilidades'!B37)</f>
        <v/>
      </c>
      <c r="C37" s="27">
        <f>IF($A37="","",IFERROR(INDEX(Equipe_Status,MATCH($B37,Equipe_Nome,0)),"?"))</f>
        <v/>
      </c>
      <c r="D37" s="27">
        <f>IF($A37="","",IFERROR(INDEX(Equipe_Turno,MATCH($B37,Equipe_Nome,0)),"?"))</f>
        <v/>
      </c>
      <c r="E37" s="34">
        <f>IF(OR($B37="",$C37&lt;&gt;"Ativo",$D37&lt;&gt;'Calc_Mix'!$C$2,'Calc_Mix'!$X$2=0,COUNTIFS(Esc_Turno,'Calc_Mix'!$C$2,Esc_Circ,$B37)+COUNTIFS(Esc_Turno,'Calc_Mix'!$C$2,Esc_Instr,$B37)&gt;0),"",IF(SUMPRODUCT('Calc_Mix'!$D$2:$W$2,'Matriz_Habilidades'!$D37:$W37)=0,"",SUMPRODUCT('Calc_Mix'!$D$2:$W$2,'Matriz_Habilidades'!$D37:$W37)/'Calc_Mix'!$X$2+ROW()*0.000001))</f>
        <v/>
      </c>
      <c r="F37" s="34">
        <f>IF(OR($B37="",$C37&lt;&gt;"Ativo",$D37&lt;&gt;'Calc_Mix'!$C$3,'Calc_Mix'!$X$3=0,COUNTIFS(Esc_Turno,'Calc_Mix'!$C$3,Esc_Circ,$B37)+COUNTIFS(Esc_Turno,'Calc_Mix'!$C$3,Esc_Instr,$B37)&gt;0),"",IF(SUMPRODUCT('Calc_Mix'!$D$3:$W$3,'Matriz_Habilidades'!$D37:$W37)=0,"",SUMPRODUCT('Calc_Mix'!$D$3:$W$3,'Matriz_Habilidades'!$D37:$W37)/'Calc_Mix'!$X$3+ROW()*0.000001))</f>
        <v/>
      </c>
      <c r="G37" s="34">
        <f>IF(OR($B37="",$C37&lt;&gt;"Ativo",$D37&lt;&gt;'Calc_Mix'!$C$4,'Calc_Mix'!$X$4=0,COUNTIFS(Esc_Turno,'Calc_Mix'!$C$4,Esc_Circ,$B37)+COUNTIFS(Esc_Turno,'Calc_Mix'!$C$4,Esc_Instr,$B37)&gt;0),"",IF(SUMPRODUCT('Calc_Mix'!$D$4:$W$4,'Matriz_Habilidades'!$D37:$W37)=0,"",SUMPRODUCT('Calc_Mix'!$D$4:$W$4,'Matriz_Habilidades'!$D37:$W37)/'Calc_Mix'!$X$4+ROW()*0.000001))</f>
        <v/>
      </c>
      <c r="H37" s="34">
        <f>IF(OR($B37="",$C37&lt;&gt;"Ativo",$D37&lt;&gt;'Calc_Mix'!$C$5,'Calc_Mix'!$X$5=0,COUNTIFS(Esc_Turno,'Calc_Mix'!$C$5,Esc_Circ,$B37)+COUNTIFS(Esc_Turno,'Calc_Mix'!$C$5,Esc_Instr,$B37)&gt;0),"",IF(SUMPRODUCT('Calc_Mix'!$D$5:$W$5,'Matriz_Habilidades'!$D37:$W37)=0,"",SUMPRODUCT('Calc_Mix'!$D$5:$W$5,'Matriz_Habilidades'!$D37:$W37)/'Calc_Mix'!$X$5+ROW()*0.000001))</f>
        <v/>
      </c>
      <c r="I37" s="34">
        <f>IF(OR($B37="",$C37&lt;&gt;"Ativo",$D37&lt;&gt;'Calc_Mix'!$C$6,'Calc_Mix'!$X$6=0,COUNTIFS(Esc_Turno,'Calc_Mix'!$C$6,Esc_Circ,$B37)+COUNTIFS(Esc_Turno,'Calc_Mix'!$C$6,Esc_Instr,$B37)&gt;0),"",IF(SUMPRODUCT('Calc_Mix'!$D$6:$W$6,'Matriz_Habilidades'!$D37:$W37)=0,"",SUMPRODUCT('Calc_Mix'!$D$6:$W$6,'Matriz_Habilidades'!$D37:$W37)/'Calc_Mix'!$X$6+ROW()*0.000001))</f>
        <v/>
      </c>
      <c r="J37" s="34">
        <f>IF(OR($B37="",$C37&lt;&gt;"Ativo",$D37&lt;&gt;'Calc_Mix'!$C$7,'Calc_Mix'!$X$7=0,COUNTIFS(Esc_Turno,'Calc_Mix'!$C$7,Esc_Circ,$B37)+COUNTIFS(Esc_Turno,'Calc_Mix'!$C$7,Esc_Instr,$B37)&gt;0),"",IF(SUMPRODUCT('Calc_Mix'!$D$7:$W$7,'Matriz_Habilidades'!$D37:$W37)=0,"",SUMPRODUCT('Calc_Mix'!$D$7:$W$7,'Matriz_Habilidades'!$D37:$W37)/'Calc_Mix'!$X$7+ROW()*0.000001))</f>
        <v/>
      </c>
      <c r="K37" s="34">
        <f>IF(OR($B37="",$C37&lt;&gt;"Ativo",$D37&lt;&gt;'Calc_Mix'!$C$8,'Calc_Mix'!$X$8=0,COUNTIFS(Esc_Turno,'Calc_Mix'!$C$8,Esc_Circ,$B37)+COUNTIFS(Esc_Turno,'Calc_Mix'!$C$8,Esc_Instr,$B37)&gt;0),"",IF(SUMPRODUCT('Calc_Mix'!$D$8:$W$8,'Matriz_Habilidades'!$D37:$W37)=0,"",SUMPRODUCT('Calc_Mix'!$D$8:$W$8,'Matriz_Habilidades'!$D37:$W37)/'Calc_Mix'!$X$8+ROW()*0.000001))</f>
        <v/>
      </c>
      <c r="L37" s="34">
        <f>IF(OR($B37="",$C37&lt;&gt;"Ativo",$D37&lt;&gt;'Calc_Mix'!$C$9,'Calc_Mix'!$X$9=0,COUNTIFS(Esc_Turno,'Calc_Mix'!$C$9,Esc_Circ,$B37)+COUNTIFS(Esc_Turno,'Calc_Mix'!$C$9,Esc_Instr,$B37)&gt;0),"",IF(SUMPRODUCT('Calc_Mix'!$D$9:$W$9,'Matriz_Habilidades'!$D37:$W37)=0,"",SUMPRODUCT('Calc_Mix'!$D$9:$W$9,'Matriz_Habilidades'!$D37:$W37)/'Calc_Mix'!$X$9+ROW()*0.000001))</f>
        <v/>
      </c>
      <c r="M37" s="34">
        <f>IF(OR($B37="",$C37&lt;&gt;"Ativo",$D37&lt;&gt;'Calc_Mix'!$C$10,'Calc_Mix'!$X$10=0,COUNTIFS(Esc_Turno,'Calc_Mix'!$C$10,Esc_Circ,$B37)+COUNTIFS(Esc_Turno,'Calc_Mix'!$C$10,Esc_Instr,$B37)&gt;0),"",IF(SUMPRODUCT('Calc_Mix'!$D$10:$W$10,'Matriz_Habilidades'!$D37:$W37)=0,"",SUMPRODUCT('Calc_Mix'!$D$10:$W$10,'Matriz_Habilidades'!$D37:$W37)/'Calc_Mix'!$X$10+ROW()*0.000001))</f>
        <v/>
      </c>
      <c r="N37" s="34">
        <f>IF(OR($B37="",$C37&lt;&gt;"Ativo",$D37&lt;&gt;'Calc_Mix'!$C$11,'Calc_Mix'!$X$11=0,COUNTIFS(Esc_Turno,'Calc_Mix'!$C$11,Esc_Circ,$B37)+COUNTIFS(Esc_Turno,'Calc_Mix'!$C$11,Esc_Instr,$B37)&gt;0),"",IF(SUMPRODUCT('Calc_Mix'!$D$11:$W$11,'Matriz_Habilidades'!$D37:$W37)=0,"",SUMPRODUCT('Calc_Mix'!$D$11:$W$11,'Matriz_Habilidades'!$D37:$W37)/'Calc_Mix'!$X$11+ROW()*0.000001))</f>
        <v/>
      </c>
      <c r="O37" s="34">
        <f>IF(OR($B37="",$C37&lt;&gt;"Ativo",$D37&lt;&gt;'Calc_Mix'!$C$12,'Calc_Mix'!$X$12=0,COUNTIFS(Esc_Turno,'Calc_Mix'!$C$12,Esc_Circ,$B37)+COUNTIFS(Esc_Turno,'Calc_Mix'!$C$12,Esc_Instr,$B37)&gt;0),"",IF(SUMPRODUCT('Calc_Mix'!$D$12:$W$12,'Matriz_Habilidades'!$D37:$W37)=0,"",SUMPRODUCT('Calc_Mix'!$D$12:$W$12,'Matriz_Habilidades'!$D37:$W37)/'Calc_Mix'!$X$12+ROW()*0.000001))</f>
        <v/>
      </c>
      <c r="P37" s="34">
        <f>IF(OR($B37="",$C37&lt;&gt;"Ativo",$D37&lt;&gt;'Calc_Mix'!$C$13,'Calc_Mix'!$X$13=0,COUNTIFS(Esc_Turno,'Calc_Mix'!$C$13,Esc_Circ,$B37)+COUNTIFS(Esc_Turno,'Calc_Mix'!$C$13,Esc_Instr,$B37)&gt;0),"",IF(SUMPRODUCT('Calc_Mix'!$D$13:$W$13,'Matriz_Habilidades'!$D37:$W37)=0,"",SUMPRODUCT('Calc_Mix'!$D$13:$W$13,'Matriz_Habilidades'!$D37:$W37)/'Calc_Mix'!$X$13+ROW()*0.000001))</f>
        <v/>
      </c>
      <c r="Q37" s="34">
        <f>IF(OR($B37="",$C37&lt;&gt;"Ativo",$D37&lt;&gt;'Calc_Mix'!$C$14,'Calc_Mix'!$X$14=0,COUNTIFS(Esc_Turno,'Calc_Mix'!$C$14,Esc_Circ,$B37)+COUNTIFS(Esc_Turno,'Calc_Mix'!$C$14,Esc_Instr,$B37)&gt;0),"",IF(SUMPRODUCT('Calc_Mix'!$D$14:$W$14,'Matriz_Habilidades'!$D37:$W37)=0,"",SUMPRODUCT('Calc_Mix'!$D$14:$W$14,'Matriz_Habilidades'!$D37:$W37)/'Calc_Mix'!$X$14+ROW()*0.000001))</f>
        <v/>
      </c>
      <c r="R37" s="34">
        <f>IF(OR($B37="",$C37&lt;&gt;"Ativo",$D37&lt;&gt;'Calc_Mix'!$C$15,'Calc_Mix'!$X$15=0,COUNTIFS(Esc_Turno,'Calc_Mix'!$C$15,Esc_Circ,$B37)+COUNTIFS(Esc_Turno,'Calc_Mix'!$C$15,Esc_Instr,$B37)&gt;0),"",IF(SUMPRODUCT('Calc_Mix'!$D$15:$W$15,'Matriz_Habilidades'!$D37:$W37)=0,"",SUMPRODUCT('Calc_Mix'!$D$15:$W$15,'Matriz_Habilidades'!$D37:$W37)/'Calc_Mix'!$X$15+ROW()*0.000001))</f>
        <v/>
      </c>
      <c r="S37" s="34">
        <f>IF(OR($B37="",$C37&lt;&gt;"Ativo",$D37&lt;&gt;'Calc_Mix'!$C$16,'Calc_Mix'!$X$16=0,COUNTIFS(Esc_Turno,'Calc_Mix'!$C$16,Esc_Circ,$B37)+COUNTIFS(Esc_Turno,'Calc_Mix'!$C$16,Esc_Instr,$B37)&gt;0),"",IF(SUMPRODUCT('Calc_Mix'!$D$16:$W$16,'Matriz_Habilidades'!$D37:$W37)=0,"",SUMPRODUCT('Calc_Mix'!$D$16:$W$16,'Matriz_Habilidades'!$D37:$W37)/'Calc_Mix'!$X$16+ROW()*0.000001))</f>
        <v/>
      </c>
      <c r="T37" s="34">
        <f>IF(OR($B37="",$C37&lt;&gt;"Ativo",$D37&lt;&gt;'Calc_Mix'!$C$17,'Calc_Mix'!$X$17=0,COUNTIFS(Esc_Turno,'Calc_Mix'!$C$17,Esc_Circ,$B37)+COUNTIFS(Esc_Turno,'Calc_Mix'!$C$17,Esc_Instr,$B37)&gt;0),"",IF(SUMPRODUCT('Calc_Mix'!$D$17:$W$17,'Matriz_Habilidades'!$D37:$W37)=0,"",SUMPRODUCT('Calc_Mix'!$D$17:$W$17,'Matriz_Habilidades'!$D37:$W37)/'Calc_Mix'!$X$17+ROW()*0.000001))</f>
        <v/>
      </c>
      <c r="U37" s="34">
        <f>IF(OR($B37="",$C37&lt;&gt;"Ativo",$D37&lt;&gt;'Calc_Mix'!$C$18,'Calc_Mix'!$X$18=0,COUNTIFS(Esc_Turno,'Calc_Mix'!$C$18,Esc_Circ,$B37)+COUNTIFS(Esc_Turno,'Calc_Mix'!$C$18,Esc_Instr,$B37)&gt;0),"",IF(SUMPRODUCT('Calc_Mix'!$D$18:$W$18,'Matriz_Habilidades'!$D37:$W37)=0,"",SUMPRODUCT('Calc_Mix'!$D$18:$W$18,'Matriz_Habilidades'!$D37:$W37)/'Calc_Mix'!$X$18+ROW()*0.000001))</f>
        <v/>
      </c>
      <c r="V37" s="34">
        <f>IF(OR($B37="",$C37&lt;&gt;"Ativo",$D37&lt;&gt;'Calc_Mix'!$C$19,'Calc_Mix'!$X$19=0,COUNTIFS(Esc_Turno,'Calc_Mix'!$C$19,Esc_Circ,$B37)+COUNTIFS(Esc_Turno,'Calc_Mix'!$C$19,Esc_Instr,$B37)&gt;0),"",IF(SUMPRODUCT('Calc_Mix'!$D$19:$W$19,'Matriz_Habilidades'!$D37:$W37)=0,"",SUMPRODUCT('Calc_Mix'!$D$19:$W$19,'Matriz_Habilidades'!$D37:$W37)/'Calc_Mix'!$X$19+ROW()*0.000001))</f>
        <v/>
      </c>
      <c r="W37" s="34">
        <f>IF(OR($B37="",$C37&lt;&gt;"Ativo",$D37&lt;&gt;'Calc_Mix'!$C$20,'Calc_Mix'!$X$20=0,COUNTIFS(Esc_Turno,'Calc_Mix'!$C$20,Esc_Circ,$B37)+COUNTIFS(Esc_Turno,'Calc_Mix'!$C$20,Esc_Instr,$B37)&gt;0),"",IF(SUMPRODUCT('Calc_Mix'!$D$20:$W$20,'Matriz_Habilidades'!$D37:$W37)=0,"",SUMPRODUCT('Calc_Mix'!$D$20:$W$20,'Matriz_Habilidades'!$D37:$W37)/'Calc_Mix'!$X$20+ROW()*0.000001))</f>
        <v/>
      </c>
      <c r="X37" s="34">
        <f>IF(OR($B37="",$C37&lt;&gt;"Ativo",$D37&lt;&gt;'Calc_Mix'!$C$21,'Calc_Mix'!$X$21=0,COUNTIFS(Esc_Turno,'Calc_Mix'!$C$21,Esc_Circ,$B37)+COUNTIFS(Esc_Turno,'Calc_Mix'!$C$21,Esc_Instr,$B37)&gt;0),"",IF(SUMPRODUCT('Calc_Mix'!$D$21:$W$21,'Matriz_Habilidades'!$D37:$W37)=0,"",SUMPRODUCT('Calc_Mix'!$D$21:$W$21,'Matriz_Habilidades'!$D37:$W37)/'Calc_Mix'!$X$21+ROW()*0.000001))</f>
        <v/>
      </c>
      <c r="Y37" s="34">
        <f>IF(OR($B37="",$C37&lt;&gt;"Ativo",$D37&lt;&gt;'Calc_Mix'!$C$22,'Calc_Mix'!$X$22=0,COUNTIFS(Esc_Turno,'Calc_Mix'!$C$22,Esc_Circ,$B37)+COUNTIFS(Esc_Turno,'Calc_Mix'!$C$22,Esc_Instr,$B37)&gt;0),"",IF(SUMPRODUCT('Calc_Mix'!$D$22:$W$22,'Matriz_Habilidades'!$D37:$W37)=0,"",SUMPRODUCT('Calc_Mix'!$D$22:$W$22,'Matriz_Habilidades'!$D37:$W37)/'Calc_Mix'!$X$22+ROW()*0.000001))</f>
        <v/>
      </c>
      <c r="Z37" s="34">
        <f>IF(OR($B37="",$C37&lt;&gt;"Ativo",$D37&lt;&gt;'Calc_Mix'!$C$23,'Calc_Mix'!$X$23=0,COUNTIFS(Esc_Turno,'Calc_Mix'!$C$23,Esc_Circ,$B37)+COUNTIFS(Esc_Turno,'Calc_Mix'!$C$23,Esc_Instr,$B37)&gt;0),"",IF(SUMPRODUCT('Calc_Mix'!$D$23:$W$23,'Matriz_Habilidades'!$D37:$W37)=0,"",SUMPRODUCT('Calc_Mix'!$D$23:$W$23,'Matriz_Habilidades'!$D37:$W37)/'Calc_Mix'!$X$23+ROW()*0.000001))</f>
        <v/>
      </c>
      <c r="AA37" s="34">
        <f>IF(OR($B37="",$C37&lt;&gt;"Ativo",$D37&lt;&gt;'Calc_Mix'!$C$24,'Calc_Mix'!$X$24=0,COUNTIFS(Esc_Turno,'Calc_Mix'!$C$24,Esc_Circ,$B37)+COUNTIFS(Esc_Turno,'Calc_Mix'!$C$24,Esc_Instr,$B37)&gt;0),"",IF(SUMPRODUCT('Calc_Mix'!$D$24:$W$24,'Matriz_Habilidades'!$D37:$W37)=0,"",SUMPRODUCT('Calc_Mix'!$D$24:$W$24,'Matriz_Habilidades'!$D37:$W37)/'Calc_Mix'!$X$24+ROW()*0.000001))</f>
        <v/>
      </c>
      <c r="AB37" s="34">
        <f>IF(OR($B37="",$C37&lt;&gt;"Ativo",$D37&lt;&gt;'Calc_Mix'!$C$25,'Calc_Mix'!$X$25=0,COUNTIFS(Esc_Turno,'Calc_Mix'!$C$25,Esc_Circ,$B37)+COUNTIFS(Esc_Turno,'Calc_Mix'!$C$25,Esc_Instr,$B37)&gt;0),"",IF(SUMPRODUCT('Calc_Mix'!$D$25:$W$25,'Matriz_Habilidades'!$D37:$W37)=0,"",SUMPRODUCT('Calc_Mix'!$D$25:$W$25,'Matriz_Habilidades'!$D37:$W37)/'Calc_Mix'!$X$25+ROW()*0.000001))</f>
        <v/>
      </c>
      <c r="AC37" s="34">
        <f>IF(OR($B37="",$C37&lt;&gt;"Ativo",$D37&lt;&gt;'Calc_Mix'!$C$26,'Calc_Mix'!$X$26=0,COUNTIFS(Esc_Turno,'Calc_Mix'!$C$26,Esc_Circ,$B37)+COUNTIFS(Esc_Turno,'Calc_Mix'!$C$26,Esc_Instr,$B37)&gt;0),"",IF(SUMPRODUCT('Calc_Mix'!$D$26:$W$26,'Matriz_Habilidades'!$D37:$W37)=0,"",SUMPRODUCT('Calc_Mix'!$D$26:$W$26,'Matriz_Habilidades'!$D37:$W37)/'Calc_Mix'!$X$26+ROW()*0.000001))</f>
        <v/>
      </c>
      <c r="AD37" s="34">
        <f>IF(OR($B37="",$C37&lt;&gt;"Ativo",$D37&lt;&gt;'Calc_Mix'!$C$27,'Calc_Mix'!$X$27=0,COUNTIFS(Esc_Turno,'Calc_Mix'!$C$27,Esc_Circ,$B37)+COUNTIFS(Esc_Turno,'Calc_Mix'!$C$27,Esc_Instr,$B37)&gt;0),"",IF(SUMPRODUCT('Calc_Mix'!$D$27:$W$27,'Matriz_Habilidades'!$D37:$W37)=0,"",SUMPRODUCT('Calc_Mix'!$D$27:$W$27,'Matriz_Habilidades'!$D37:$W37)/'Calc_Mix'!$X$27+ROW()*0.000001))</f>
        <v/>
      </c>
      <c r="AE37" s="34">
        <f>IF(OR($B37="",$C37&lt;&gt;"Ativo",$D37&lt;&gt;'Calc_Mix'!$C$28,'Calc_Mix'!$X$28=0,COUNTIFS(Esc_Turno,'Calc_Mix'!$C$28,Esc_Circ,$B37)+COUNTIFS(Esc_Turno,'Calc_Mix'!$C$28,Esc_Instr,$B37)&gt;0),"",IF(SUMPRODUCT('Calc_Mix'!$D$28:$W$28,'Matriz_Habilidades'!$D37:$W37)=0,"",SUMPRODUCT('Calc_Mix'!$D$28:$W$28,'Matriz_Habilidades'!$D37:$W37)/'Calc_Mix'!$X$28+ROW()*0.000001))</f>
        <v/>
      </c>
      <c r="AF37" s="34">
        <f>IF(OR($B37="",$C37&lt;&gt;"Ativo",$D37&lt;&gt;'Calc_Mix'!$C$29,'Calc_Mix'!$X$29=0,COUNTIFS(Esc_Turno,'Calc_Mix'!$C$29,Esc_Circ,$B37)+COUNTIFS(Esc_Turno,'Calc_Mix'!$C$29,Esc_Instr,$B37)&gt;0),"",IF(SUMPRODUCT('Calc_Mix'!$D$29:$W$29,'Matriz_Habilidades'!$D37:$W37)=0,"",SUMPRODUCT('Calc_Mix'!$D$29:$W$29,'Matriz_Habilidades'!$D37:$W37)/'Calc_Mix'!$X$29+ROW()*0.000001))</f>
        <v/>
      </c>
      <c r="AG37" s="34">
        <f>IF(OR($B37="",$C37&lt;&gt;"Ativo",$D37&lt;&gt;'Calc_Mix'!$C$30,'Calc_Mix'!$X$30=0,COUNTIFS(Esc_Turno,'Calc_Mix'!$C$30,Esc_Circ,$B37)+COUNTIFS(Esc_Turno,'Calc_Mix'!$C$30,Esc_Instr,$B37)&gt;0),"",IF(SUMPRODUCT('Calc_Mix'!$D$30:$W$30,'Matriz_Habilidades'!$D37:$W37)=0,"",SUMPRODUCT('Calc_Mix'!$D$30:$W$30,'Matriz_Habilidades'!$D37:$W37)/'Calc_Mix'!$X$30+ROW()*0.000001))</f>
        <v/>
      </c>
      <c r="AH37" s="34">
        <f>IF(OR($B37="",$C37&lt;&gt;"Ativo",$D37&lt;&gt;'Calc_Mix'!$C$31,'Calc_Mix'!$X$31=0,COUNTIFS(Esc_Turno,'Calc_Mix'!$C$31,Esc_Circ,$B37)+COUNTIFS(Esc_Turno,'Calc_Mix'!$C$31,Esc_Instr,$B37)&gt;0),"",IF(SUMPRODUCT('Calc_Mix'!$D$31:$W$31,'Matriz_Habilidades'!$D37:$W37)=0,"",SUMPRODUCT('Calc_Mix'!$D$31:$W$31,'Matriz_Habilidades'!$D37:$W37)/'Calc_Mix'!$X$31+ROW()*0.000001))</f>
        <v/>
      </c>
      <c r="AI37" s="34">
        <f>IF(OR($B37="",$C37&lt;&gt;"Ativo",$D37&lt;&gt;'Calc_Mix'!$C$32,'Calc_Mix'!$X$32=0,COUNTIFS(Esc_Turno,'Calc_Mix'!$C$32,Esc_Circ,$B37)+COUNTIFS(Esc_Turno,'Calc_Mix'!$C$32,Esc_Instr,$B37)&gt;0),"",IF(SUMPRODUCT('Calc_Mix'!$D$32:$W$32,'Matriz_Habilidades'!$D37:$W37)=0,"",SUMPRODUCT('Calc_Mix'!$D$32:$W$32,'Matriz_Habilidades'!$D37:$W37)/'Calc_Mix'!$X$32+ROW()*0.000001))</f>
        <v/>
      </c>
      <c r="AJ37" s="34">
        <f>IF(OR($B37="",$C37&lt;&gt;"Ativo",$D37&lt;&gt;'Calc_Mix'!$C$33,'Calc_Mix'!$X$33=0,COUNTIFS(Esc_Turno,'Calc_Mix'!$C$33,Esc_Circ,$B37)+COUNTIFS(Esc_Turno,'Calc_Mix'!$C$33,Esc_Instr,$B37)&gt;0),"",IF(SUMPRODUCT('Calc_Mix'!$D$33:$W$33,'Matriz_Habilidades'!$D37:$W37)=0,"",SUMPRODUCT('Calc_Mix'!$D$33:$W$33,'Matriz_Habilidades'!$D37:$W37)/'Calc_Mix'!$X$33+ROW()*0.000001))</f>
        <v/>
      </c>
      <c r="AK37" s="34">
        <f>IF(OR($B37="",$C37&lt;&gt;"Ativo",$D37&lt;&gt;'Calc_Mix'!$C$34,'Calc_Mix'!$X$34=0,COUNTIFS(Esc_Turno,'Calc_Mix'!$C$34,Esc_Circ,$B37)+COUNTIFS(Esc_Turno,'Calc_Mix'!$C$34,Esc_Instr,$B37)&gt;0),"",IF(SUMPRODUCT('Calc_Mix'!$D$34:$W$34,'Matriz_Habilidades'!$D37:$W37)=0,"",SUMPRODUCT('Calc_Mix'!$D$34:$W$34,'Matriz_Habilidades'!$D37:$W37)/'Calc_Mix'!$X$34+ROW()*0.000001))</f>
        <v/>
      </c>
      <c r="AL37" s="34">
        <f>IF(OR($B37="",$C37&lt;&gt;"Ativo",$D37&lt;&gt;'Calc_Mix'!$C$35,'Calc_Mix'!$X$35=0,COUNTIFS(Esc_Turno,'Calc_Mix'!$C$35,Esc_Circ,$B37)+COUNTIFS(Esc_Turno,'Calc_Mix'!$C$35,Esc_Instr,$B37)&gt;0),"",IF(SUMPRODUCT('Calc_Mix'!$D$35:$W$35,'Matriz_Habilidades'!$D37:$W37)=0,"",SUMPRODUCT('Calc_Mix'!$D$35:$W$35,'Matriz_Habilidades'!$D37:$W37)/'Calc_Mix'!$X$35+ROW()*0.000001))</f>
        <v/>
      </c>
      <c r="AM37" s="34">
        <f>IF(OR($B37="",$C37&lt;&gt;"Ativo",$D37&lt;&gt;'Calc_Mix'!$C$36,'Calc_Mix'!$X$36=0,COUNTIFS(Esc_Turno,'Calc_Mix'!$C$36,Esc_Circ,$B37)+COUNTIFS(Esc_Turno,'Calc_Mix'!$C$36,Esc_Instr,$B37)&gt;0),"",IF(SUMPRODUCT('Calc_Mix'!$D$36:$W$36,'Matriz_Habilidades'!$D37:$W37)=0,"",SUMPRODUCT('Calc_Mix'!$D$36:$W$36,'Matriz_Habilidades'!$D37:$W37)/'Calc_Mix'!$X$36+ROW()*0.000001))</f>
        <v/>
      </c>
      <c r="AN37" s="34">
        <f>IF(OR($B37="",$C37&lt;&gt;"Ativo",$D37&lt;&gt;'Calc_Mix'!$C$37,'Calc_Mix'!$X$37=0,COUNTIFS(Esc_Turno,'Calc_Mix'!$C$37,Esc_Circ,$B37)+COUNTIFS(Esc_Turno,'Calc_Mix'!$C$37,Esc_Instr,$B37)&gt;0),"",IF(SUMPRODUCT('Calc_Mix'!$D$37:$W$37,'Matriz_Habilidades'!$D37:$W37)=0,"",SUMPRODUCT('Calc_Mix'!$D$37:$W$37,'Matriz_Habilidades'!$D37:$W37)/'Calc_Mix'!$X$37+ROW()*0.000001))</f>
        <v/>
      </c>
    </row>
    <row r="38">
      <c r="A38" s="27">
        <f>IF('Matriz_Habilidades'!A38="","",'Matriz_Habilidades'!A38)</f>
        <v/>
      </c>
      <c r="B38" s="28">
        <f>IF('Matriz_Habilidades'!B38="","",'Matriz_Habilidades'!B38)</f>
        <v/>
      </c>
      <c r="C38" s="27">
        <f>IF($A38="","",IFERROR(INDEX(Equipe_Status,MATCH($B38,Equipe_Nome,0)),"?"))</f>
        <v/>
      </c>
      <c r="D38" s="27">
        <f>IF($A38="","",IFERROR(INDEX(Equipe_Turno,MATCH($B38,Equipe_Nome,0)),"?"))</f>
        <v/>
      </c>
      <c r="E38" s="34">
        <f>IF(OR($B38="",$C38&lt;&gt;"Ativo",$D38&lt;&gt;'Calc_Mix'!$C$2,'Calc_Mix'!$X$2=0,COUNTIFS(Esc_Turno,'Calc_Mix'!$C$2,Esc_Circ,$B38)+COUNTIFS(Esc_Turno,'Calc_Mix'!$C$2,Esc_Instr,$B38)&gt;0),"",IF(SUMPRODUCT('Calc_Mix'!$D$2:$W$2,'Matriz_Habilidades'!$D38:$W38)=0,"",SUMPRODUCT('Calc_Mix'!$D$2:$W$2,'Matriz_Habilidades'!$D38:$W38)/'Calc_Mix'!$X$2+ROW()*0.000001))</f>
        <v/>
      </c>
      <c r="F38" s="34">
        <f>IF(OR($B38="",$C38&lt;&gt;"Ativo",$D38&lt;&gt;'Calc_Mix'!$C$3,'Calc_Mix'!$X$3=0,COUNTIFS(Esc_Turno,'Calc_Mix'!$C$3,Esc_Circ,$B38)+COUNTIFS(Esc_Turno,'Calc_Mix'!$C$3,Esc_Instr,$B38)&gt;0),"",IF(SUMPRODUCT('Calc_Mix'!$D$3:$W$3,'Matriz_Habilidades'!$D38:$W38)=0,"",SUMPRODUCT('Calc_Mix'!$D$3:$W$3,'Matriz_Habilidades'!$D38:$W38)/'Calc_Mix'!$X$3+ROW()*0.000001))</f>
        <v/>
      </c>
      <c r="G38" s="34">
        <f>IF(OR($B38="",$C38&lt;&gt;"Ativo",$D38&lt;&gt;'Calc_Mix'!$C$4,'Calc_Mix'!$X$4=0,COUNTIFS(Esc_Turno,'Calc_Mix'!$C$4,Esc_Circ,$B38)+COUNTIFS(Esc_Turno,'Calc_Mix'!$C$4,Esc_Instr,$B38)&gt;0),"",IF(SUMPRODUCT('Calc_Mix'!$D$4:$W$4,'Matriz_Habilidades'!$D38:$W38)=0,"",SUMPRODUCT('Calc_Mix'!$D$4:$W$4,'Matriz_Habilidades'!$D38:$W38)/'Calc_Mix'!$X$4+ROW()*0.000001))</f>
        <v/>
      </c>
      <c r="H38" s="34">
        <f>IF(OR($B38="",$C38&lt;&gt;"Ativo",$D38&lt;&gt;'Calc_Mix'!$C$5,'Calc_Mix'!$X$5=0,COUNTIFS(Esc_Turno,'Calc_Mix'!$C$5,Esc_Circ,$B38)+COUNTIFS(Esc_Turno,'Calc_Mix'!$C$5,Esc_Instr,$B38)&gt;0),"",IF(SUMPRODUCT('Calc_Mix'!$D$5:$W$5,'Matriz_Habilidades'!$D38:$W38)=0,"",SUMPRODUCT('Calc_Mix'!$D$5:$W$5,'Matriz_Habilidades'!$D38:$W38)/'Calc_Mix'!$X$5+ROW()*0.000001))</f>
        <v/>
      </c>
      <c r="I38" s="34">
        <f>IF(OR($B38="",$C38&lt;&gt;"Ativo",$D38&lt;&gt;'Calc_Mix'!$C$6,'Calc_Mix'!$X$6=0,COUNTIFS(Esc_Turno,'Calc_Mix'!$C$6,Esc_Circ,$B38)+COUNTIFS(Esc_Turno,'Calc_Mix'!$C$6,Esc_Instr,$B38)&gt;0),"",IF(SUMPRODUCT('Calc_Mix'!$D$6:$W$6,'Matriz_Habilidades'!$D38:$W38)=0,"",SUMPRODUCT('Calc_Mix'!$D$6:$W$6,'Matriz_Habilidades'!$D38:$W38)/'Calc_Mix'!$X$6+ROW()*0.000001))</f>
        <v/>
      </c>
      <c r="J38" s="34">
        <f>IF(OR($B38="",$C38&lt;&gt;"Ativo",$D38&lt;&gt;'Calc_Mix'!$C$7,'Calc_Mix'!$X$7=0,COUNTIFS(Esc_Turno,'Calc_Mix'!$C$7,Esc_Circ,$B38)+COUNTIFS(Esc_Turno,'Calc_Mix'!$C$7,Esc_Instr,$B38)&gt;0),"",IF(SUMPRODUCT('Calc_Mix'!$D$7:$W$7,'Matriz_Habilidades'!$D38:$W38)=0,"",SUMPRODUCT('Calc_Mix'!$D$7:$W$7,'Matriz_Habilidades'!$D38:$W38)/'Calc_Mix'!$X$7+ROW()*0.000001))</f>
        <v/>
      </c>
      <c r="K38" s="34">
        <f>IF(OR($B38="",$C38&lt;&gt;"Ativo",$D38&lt;&gt;'Calc_Mix'!$C$8,'Calc_Mix'!$X$8=0,COUNTIFS(Esc_Turno,'Calc_Mix'!$C$8,Esc_Circ,$B38)+COUNTIFS(Esc_Turno,'Calc_Mix'!$C$8,Esc_Instr,$B38)&gt;0),"",IF(SUMPRODUCT('Calc_Mix'!$D$8:$W$8,'Matriz_Habilidades'!$D38:$W38)=0,"",SUMPRODUCT('Calc_Mix'!$D$8:$W$8,'Matriz_Habilidades'!$D38:$W38)/'Calc_Mix'!$X$8+ROW()*0.000001))</f>
        <v/>
      </c>
      <c r="L38" s="34">
        <f>IF(OR($B38="",$C38&lt;&gt;"Ativo",$D38&lt;&gt;'Calc_Mix'!$C$9,'Calc_Mix'!$X$9=0,COUNTIFS(Esc_Turno,'Calc_Mix'!$C$9,Esc_Circ,$B38)+COUNTIFS(Esc_Turno,'Calc_Mix'!$C$9,Esc_Instr,$B38)&gt;0),"",IF(SUMPRODUCT('Calc_Mix'!$D$9:$W$9,'Matriz_Habilidades'!$D38:$W38)=0,"",SUMPRODUCT('Calc_Mix'!$D$9:$W$9,'Matriz_Habilidades'!$D38:$W38)/'Calc_Mix'!$X$9+ROW()*0.000001))</f>
        <v/>
      </c>
      <c r="M38" s="34">
        <f>IF(OR($B38="",$C38&lt;&gt;"Ativo",$D38&lt;&gt;'Calc_Mix'!$C$10,'Calc_Mix'!$X$10=0,COUNTIFS(Esc_Turno,'Calc_Mix'!$C$10,Esc_Circ,$B38)+COUNTIFS(Esc_Turno,'Calc_Mix'!$C$10,Esc_Instr,$B38)&gt;0),"",IF(SUMPRODUCT('Calc_Mix'!$D$10:$W$10,'Matriz_Habilidades'!$D38:$W38)=0,"",SUMPRODUCT('Calc_Mix'!$D$10:$W$10,'Matriz_Habilidades'!$D38:$W38)/'Calc_Mix'!$X$10+ROW()*0.000001))</f>
        <v/>
      </c>
      <c r="N38" s="34">
        <f>IF(OR($B38="",$C38&lt;&gt;"Ativo",$D38&lt;&gt;'Calc_Mix'!$C$11,'Calc_Mix'!$X$11=0,COUNTIFS(Esc_Turno,'Calc_Mix'!$C$11,Esc_Circ,$B38)+COUNTIFS(Esc_Turno,'Calc_Mix'!$C$11,Esc_Instr,$B38)&gt;0),"",IF(SUMPRODUCT('Calc_Mix'!$D$11:$W$11,'Matriz_Habilidades'!$D38:$W38)=0,"",SUMPRODUCT('Calc_Mix'!$D$11:$W$11,'Matriz_Habilidades'!$D38:$W38)/'Calc_Mix'!$X$11+ROW()*0.000001))</f>
        <v/>
      </c>
      <c r="O38" s="34">
        <f>IF(OR($B38="",$C38&lt;&gt;"Ativo",$D38&lt;&gt;'Calc_Mix'!$C$12,'Calc_Mix'!$X$12=0,COUNTIFS(Esc_Turno,'Calc_Mix'!$C$12,Esc_Circ,$B38)+COUNTIFS(Esc_Turno,'Calc_Mix'!$C$12,Esc_Instr,$B38)&gt;0),"",IF(SUMPRODUCT('Calc_Mix'!$D$12:$W$12,'Matriz_Habilidades'!$D38:$W38)=0,"",SUMPRODUCT('Calc_Mix'!$D$12:$W$12,'Matriz_Habilidades'!$D38:$W38)/'Calc_Mix'!$X$12+ROW()*0.000001))</f>
        <v/>
      </c>
      <c r="P38" s="34">
        <f>IF(OR($B38="",$C38&lt;&gt;"Ativo",$D38&lt;&gt;'Calc_Mix'!$C$13,'Calc_Mix'!$X$13=0,COUNTIFS(Esc_Turno,'Calc_Mix'!$C$13,Esc_Circ,$B38)+COUNTIFS(Esc_Turno,'Calc_Mix'!$C$13,Esc_Instr,$B38)&gt;0),"",IF(SUMPRODUCT('Calc_Mix'!$D$13:$W$13,'Matriz_Habilidades'!$D38:$W38)=0,"",SUMPRODUCT('Calc_Mix'!$D$13:$W$13,'Matriz_Habilidades'!$D38:$W38)/'Calc_Mix'!$X$13+ROW()*0.000001))</f>
        <v/>
      </c>
      <c r="Q38" s="34">
        <f>IF(OR($B38="",$C38&lt;&gt;"Ativo",$D38&lt;&gt;'Calc_Mix'!$C$14,'Calc_Mix'!$X$14=0,COUNTIFS(Esc_Turno,'Calc_Mix'!$C$14,Esc_Circ,$B38)+COUNTIFS(Esc_Turno,'Calc_Mix'!$C$14,Esc_Instr,$B38)&gt;0),"",IF(SUMPRODUCT('Calc_Mix'!$D$14:$W$14,'Matriz_Habilidades'!$D38:$W38)=0,"",SUMPRODUCT('Calc_Mix'!$D$14:$W$14,'Matriz_Habilidades'!$D38:$W38)/'Calc_Mix'!$X$14+ROW()*0.000001))</f>
        <v/>
      </c>
      <c r="R38" s="34">
        <f>IF(OR($B38="",$C38&lt;&gt;"Ativo",$D38&lt;&gt;'Calc_Mix'!$C$15,'Calc_Mix'!$X$15=0,COUNTIFS(Esc_Turno,'Calc_Mix'!$C$15,Esc_Circ,$B38)+COUNTIFS(Esc_Turno,'Calc_Mix'!$C$15,Esc_Instr,$B38)&gt;0),"",IF(SUMPRODUCT('Calc_Mix'!$D$15:$W$15,'Matriz_Habilidades'!$D38:$W38)=0,"",SUMPRODUCT('Calc_Mix'!$D$15:$W$15,'Matriz_Habilidades'!$D38:$W38)/'Calc_Mix'!$X$15+ROW()*0.000001))</f>
        <v/>
      </c>
      <c r="S38" s="34">
        <f>IF(OR($B38="",$C38&lt;&gt;"Ativo",$D38&lt;&gt;'Calc_Mix'!$C$16,'Calc_Mix'!$X$16=0,COUNTIFS(Esc_Turno,'Calc_Mix'!$C$16,Esc_Circ,$B38)+COUNTIFS(Esc_Turno,'Calc_Mix'!$C$16,Esc_Instr,$B38)&gt;0),"",IF(SUMPRODUCT('Calc_Mix'!$D$16:$W$16,'Matriz_Habilidades'!$D38:$W38)=0,"",SUMPRODUCT('Calc_Mix'!$D$16:$W$16,'Matriz_Habilidades'!$D38:$W38)/'Calc_Mix'!$X$16+ROW()*0.000001))</f>
        <v/>
      </c>
      <c r="T38" s="34">
        <f>IF(OR($B38="",$C38&lt;&gt;"Ativo",$D38&lt;&gt;'Calc_Mix'!$C$17,'Calc_Mix'!$X$17=0,COUNTIFS(Esc_Turno,'Calc_Mix'!$C$17,Esc_Circ,$B38)+COUNTIFS(Esc_Turno,'Calc_Mix'!$C$17,Esc_Instr,$B38)&gt;0),"",IF(SUMPRODUCT('Calc_Mix'!$D$17:$W$17,'Matriz_Habilidades'!$D38:$W38)=0,"",SUMPRODUCT('Calc_Mix'!$D$17:$W$17,'Matriz_Habilidades'!$D38:$W38)/'Calc_Mix'!$X$17+ROW()*0.000001))</f>
        <v/>
      </c>
      <c r="U38" s="34">
        <f>IF(OR($B38="",$C38&lt;&gt;"Ativo",$D38&lt;&gt;'Calc_Mix'!$C$18,'Calc_Mix'!$X$18=0,COUNTIFS(Esc_Turno,'Calc_Mix'!$C$18,Esc_Circ,$B38)+COUNTIFS(Esc_Turno,'Calc_Mix'!$C$18,Esc_Instr,$B38)&gt;0),"",IF(SUMPRODUCT('Calc_Mix'!$D$18:$W$18,'Matriz_Habilidades'!$D38:$W38)=0,"",SUMPRODUCT('Calc_Mix'!$D$18:$W$18,'Matriz_Habilidades'!$D38:$W38)/'Calc_Mix'!$X$18+ROW()*0.000001))</f>
        <v/>
      </c>
      <c r="V38" s="34">
        <f>IF(OR($B38="",$C38&lt;&gt;"Ativo",$D38&lt;&gt;'Calc_Mix'!$C$19,'Calc_Mix'!$X$19=0,COUNTIFS(Esc_Turno,'Calc_Mix'!$C$19,Esc_Circ,$B38)+COUNTIFS(Esc_Turno,'Calc_Mix'!$C$19,Esc_Instr,$B38)&gt;0),"",IF(SUMPRODUCT('Calc_Mix'!$D$19:$W$19,'Matriz_Habilidades'!$D38:$W38)=0,"",SUMPRODUCT('Calc_Mix'!$D$19:$W$19,'Matriz_Habilidades'!$D38:$W38)/'Calc_Mix'!$X$19+ROW()*0.000001))</f>
        <v/>
      </c>
      <c r="W38" s="34">
        <f>IF(OR($B38="",$C38&lt;&gt;"Ativo",$D38&lt;&gt;'Calc_Mix'!$C$20,'Calc_Mix'!$X$20=0,COUNTIFS(Esc_Turno,'Calc_Mix'!$C$20,Esc_Circ,$B38)+COUNTIFS(Esc_Turno,'Calc_Mix'!$C$20,Esc_Instr,$B38)&gt;0),"",IF(SUMPRODUCT('Calc_Mix'!$D$20:$W$20,'Matriz_Habilidades'!$D38:$W38)=0,"",SUMPRODUCT('Calc_Mix'!$D$20:$W$20,'Matriz_Habilidades'!$D38:$W38)/'Calc_Mix'!$X$20+ROW()*0.000001))</f>
        <v/>
      </c>
      <c r="X38" s="34">
        <f>IF(OR($B38="",$C38&lt;&gt;"Ativo",$D38&lt;&gt;'Calc_Mix'!$C$21,'Calc_Mix'!$X$21=0,COUNTIFS(Esc_Turno,'Calc_Mix'!$C$21,Esc_Circ,$B38)+COUNTIFS(Esc_Turno,'Calc_Mix'!$C$21,Esc_Instr,$B38)&gt;0),"",IF(SUMPRODUCT('Calc_Mix'!$D$21:$W$21,'Matriz_Habilidades'!$D38:$W38)=0,"",SUMPRODUCT('Calc_Mix'!$D$21:$W$21,'Matriz_Habilidades'!$D38:$W38)/'Calc_Mix'!$X$21+ROW()*0.000001))</f>
        <v/>
      </c>
      <c r="Y38" s="34">
        <f>IF(OR($B38="",$C38&lt;&gt;"Ativo",$D38&lt;&gt;'Calc_Mix'!$C$22,'Calc_Mix'!$X$22=0,COUNTIFS(Esc_Turno,'Calc_Mix'!$C$22,Esc_Circ,$B38)+COUNTIFS(Esc_Turno,'Calc_Mix'!$C$22,Esc_Instr,$B38)&gt;0),"",IF(SUMPRODUCT('Calc_Mix'!$D$22:$W$22,'Matriz_Habilidades'!$D38:$W38)=0,"",SUMPRODUCT('Calc_Mix'!$D$22:$W$22,'Matriz_Habilidades'!$D38:$W38)/'Calc_Mix'!$X$22+ROW()*0.000001))</f>
        <v/>
      </c>
      <c r="Z38" s="34">
        <f>IF(OR($B38="",$C38&lt;&gt;"Ativo",$D38&lt;&gt;'Calc_Mix'!$C$23,'Calc_Mix'!$X$23=0,COUNTIFS(Esc_Turno,'Calc_Mix'!$C$23,Esc_Circ,$B38)+COUNTIFS(Esc_Turno,'Calc_Mix'!$C$23,Esc_Instr,$B38)&gt;0),"",IF(SUMPRODUCT('Calc_Mix'!$D$23:$W$23,'Matriz_Habilidades'!$D38:$W38)=0,"",SUMPRODUCT('Calc_Mix'!$D$23:$W$23,'Matriz_Habilidades'!$D38:$W38)/'Calc_Mix'!$X$23+ROW()*0.000001))</f>
        <v/>
      </c>
      <c r="AA38" s="34">
        <f>IF(OR($B38="",$C38&lt;&gt;"Ativo",$D38&lt;&gt;'Calc_Mix'!$C$24,'Calc_Mix'!$X$24=0,COUNTIFS(Esc_Turno,'Calc_Mix'!$C$24,Esc_Circ,$B38)+COUNTIFS(Esc_Turno,'Calc_Mix'!$C$24,Esc_Instr,$B38)&gt;0),"",IF(SUMPRODUCT('Calc_Mix'!$D$24:$W$24,'Matriz_Habilidades'!$D38:$W38)=0,"",SUMPRODUCT('Calc_Mix'!$D$24:$W$24,'Matriz_Habilidades'!$D38:$W38)/'Calc_Mix'!$X$24+ROW()*0.000001))</f>
        <v/>
      </c>
      <c r="AB38" s="34">
        <f>IF(OR($B38="",$C38&lt;&gt;"Ativo",$D38&lt;&gt;'Calc_Mix'!$C$25,'Calc_Mix'!$X$25=0,COUNTIFS(Esc_Turno,'Calc_Mix'!$C$25,Esc_Circ,$B38)+COUNTIFS(Esc_Turno,'Calc_Mix'!$C$25,Esc_Instr,$B38)&gt;0),"",IF(SUMPRODUCT('Calc_Mix'!$D$25:$W$25,'Matriz_Habilidades'!$D38:$W38)=0,"",SUMPRODUCT('Calc_Mix'!$D$25:$W$25,'Matriz_Habilidades'!$D38:$W38)/'Calc_Mix'!$X$25+ROW()*0.000001))</f>
        <v/>
      </c>
      <c r="AC38" s="34">
        <f>IF(OR($B38="",$C38&lt;&gt;"Ativo",$D38&lt;&gt;'Calc_Mix'!$C$26,'Calc_Mix'!$X$26=0,COUNTIFS(Esc_Turno,'Calc_Mix'!$C$26,Esc_Circ,$B38)+COUNTIFS(Esc_Turno,'Calc_Mix'!$C$26,Esc_Instr,$B38)&gt;0),"",IF(SUMPRODUCT('Calc_Mix'!$D$26:$W$26,'Matriz_Habilidades'!$D38:$W38)=0,"",SUMPRODUCT('Calc_Mix'!$D$26:$W$26,'Matriz_Habilidades'!$D38:$W38)/'Calc_Mix'!$X$26+ROW()*0.000001))</f>
        <v/>
      </c>
      <c r="AD38" s="34">
        <f>IF(OR($B38="",$C38&lt;&gt;"Ativo",$D38&lt;&gt;'Calc_Mix'!$C$27,'Calc_Mix'!$X$27=0,COUNTIFS(Esc_Turno,'Calc_Mix'!$C$27,Esc_Circ,$B38)+COUNTIFS(Esc_Turno,'Calc_Mix'!$C$27,Esc_Instr,$B38)&gt;0),"",IF(SUMPRODUCT('Calc_Mix'!$D$27:$W$27,'Matriz_Habilidades'!$D38:$W38)=0,"",SUMPRODUCT('Calc_Mix'!$D$27:$W$27,'Matriz_Habilidades'!$D38:$W38)/'Calc_Mix'!$X$27+ROW()*0.000001))</f>
        <v/>
      </c>
      <c r="AE38" s="34">
        <f>IF(OR($B38="",$C38&lt;&gt;"Ativo",$D38&lt;&gt;'Calc_Mix'!$C$28,'Calc_Mix'!$X$28=0,COUNTIFS(Esc_Turno,'Calc_Mix'!$C$28,Esc_Circ,$B38)+COUNTIFS(Esc_Turno,'Calc_Mix'!$C$28,Esc_Instr,$B38)&gt;0),"",IF(SUMPRODUCT('Calc_Mix'!$D$28:$W$28,'Matriz_Habilidades'!$D38:$W38)=0,"",SUMPRODUCT('Calc_Mix'!$D$28:$W$28,'Matriz_Habilidades'!$D38:$W38)/'Calc_Mix'!$X$28+ROW()*0.000001))</f>
        <v/>
      </c>
      <c r="AF38" s="34">
        <f>IF(OR($B38="",$C38&lt;&gt;"Ativo",$D38&lt;&gt;'Calc_Mix'!$C$29,'Calc_Mix'!$X$29=0,COUNTIFS(Esc_Turno,'Calc_Mix'!$C$29,Esc_Circ,$B38)+COUNTIFS(Esc_Turno,'Calc_Mix'!$C$29,Esc_Instr,$B38)&gt;0),"",IF(SUMPRODUCT('Calc_Mix'!$D$29:$W$29,'Matriz_Habilidades'!$D38:$W38)=0,"",SUMPRODUCT('Calc_Mix'!$D$29:$W$29,'Matriz_Habilidades'!$D38:$W38)/'Calc_Mix'!$X$29+ROW()*0.000001))</f>
        <v/>
      </c>
      <c r="AG38" s="34">
        <f>IF(OR($B38="",$C38&lt;&gt;"Ativo",$D38&lt;&gt;'Calc_Mix'!$C$30,'Calc_Mix'!$X$30=0,COUNTIFS(Esc_Turno,'Calc_Mix'!$C$30,Esc_Circ,$B38)+COUNTIFS(Esc_Turno,'Calc_Mix'!$C$30,Esc_Instr,$B38)&gt;0),"",IF(SUMPRODUCT('Calc_Mix'!$D$30:$W$30,'Matriz_Habilidades'!$D38:$W38)=0,"",SUMPRODUCT('Calc_Mix'!$D$30:$W$30,'Matriz_Habilidades'!$D38:$W38)/'Calc_Mix'!$X$30+ROW()*0.000001))</f>
        <v/>
      </c>
      <c r="AH38" s="34">
        <f>IF(OR($B38="",$C38&lt;&gt;"Ativo",$D38&lt;&gt;'Calc_Mix'!$C$31,'Calc_Mix'!$X$31=0,COUNTIFS(Esc_Turno,'Calc_Mix'!$C$31,Esc_Circ,$B38)+COUNTIFS(Esc_Turno,'Calc_Mix'!$C$31,Esc_Instr,$B38)&gt;0),"",IF(SUMPRODUCT('Calc_Mix'!$D$31:$W$31,'Matriz_Habilidades'!$D38:$W38)=0,"",SUMPRODUCT('Calc_Mix'!$D$31:$W$31,'Matriz_Habilidades'!$D38:$W38)/'Calc_Mix'!$X$31+ROW()*0.000001))</f>
        <v/>
      </c>
      <c r="AI38" s="34">
        <f>IF(OR($B38="",$C38&lt;&gt;"Ativo",$D38&lt;&gt;'Calc_Mix'!$C$32,'Calc_Mix'!$X$32=0,COUNTIFS(Esc_Turno,'Calc_Mix'!$C$32,Esc_Circ,$B38)+COUNTIFS(Esc_Turno,'Calc_Mix'!$C$32,Esc_Instr,$B38)&gt;0),"",IF(SUMPRODUCT('Calc_Mix'!$D$32:$W$32,'Matriz_Habilidades'!$D38:$W38)=0,"",SUMPRODUCT('Calc_Mix'!$D$32:$W$32,'Matriz_Habilidades'!$D38:$W38)/'Calc_Mix'!$X$32+ROW()*0.000001))</f>
        <v/>
      </c>
      <c r="AJ38" s="34">
        <f>IF(OR($B38="",$C38&lt;&gt;"Ativo",$D38&lt;&gt;'Calc_Mix'!$C$33,'Calc_Mix'!$X$33=0,COUNTIFS(Esc_Turno,'Calc_Mix'!$C$33,Esc_Circ,$B38)+COUNTIFS(Esc_Turno,'Calc_Mix'!$C$33,Esc_Instr,$B38)&gt;0),"",IF(SUMPRODUCT('Calc_Mix'!$D$33:$W$33,'Matriz_Habilidades'!$D38:$W38)=0,"",SUMPRODUCT('Calc_Mix'!$D$33:$W$33,'Matriz_Habilidades'!$D38:$W38)/'Calc_Mix'!$X$33+ROW()*0.000001))</f>
        <v/>
      </c>
      <c r="AK38" s="34">
        <f>IF(OR($B38="",$C38&lt;&gt;"Ativo",$D38&lt;&gt;'Calc_Mix'!$C$34,'Calc_Mix'!$X$34=0,COUNTIFS(Esc_Turno,'Calc_Mix'!$C$34,Esc_Circ,$B38)+COUNTIFS(Esc_Turno,'Calc_Mix'!$C$34,Esc_Instr,$B38)&gt;0),"",IF(SUMPRODUCT('Calc_Mix'!$D$34:$W$34,'Matriz_Habilidades'!$D38:$W38)=0,"",SUMPRODUCT('Calc_Mix'!$D$34:$W$34,'Matriz_Habilidades'!$D38:$W38)/'Calc_Mix'!$X$34+ROW()*0.000001))</f>
        <v/>
      </c>
      <c r="AL38" s="34">
        <f>IF(OR($B38="",$C38&lt;&gt;"Ativo",$D38&lt;&gt;'Calc_Mix'!$C$35,'Calc_Mix'!$X$35=0,COUNTIFS(Esc_Turno,'Calc_Mix'!$C$35,Esc_Circ,$B38)+COUNTIFS(Esc_Turno,'Calc_Mix'!$C$35,Esc_Instr,$B38)&gt;0),"",IF(SUMPRODUCT('Calc_Mix'!$D$35:$W$35,'Matriz_Habilidades'!$D38:$W38)=0,"",SUMPRODUCT('Calc_Mix'!$D$35:$W$35,'Matriz_Habilidades'!$D38:$W38)/'Calc_Mix'!$X$35+ROW()*0.000001))</f>
        <v/>
      </c>
      <c r="AM38" s="34">
        <f>IF(OR($B38="",$C38&lt;&gt;"Ativo",$D38&lt;&gt;'Calc_Mix'!$C$36,'Calc_Mix'!$X$36=0,COUNTIFS(Esc_Turno,'Calc_Mix'!$C$36,Esc_Circ,$B38)+COUNTIFS(Esc_Turno,'Calc_Mix'!$C$36,Esc_Instr,$B38)&gt;0),"",IF(SUMPRODUCT('Calc_Mix'!$D$36:$W$36,'Matriz_Habilidades'!$D38:$W38)=0,"",SUMPRODUCT('Calc_Mix'!$D$36:$W$36,'Matriz_Habilidades'!$D38:$W38)/'Calc_Mix'!$X$36+ROW()*0.000001))</f>
        <v/>
      </c>
      <c r="AN38" s="34">
        <f>IF(OR($B38="",$C38&lt;&gt;"Ativo",$D38&lt;&gt;'Calc_Mix'!$C$37,'Calc_Mix'!$X$37=0,COUNTIFS(Esc_Turno,'Calc_Mix'!$C$37,Esc_Circ,$B38)+COUNTIFS(Esc_Turno,'Calc_Mix'!$C$37,Esc_Instr,$B38)&gt;0),"",IF(SUMPRODUCT('Calc_Mix'!$D$37:$W$37,'Matriz_Habilidades'!$D38:$W38)=0,"",SUMPRODUCT('Calc_Mix'!$D$37:$W$37,'Matriz_Habilidades'!$D38:$W38)/'Calc_Mix'!$X$37+ROW()*0.000001))</f>
        <v/>
      </c>
    </row>
    <row r="39">
      <c r="A39" s="27">
        <f>IF('Matriz_Habilidades'!A39="","",'Matriz_Habilidades'!A39)</f>
        <v/>
      </c>
      <c r="B39" s="28">
        <f>IF('Matriz_Habilidades'!B39="","",'Matriz_Habilidades'!B39)</f>
        <v/>
      </c>
      <c r="C39" s="27">
        <f>IF($A39="","",IFERROR(INDEX(Equipe_Status,MATCH($B39,Equipe_Nome,0)),"?"))</f>
        <v/>
      </c>
      <c r="D39" s="27">
        <f>IF($A39="","",IFERROR(INDEX(Equipe_Turno,MATCH($B39,Equipe_Nome,0)),"?"))</f>
        <v/>
      </c>
      <c r="E39" s="34">
        <f>IF(OR($B39="",$C39&lt;&gt;"Ativo",$D39&lt;&gt;'Calc_Mix'!$C$2,'Calc_Mix'!$X$2=0,COUNTIFS(Esc_Turno,'Calc_Mix'!$C$2,Esc_Circ,$B39)+COUNTIFS(Esc_Turno,'Calc_Mix'!$C$2,Esc_Instr,$B39)&gt;0),"",IF(SUMPRODUCT('Calc_Mix'!$D$2:$W$2,'Matriz_Habilidades'!$D39:$W39)=0,"",SUMPRODUCT('Calc_Mix'!$D$2:$W$2,'Matriz_Habilidades'!$D39:$W39)/'Calc_Mix'!$X$2+ROW()*0.000001))</f>
        <v/>
      </c>
      <c r="F39" s="34">
        <f>IF(OR($B39="",$C39&lt;&gt;"Ativo",$D39&lt;&gt;'Calc_Mix'!$C$3,'Calc_Mix'!$X$3=0,COUNTIFS(Esc_Turno,'Calc_Mix'!$C$3,Esc_Circ,$B39)+COUNTIFS(Esc_Turno,'Calc_Mix'!$C$3,Esc_Instr,$B39)&gt;0),"",IF(SUMPRODUCT('Calc_Mix'!$D$3:$W$3,'Matriz_Habilidades'!$D39:$W39)=0,"",SUMPRODUCT('Calc_Mix'!$D$3:$W$3,'Matriz_Habilidades'!$D39:$W39)/'Calc_Mix'!$X$3+ROW()*0.000001))</f>
        <v/>
      </c>
      <c r="G39" s="34">
        <f>IF(OR($B39="",$C39&lt;&gt;"Ativo",$D39&lt;&gt;'Calc_Mix'!$C$4,'Calc_Mix'!$X$4=0,COUNTIFS(Esc_Turno,'Calc_Mix'!$C$4,Esc_Circ,$B39)+COUNTIFS(Esc_Turno,'Calc_Mix'!$C$4,Esc_Instr,$B39)&gt;0),"",IF(SUMPRODUCT('Calc_Mix'!$D$4:$W$4,'Matriz_Habilidades'!$D39:$W39)=0,"",SUMPRODUCT('Calc_Mix'!$D$4:$W$4,'Matriz_Habilidades'!$D39:$W39)/'Calc_Mix'!$X$4+ROW()*0.000001))</f>
        <v/>
      </c>
      <c r="H39" s="34">
        <f>IF(OR($B39="",$C39&lt;&gt;"Ativo",$D39&lt;&gt;'Calc_Mix'!$C$5,'Calc_Mix'!$X$5=0,COUNTIFS(Esc_Turno,'Calc_Mix'!$C$5,Esc_Circ,$B39)+COUNTIFS(Esc_Turno,'Calc_Mix'!$C$5,Esc_Instr,$B39)&gt;0),"",IF(SUMPRODUCT('Calc_Mix'!$D$5:$W$5,'Matriz_Habilidades'!$D39:$W39)=0,"",SUMPRODUCT('Calc_Mix'!$D$5:$W$5,'Matriz_Habilidades'!$D39:$W39)/'Calc_Mix'!$X$5+ROW()*0.000001))</f>
        <v/>
      </c>
      <c r="I39" s="34">
        <f>IF(OR($B39="",$C39&lt;&gt;"Ativo",$D39&lt;&gt;'Calc_Mix'!$C$6,'Calc_Mix'!$X$6=0,COUNTIFS(Esc_Turno,'Calc_Mix'!$C$6,Esc_Circ,$B39)+COUNTIFS(Esc_Turno,'Calc_Mix'!$C$6,Esc_Instr,$B39)&gt;0),"",IF(SUMPRODUCT('Calc_Mix'!$D$6:$W$6,'Matriz_Habilidades'!$D39:$W39)=0,"",SUMPRODUCT('Calc_Mix'!$D$6:$W$6,'Matriz_Habilidades'!$D39:$W39)/'Calc_Mix'!$X$6+ROW()*0.000001))</f>
        <v/>
      </c>
      <c r="J39" s="34">
        <f>IF(OR($B39="",$C39&lt;&gt;"Ativo",$D39&lt;&gt;'Calc_Mix'!$C$7,'Calc_Mix'!$X$7=0,COUNTIFS(Esc_Turno,'Calc_Mix'!$C$7,Esc_Circ,$B39)+COUNTIFS(Esc_Turno,'Calc_Mix'!$C$7,Esc_Instr,$B39)&gt;0),"",IF(SUMPRODUCT('Calc_Mix'!$D$7:$W$7,'Matriz_Habilidades'!$D39:$W39)=0,"",SUMPRODUCT('Calc_Mix'!$D$7:$W$7,'Matriz_Habilidades'!$D39:$W39)/'Calc_Mix'!$X$7+ROW()*0.000001))</f>
        <v/>
      </c>
      <c r="K39" s="34">
        <f>IF(OR($B39="",$C39&lt;&gt;"Ativo",$D39&lt;&gt;'Calc_Mix'!$C$8,'Calc_Mix'!$X$8=0,COUNTIFS(Esc_Turno,'Calc_Mix'!$C$8,Esc_Circ,$B39)+COUNTIFS(Esc_Turno,'Calc_Mix'!$C$8,Esc_Instr,$B39)&gt;0),"",IF(SUMPRODUCT('Calc_Mix'!$D$8:$W$8,'Matriz_Habilidades'!$D39:$W39)=0,"",SUMPRODUCT('Calc_Mix'!$D$8:$W$8,'Matriz_Habilidades'!$D39:$W39)/'Calc_Mix'!$X$8+ROW()*0.000001))</f>
        <v/>
      </c>
      <c r="L39" s="34">
        <f>IF(OR($B39="",$C39&lt;&gt;"Ativo",$D39&lt;&gt;'Calc_Mix'!$C$9,'Calc_Mix'!$X$9=0,COUNTIFS(Esc_Turno,'Calc_Mix'!$C$9,Esc_Circ,$B39)+COUNTIFS(Esc_Turno,'Calc_Mix'!$C$9,Esc_Instr,$B39)&gt;0),"",IF(SUMPRODUCT('Calc_Mix'!$D$9:$W$9,'Matriz_Habilidades'!$D39:$W39)=0,"",SUMPRODUCT('Calc_Mix'!$D$9:$W$9,'Matriz_Habilidades'!$D39:$W39)/'Calc_Mix'!$X$9+ROW()*0.000001))</f>
        <v/>
      </c>
      <c r="M39" s="34">
        <f>IF(OR($B39="",$C39&lt;&gt;"Ativo",$D39&lt;&gt;'Calc_Mix'!$C$10,'Calc_Mix'!$X$10=0,COUNTIFS(Esc_Turno,'Calc_Mix'!$C$10,Esc_Circ,$B39)+COUNTIFS(Esc_Turno,'Calc_Mix'!$C$10,Esc_Instr,$B39)&gt;0),"",IF(SUMPRODUCT('Calc_Mix'!$D$10:$W$10,'Matriz_Habilidades'!$D39:$W39)=0,"",SUMPRODUCT('Calc_Mix'!$D$10:$W$10,'Matriz_Habilidades'!$D39:$W39)/'Calc_Mix'!$X$10+ROW()*0.000001))</f>
        <v/>
      </c>
      <c r="N39" s="34">
        <f>IF(OR($B39="",$C39&lt;&gt;"Ativo",$D39&lt;&gt;'Calc_Mix'!$C$11,'Calc_Mix'!$X$11=0,COUNTIFS(Esc_Turno,'Calc_Mix'!$C$11,Esc_Circ,$B39)+COUNTIFS(Esc_Turno,'Calc_Mix'!$C$11,Esc_Instr,$B39)&gt;0),"",IF(SUMPRODUCT('Calc_Mix'!$D$11:$W$11,'Matriz_Habilidades'!$D39:$W39)=0,"",SUMPRODUCT('Calc_Mix'!$D$11:$W$11,'Matriz_Habilidades'!$D39:$W39)/'Calc_Mix'!$X$11+ROW()*0.000001))</f>
        <v/>
      </c>
      <c r="O39" s="34">
        <f>IF(OR($B39="",$C39&lt;&gt;"Ativo",$D39&lt;&gt;'Calc_Mix'!$C$12,'Calc_Mix'!$X$12=0,COUNTIFS(Esc_Turno,'Calc_Mix'!$C$12,Esc_Circ,$B39)+COUNTIFS(Esc_Turno,'Calc_Mix'!$C$12,Esc_Instr,$B39)&gt;0),"",IF(SUMPRODUCT('Calc_Mix'!$D$12:$W$12,'Matriz_Habilidades'!$D39:$W39)=0,"",SUMPRODUCT('Calc_Mix'!$D$12:$W$12,'Matriz_Habilidades'!$D39:$W39)/'Calc_Mix'!$X$12+ROW()*0.000001))</f>
        <v/>
      </c>
      <c r="P39" s="34">
        <f>IF(OR($B39="",$C39&lt;&gt;"Ativo",$D39&lt;&gt;'Calc_Mix'!$C$13,'Calc_Mix'!$X$13=0,COUNTIFS(Esc_Turno,'Calc_Mix'!$C$13,Esc_Circ,$B39)+COUNTIFS(Esc_Turno,'Calc_Mix'!$C$13,Esc_Instr,$B39)&gt;0),"",IF(SUMPRODUCT('Calc_Mix'!$D$13:$W$13,'Matriz_Habilidades'!$D39:$W39)=0,"",SUMPRODUCT('Calc_Mix'!$D$13:$W$13,'Matriz_Habilidades'!$D39:$W39)/'Calc_Mix'!$X$13+ROW()*0.000001))</f>
        <v/>
      </c>
      <c r="Q39" s="34">
        <f>IF(OR($B39="",$C39&lt;&gt;"Ativo",$D39&lt;&gt;'Calc_Mix'!$C$14,'Calc_Mix'!$X$14=0,COUNTIFS(Esc_Turno,'Calc_Mix'!$C$14,Esc_Circ,$B39)+COUNTIFS(Esc_Turno,'Calc_Mix'!$C$14,Esc_Instr,$B39)&gt;0),"",IF(SUMPRODUCT('Calc_Mix'!$D$14:$W$14,'Matriz_Habilidades'!$D39:$W39)=0,"",SUMPRODUCT('Calc_Mix'!$D$14:$W$14,'Matriz_Habilidades'!$D39:$W39)/'Calc_Mix'!$X$14+ROW()*0.000001))</f>
        <v/>
      </c>
      <c r="R39" s="34">
        <f>IF(OR($B39="",$C39&lt;&gt;"Ativo",$D39&lt;&gt;'Calc_Mix'!$C$15,'Calc_Mix'!$X$15=0,COUNTIFS(Esc_Turno,'Calc_Mix'!$C$15,Esc_Circ,$B39)+COUNTIFS(Esc_Turno,'Calc_Mix'!$C$15,Esc_Instr,$B39)&gt;0),"",IF(SUMPRODUCT('Calc_Mix'!$D$15:$W$15,'Matriz_Habilidades'!$D39:$W39)=0,"",SUMPRODUCT('Calc_Mix'!$D$15:$W$15,'Matriz_Habilidades'!$D39:$W39)/'Calc_Mix'!$X$15+ROW()*0.000001))</f>
        <v/>
      </c>
      <c r="S39" s="34">
        <f>IF(OR($B39="",$C39&lt;&gt;"Ativo",$D39&lt;&gt;'Calc_Mix'!$C$16,'Calc_Mix'!$X$16=0,COUNTIFS(Esc_Turno,'Calc_Mix'!$C$16,Esc_Circ,$B39)+COUNTIFS(Esc_Turno,'Calc_Mix'!$C$16,Esc_Instr,$B39)&gt;0),"",IF(SUMPRODUCT('Calc_Mix'!$D$16:$W$16,'Matriz_Habilidades'!$D39:$W39)=0,"",SUMPRODUCT('Calc_Mix'!$D$16:$W$16,'Matriz_Habilidades'!$D39:$W39)/'Calc_Mix'!$X$16+ROW()*0.000001))</f>
        <v/>
      </c>
      <c r="T39" s="34">
        <f>IF(OR($B39="",$C39&lt;&gt;"Ativo",$D39&lt;&gt;'Calc_Mix'!$C$17,'Calc_Mix'!$X$17=0,COUNTIFS(Esc_Turno,'Calc_Mix'!$C$17,Esc_Circ,$B39)+COUNTIFS(Esc_Turno,'Calc_Mix'!$C$17,Esc_Instr,$B39)&gt;0),"",IF(SUMPRODUCT('Calc_Mix'!$D$17:$W$17,'Matriz_Habilidades'!$D39:$W39)=0,"",SUMPRODUCT('Calc_Mix'!$D$17:$W$17,'Matriz_Habilidades'!$D39:$W39)/'Calc_Mix'!$X$17+ROW()*0.000001))</f>
        <v/>
      </c>
      <c r="U39" s="34">
        <f>IF(OR($B39="",$C39&lt;&gt;"Ativo",$D39&lt;&gt;'Calc_Mix'!$C$18,'Calc_Mix'!$X$18=0,COUNTIFS(Esc_Turno,'Calc_Mix'!$C$18,Esc_Circ,$B39)+COUNTIFS(Esc_Turno,'Calc_Mix'!$C$18,Esc_Instr,$B39)&gt;0),"",IF(SUMPRODUCT('Calc_Mix'!$D$18:$W$18,'Matriz_Habilidades'!$D39:$W39)=0,"",SUMPRODUCT('Calc_Mix'!$D$18:$W$18,'Matriz_Habilidades'!$D39:$W39)/'Calc_Mix'!$X$18+ROW()*0.000001))</f>
        <v/>
      </c>
      <c r="V39" s="34">
        <f>IF(OR($B39="",$C39&lt;&gt;"Ativo",$D39&lt;&gt;'Calc_Mix'!$C$19,'Calc_Mix'!$X$19=0,COUNTIFS(Esc_Turno,'Calc_Mix'!$C$19,Esc_Circ,$B39)+COUNTIFS(Esc_Turno,'Calc_Mix'!$C$19,Esc_Instr,$B39)&gt;0),"",IF(SUMPRODUCT('Calc_Mix'!$D$19:$W$19,'Matriz_Habilidades'!$D39:$W39)=0,"",SUMPRODUCT('Calc_Mix'!$D$19:$W$19,'Matriz_Habilidades'!$D39:$W39)/'Calc_Mix'!$X$19+ROW()*0.000001))</f>
        <v/>
      </c>
      <c r="W39" s="34">
        <f>IF(OR($B39="",$C39&lt;&gt;"Ativo",$D39&lt;&gt;'Calc_Mix'!$C$20,'Calc_Mix'!$X$20=0,COUNTIFS(Esc_Turno,'Calc_Mix'!$C$20,Esc_Circ,$B39)+COUNTIFS(Esc_Turno,'Calc_Mix'!$C$20,Esc_Instr,$B39)&gt;0),"",IF(SUMPRODUCT('Calc_Mix'!$D$20:$W$20,'Matriz_Habilidades'!$D39:$W39)=0,"",SUMPRODUCT('Calc_Mix'!$D$20:$W$20,'Matriz_Habilidades'!$D39:$W39)/'Calc_Mix'!$X$20+ROW()*0.000001))</f>
        <v/>
      </c>
      <c r="X39" s="34">
        <f>IF(OR($B39="",$C39&lt;&gt;"Ativo",$D39&lt;&gt;'Calc_Mix'!$C$21,'Calc_Mix'!$X$21=0,COUNTIFS(Esc_Turno,'Calc_Mix'!$C$21,Esc_Circ,$B39)+COUNTIFS(Esc_Turno,'Calc_Mix'!$C$21,Esc_Instr,$B39)&gt;0),"",IF(SUMPRODUCT('Calc_Mix'!$D$21:$W$21,'Matriz_Habilidades'!$D39:$W39)=0,"",SUMPRODUCT('Calc_Mix'!$D$21:$W$21,'Matriz_Habilidades'!$D39:$W39)/'Calc_Mix'!$X$21+ROW()*0.000001))</f>
        <v/>
      </c>
      <c r="Y39" s="34">
        <f>IF(OR($B39="",$C39&lt;&gt;"Ativo",$D39&lt;&gt;'Calc_Mix'!$C$22,'Calc_Mix'!$X$22=0,COUNTIFS(Esc_Turno,'Calc_Mix'!$C$22,Esc_Circ,$B39)+COUNTIFS(Esc_Turno,'Calc_Mix'!$C$22,Esc_Instr,$B39)&gt;0),"",IF(SUMPRODUCT('Calc_Mix'!$D$22:$W$22,'Matriz_Habilidades'!$D39:$W39)=0,"",SUMPRODUCT('Calc_Mix'!$D$22:$W$22,'Matriz_Habilidades'!$D39:$W39)/'Calc_Mix'!$X$22+ROW()*0.000001))</f>
        <v/>
      </c>
      <c r="Z39" s="34">
        <f>IF(OR($B39="",$C39&lt;&gt;"Ativo",$D39&lt;&gt;'Calc_Mix'!$C$23,'Calc_Mix'!$X$23=0,COUNTIFS(Esc_Turno,'Calc_Mix'!$C$23,Esc_Circ,$B39)+COUNTIFS(Esc_Turno,'Calc_Mix'!$C$23,Esc_Instr,$B39)&gt;0),"",IF(SUMPRODUCT('Calc_Mix'!$D$23:$W$23,'Matriz_Habilidades'!$D39:$W39)=0,"",SUMPRODUCT('Calc_Mix'!$D$23:$W$23,'Matriz_Habilidades'!$D39:$W39)/'Calc_Mix'!$X$23+ROW()*0.000001))</f>
        <v/>
      </c>
      <c r="AA39" s="34">
        <f>IF(OR($B39="",$C39&lt;&gt;"Ativo",$D39&lt;&gt;'Calc_Mix'!$C$24,'Calc_Mix'!$X$24=0,COUNTIFS(Esc_Turno,'Calc_Mix'!$C$24,Esc_Circ,$B39)+COUNTIFS(Esc_Turno,'Calc_Mix'!$C$24,Esc_Instr,$B39)&gt;0),"",IF(SUMPRODUCT('Calc_Mix'!$D$24:$W$24,'Matriz_Habilidades'!$D39:$W39)=0,"",SUMPRODUCT('Calc_Mix'!$D$24:$W$24,'Matriz_Habilidades'!$D39:$W39)/'Calc_Mix'!$X$24+ROW()*0.000001))</f>
        <v/>
      </c>
      <c r="AB39" s="34">
        <f>IF(OR($B39="",$C39&lt;&gt;"Ativo",$D39&lt;&gt;'Calc_Mix'!$C$25,'Calc_Mix'!$X$25=0,COUNTIFS(Esc_Turno,'Calc_Mix'!$C$25,Esc_Circ,$B39)+COUNTIFS(Esc_Turno,'Calc_Mix'!$C$25,Esc_Instr,$B39)&gt;0),"",IF(SUMPRODUCT('Calc_Mix'!$D$25:$W$25,'Matriz_Habilidades'!$D39:$W39)=0,"",SUMPRODUCT('Calc_Mix'!$D$25:$W$25,'Matriz_Habilidades'!$D39:$W39)/'Calc_Mix'!$X$25+ROW()*0.000001))</f>
        <v/>
      </c>
      <c r="AC39" s="34">
        <f>IF(OR($B39="",$C39&lt;&gt;"Ativo",$D39&lt;&gt;'Calc_Mix'!$C$26,'Calc_Mix'!$X$26=0,COUNTIFS(Esc_Turno,'Calc_Mix'!$C$26,Esc_Circ,$B39)+COUNTIFS(Esc_Turno,'Calc_Mix'!$C$26,Esc_Instr,$B39)&gt;0),"",IF(SUMPRODUCT('Calc_Mix'!$D$26:$W$26,'Matriz_Habilidades'!$D39:$W39)=0,"",SUMPRODUCT('Calc_Mix'!$D$26:$W$26,'Matriz_Habilidades'!$D39:$W39)/'Calc_Mix'!$X$26+ROW()*0.000001))</f>
        <v/>
      </c>
      <c r="AD39" s="34">
        <f>IF(OR($B39="",$C39&lt;&gt;"Ativo",$D39&lt;&gt;'Calc_Mix'!$C$27,'Calc_Mix'!$X$27=0,COUNTIFS(Esc_Turno,'Calc_Mix'!$C$27,Esc_Circ,$B39)+COUNTIFS(Esc_Turno,'Calc_Mix'!$C$27,Esc_Instr,$B39)&gt;0),"",IF(SUMPRODUCT('Calc_Mix'!$D$27:$W$27,'Matriz_Habilidades'!$D39:$W39)=0,"",SUMPRODUCT('Calc_Mix'!$D$27:$W$27,'Matriz_Habilidades'!$D39:$W39)/'Calc_Mix'!$X$27+ROW()*0.000001))</f>
        <v/>
      </c>
      <c r="AE39" s="34">
        <f>IF(OR($B39="",$C39&lt;&gt;"Ativo",$D39&lt;&gt;'Calc_Mix'!$C$28,'Calc_Mix'!$X$28=0,COUNTIFS(Esc_Turno,'Calc_Mix'!$C$28,Esc_Circ,$B39)+COUNTIFS(Esc_Turno,'Calc_Mix'!$C$28,Esc_Instr,$B39)&gt;0),"",IF(SUMPRODUCT('Calc_Mix'!$D$28:$W$28,'Matriz_Habilidades'!$D39:$W39)=0,"",SUMPRODUCT('Calc_Mix'!$D$28:$W$28,'Matriz_Habilidades'!$D39:$W39)/'Calc_Mix'!$X$28+ROW()*0.000001))</f>
        <v/>
      </c>
      <c r="AF39" s="34">
        <f>IF(OR($B39="",$C39&lt;&gt;"Ativo",$D39&lt;&gt;'Calc_Mix'!$C$29,'Calc_Mix'!$X$29=0,COUNTIFS(Esc_Turno,'Calc_Mix'!$C$29,Esc_Circ,$B39)+COUNTIFS(Esc_Turno,'Calc_Mix'!$C$29,Esc_Instr,$B39)&gt;0),"",IF(SUMPRODUCT('Calc_Mix'!$D$29:$W$29,'Matriz_Habilidades'!$D39:$W39)=0,"",SUMPRODUCT('Calc_Mix'!$D$29:$W$29,'Matriz_Habilidades'!$D39:$W39)/'Calc_Mix'!$X$29+ROW()*0.000001))</f>
        <v/>
      </c>
      <c r="AG39" s="34">
        <f>IF(OR($B39="",$C39&lt;&gt;"Ativo",$D39&lt;&gt;'Calc_Mix'!$C$30,'Calc_Mix'!$X$30=0,COUNTIFS(Esc_Turno,'Calc_Mix'!$C$30,Esc_Circ,$B39)+COUNTIFS(Esc_Turno,'Calc_Mix'!$C$30,Esc_Instr,$B39)&gt;0),"",IF(SUMPRODUCT('Calc_Mix'!$D$30:$W$30,'Matriz_Habilidades'!$D39:$W39)=0,"",SUMPRODUCT('Calc_Mix'!$D$30:$W$30,'Matriz_Habilidades'!$D39:$W39)/'Calc_Mix'!$X$30+ROW()*0.000001))</f>
        <v/>
      </c>
      <c r="AH39" s="34">
        <f>IF(OR($B39="",$C39&lt;&gt;"Ativo",$D39&lt;&gt;'Calc_Mix'!$C$31,'Calc_Mix'!$X$31=0,COUNTIFS(Esc_Turno,'Calc_Mix'!$C$31,Esc_Circ,$B39)+COUNTIFS(Esc_Turno,'Calc_Mix'!$C$31,Esc_Instr,$B39)&gt;0),"",IF(SUMPRODUCT('Calc_Mix'!$D$31:$W$31,'Matriz_Habilidades'!$D39:$W39)=0,"",SUMPRODUCT('Calc_Mix'!$D$31:$W$31,'Matriz_Habilidades'!$D39:$W39)/'Calc_Mix'!$X$31+ROW()*0.000001))</f>
        <v/>
      </c>
      <c r="AI39" s="34">
        <f>IF(OR($B39="",$C39&lt;&gt;"Ativo",$D39&lt;&gt;'Calc_Mix'!$C$32,'Calc_Mix'!$X$32=0,COUNTIFS(Esc_Turno,'Calc_Mix'!$C$32,Esc_Circ,$B39)+COUNTIFS(Esc_Turno,'Calc_Mix'!$C$32,Esc_Instr,$B39)&gt;0),"",IF(SUMPRODUCT('Calc_Mix'!$D$32:$W$32,'Matriz_Habilidades'!$D39:$W39)=0,"",SUMPRODUCT('Calc_Mix'!$D$32:$W$32,'Matriz_Habilidades'!$D39:$W39)/'Calc_Mix'!$X$32+ROW()*0.000001))</f>
        <v/>
      </c>
      <c r="AJ39" s="34">
        <f>IF(OR($B39="",$C39&lt;&gt;"Ativo",$D39&lt;&gt;'Calc_Mix'!$C$33,'Calc_Mix'!$X$33=0,COUNTIFS(Esc_Turno,'Calc_Mix'!$C$33,Esc_Circ,$B39)+COUNTIFS(Esc_Turno,'Calc_Mix'!$C$33,Esc_Instr,$B39)&gt;0),"",IF(SUMPRODUCT('Calc_Mix'!$D$33:$W$33,'Matriz_Habilidades'!$D39:$W39)=0,"",SUMPRODUCT('Calc_Mix'!$D$33:$W$33,'Matriz_Habilidades'!$D39:$W39)/'Calc_Mix'!$X$33+ROW()*0.000001))</f>
        <v/>
      </c>
      <c r="AK39" s="34">
        <f>IF(OR($B39="",$C39&lt;&gt;"Ativo",$D39&lt;&gt;'Calc_Mix'!$C$34,'Calc_Mix'!$X$34=0,COUNTIFS(Esc_Turno,'Calc_Mix'!$C$34,Esc_Circ,$B39)+COUNTIFS(Esc_Turno,'Calc_Mix'!$C$34,Esc_Instr,$B39)&gt;0),"",IF(SUMPRODUCT('Calc_Mix'!$D$34:$W$34,'Matriz_Habilidades'!$D39:$W39)=0,"",SUMPRODUCT('Calc_Mix'!$D$34:$W$34,'Matriz_Habilidades'!$D39:$W39)/'Calc_Mix'!$X$34+ROW()*0.000001))</f>
        <v/>
      </c>
      <c r="AL39" s="34">
        <f>IF(OR($B39="",$C39&lt;&gt;"Ativo",$D39&lt;&gt;'Calc_Mix'!$C$35,'Calc_Mix'!$X$35=0,COUNTIFS(Esc_Turno,'Calc_Mix'!$C$35,Esc_Circ,$B39)+COUNTIFS(Esc_Turno,'Calc_Mix'!$C$35,Esc_Instr,$B39)&gt;0),"",IF(SUMPRODUCT('Calc_Mix'!$D$35:$W$35,'Matriz_Habilidades'!$D39:$W39)=0,"",SUMPRODUCT('Calc_Mix'!$D$35:$W$35,'Matriz_Habilidades'!$D39:$W39)/'Calc_Mix'!$X$35+ROW()*0.000001))</f>
        <v/>
      </c>
      <c r="AM39" s="34">
        <f>IF(OR($B39="",$C39&lt;&gt;"Ativo",$D39&lt;&gt;'Calc_Mix'!$C$36,'Calc_Mix'!$X$36=0,COUNTIFS(Esc_Turno,'Calc_Mix'!$C$36,Esc_Circ,$B39)+COUNTIFS(Esc_Turno,'Calc_Mix'!$C$36,Esc_Instr,$B39)&gt;0),"",IF(SUMPRODUCT('Calc_Mix'!$D$36:$W$36,'Matriz_Habilidades'!$D39:$W39)=0,"",SUMPRODUCT('Calc_Mix'!$D$36:$W$36,'Matriz_Habilidades'!$D39:$W39)/'Calc_Mix'!$X$36+ROW()*0.000001))</f>
        <v/>
      </c>
      <c r="AN39" s="34">
        <f>IF(OR($B39="",$C39&lt;&gt;"Ativo",$D39&lt;&gt;'Calc_Mix'!$C$37,'Calc_Mix'!$X$37=0,COUNTIFS(Esc_Turno,'Calc_Mix'!$C$37,Esc_Circ,$B39)+COUNTIFS(Esc_Turno,'Calc_Mix'!$C$37,Esc_Instr,$B39)&gt;0),"",IF(SUMPRODUCT('Calc_Mix'!$D$37:$W$37,'Matriz_Habilidades'!$D39:$W39)=0,"",SUMPRODUCT('Calc_Mix'!$D$37:$W$37,'Matriz_Habilidades'!$D39:$W39)/'Calc_Mix'!$X$37+ROW()*0.000001))</f>
        <v/>
      </c>
    </row>
    <row r="40">
      <c r="A40" s="27">
        <f>IF('Matriz_Habilidades'!A40="","",'Matriz_Habilidades'!A40)</f>
        <v/>
      </c>
      <c r="B40" s="28">
        <f>IF('Matriz_Habilidades'!B40="","",'Matriz_Habilidades'!B40)</f>
        <v/>
      </c>
      <c r="C40" s="27">
        <f>IF($A40="","",IFERROR(INDEX(Equipe_Status,MATCH($B40,Equipe_Nome,0)),"?"))</f>
        <v/>
      </c>
      <c r="D40" s="27">
        <f>IF($A40="","",IFERROR(INDEX(Equipe_Turno,MATCH($B40,Equipe_Nome,0)),"?"))</f>
        <v/>
      </c>
      <c r="E40" s="34">
        <f>IF(OR($B40="",$C40&lt;&gt;"Ativo",$D40&lt;&gt;'Calc_Mix'!$C$2,'Calc_Mix'!$X$2=0,COUNTIFS(Esc_Turno,'Calc_Mix'!$C$2,Esc_Circ,$B40)+COUNTIFS(Esc_Turno,'Calc_Mix'!$C$2,Esc_Instr,$B40)&gt;0),"",IF(SUMPRODUCT('Calc_Mix'!$D$2:$W$2,'Matriz_Habilidades'!$D40:$W40)=0,"",SUMPRODUCT('Calc_Mix'!$D$2:$W$2,'Matriz_Habilidades'!$D40:$W40)/'Calc_Mix'!$X$2+ROW()*0.000001))</f>
        <v/>
      </c>
      <c r="F40" s="34">
        <f>IF(OR($B40="",$C40&lt;&gt;"Ativo",$D40&lt;&gt;'Calc_Mix'!$C$3,'Calc_Mix'!$X$3=0,COUNTIFS(Esc_Turno,'Calc_Mix'!$C$3,Esc_Circ,$B40)+COUNTIFS(Esc_Turno,'Calc_Mix'!$C$3,Esc_Instr,$B40)&gt;0),"",IF(SUMPRODUCT('Calc_Mix'!$D$3:$W$3,'Matriz_Habilidades'!$D40:$W40)=0,"",SUMPRODUCT('Calc_Mix'!$D$3:$W$3,'Matriz_Habilidades'!$D40:$W40)/'Calc_Mix'!$X$3+ROW()*0.000001))</f>
        <v/>
      </c>
      <c r="G40" s="34">
        <f>IF(OR($B40="",$C40&lt;&gt;"Ativo",$D40&lt;&gt;'Calc_Mix'!$C$4,'Calc_Mix'!$X$4=0,COUNTIFS(Esc_Turno,'Calc_Mix'!$C$4,Esc_Circ,$B40)+COUNTIFS(Esc_Turno,'Calc_Mix'!$C$4,Esc_Instr,$B40)&gt;0),"",IF(SUMPRODUCT('Calc_Mix'!$D$4:$W$4,'Matriz_Habilidades'!$D40:$W40)=0,"",SUMPRODUCT('Calc_Mix'!$D$4:$W$4,'Matriz_Habilidades'!$D40:$W40)/'Calc_Mix'!$X$4+ROW()*0.000001))</f>
        <v/>
      </c>
      <c r="H40" s="34">
        <f>IF(OR($B40="",$C40&lt;&gt;"Ativo",$D40&lt;&gt;'Calc_Mix'!$C$5,'Calc_Mix'!$X$5=0,COUNTIFS(Esc_Turno,'Calc_Mix'!$C$5,Esc_Circ,$B40)+COUNTIFS(Esc_Turno,'Calc_Mix'!$C$5,Esc_Instr,$B40)&gt;0),"",IF(SUMPRODUCT('Calc_Mix'!$D$5:$W$5,'Matriz_Habilidades'!$D40:$W40)=0,"",SUMPRODUCT('Calc_Mix'!$D$5:$W$5,'Matriz_Habilidades'!$D40:$W40)/'Calc_Mix'!$X$5+ROW()*0.000001))</f>
        <v/>
      </c>
      <c r="I40" s="34">
        <f>IF(OR($B40="",$C40&lt;&gt;"Ativo",$D40&lt;&gt;'Calc_Mix'!$C$6,'Calc_Mix'!$X$6=0,COUNTIFS(Esc_Turno,'Calc_Mix'!$C$6,Esc_Circ,$B40)+COUNTIFS(Esc_Turno,'Calc_Mix'!$C$6,Esc_Instr,$B40)&gt;0),"",IF(SUMPRODUCT('Calc_Mix'!$D$6:$W$6,'Matriz_Habilidades'!$D40:$W40)=0,"",SUMPRODUCT('Calc_Mix'!$D$6:$W$6,'Matriz_Habilidades'!$D40:$W40)/'Calc_Mix'!$X$6+ROW()*0.000001))</f>
        <v/>
      </c>
      <c r="J40" s="34">
        <f>IF(OR($B40="",$C40&lt;&gt;"Ativo",$D40&lt;&gt;'Calc_Mix'!$C$7,'Calc_Mix'!$X$7=0,COUNTIFS(Esc_Turno,'Calc_Mix'!$C$7,Esc_Circ,$B40)+COUNTIFS(Esc_Turno,'Calc_Mix'!$C$7,Esc_Instr,$B40)&gt;0),"",IF(SUMPRODUCT('Calc_Mix'!$D$7:$W$7,'Matriz_Habilidades'!$D40:$W40)=0,"",SUMPRODUCT('Calc_Mix'!$D$7:$W$7,'Matriz_Habilidades'!$D40:$W40)/'Calc_Mix'!$X$7+ROW()*0.000001))</f>
        <v/>
      </c>
      <c r="K40" s="34">
        <f>IF(OR($B40="",$C40&lt;&gt;"Ativo",$D40&lt;&gt;'Calc_Mix'!$C$8,'Calc_Mix'!$X$8=0,COUNTIFS(Esc_Turno,'Calc_Mix'!$C$8,Esc_Circ,$B40)+COUNTIFS(Esc_Turno,'Calc_Mix'!$C$8,Esc_Instr,$B40)&gt;0),"",IF(SUMPRODUCT('Calc_Mix'!$D$8:$W$8,'Matriz_Habilidades'!$D40:$W40)=0,"",SUMPRODUCT('Calc_Mix'!$D$8:$W$8,'Matriz_Habilidades'!$D40:$W40)/'Calc_Mix'!$X$8+ROW()*0.000001))</f>
        <v/>
      </c>
      <c r="L40" s="34">
        <f>IF(OR($B40="",$C40&lt;&gt;"Ativo",$D40&lt;&gt;'Calc_Mix'!$C$9,'Calc_Mix'!$X$9=0,COUNTIFS(Esc_Turno,'Calc_Mix'!$C$9,Esc_Circ,$B40)+COUNTIFS(Esc_Turno,'Calc_Mix'!$C$9,Esc_Instr,$B40)&gt;0),"",IF(SUMPRODUCT('Calc_Mix'!$D$9:$W$9,'Matriz_Habilidades'!$D40:$W40)=0,"",SUMPRODUCT('Calc_Mix'!$D$9:$W$9,'Matriz_Habilidades'!$D40:$W40)/'Calc_Mix'!$X$9+ROW()*0.000001))</f>
        <v/>
      </c>
      <c r="M40" s="34">
        <f>IF(OR($B40="",$C40&lt;&gt;"Ativo",$D40&lt;&gt;'Calc_Mix'!$C$10,'Calc_Mix'!$X$10=0,COUNTIFS(Esc_Turno,'Calc_Mix'!$C$10,Esc_Circ,$B40)+COUNTIFS(Esc_Turno,'Calc_Mix'!$C$10,Esc_Instr,$B40)&gt;0),"",IF(SUMPRODUCT('Calc_Mix'!$D$10:$W$10,'Matriz_Habilidades'!$D40:$W40)=0,"",SUMPRODUCT('Calc_Mix'!$D$10:$W$10,'Matriz_Habilidades'!$D40:$W40)/'Calc_Mix'!$X$10+ROW()*0.000001))</f>
        <v/>
      </c>
      <c r="N40" s="34">
        <f>IF(OR($B40="",$C40&lt;&gt;"Ativo",$D40&lt;&gt;'Calc_Mix'!$C$11,'Calc_Mix'!$X$11=0,COUNTIFS(Esc_Turno,'Calc_Mix'!$C$11,Esc_Circ,$B40)+COUNTIFS(Esc_Turno,'Calc_Mix'!$C$11,Esc_Instr,$B40)&gt;0),"",IF(SUMPRODUCT('Calc_Mix'!$D$11:$W$11,'Matriz_Habilidades'!$D40:$W40)=0,"",SUMPRODUCT('Calc_Mix'!$D$11:$W$11,'Matriz_Habilidades'!$D40:$W40)/'Calc_Mix'!$X$11+ROW()*0.000001))</f>
        <v/>
      </c>
      <c r="O40" s="34">
        <f>IF(OR($B40="",$C40&lt;&gt;"Ativo",$D40&lt;&gt;'Calc_Mix'!$C$12,'Calc_Mix'!$X$12=0,COUNTIFS(Esc_Turno,'Calc_Mix'!$C$12,Esc_Circ,$B40)+COUNTIFS(Esc_Turno,'Calc_Mix'!$C$12,Esc_Instr,$B40)&gt;0),"",IF(SUMPRODUCT('Calc_Mix'!$D$12:$W$12,'Matriz_Habilidades'!$D40:$W40)=0,"",SUMPRODUCT('Calc_Mix'!$D$12:$W$12,'Matriz_Habilidades'!$D40:$W40)/'Calc_Mix'!$X$12+ROW()*0.000001))</f>
        <v/>
      </c>
      <c r="P40" s="34">
        <f>IF(OR($B40="",$C40&lt;&gt;"Ativo",$D40&lt;&gt;'Calc_Mix'!$C$13,'Calc_Mix'!$X$13=0,COUNTIFS(Esc_Turno,'Calc_Mix'!$C$13,Esc_Circ,$B40)+COUNTIFS(Esc_Turno,'Calc_Mix'!$C$13,Esc_Instr,$B40)&gt;0),"",IF(SUMPRODUCT('Calc_Mix'!$D$13:$W$13,'Matriz_Habilidades'!$D40:$W40)=0,"",SUMPRODUCT('Calc_Mix'!$D$13:$W$13,'Matriz_Habilidades'!$D40:$W40)/'Calc_Mix'!$X$13+ROW()*0.000001))</f>
        <v/>
      </c>
      <c r="Q40" s="34">
        <f>IF(OR($B40="",$C40&lt;&gt;"Ativo",$D40&lt;&gt;'Calc_Mix'!$C$14,'Calc_Mix'!$X$14=0,COUNTIFS(Esc_Turno,'Calc_Mix'!$C$14,Esc_Circ,$B40)+COUNTIFS(Esc_Turno,'Calc_Mix'!$C$14,Esc_Instr,$B40)&gt;0),"",IF(SUMPRODUCT('Calc_Mix'!$D$14:$W$14,'Matriz_Habilidades'!$D40:$W40)=0,"",SUMPRODUCT('Calc_Mix'!$D$14:$W$14,'Matriz_Habilidades'!$D40:$W40)/'Calc_Mix'!$X$14+ROW()*0.000001))</f>
        <v/>
      </c>
      <c r="R40" s="34">
        <f>IF(OR($B40="",$C40&lt;&gt;"Ativo",$D40&lt;&gt;'Calc_Mix'!$C$15,'Calc_Mix'!$X$15=0,COUNTIFS(Esc_Turno,'Calc_Mix'!$C$15,Esc_Circ,$B40)+COUNTIFS(Esc_Turno,'Calc_Mix'!$C$15,Esc_Instr,$B40)&gt;0),"",IF(SUMPRODUCT('Calc_Mix'!$D$15:$W$15,'Matriz_Habilidades'!$D40:$W40)=0,"",SUMPRODUCT('Calc_Mix'!$D$15:$W$15,'Matriz_Habilidades'!$D40:$W40)/'Calc_Mix'!$X$15+ROW()*0.000001))</f>
        <v/>
      </c>
      <c r="S40" s="34">
        <f>IF(OR($B40="",$C40&lt;&gt;"Ativo",$D40&lt;&gt;'Calc_Mix'!$C$16,'Calc_Mix'!$X$16=0,COUNTIFS(Esc_Turno,'Calc_Mix'!$C$16,Esc_Circ,$B40)+COUNTIFS(Esc_Turno,'Calc_Mix'!$C$16,Esc_Instr,$B40)&gt;0),"",IF(SUMPRODUCT('Calc_Mix'!$D$16:$W$16,'Matriz_Habilidades'!$D40:$W40)=0,"",SUMPRODUCT('Calc_Mix'!$D$16:$W$16,'Matriz_Habilidades'!$D40:$W40)/'Calc_Mix'!$X$16+ROW()*0.000001))</f>
        <v/>
      </c>
      <c r="T40" s="34">
        <f>IF(OR($B40="",$C40&lt;&gt;"Ativo",$D40&lt;&gt;'Calc_Mix'!$C$17,'Calc_Mix'!$X$17=0,COUNTIFS(Esc_Turno,'Calc_Mix'!$C$17,Esc_Circ,$B40)+COUNTIFS(Esc_Turno,'Calc_Mix'!$C$17,Esc_Instr,$B40)&gt;0),"",IF(SUMPRODUCT('Calc_Mix'!$D$17:$W$17,'Matriz_Habilidades'!$D40:$W40)=0,"",SUMPRODUCT('Calc_Mix'!$D$17:$W$17,'Matriz_Habilidades'!$D40:$W40)/'Calc_Mix'!$X$17+ROW()*0.000001))</f>
        <v/>
      </c>
      <c r="U40" s="34">
        <f>IF(OR($B40="",$C40&lt;&gt;"Ativo",$D40&lt;&gt;'Calc_Mix'!$C$18,'Calc_Mix'!$X$18=0,COUNTIFS(Esc_Turno,'Calc_Mix'!$C$18,Esc_Circ,$B40)+COUNTIFS(Esc_Turno,'Calc_Mix'!$C$18,Esc_Instr,$B40)&gt;0),"",IF(SUMPRODUCT('Calc_Mix'!$D$18:$W$18,'Matriz_Habilidades'!$D40:$W40)=0,"",SUMPRODUCT('Calc_Mix'!$D$18:$W$18,'Matriz_Habilidades'!$D40:$W40)/'Calc_Mix'!$X$18+ROW()*0.000001))</f>
        <v/>
      </c>
      <c r="V40" s="34">
        <f>IF(OR($B40="",$C40&lt;&gt;"Ativo",$D40&lt;&gt;'Calc_Mix'!$C$19,'Calc_Mix'!$X$19=0,COUNTIFS(Esc_Turno,'Calc_Mix'!$C$19,Esc_Circ,$B40)+COUNTIFS(Esc_Turno,'Calc_Mix'!$C$19,Esc_Instr,$B40)&gt;0),"",IF(SUMPRODUCT('Calc_Mix'!$D$19:$W$19,'Matriz_Habilidades'!$D40:$W40)=0,"",SUMPRODUCT('Calc_Mix'!$D$19:$W$19,'Matriz_Habilidades'!$D40:$W40)/'Calc_Mix'!$X$19+ROW()*0.000001))</f>
        <v/>
      </c>
      <c r="W40" s="34">
        <f>IF(OR($B40="",$C40&lt;&gt;"Ativo",$D40&lt;&gt;'Calc_Mix'!$C$20,'Calc_Mix'!$X$20=0,COUNTIFS(Esc_Turno,'Calc_Mix'!$C$20,Esc_Circ,$B40)+COUNTIFS(Esc_Turno,'Calc_Mix'!$C$20,Esc_Instr,$B40)&gt;0),"",IF(SUMPRODUCT('Calc_Mix'!$D$20:$W$20,'Matriz_Habilidades'!$D40:$W40)=0,"",SUMPRODUCT('Calc_Mix'!$D$20:$W$20,'Matriz_Habilidades'!$D40:$W40)/'Calc_Mix'!$X$20+ROW()*0.000001))</f>
        <v/>
      </c>
      <c r="X40" s="34">
        <f>IF(OR($B40="",$C40&lt;&gt;"Ativo",$D40&lt;&gt;'Calc_Mix'!$C$21,'Calc_Mix'!$X$21=0,COUNTIFS(Esc_Turno,'Calc_Mix'!$C$21,Esc_Circ,$B40)+COUNTIFS(Esc_Turno,'Calc_Mix'!$C$21,Esc_Instr,$B40)&gt;0),"",IF(SUMPRODUCT('Calc_Mix'!$D$21:$W$21,'Matriz_Habilidades'!$D40:$W40)=0,"",SUMPRODUCT('Calc_Mix'!$D$21:$W$21,'Matriz_Habilidades'!$D40:$W40)/'Calc_Mix'!$X$21+ROW()*0.000001))</f>
        <v/>
      </c>
      <c r="Y40" s="34">
        <f>IF(OR($B40="",$C40&lt;&gt;"Ativo",$D40&lt;&gt;'Calc_Mix'!$C$22,'Calc_Mix'!$X$22=0,COUNTIFS(Esc_Turno,'Calc_Mix'!$C$22,Esc_Circ,$B40)+COUNTIFS(Esc_Turno,'Calc_Mix'!$C$22,Esc_Instr,$B40)&gt;0),"",IF(SUMPRODUCT('Calc_Mix'!$D$22:$W$22,'Matriz_Habilidades'!$D40:$W40)=0,"",SUMPRODUCT('Calc_Mix'!$D$22:$W$22,'Matriz_Habilidades'!$D40:$W40)/'Calc_Mix'!$X$22+ROW()*0.000001))</f>
        <v/>
      </c>
      <c r="Z40" s="34">
        <f>IF(OR($B40="",$C40&lt;&gt;"Ativo",$D40&lt;&gt;'Calc_Mix'!$C$23,'Calc_Mix'!$X$23=0,COUNTIFS(Esc_Turno,'Calc_Mix'!$C$23,Esc_Circ,$B40)+COUNTIFS(Esc_Turno,'Calc_Mix'!$C$23,Esc_Instr,$B40)&gt;0),"",IF(SUMPRODUCT('Calc_Mix'!$D$23:$W$23,'Matriz_Habilidades'!$D40:$W40)=0,"",SUMPRODUCT('Calc_Mix'!$D$23:$W$23,'Matriz_Habilidades'!$D40:$W40)/'Calc_Mix'!$X$23+ROW()*0.000001))</f>
        <v/>
      </c>
      <c r="AA40" s="34">
        <f>IF(OR($B40="",$C40&lt;&gt;"Ativo",$D40&lt;&gt;'Calc_Mix'!$C$24,'Calc_Mix'!$X$24=0,COUNTIFS(Esc_Turno,'Calc_Mix'!$C$24,Esc_Circ,$B40)+COUNTIFS(Esc_Turno,'Calc_Mix'!$C$24,Esc_Instr,$B40)&gt;0),"",IF(SUMPRODUCT('Calc_Mix'!$D$24:$W$24,'Matriz_Habilidades'!$D40:$W40)=0,"",SUMPRODUCT('Calc_Mix'!$D$24:$W$24,'Matriz_Habilidades'!$D40:$W40)/'Calc_Mix'!$X$24+ROW()*0.000001))</f>
        <v/>
      </c>
      <c r="AB40" s="34">
        <f>IF(OR($B40="",$C40&lt;&gt;"Ativo",$D40&lt;&gt;'Calc_Mix'!$C$25,'Calc_Mix'!$X$25=0,COUNTIFS(Esc_Turno,'Calc_Mix'!$C$25,Esc_Circ,$B40)+COUNTIFS(Esc_Turno,'Calc_Mix'!$C$25,Esc_Instr,$B40)&gt;0),"",IF(SUMPRODUCT('Calc_Mix'!$D$25:$W$25,'Matriz_Habilidades'!$D40:$W40)=0,"",SUMPRODUCT('Calc_Mix'!$D$25:$W$25,'Matriz_Habilidades'!$D40:$W40)/'Calc_Mix'!$X$25+ROW()*0.000001))</f>
        <v/>
      </c>
      <c r="AC40" s="34">
        <f>IF(OR($B40="",$C40&lt;&gt;"Ativo",$D40&lt;&gt;'Calc_Mix'!$C$26,'Calc_Mix'!$X$26=0,COUNTIFS(Esc_Turno,'Calc_Mix'!$C$26,Esc_Circ,$B40)+COUNTIFS(Esc_Turno,'Calc_Mix'!$C$26,Esc_Instr,$B40)&gt;0),"",IF(SUMPRODUCT('Calc_Mix'!$D$26:$W$26,'Matriz_Habilidades'!$D40:$W40)=0,"",SUMPRODUCT('Calc_Mix'!$D$26:$W$26,'Matriz_Habilidades'!$D40:$W40)/'Calc_Mix'!$X$26+ROW()*0.000001))</f>
        <v/>
      </c>
      <c r="AD40" s="34">
        <f>IF(OR($B40="",$C40&lt;&gt;"Ativo",$D40&lt;&gt;'Calc_Mix'!$C$27,'Calc_Mix'!$X$27=0,COUNTIFS(Esc_Turno,'Calc_Mix'!$C$27,Esc_Circ,$B40)+COUNTIFS(Esc_Turno,'Calc_Mix'!$C$27,Esc_Instr,$B40)&gt;0),"",IF(SUMPRODUCT('Calc_Mix'!$D$27:$W$27,'Matriz_Habilidades'!$D40:$W40)=0,"",SUMPRODUCT('Calc_Mix'!$D$27:$W$27,'Matriz_Habilidades'!$D40:$W40)/'Calc_Mix'!$X$27+ROW()*0.000001))</f>
        <v/>
      </c>
      <c r="AE40" s="34">
        <f>IF(OR($B40="",$C40&lt;&gt;"Ativo",$D40&lt;&gt;'Calc_Mix'!$C$28,'Calc_Mix'!$X$28=0,COUNTIFS(Esc_Turno,'Calc_Mix'!$C$28,Esc_Circ,$B40)+COUNTIFS(Esc_Turno,'Calc_Mix'!$C$28,Esc_Instr,$B40)&gt;0),"",IF(SUMPRODUCT('Calc_Mix'!$D$28:$W$28,'Matriz_Habilidades'!$D40:$W40)=0,"",SUMPRODUCT('Calc_Mix'!$D$28:$W$28,'Matriz_Habilidades'!$D40:$W40)/'Calc_Mix'!$X$28+ROW()*0.000001))</f>
        <v/>
      </c>
      <c r="AF40" s="34">
        <f>IF(OR($B40="",$C40&lt;&gt;"Ativo",$D40&lt;&gt;'Calc_Mix'!$C$29,'Calc_Mix'!$X$29=0,COUNTIFS(Esc_Turno,'Calc_Mix'!$C$29,Esc_Circ,$B40)+COUNTIFS(Esc_Turno,'Calc_Mix'!$C$29,Esc_Instr,$B40)&gt;0),"",IF(SUMPRODUCT('Calc_Mix'!$D$29:$W$29,'Matriz_Habilidades'!$D40:$W40)=0,"",SUMPRODUCT('Calc_Mix'!$D$29:$W$29,'Matriz_Habilidades'!$D40:$W40)/'Calc_Mix'!$X$29+ROW()*0.000001))</f>
        <v/>
      </c>
      <c r="AG40" s="34">
        <f>IF(OR($B40="",$C40&lt;&gt;"Ativo",$D40&lt;&gt;'Calc_Mix'!$C$30,'Calc_Mix'!$X$30=0,COUNTIFS(Esc_Turno,'Calc_Mix'!$C$30,Esc_Circ,$B40)+COUNTIFS(Esc_Turno,'Calc_Mix'!$C$30,Esc_Instr,$B40)&gt;0),"",IF(SUMPRODUCT('Calc_Mix'!$D$30:$W$30,'Matriz_Habilidades'!$D40:$W40)=0,"",SUMPRODUCT('Calc_Mix'!$D$30:$W$30,'Matriz_Habilidades'!$D40:$W40)/'Calc_Mix'!$X$30+ROW()*0.000001))</f>
        <v/>
      </c>
      <c r="AH40" s="34">
        <f>IF(OR($B40="",$C40&lt;&gt;"Ativo",$D40&lt;&gt;'Calc_Mix'!$C$31,'Calc_Mix'!$X$31=0,COUNTIFS(Esc_Turno,'Calc_Mix'!$C$31,Esc_Circ,$B40)+COUNTIFS(Esc_Turno,'Calc_Mix'!$C$31,Esc_Instr,$B40)&gt;0),"",IF(SUMPRODUCT('Calc_Mix'!$D$31:$W$31,'Matriz_Habilidades'!$D40:$W40)=0,"",SUMPRODUCT('Calc_Mix'!$D$31:$W$31,'Matriz_Habilidades'!$D40:$W40)/'Calc_Mix'!$X$31+ROW()*0.000001))</f>
        <v/>
      </c>
      <c r="AI40" s="34">
        <f>IF(OR($B40="",$C40&lt;&gt;"Ativo",$D40&lt;&gt;'Calc_Mix'!$C$32,'Calc_Mix'!$X$32=0,COUNTIFS(Esc_Turno,'Calc_Mix'!$C$32,Esc_Circ,$B40)+COUNTIFS(Esc_Turno,'Calc_Mix'!$C$32,Esc_Instr,$B40)&gt;0),"",IF(SUMPRODUCT('Calc_Mix'!$D$32:$W$32,'Matriz_Habilidades'!$D40:$W40)=0,"",SUMPRODUCT('Calc_Mix'!$D$32:$W$32,'Matriz_Habilidades'!$D40:$W40)/'Calc_Mix'!$X$32+ROW()*0.000001))</f>
        <v/>
      </c>
      <c r="AJ40" s="34">
        <f>IF(OR($B40="",$C40&lt;&gt;"Ativo",$D40&lt;&gt;'Calc_Mix'!$C$33,'Calc_Mix'!$X$33=0,COUNTIFS(Esc_Turno,'Calc_Mix'!$C$33,Esc_Circ,$B40)+COUNTIFS(Esc_Turno,'Calc_Mix'!$C$33,Esc_Instr,$B40)&gt;0),"",IF(SUMPRODUCT('Calc_Mix'!$D$33:$W$33,'Matriz_Habilidades'!$D40:$W40)=0,"",SUMPRODUCT('Calc_Mix'!$D$33:$W$33,'Matriz_Habilidades'!$D40:$W40)/'Calc_Mix'!$X$33+ROW()*0.000001))</f>
        <v/>
      </c>
      <c r="AK40" s="34">
        <f>IF(OR($B40="",$C40&lt;&gt;"Ativo",$D40&lt;&gt;'Calc_Mix'!$C$34,'Calc_Mix'!$X$34=0,COUNTIFS(Esc_Turno,'Calc_Mix'!$C$34,Esc_Circ,$B40)+COUNTIFS(Esc_Turno,'Calc_Mix'!$C$34,Esc_Instr,$B40)&gt;0),"",IF(SUMPRODUCT('Calc_Mix'!$D$34:$W$34,'Matriz_Habilidades'!$D40:$W40)=0,"",SUMPRODUCT('Calc_Mix'!$D$34:$W$34,'Matriz_Habilidades'!$D40:$W40)/'Calc_Mix'!$X$34+ROW()*0.000001))</f>
        <v/>
      </c>
      <c r="AL40" s="34">
        <f>IF(OR($B40="",$C40&lt;&gt;"Ativo",$D40&lt;&gt;'Calc_Mix'!$C$35,'Calc_Mix'!$X$35=0,COUNTIFS(Esc_Turno,'Calc_Mix'!$C$35,Esc_Circ,$B40)+COUNTIFS(Esc_Turno,'Calc_Mix'!$C$35,Esc_Instr,$B40)&gt;0),"",IF(SUMPRODUCT('Calc_Mix'!$D$35:$W$35,'Matriz_Habilidades'!$D40:$W40)=0,"",SUMPRODUCT('Calc_Mix'!$D$35:$W$35,'Matriz_Habilidades'!$D40:$W40)/'Calc_Mix'!$X$35+ROW()*0.000001))</f>
        <v/>
      </c>
      <c r="AM40" s="34">
        <f>IF(OR($B40="",$C40&lt;&gt;"Ativo",$D40&lt;&gt;'Calc_Mix'!$C$36,'Calc_Mix'!$X$36=0,COUNTIFS(Esc_Turno,'Calc_Mix'!$C$36,Esc_Circ,$B40)+COUNTIFS(Esc_Turno,'Calc_Mix'!$C$36,Esc_Instr,$B40)&gt;0),"",IF(SUMPRODUCT('Calc_Mix'!$D$36:$W$36,'Matriz_Habilidades'!$D40:$W40)=0,"",SUMPRODUCT('Calc_Mix'!$D$36:$W$36,'Matriz_Habilidades'!$D40:$W40)/'Calc_Mix'!$X$36+ROW()*0.000001))</f>
        <v/>
      </c>
      <c r="AN40" s="34">
        <f>IF(OR($B40="",$C40&lt;&gt;"Ativo",$D40&lt;&gt;'Calc_Mix'!$C$37,'Calc_Mix'!$X$37=0,COUNTIFS(Esc_Turno,'Calc_Mix'!$C$37,Esc_Circ,$B40)+COUNTIFS(Esc_Turno,'Calc_Mix'!$C$37,Esc_Instr,$B40)&gt;0),"",IF(SUMPRODUCT('Calc_Mix'!$D$37:$W$37,'Matriz_Habilidades'!$D40:$W40)=0,"",SUMPRODUCT('Calc_Mix'!$D$37:$W$37,'Matriz_Habilidades'!$D40:$W40)/'Calc_Mix'!$X$37+ROW()*0.000001))</f>
        <v/>
      </c>
    </row>
    <row r="41">
      <c r="A41" s="27">
        <f>IF('Matriz_Habilidades'!A41="","",'Matriz_Habilidades'!A41)</f>
        <v/>
      </c>
      <c r="B41" s="28">
        <f>IF('Matriz_Habilidades'!B41="","",'Matriz_Habilidades'!B41)</f>
        <v/>
      </c>
      <c r="C41" s="27">
        <f>IF($A41="","",IFERROR(INDEX(Equipe_Status,MATCH($B41,Equipe_Nome,0)),"?"))</f>
        <v/>
      </c>
      <c r="D41" s="27">
        <f>IF($A41="","",IFERROR(INDEX(Equipe_Turno,MATCH($B41,Equipe_Nome,0)),"?"))</f>
        <v/>
      </c>
      <c r="E41" s="34">
        <f>IF(OR($B41="",$C41&lt;&gt;"Ativo",$D41&lt;&gt;'Calc_Mix'!$C$2,'Calc_Mix'!$X$2=0,COUNTIFS(Esc_Turno,'Calc_Mix'!$C$2,Esc_Circ,$B41)+COUNTIFS(Esc_Turno,'Calc_Mix'!$C$2,Esc_Instr,$B41)&gt;0),"",IF(SUMPRODUCT('Calc_Mix'!$D$2:$W$2,'Matriz_Habilidades'!$D41:$W41)=0,"",SUMPRODUCT('Calc_Mix'!$D$2:$W$2,'Matriz_Habilidades'!$D41:$W41)/'Calc_Mix'!$X$2+ROW()*0.000001))</f>
        <v/>
      </c>
      <c r="F41" s="34">
        <f>IF(OR($B41="",$C41&lt;&gt;"Ativo",$D41&lt;&gt;'Calc_Mix'!$C$3,'Calc_Mix'!$X$3=0,COUNTIFS(Esc_Turno,'Calc_Mix'!$C$3,Esc_Circ,$B41)+COUNTIFS(Esc_Turno,'Calc_Mix'!$C$3,Esc_Instr,$B41)&gt;0),"",IF(SUMPRODUCT('Calc_Mix'!$D$3:$W$3,'Matriz_Habilidades'!$D41:$W41)=0,"",SUMPRODUCT('Calc_Mix'!$D$3:$W$3,'Matriz_Habilidades'!$D41:$W41)/'Calc_Mix'!$X$3+ROW()*0.000001))</f>
        <v/>
      </c>
      <c r="G41" s="34">
        <f>IF(OR($B41="",$C41&lt;&gt;"Ativo",$D41&lt;&gt;'Calc_Mix'!$C$4,'Calc_Mix'!$X$4=0,COUNTIFS(Esc_Turno,'Calc_Mix'!$C$4,Esc_Circ,$B41)+COUNTIFS(Esc_Turno,'Calc_Mix'!$C$4,Esc_Instr,$B41)&gt;0),"",IF(SUMPRODUCT('Calc_Mix'!$D$4:$W$4,'Matriz_Habilidades'!$D41:$W41)=0,"",SUMPRODUCT('Calc_Mix'!$D$4:$W$4,'Matriz_Habilidades'!$D41:$W41)/'Calc_Mix'!$X$4+ROW()*0.000001))</f>
        <v/>
      </c>
      <c r="H41" s="34">
        <f>IF(OR($B41="",$C41&lt;&gt;"Ativo",$D41&lt;&gt;'Calc_Mix'!$C$5,'Calc_Mix'!$X$5=0,COUNTIFS(Esc_Turno,'Calc_Mix'!$C$5,Esc_Circ,$B41)+COUNTIFS(Esc_Turno,'Calc_Mix'!$C$5,Esc_Instr,$B41)&gt;0),"",IF(SUMPRODUCT('Calc_Mix'!$D$5:$W$5,'Matriz_Habilidades'!$D41:$W41)=0,"",SUMPRODUCT('Calc_Mix'!$D$5:$W$5,'Matriz_Habilidades'!$D41:$W41)/'Calc_Mix'!$X$5+ROW()*0.000001))</f>
        <v/>
      </c>
      <c r="I41" s="34">
        <f>IF(OR($B41="",$C41&lt;&gt;"Ativo",$D41&lt;&gt;'Calc_Mix'!$C$6,'Calc_Mix'!$X$6=0,COUNTIFS(Esc_Turno,'Calc_Mix'!$C$6,Esc_Circ,$B41)+COUNTIFS(Esc_Turno,'Calc_Mix'!$C$6,Esc_Instr,$B41)&gt;0),"",IF(SUMPRODUCT('Calc_Mix'!$D$6:$W$6,'Matriz_Habilidades'!$D41:$W41)=0,"",SUMPRODUCT('Calc_Mix'!$D$6:$W$6,'Matriz_Habilidades'!$D41:$W41)/'Calc_Mix'!$X$6+ROW()*0.000001))</f>
        <v/>
      </c>
      <c r="J41" s="34">
        <f>IF(OR($B41="",$C41&lt;&gt;"Ativo",$D41&lt;&gt;'Calc_Mix'!$C$7,'Calc_Mix'!$X$7=0,COUNTIFS(Esc_Turno,'Calc_Mix'!$C$7,Esc_Circ,$B41)+COUNTIFS(Esc_Turno,'Calc_Mix'!$C$7,Esc_Instr,$B41)&gt;0),"",IF(SUMPRODUCT('Calc_Mix'!$D$7:$W$7,'Matriz_Habilidades'!$D41:$W41)=0,"",SUMPRODUCT('Calc_Mix'!$D$7:$W$7,'Matriz_Habilidades'!$D41:$W41)/'Calc_Mix'!$X$7+ROW()*0.000001))</f>
        <v/>
      </c>
      <c r="K41" s="34">
        <f>IF(OR($B41="",$C41&lt;&gt;"Ativo",$D41&lt;&gt;'Calc_Mix'!$C$8,'Calc_Mix'!$X$8=0,COUNTIFS(Esc_Turno,'Calc_Mix'!$C$8,Esc_Circ,$B41)+COUNTIFS(Esc_Turno,'Calc_Mix'!$C$8,Esc_Instr,$B41)&gt;0),"",IF(SUMPRODUCT('Calc_Mix'!$D$8:$W$8,'Matriz_Habilidades'!$D41:$W41)=0,"",SUMPRODUCT('Calc_Mix'!$D$8:$W$8,'Matriz_Habilidades'!$D41:$W41)/'Calc_Mix'!$X$8+ROW()*0.000001))</f>
        <v/>
      </c>
      <c r="L41" s="34">
        <f>IF(OR($B41="",$C41&lt;&gt;"Ativo",$D41&lt;&gt;'Calc_Mix'!$C$9,'Calc_Mix'!$X$9=0,COUNTIFS(Esc_Turno,'Calc_Mix'!$C$9,Esc_Circ,$B41)+COUNTIFS(Esc_Turno,'Calc_Mix'!$C$9,Esc_Instr,$B41)&gt;0),"",IF(SUMPRODUCT('Calc_Mix'!$D$9:$W$9,'Matriz_Habilidades'!$D41:$W41)=0,"",SUMPRODUCT('Calc_Mix'!$D$9:$W$9,'Matriz_Habilidades'!$D41:$W41)/'Calc_Mix'!$X$9+ROW()*0.000001))</f>
        <v/>
      </c>
      <c r="M41" s="34">
        <f>IF(OR($B41="",$C41&lt;&gt;"Ativo",$D41&lt;&gt;'Calc_Mix'!$C$10,'Calc_Mix'!$X$10=0,COUNTIFS(Esc_Turno,'Calc_Mix'!$C$10,Esc_Circ,$B41)+COUNTIFS(Esc_Turno,'Calc_Mix'!$C$10,Esc_Instr,$B41)&gt;0),"",IF(SUMPRODUCT('Calc_Mix'!$D$10:$W$10,'Matriz_Habilidades'!$D41:$W41)=0,"",SUMPRODUCT('Calc_Mix'!$D$10:$W$10,'Matriz_Habilidades'!$D41:$W41)/'Calc_Mix'!$X$10+ROW()*0.000001))</f>
        <v/>
      </c>
      <c r="N41" s="34">
        <f>IF(OR($B41="",$C41&lt;&gt;"Ativo",$D41&lt;&gt;'Calc_Mix'!$C$11,'Calc_Mix'!$X$11=0,COUNTIFS(Esc_Turno,'Calc_Mix'!$C$11,Esc_Circ,$B41)+COUNTIFS(Esc_Turno,'Calc_Mix'!$C$11,Esc_Instr,$B41)&gt;0),"",IF(SUMPRODUCT('Calc_Mix'!$D$11:$W$11,'Matriz_Habilidades'!$D41:$W41)=0,"",SUMPRODUCT('Calc_Mix'!$D$11:$W$11,'Matriz_Habilidades'!$D41:$W41)/'Calc_Mix'!$X$11+ROW()*0.000001))</f>
        <v/>
      </c>
      <c r="O41" s="34">
        <f>IF(OR($B41="",$C41&lt;&gt;"Ativo",$D41&lt;&gt;'Calc_Mix'!$C$12,'Calc_Mix'!$X$12=0,COUNTIFS(Esc_Turno,'Calc_Mix'!$C$12,Esc_Circ,$B41)+COUNTIFS(Esc_Turno,'Calc_Mix'!$C$12,Esc_Instr,$B41)&gt;0),"",IF(SUMPRODUCT('Calc_Mix'!$D$12:$W$12,'Matriz_Habilidades'!$D41:$W41)=0,"",SUMPRODUCT('Calc_Mix'!$D$12:$W$12,'Matriz_Habilidades'!$D41:$W41)/'Calc_Mix'!$X$12+ROW()*0.000001))</f>
        <v/>
      </c>
      <c r="P41" s="34">
        <f>IF(OR($B41="",$C41&lt;&gt;"Ativo",$D41&lt;&gt;'Calc_Mix'!$C$13,'Calc_Mix'!$X$13=0,COUNTIFS(Esc_Turno,'Calc_Mix'!$C$13,Esc_Circ,$B41)+COUNTIFS(Esc_Turno,'Calc_Mix'!$C$13,Esc_Instr,$B41)&gt;0),"",IF(SUMPRODUCT('Calc_Mix'!$D$13:$W$13,'Matriz_Habilidades'!$D41:$W41)=0,"",SUMPRODUCT('Calc_Mix'!$D$13:$W$13,'Matriz_Habilidades'!$D41:$W41)/'Calc_Mix'!$X$13+ROW()*0.000001))</f>
        <v/>
      </c>
      <c r="Q41" s="34">
        <f>IF(OR($B41="",$C41&lt;&gt;"Ativo",$D41&lt;&gt;'Calc_Mix'!$C$14,'Calc_Mix'!$X$14=0,COUNTIFS(Esc_Turno,'Calc_Mix'!$C$14,Esc_Circ,$B41)+COUNTIFS(Esc_Turno,'Calc_Mix'!$C$14,Esc_Instr,$B41)&gt;0),"",IF(SUMPRODUCT('Calc_Mix'!$D$14:$W$14,'Matriz_Habilidades'!$D41:$W41)=0,"",SUMPRODUCT('Calc_Mix'!$D$14:$W$14,'Matriz_Habilidades'!$D41:$W41)/'Calc_Mix'!$X$14+ROW()*0.000001))</f>
        <v/>
      </c>
      <c r="R41" s="34">
        <f>IF(OR($B41="",$C41&lt;&gt;"Ativo",$D41&lt;&gt;'Calc_Mix'!$C$15,'Calc_Mix'!$X$15=0,COUNTIFS(Esc_Turno,'Calc_Mix'!$C$15,Esc_Circ,$B41)+COUNTIFS(Esc_Turno,'Calc_Mix'!$C$15,Esc_Instr,$B41)&gt;0),"",IF(SUMPRODUCT('Calc_Mix'!$D$15:$W$15,'Matriz_Habilidades'!$D41:$W41)=0,"",SUMPRODUCT('Calc_Mix'!$D$15:$W$15,'Matriz_Habilidades'!$D41:$W41)/'Calc_Mix'!$X$15+ROW()*0.000001))</f>
        <v/>
      </c>
      <c r="S41" s="34">
        <f>IF(OR($B41="",$C41&lt;&gt;"Ativo",$D41&lt;&gt;'Calc_Mix'!$C$16,'Calc_Mix'!$X$16=0,COUNTIFS(Esc_Turno,'Calc_Mix'!$C$16,Esc_Circ,$B41)+COUNTIFS(Esc_Turno,'Calc_Mix'!$C$16,Esc_Instr,$B41)&gt;0),"",IF(SUMPRODUCT('Calc_Mix'!$D$16:$W$16,'Matriz_Habilidades'!$D41:$W41)=0,"",SUMPRODUCT('Calc_Mix'!$D$16:$W$16,'Matriz_Habilidades'!$D41:$W41)/'Calc_Mix'!$X$16+ROW()*0.000001))</f>
        <v/>
      </c>
      <c r="T41" s="34">
        <f>IF(OR($B41="",$C41&lt;&gt;"Ativo",$D41&lt;&gt;'Calc_Mix'!$C$17,'Calc_Mix'!$X$17=0,COUNTIFS(Esc_Turno,'Calc_Mix'!$C$17,Esc_Circ,$B41)+COUNTIFS(Esc_Turno,'Calc_Mix'!$C$17,Esc_Instr,$B41)&gt;0),"",IF(SUMPRODUCT('Calc_Mix'!$D$17:$W$17,'Matriz_Habilidades'!$D41:$W41)=0,"",SUMPRODUCT('Calc_Mix'!$D$17:$W$17,'Matriz_Habilidades'!$D41:$W41)/'Calc_Mix'!$X$17+ROW()*0.000001))</f>
        <v/>
      </c>
      <c r="U41" s="34">
        <f>IF(OR($B41="",$C41&lt;&gt;"Ativo",$D41&lt;&gt;'Calc_Mix'!$C$18,'Calc_Mix'!$X$18=0,COUNTIFS(Esc_Turno,'Calc_Mix'!$C$18,Esc_Circ,$B41)+COUNTIFS(Esc_Turno,'Calc_Mix'!$C$18,Esc_Instr,$B41)&gt;0),"",IF(SUMPRODUCT('Calc_Mix'!$D$18:$W$18,'Matriz_Habilidades'!$D41:$W41)=0,"",SUMPRODUCT('Calc_Mix'!$D$18:$W$18,'Matriz_Habilidades'!$D41:$W41)/'Calc_Mix'!$X$18+ROW()*0.000001))</f>
        <v/>
      </c>
      <c r="V41" s="34">
        <f>IF(OR($B41="",$C41&lt;&gt;"Ativo",$D41&lt;&gt;'Calc_Mix'!$C$19,'Calc_Mix'!$X$19=0,COUNTIFS(Esc_Turno,'Calc_Mix'!$C$19,Esc_Circ,$B41)+COUNTIFS(Esc_Turno,'Calc_Mix'!$C$19,Esc_Instr,$B41)&gt;0),"",IF(SUMPRODUCT('Calc_Mix'!$D$19:$W$19,'Matriz_Habilidades'!$D41:$W41)=0,"",SUMPRODUCT('Calc_Mix'!$D$19:$W$19,'Matriz_Habilidades'!$D41:$W41)/'Calc_Mix'!$X$19+ROW()*0.000001))</f>
        <v/>
      </c>
      <c r="W41" s="34">
        <f>IF(OR($B41="",$C41&lt;&gt;"Ativo",$D41&lt;&gt;'Calc_Mix'!$C$20,'Calc_Mix'!$X$20=0,COUNTIFS(Esc_Turno,'Calc_Mix'!$C$20,Esc_Circ,$B41)+COUNTIFS(Esc_Turno,'Calc_Mix'!$C$20,Esc_Instr,$B41)&gt;0),"",IF(SUMPRODUCT('Calc_Mix'!$D$20:$W$20,'Matriz_Habilidades'!$D41:$W41)=0,"",SUMPRODUCT('Calc_Mix'!$D$20:$W$20,'Matriz_Habilidades'!$D41:$W41)/'Calc_Mix'!$X$20+ROW()*0.000001))</f>
        <v/>
      </c>
      <c r="X41" s="34">
        <f>IF(OR($B41="",$C41&lt;&gt;"Ativo",$D41&lt;&gt;'Calc_Mix'!$C$21,'Calc_Mix'!$X$21=0,COUNTIFS(Esc_Turno,'Calc_Mix'!$C$21,Esc_Circ,$B41)+COUNTIFS(Esc_Turno,'Calc_Mix'!$C$21,Esc_Instr,$B41)&gt;0),"",IF(SUMPRODUCT('Calc_Mix'!$D$21:$W$21,'Matriz_Habilidades'!$D41:$W41)=0,"",SUMPRODUCT('Calc_Mix'!$D$21:$W$21,'Matriz_Habilidades'!$D41:$W41)/'Calc_Mix'!$X$21+ROW()*0.000001))</f>
        <v/>
      </c>
      <c r="Y41" s="34">
        <f>IF(OR($B41="",$C41&lt;&gt;"Ativo",$D41&lt;&gt;'Calc_Mix'!$C$22,'Calc_Mix'!$X$22=0,COUNTIFS(Esc_Turno,'Calc_Mix'!$C$22,Esc_Circ,$B41)+COUNTIFS(Esc_Turno,'Calc_Mix'!$C$22,Esc_Instr,$B41)&gt;0),"",IF(SUMPRODUCT('Calc_Mix'!$D$22:$W$22,'Matriz_Habilidades'!$D41:$W41)=0,"",SUMPRODUCT('Calc_Mix'!$D$22:$W$22,'Matriz_Habilidades'!$D41:$W41)/'Calc_Mix'!$X$22+ROW()*0.000001))</f>
        <v/>
      </c>
      <c r="Z41" s="34">
        <f>IF(OR($B41="",$C41&lt;&gt;"Ativo",$D41&lt;&gt;'Calc_Mix'!$C$23,'Calc_Mix'!$X$23=0,COUNTIFS(Esc_Turno,'Calc_Mix'!$C$23,Esc_Circ,$B41)+COUNTIFS(Esc_Turno,'Calc_Mix'!$C$23,Esc_Instr,$B41)&gt;0),"",IF(SUMPRODUCT('Calc_Mix'!$D$23:$W$23,'Matriz_Habilidades'!$D41:$W41)=0,"",SUMPRODUCT('Calc_Mix'!$D$23:$W$23,'Matriz_Habilidades'!$D41:$W41)/'Calc_Mix'!$X$23+ROW()*0.000001))</f>
        <v/>
      </c>
      <c r="AA41" s="34">
        <f>IF(OR($B41="",$C41&lt;&gt;"Ativo",$D41&lt;&gt;'Calc_Mix'!$C$24,'Calc_Mix'!$X$24=0,COUNTIFS(Esc_Turno,'Calc_Mix'!$C$24,Esc_Circ,$B41)+COUNTIFS(Esc_Turno,'Calc_Mix'!$C$24,Esc_Instr,$B41)&gt;0),"",IF(SUMPRODUCT('Calc_Mix'!$D$24:$W$24,'Matriz_Habilidades'!$D41:$W41)=0,"",SUMPRODUCT('Calc_Mix'!$D$24:$W$24,'Matriz_Habilidades'!$D41:$W41)/'Calc_Mix'!$X$24+ROW()*0.000001))</f>
        <v/>
      </c>
      <c r="AB41" s="34">
        <f>IF(OR($B41="",$C41&lt;&gt;"Ativo",$D41&lt;&gt;'Calc_Mix'!$C$25,'Calc_Mix'!$X$25=0,COUNTIFS(Esc_Turno,'Calc_Mix'!$C$25,Esc_Circ,$B41)+COUNTIFS(Esc_Turno,'Calc_Mix'!$C$25,Esc_Instr,$B41)&gt;0),"",IF(SUMPRODUCT('Calc_Mix'!$D$25:$W$25,'Matriz_Habilidades'!$D41:$W41)=0,"",SUMPRODUCT('Calc_Mix'!$D$25:$W$25,'Matriz_Habilidades'!$D41:$W41)/'Calc_Mix'!$X$25+ROW()*0.000001))</f>
        <v/>
      </c>
      <c r="AC41" s="34">
        <f>IF(OR($B41="",$C41&lt;&gt;"Ativo",$D41&lt;&gt;'Calc_Mix'!$C$26,'Calc_Mix'!$X$26=0,COUNTIFS(Esc_Turno,'Calc_Mix'!$C$26,Esc_Circ,$B41)+COUNTIFS(Esc_Turno,'Calc_Mix'!$C$26,Esc_Instr,$B41)&gt;0),"",IF(SUMPRODUCT('Calc_Mix'!$D$26:$W$26,'Matriz_Habilidades'!$D41:$W41)=0,"",SUMPRODUCT('Calc_Mix'!$D$26:$W$26,'Matriz_Habilidades'!$D41:$W41)/'Calc_Mix'!$X$26+ROW()*0.000001))</f>
        <v/>
      </c>
      <c r="AD41" s="34">
        <f>IF(OR($B41="",$C41&lt;&gt;"Ativo",$D41&lt;&gt;'Calc_Mix'!$C$27,'Calc_Mix'!$X$27=0,COUNTIFS(Esc_Turno,'Calc_Mix'!$C$27,Esc_Circ,$B41)+COUNTIFS(Esc_Turno,'Calc_Mix'!$C$27,Esc_Instr,$B41)&gt;0),"",IF(SUMPRODUCT('Calc_Mix'!$D$27:$W$27,'Matriz_Habilidades'!$D41:$W41)=0,"",SUMPRODUCT('Calc_Mix'!$D$27:$W$27,'Matriz_Habilidades'!$D41:$W41)/'Calc_Mix'!$X$27+ROW()*0.000001))</f>
        <v/>
      </c>
      <c r="AE41" s="34">
        <f>IF(OR($B41="",$C41&lt;&gt;"Ativo",$D41&lt;&gt;'Calc_Mix'!$C$28,'Calc_Mix'!$X$28=0,COUNTIFS(Esc_Turno,'Calc_Mix'!$C$28,Esc_Circ,$B41)+COUNTIFS(Esc_Turno,'Calc_Mix'!$C$28,Esc_Instr,$B41)&gt;0),"",IF(SUMPRODUCT('Calc_Mix'!$D$28:$W$28,'Matriz_Habilidades'!$D41:$W41)=0,"",SUMPRODUCT('Calc_Mix'!$D$28:$W$28,'Matriz_Habilidades'!$D41:$W41)/'Calc_Mix'!$X$28+ROW()*0.000001))</f>
        <v/>
      </c>
      <c r="AF41" s="34">
        <f>IF(OR($B41="",$C41&lt;&gt;"Ativo",$D41&lt;&gt;'Calc_Mix'!$C$29,'Calc_Mix'!$X$29=0,COUNTIFS(Esc_Turno,'Calc_Mix'!$C$29,Esc_Circ,$B41)+COUNTIFS(Esc_Turno,'Calc_Mix'!$C$29,Esc_Instr,$B41)&gt;0),"",IF(SUMPRODUCT('Calc_Mix'!$D$29:$W$29,'Matriz_Habilidades'!$D41:$W41)=0,"",SUMPRODUCT('Calc_Mix'!$D$29:$W$29,'Matriz_Habilidades'!$D41:$W41)/'Calc_Mix'!$X$29+ROW()*0.000001))</f>
        <v/>
      </c>
      <c r="AG41" s="34">
        <f>IF(OR($B41="",$C41&lt;&gt;"Ativo",$D41&lt;&gt;'Calc_Mix'!$C$30,'Calc_Mix'!$X$30=0,COUNTIFS(Esc_Turno,'Calc_Mix'!$C$30,Esc_Circ,$B41)+COUNTIFS(Esc_Turno,'Calc_Mix'!$C$30,Esc_Instr,$B41)&gt;0),"",IF(SUMPRODUCT('Calc_Mix'!$D$30:$W$30,'Matriz_Habilidades'!$D41:$W41)=0,"",SUMPRODUCT('Calc_Mix'!$D$30:$W$30,'Matriz_Habilidades'!$D41:$W41)/'Calc_Mix'!$X$30+ROW()*0.000001))</f>
        <v/>
      </c>
      <c r="AH41" s="34">
        <f>IF(OR($B41="",$C41&lt;&gt;"Ativo",$D41&lt;&gt;'Calc_Mix'!$C$31,'Calc_Mix'!$X$31=0,COUNTIFS(Esc_Turno,'Calc_Mix'!$C$31,Esc_Circ,$B41)+COUNTIFS(Esc_Turno,'Calc_Mix'!$C$31,Esc_Instr,$B41)&gt;0),"",IF(SUMPRODUCT('Calc_Mix'!$D$31:$W$31,'Matriz_Habilidades'!$D41:$W41)=0,"",SUMPRODUCT('Calc_Mix'!$D$31:$W$31,'Matriz_Habilidades'!$D41:$W41)/'Calc_Mix'!$X$31+ROW()*0.000001))</f>
        <v/>
      </c>
      <c r="AI41" s="34">
        <f>IF(OR($B41="",$C41&lt;&gt;"Ativo",$D41&lt;&gt;'Calc_Mix'!$C$32,'Calc_Mix'!$X$32=0,COUNTIFS(Esc_Turno,'Calc_Mix'!$C$32,Esc_Circ,$B41)+COUNTIFS(Esc_Turno,'Calc_Mix'!$C$32,Esc_Instr,$B41)&gt;0),"",IF(SUMPRODUCT('Calc_Mix'!$D$32:$W$32,'Matriz_Habilidades'!$D41:$W41)=0,"",SUMPRODUCT('Calc_Mix'!$D$32:$W$32,'Matriz_Habilidades'!$D41:$W41)/'Calc_Mix'!$X$32+ROW()*0.000001))</f>
        <v/>
      </c>
      <c r="AJ41" s="34">
        <f>IF(OR($B41="",$C41&lt;&gt;"Ativo",$D41&lt;&gt;'Calc_Mix'!$C$33,'Calc_Mix'!$X$33=0,COUNTIFS(Esc_Turno,'Calc_Mix'!$C$33,Esc_Circ,$B41)+COUNTIFS(Esc_Turno,'Calc_Mix'!$C$33,Esc_Instr,$B41)&gt;0),"",IF(SUMPRODUCT('Calc_Mix'!$D$33:$W$33,'Matriz_Habilidades'!$D41:$W41)=0,"",SUMPRODUCT('Calc_Mix'!$D$33:$W$33,'Matriz_Habilidades'!$D41:$W41)/'Calc_Mix'!$X$33+ROW()*0.000001))</f>
        <v/>
      </c>
      <c r="AK41" s="34">
        <f>IF(OR($B41="",$C41&lt;&gt;"Ativo",$D41&lt;&gt;'Calc_Mix'!$C$34,'Calc_Mix'!$X$34=0,COUNTIFS(Esc_Turno,'Calc_Mix'!$C$34,Esc_Circ,$B41)+COUNTIFS(Esc_Turno,'Calc_Mix'!$C$34,Esc_Instr,$B41)&gt;0),"",IF(SUMPRODUCT('Calc_Mix'!$D$34:$W$34,'Matriz_Habilidades'!$D41:$W41)=0,"",SUMPRODUCT('Calc_Mix'!$D$34:$W$34,'Matriz_Habilidades'!$D41:$W41)/'Calc_Mix'!$X$34+ROW()*0.000001))</f>
        <v/>
      </c>
      <c r="AL41" s="34">
        <f>IF(OR($B41="",$C41&lt;&gt;"Ativo",$D41&lt;&gt;'Calc_Mix'!$C$35,'Calc_Mix'!$X$35=0,COUNTIFS(Esc_Turno,'Calc_Mix'!$C$35,Esc_Circ,$B41)+COUNTIFS(Esc_Turno,'Calc_Mix'!$C$35,Esc_Instr,$B41)&gt;0),"",IF(SUMPRODUCT('Calc_Mix'!$D$35:$W$35,'Matriz_Habilidades'!$D41:$W41)=0,"",SUMPRODUCT('Calc_Mix'!$D$35:$W$35,'Matriz_Habilidades'!$D41:$W41)/'Calc_Mix'!$X$35+ROW()*0.000001))</f>
        <v/>
      </c>
      <c r="AM41" s="34">
        <f>IF(OR($B41="",$C41&lt;&gt;"Ativo",$D41&lt;&gt;'Calc_Mix'!$C$36,'Calc_Mix'!$X$36=0,COUNTIFS(Esc_Turno,'Calc_Mix'!$C$36,Esc_Circ,$B41)+COUNTIFS(Esc_Turno,'Calc_Mix'!$C$36,Esc_Instr,$B41)&gt;0),"",IF(SUMPRODUCT('Calc_Mix'!$D$36:$W$36,'Matriz_Habilidades'!$D41:$W41)=0,"",SUMPRODUCT('Calc_Mix'!$D$36:$W$36,'Matriz_Habilidades'!$D41:$W41)/'Calc_Mix'!$X$36+ROW()*0.000001))</f>
        <v/>
      </c>
      <c r="AN41" s="34">
        <f>IF(OR($B41="",$C41&lt;&gt;"Ativo",$D41&lt;&gt;'Calc_Mix'!$C$37,'Calc_Mix'!$X$37=0,COUNTIFS(Esc_Turno,'Calc_Mix'!$C$37,Esc_Circ,$B41)+COUNTIFS(Esc_Turno,'Calc_Mix'!$C$37,Esc_Instr,$B41)&gt;0),"",IF(SUMPRODUCT('Calc_Mix'!$D$37:$W$37,'Matriz_Habilidades'!$D41:$W41)=0,"",SUMPRODUCT('Calc_Mix'!$D$37:$W$37,'Matriz_Habilidades'!$D41:$W41)/'Calc_Mix'!$X$37+ROW()*0.000001))</f>
        <v/>
      </c>
    </row>
    <row r="42">
      <c r="A42" s="27">
        <f>IF('Matriz_Habilidades'!A42="","",'Matriz_Habilidades'!A42)</f>
        <v/>
      </c>
      <c r="B42" s="28">
        <f>IF('Matriz_Habilidades'!B42="","",'Matriz_Habilidades'!B42)</f>
        <v/>
      </c>
      <c r="C42" s="27">
        <f>IF($A42="","",IFERROR(INDEX(Equipe_Status,MATCH($B42,Equipe_Nome,0)),"?"))</f>
        <v/>
      </c>
      <c r="D42" s="27">
        <f>IF($A42="","",IFERROR(INDEX(Equipe_Turno,MATCH($B42,Equipe_Nome,0)),"?"))</f>
        <v/>
      </c>
      <c r="E42" s="34">
        <f>IF(OR($B42="",$C42&lt;&gt;"Ativo",$D42&lt;&gt;'Calc_Mix'!$C$2,'Calc_Mix'!$X$2=0,COUNTIFS(Esc_Turno,'Calc_Mix'!$C$2,Esc_Circ,$B42)+COUNTIFS(Esc_Turno,'Calc_Mix'!$C$2,Esc_Instr,$B42)&gt;0),"",IF(SUMPRODUCT('Calc_Mix'!$D$2:$W$2,'Matriz_Habilidades'!$D42:$W42)=0,"",SUMPRODUCT('Calc_Mix'!$D$2:$W$2,'Matriz_Habilidades'!$D42:$W42)/'Calc_Mix'!$X$2+ROW()*0.000001))</f>
        <v/>
      </c>
      <c r="F42" s="34">
        <f>IF(OR($B42="",$C42&lt;&gt;"Ativo",$D42&lt;&gt;'Calc_Mix'!$C$3,'Calc_Mix'!$X$3=0,COUNTIFS(Esc_Turno,'Calc_Mix'!$C$3,Esc_Circ,$B42)+COUNTIFS(Esc_Turno,'Calc_Mix'!$C$3,Esc_Instr,$B42)&gt;0),"",IF(SUMPRODUCT('Calc_Mix'!$D$3:$W$3,'Matriz_Habilidades'!$D42:$W42)=0,"",SUMPRODUCT('Calc_Mix'!$D$3:$W$3,'Matriz_Habilidades'!$D42:$W42)/'Calc_Mix'!$X$3+ROW()*0.000001))</f>
        <v/>
      </c>
      <c r="G42" s="34">
        <f>IF(OR($B42="",$C42&lt;&gt;"Ativo",$D42&lt;&gt;'Calc_Mix'!$C$4,'Calc_Mix'!$X$4=0,COUNTIFS(Esc_Turno,'Calc_Mix'!$C$4,Esc_Circ,$B42)+COUNTIFS(Esc_Turno,'Calc_Mix'!$C$4,Esc_Instr,$B42)&gt;0),"",IF(SUMPRODUCT('Calc_Mix'!$D$4:$W$4,'Matriz_Habilidades'!$D42:$W42)=0,"",SUMPRODUCT('Calc_Mix'!$D$4:$W$4,'Matriz_Habilidades'!$D42:$W42)/'Calc_Mix'!$X$4+ROW()*0.000001))</f>
        <v/>
      </c>
      <c r="H42" s="34">
        <f>IF(OR($B42="",$C42&lt;&gt;"Ativo",$D42&lt;&gt;'Calc_Mix'!$C$5,'Calc_Mix'!$X$5=0,COUNTIFS(Esc_Turno,'Calc_Mix'!$C$5,Esc_Circ,$B42)+COUNTIFS(Esc_Turno,'Calc_Mix'!$C$5,Esc_Instr,$B42)&gt;0),"",IF(SUMPRODUCT('Calc_Mix'!$D$5:$W$5,'Matriz_Habilidades'!$D42:$W42)=0,"",SUMPRODUCT('Calc_Mix'!$D$5:$W$5,'Matriz_Habilidades'!$D42:$W42)/'Calc_Mix'!$X$5+ROW()*0.000001))</f>
        <v/>
      </c>
      <c r="I42" s="34">
        <f>IF(OR($B42="",$C42&lt;&gt;"Ativo",$D42&lt;&gt;'Calc_Mix'!$C$6,'Calc_Mix'!$X$6=0,COUNTIFS(Esc_Turno,'Calc_Mix'!$C$6,Esc_Circ,$B42)+COUNTIFS(Esc_Turno,'Calc_Mix'!$C$6,Esc_Instr,$B42)&gt;0),"",IF(SUMPRODUCT('Calc_Mix'!$D$6:$W$6,'Matriz_Habilidades'!$D42:$W42)=0,"",SUMPRODUCT('Calc_Mix'!$D$6:$W$6,'Matriz_Habilidades'!$D42:$W42)/'Calc_Mix'!$X$6+ROW()*0.000001))</f>
        <v/>
      </c>
      <c r="J42" s="34">
        <f>IF(OR($B42="",$C42&lt;&gt;"Ativo",$D42&lt;&gt;'Calc_Mix'!$C$7,'Calc_Mix'!$X$7=0,COUNTIFS(Esc_Turno,'Calc_Mix'!$C$7,Esc_Circ,$B42)+COUNTIFS(Esc_Turno,'Calc_Mix'!$C$7,Esc_Instr,$B42)&gt;0),"",IF(SUMPRODUCT('Calc_Mix'!$D$7:$W$7,'Matriz_Habilidades'!$D42:$W42)=0,"",SUMPRODUCT('Calc_Mix'!$D$7:$W$7,'Matriz_Habilidades'!$D42:$W42)/'Calc_Mix'!$X$7+ROW()*0.000001))</f>
        <v/>
      </c>
      <c r="K42" s="34">
        <f>IF(OR($B42="",$C42&lt;&gt;"Ativo",$D42&lt;&gt;'Calc_Mix'!$C$8,'Calc_Mix'!$X$8=0,COUNTIFS(Esc_Turno,'Calc_Mix'!$C$8,Esc_Circ,$B42)+COUNTIFS(Esc_Turno,'Calc_Mix'!$C$8,Esc_Instr,$B42)&gt;0),"",IF(SUMPRODUCT('Calc_Mix'!$D$8:$W$8,'Matriz_Habilidades'!$D42:$W42)=0,"",SUMPRODUCT('Calc_Mix'!$D$8:$W$8,'Matriz_Habilidades'!$D42:$W42)/'Calc_Mix'!$X$8+ROW()*0.000001))</f>
        <v/>
      </c>
      <c r="L42" s="34">
        <f>IF(OR($B42="",$C42&lt;&gt;"Ativo",$D42&lt;&gt;'Calc_Mix'!$C$9,'Calc_Mix'!$X$9=0,COUNTIFS(Esc_Turno,'Calc_Mix'!$C$9,Esc_Circ,$B42)+COUNTIFS(Esc_Turno,'Calc_Mix'!$C$9,Esc_Instr,$B42)&gt;0),"",IF(SUMPRODUCT('Calc_Mix'!$D$9:$W$9,'Matriz_Habilidades'!$D42:$W42)=0,"",SUMPRODUCT('Calc_Mix'!$D$9:$W$9,'Matriz_Habilidades'!$D42:$W42)/'Calc_Mix'!$X$9+ROW()*0.000001))</f>
        <v/>
      </c>
      <c r="M42" s="34">
        <f>IF(OR($B42="",$C42&lt;&gt;"Ativo",$D42&lt;&gt;'Calc_Mix'!$C$10,'Calc_Mix'!$X$10=0,COUNTIFS(Esc_Turno,'Calc_Mix'!$C$10,Esc_Circ,$B42)+COUNTIFS(Esc_Turno,'Calc_Mix'!$C$10,Esc_Instr,$B42)&gt;0),"",IF(SUMPRODUCT('Calc_Mix'!$D$10:$W$10,'Matriz_Habilidades'!$D42:$W42)=0,"",SUMPRODUCT('Calc_Mix'!$D$10:$W$10,'Matriz_Habilidades'!$D42:$W42)/'Calc_Mix'!$X$10+ROW()*0.000001))</f>
        <v/>
      </c>
      <c r="N42" s="34">
        <f>IF(OR($B42="",$C42&lt;&gt;"Ativo",$D42&lt;&gt;'Calc_Mix'!$C$11,'Calc_Mix'!$X$11=0,COUNTIFS(Esc_Turno,'Calc_Mix'!$C$11,Esc_Circ,$B42)+COUNTIFS(Esc_Turno,'Calc_Mix'!$C$11,Esc_Instr,$B42)&gt;0),"",IF(SUMPRODUCT('Calc_Mix'!$D$11:$W$11,'Matriz_Habilidades'!$D42:$W42)=0,"",SUMPRODUCT('Calc_Mix'!$D$11:$W$11,'Matriz_Habilidades'!$D42:$W42)/'Calc_Mix'!$X$11+ROW()*0.000001))</f>
        <v/>
      </c>
      <c r="O42" s="34">
        <f>IF(OR($B42="",$C42&lt;&gt;"Ativo",$D42&lt;&gt;'Calc_Mix'!$C$12,'Calc_Mix'!$X$12=0,COUNTIFS(Esc_Turno,'Calc_Mix'!$C$12,Esc_Circ,$B42)+COUNTIFS(Esc_Turno,'Calc_Mix'!$C$12,Esc_Instr,$B42)&gt;0),"",IF(SUMPRODUCT('Calc_Mix'!$D$12:$W$12,'Matriz_Habilidades'!$D42:$W42)=0,"",SUMPRODUCT('Calc_Mix'!$D$12:$W$12,'Matriz_Habilidades'!$D42:$W42)/'Calc_Mix'!$X$12+ROW()*0.000001))</f>
        <v/>
      </c>
      <c r="P42" s="34">
        <f>IF(OR($B42="",$C42&lt;&gt;"Ativo",$D42&lt;&gt;'Calc_Mix'!$C$13,'Calc_Mix'!$X$13=0,COUNTIFS(Esc_Turno,'Calc_Mix'!$C$13,Esc_Circ,$B42)+COUNTIFS(Esc_Turno,'Calc_Mix'!$C$13,Esc_Instr,$B42)&gt;0),"",IF(SUMPRODUCT('Calc_Mix'!$D$13:$W$13,'Matriz_Habilidades'!$D42:$W42)=0,"",SUMPRODUCT('Calc_Mix'!$D$13:$W$13,'Matriz_Habilidades'!$D42:$W42)/'Calc_Mix'!$X$13+ROW()*0.000001))</f>
        <v/>
      </c>
      <c r="Q42" s="34">
        <f>IF(OR($B42="",$C42&lt;&gt;"Ativo",$D42&lt;&gt;'Calc_Mix'!$C$14,'Calc_Mix'!$X$14=0,COUNTIFS(Esc_Turno,'Calc_Mix'!$C$14,Esc_Circ,$B42)+COUNTIFS(Esc_Turno,'Calc_Mix'!$C$14,Esc_Instr,$B42)&gt;0),"",IF(SUMPRODUCT('Calc_Mix'!$D$14:$W$14,'Matriz_Habilidades'!$D42:$W42)=0,"",SUMPRODUCT('Calc_Mix'!$D$14:$W$14,'Matriz_Habilidades'!$D42:$W42)/'Calc_Mix'!$X$14+ROW()*0.000001))</f>
        <v/>
      </c>
      <c r="R42" s="34">
        <f>IF(OR($B42="",$C42&lt;&gt;"Ativo",$D42&lt;&gt;'Calc_Mix'!$C$15,'Calc_Mix'!$X$15=0,COUNTIFS(Esc_Turno,'Calc_Mix'!$C$15,Esc_Circ,$B42)+COUNTIFS(Esc_Turno,'Calc_Mix'!$C$15,Esc_Instr,$B42)&gt;0),"",IF(SUMPRODUCT('Calc_Mix'!$D$15:$W$15,'Matriz_Habilidades'!$D42:$W42)=0,"",SUMPRODUCT('Calc_Mix'!$D$15:$W$15,'Matriz_Habilidades'!$D42:$W42)/'Calc_Mix'!$X$15+ROW()*0.000001))</f>
        <v/>
      </c>
      <c r="S42" s="34">
        <f>IF(OR($B42="",$C42&lt;&gt;"Ativo",$D42&lt;&gt;'Calc_Mix'!$C$16,'Calc_Mix'!$X$16=0,COUNTIFS(Esc_Turno,'Calc_Mix'!$C$16,Esc_Circ,$B42)+COUNTIFS(Esc_Turno,'Calc_Mix'!$C$16,Esc_Instr,$B42)&gt;0),"",IF(SUMPRODUCT('Calc_Mix'!$D$16:$W$16,'Matriz_Habilidades'!$D42:$W42)=0,"",SUMPRODUCT('Calc_Mix'!$D$16:$W$16,'Matriz_Habilidades'!$D42:$W42)/'Calc_Mix'!$X$16+ROW()*0.000001))</f>
        <v/>
      </c>
      <c r="T42" s="34">
        <f>IF(OR($B42="",$C42&lt;&gt;"Ativo",$D42&lt;&gt;'Calc_Mix'!$C$17,'Calc_Mix'!$X$17=0,COUNTIFS(Esc_Turno,'Calc_Mix'!$C$17,Esc_Circ,$B42)+COUNTIFS(Esc_Turno,'Calc_Mix'!$C$17,Esc_Instr,$B42)&gt;0),"",IF(SUMPRODUCT('Calc_Mix'!$D$17:$W$17,'Matriz_Habilidades'!$D42:$W42)=0,"",SUMPRODUCT('Calc_Mix'!$D$17:$W$17,'Matriz_Habilidades'!$D42:$W42)/'Calc_Mix'!$X$17+ROW()*0.000001))</f>
        <v/>
      </c>
      <c r="U42" s="34">
        <f>IF(OR($B42="",$C42&lt;&gt;"Ativo",$D42&lt;&gt;'Calc_Mix'!$C$18,'Calc_Mix'!$X$18=0,COUNTIFS(Esc_Turno,'Calc_Mix'!$C$18,Esc_Circ,$B42)+COUNTIFS(Esc_Turno,'Calc_Mix'!$C$18,Esc_Instr,$B42)&gt;0),"",IF(SUMPRODUCT('Calc_Mix'!$D$18:$W$18,'Matriz_Habilidades'!$D42:$W42)=0,"",SUMPRODUCT('Calc_Mix'!$D$18:$W$18,'Matriz_Habilidades'!$D42:$W42)/'Calc_Mix'!$X$18+ROW()*0.000001))</f>
        <v/>
      </c>
      <c r="V42" s="34">
        <f>IF(OR($B42="",$C42&lt;&gt;"Ativo",$D42&lt;&gt;'Calc_Mix'!$C$19,'Calc_Mix'!$X$19=0,COUNTIFS(Esc_Turno,'Calc_Mix'!$C$19,Esc_Circ,$B42)+COUNTIFS(Esc_Turno,'Calc_Mix'!$C$19,Esc_Instr,$B42)&gt;0),"",IF(SUMPRODUCT('Calc_Mix'!$D$19:$W$19,'Matriz_Habilidades'!$D42:$W42)=0,"",SUMPRODUCT('Calc_Mix'!$D$19:$W$19,'Matriz_Habilidades'!$D42:$W42)/'Calc_Mix'!$X$19+ROW()*0.000001))</f>
        <v/>
      </c>
      <c r="W42" s="34">
        <f>IF(OR($B42="",$C42&lt;&gt;"Ativo",$D42&lt;&gt;'Calc_Mix'!$C$20,'Calc_Mix'!$X$20=0,COUNTIFS(Esc_Turno,'Calc_Mix'!$C$20,Esc_Circ,$B42)+COUNTIFS(Esc_Turno,'Calc_Mix'!$C$20,Esc_Instr,$B42)&gt;0),"",IF(SUMPRODUCT('Calc_Mix'!$D$20:$W$20,'Matriz_Habilidades'!$D42:$W42)=0,"",SUMPRODUCT('Calc_Mix'!$D$20:$W$20,'Matriz_Habilidades'!$D42:$W42)/'Calc_Mix'!$X$20+ROW()*0.000001))</f>
        <v/>
      </c>
      <c r="X42" s="34">
        <f>IF(OR($B42="",$C42&lt;&gt;"Ativo",$D42&lt;&gt;'Calc_Mix'!$C$21,'Calc_Mix'!$X$21=0,COUNTIFS(Esc_Turno,'Calc_Mix'!$C$21,Esc_Circ,$B42)+COUNTIFS(Esc_Turno,'Calc_Mix'!$C$21,Esc_Instr,$B42)&gt;0),"",IF(SUMPRODUCT('Calc_Mix'!$D$21:$W$21,'Matriz_Habilidades'!$D42:$W42)=0,"",SUMPRODUCT('Calc_Mix'!$D$21:$W$21,'Matriz_Habilidades'!$D42:$W42)/'Calc_Mix'!$X$21+ROW()*0.000001))</f>
        <v/>
      </c>
      <c r="Y42" s="34">
        <f>IF(OR($B42="",$C42&lt;&gt;"Ativo",$D42&lt;&gt;'Calc_Mix'!$C$22,'Calc_Mix'!$X$22=0,COUNTIFS(Esc_Turno,'Calc_Mix'!$C$22,Esc_Circ,$B42)+COUNTIFS(Esc_Turno,'Calc_Mix'!$C$22,Esc_Instr,$B42)&gt;0),"",IF(SUMPRODUCT('Calc_Mix'!$D$22:$W$22,'Matriz_Habilidades'!$D42:$W42)=0,"",SUMPRODUCT('Calc_Mix'!$D$22:$W$22,'Matriz_Habilidades'!$D42:$W42)/'Calc_Mix'!$X$22+ROW()*0.000001))</f>
        <v/>
      </c>
      <c r="Z42" s="34">
        <f>IF(OR($B42="",$C42&lt;&gt;"Ativo",$D42&lt;&gt;'Calc_Mix'!$C$23,'Calc_Mix'!$X$23=0,COUNTIFS(Esc_Turno,'Calc_Mix'!$C$23,Esc_Circ,$B42)+COUNTIFS(Esc_Turno,'Calc_Mix'!$C$23,Esc_Instr,$B42)&gt;0),"",IF(SUMPRODUCT('Calc_Mix'!$D$23:$W$23,'Matriz_Habilidades'!$D42:$W42)=0,"",SUMPRODUCT('Calc_Mix'!$D$23:$W$23,'Matriz_Habilidades'!$D42:$W42)/'Calc_Mix'!$X$23+ROW()*0.000001))</f>
        <v/>
      </c>
      <c r="AA42" s="34">
        <f>IF(OR($B42="",$C42&lt;&gt;"Ativo",$D42&lt;&gt;'Calc_Mix'!$C$24,'Calc_Mix'!$X$24=0,COUNTIFS(Esc_Turno,'Calc_Mix'!$C$24,Esc_Circ,$B42)+COUNTIFS(Esc_Turno,'Calc_Mix'!$C$24,Esc_Instr,$B42)&gt;0),"",IF(SUMPRODUCT('Calc_Mix'!$D$24:$W$24,'Matriz_Habilidades'!$D42:$W42)=0,"",SUMPRODUCT('Calc_Mix'!$D$24:$W$24,'Matriz_Habilidades'!$D42:$W42)/'Calc_Mix'!$X$24+ROW()*0.000001))</f>
        <v/>
      </c>
      <c r="AB42" s="34">
        <f>IF(OR($B42="",$C42&lt;&gt;"Ativo",$D42&lt;&gt;'Calc_Mix'!$C$25,'Calc_Mix'!$X$25=0,COUNTIFS(Esc_Turno,'Calc_Mix'!$C$25,Esc_Circ,$B42)+COUNTIFS(Esc_Turno,'Calc_Mix'!$C$25,Esc_Instr,$B42)&gt;0),"",IF(SUMPRODUCT('Calc_Mix'!$D$25:$W$25,'Matriz_Habilidades'!$D42:$W42)=0,"",SUMPRODUCT('Calc_Mix'!$D$25:$W$25,'Matriz_Habilidades'!$D42:$W42)/'Calc_Mix'!$X$25+ROW()*0.000001))</f>
        <v/>
      </c>
      <c r="AC42" s="34">
        <f>IF(OR($B42="",$C42&lt;&gt;"Ativo",$D42&lt;&gt;'Calc_Mix'!$C$26,'Calc_Mix'!$X$26=0,COUNTIFS(Esc_Turno,'Calc_Mix'!$C$26,Esc_Circ,$B42)+COUNTIFS(Esc_Turno,'Calc_Mix'!$C$26,Esc_Instr,$B42)&gt;0),"",IF(SUMPRODUCT('Calc_Mix'!$D$26:$W$26,'Matriz_Habilidades'!$D42:$W42)=0,"",SUMPRODUCT('Calc_Mix'!$D$26:$W$26,'Matriz_Habilidades'!$D42:$W42)/'Calc_Mix'!$X$26+ROW()*0.000001))</f>
        <v/>
      </c>
      <c r="AD42" s="34">
        <f>IF(OR($B42="",$C42&lt;&gt;"Ativo",$D42&lt;&gt;'Calc_Mix'!$C$27,'Calc_Mix'!$X$27=0,COUNTIFS(Esc_Turno,'Calc_Mix'!$C$27,Esc_Circ,$B42)+COUNTIFS(Esc_Turno,'Calc_Mix'!$C$27,Esc_Instr,$B42)&gt;0),"",IF(SUMPRODUCT('Calc_Mix'!$D$27:$W$27,'Matriz_Habilidades'!$D42:$W42)=0,"",SUMPRODUCT('Calc_Mix'!$D$27:$W$27,'Matriz_Habilidades'!$D42:$W42)/'Calc_Mix'!$X$27+ROW()*0.000001))</f>
        <v/>
      </c>
      <c r="AE42" s="34">
        <f>IF(OR($B42="",$C42&lt;&gt;"Ativo",$D42&lt;&gt;'Calc_Mix'!$C$28,'Calc_Mix'!$X$28=0,COUNTIFS(Esc_Turno,'Calc_Mix'!$C$28,Esc_Circ,$B42)+COUNTIFS(Esc_Turno,'Calc_Mix'!$C$28,Esc_Instr,$B42)&gt;0),"",IF(SUMPRODUCT('Calc_Mix'!$D$28:$W$28,'Matriz_Habilidades'!$D42:$W42)=0,"",SUMPRODUCT('Calc_Mix'!$D$28:$W$28,'Matriz_Habilidades'!$D42:$W42)/'Calc_Mix'!$X$28+ROW()*0.000001))</f>
        <v/>
      </c>
      <c r="AF42" s="34">
        <f>IF(OR($B42="",$C42&lt;&gt;"Ativo",$D42&lt;&gt;'Calc_Mix'!$C$29,'Calc_Mix'!$X$29=0,COUNTIFS(Esc_Turno,'Calc_Mix'!$C$29,Esc_Circ,$B42)+COUNTIFS(Esc_Turno,'Calc_Mix'!$C$29,Esc_Instr,$B42)&gt;0),"",IF(SUMPRODUCT('Calc_Mix'!$D$29:$W$29,'Matriz_Habilidades'!$D42:$W42)=0,"",SUMPRODUCT('Calc_Mix'!$D$29:$W$29,'Matriz_Habilidades'!$D42:$W42)/'Calc_Mix'!$X$29+ROW()*0.000001))</f>
        <v/>
      </c>
      <c r="AG42" s="34">
        <f>IF(OR($B42="",$C42&lt;&gt;"Ativo",$D42&lt;&gt;'Calc_Mix'!$C$30,'Calc_Mix'!$X$30=0,COUNTIFS(Esc_Turno,'Calc_Mix'!$C$30,Esc_Circ,$B42)+COUNTIFS(Esc_Turno,'Calc_Mix'!$C$30,Esc_Instr,$B42)&gt;0),"",IF(SUMPRODUCT('Calc_Mix'!$D$30:$W$30,'Matriz_Habilidades'!$D42:$W42)=0,"",SUMPRODUCT('Calc_Mix'!$D$30:$W$30,'Matriz_Habilidades'!$D42:$W42)/'Calc_Mix'!$X$30+ROW()*0.000001))</f>
        <v/>
      </c>
      <c r="AH42" s="34">
        <f>IF(OR($B42="",$C42&lt;&gt;"Ativo",$D42&lt;&gt;'Calc_Mix'!$C$31,'Calc_Mix'!$X$31=0,COUNTIFS(Esc_Turno,'Calc_Mix'!$C$31,Esc_Circ,$B42)+COUNTIFS(Esc_Turno,'Calc_Mix'!$C$31,Esc_Instr,$B42)&gt;0),"",IF(SUMPRODUCT('Calc_Mix'!$D$31:$W$31,'Matriz_Habilidades'!$D42:$W42)=0,"",SUMPRODUCT('Calc_Mix'!$D$31:$W$31,'Matriz_Habilidades'!$D42:$W42)/'Calc_Mix'!$X$31+ROW()*0.000001))</f>
        <v/>
      </c>
      <c r="AI42" s="34">
        <f>IF(OR($B42="",$C42&lt;&gt;"Ativo",$D42&lt;&gt;'Calc_Mix'!$C$32,'Calc_Mix'!$X$32=0,COUNTIFS(Esc_Turno,'Calc_Mix'!$C$32,Esc_Circ,$B42)+COUNTIFS(Esc_Turno,'Calc_Mix'!$C$32,Esc_Instr,$B42)&gt;0),"",IF(SUMPRODUCT('Calc_Mix'!$D$32:$W$32,'Matriz_Habilidades'!$D42:$W42)=0,"",SUMPRODUCT('Calc_Mix'!$D$32:$W$32,'Matriz_Habilidades'!$D42:$W42)/'Calc_Mix'!$X$32+ROW()*0.000001))</f>
        <v/>
      </c>
      <c r="AJ42" s="34">
        <f>IF(OR($B42="",$C42&lt;&gt;"Ativo",$D42&lt;&gt;'Calc_Mix'!$C$33,'Calc_Mix'!$X$33=0,COUNTIFS(Esc_Turno,'Calc_Mix'!$C$33,Esc_Circ,$B42)+COUNTIFS(Esc_Turno,'Calc_Mix'!$C$33,Esc_Instr,$B42)&gt;0),"",IF(SUMPRODUCT('Calc_Mix'!$D$33:$W$33,'Matriz_Habilidades'!$D42:$W42)=0,"",SUMPRODUCT('Calc_Mix'!$D$33:$W$33,'Matriz_Habilidades'!$D42:$W42)/'Calc_Mix'!$X$33+ROW()*0.000001))</f>
        <v/>
      </c>
      <c r="AK42" s="34">
        <f>IF(OR($B42="",$C42&lt;&gt;"Ativo",$D42&lt;&gt;'Calc_Mix'!$C$34,'Calc_Mix'!$X$34=0,COUNTIFS(Esc_Turno,'Calc_Mix'!$C$34,Esc_Circ,$B42)+COUNTIFS(Esc_Turno,'Calc_Mix'!$C$34,Esc_Instr,$B42)&gt;0),"",IF(SUMPRODUCT('Calc_Mix'!$D$34:$W$34,'Matriz_Habilidades'!$D42:$W42)=0,"",SUMPRODUCT('Calc_Mix'!$D$34:$W$34,'Matriz_Habilidades'!$D42:$W42)/'Calc_Mix'!$X$34+ROW()*0.000001))</f>
        <v/>
      </c>
      <c r="AL42" s="34">
        <f>IF(OR($B42="",$C42&lt;&gt;"Ativo",$D42&lt;&gt;'Calc_Mix'!$C$35,'Calc_Mix'!$X$35=0,COUNTIFS(Esc_Turno,'Calc_Mix'!$C$35,Esc_Circ,$B42)+COUNTIFS(Esc_Turno,'Calc_Mix'!$C$35,Esc_Instr,$B42)&gt;0),"",IF(SUMPRODUCT('Calc_Mix'!$D$35:$W$35,'Matriz_Habilidades'!$D42:$W42)=0,"",SUMPRODUCT('Calc_Mix'!$D$35:$W$35,'Matriz_Habilidades'!$D42:$W42)/'Calc_Mix'!$X$35+ROW()*0.000001))</f>
        <v/>
      </c>
      <c r="AM42" s="34">
        <f>IF(OR($B42="",$C42&lt;&gt;"Ativo",$D42&lt;&gt;'Calc_Mix'!$C$36,'Calc_Mix'!$X$36=0,COUNTIFS(Esc_Turno,'Calc_Mix'!$C$36,Esc_Circ,$B42)+COUNTIFS(Esc_Turno,'Calc_Mix'!$C$36,Esc_Instr,$B42)&gt;0),"",IF(SUMPRODUCT('Calc_Mix'!$D$36:$W$36,'Matriz_Habilidades'!$D42:$W42)=0,"",SUMPRODUCT('Calc_Mix'!$D$36:$W$36,'Matriz_Habilidades'!$D42:$W42)/'Calc_Mix'!$X$36+ROW()*0.000001))</f>
        <v/>
      </c>
      <c r="AN42" s="34">
        <f>IF(OR($B42="",$C42&lt;&gt;"Ativo",$D42&lt;&gt;'Calc_Mix'!$C$37,'Calc_Mix'!$X$37=0,COUNTIFS(Esc_Turno,'Calc_Mix'!$C$37,Esc_Circ,$B42)+COUNTIFS(Esc_Turno,'Calc_Mix'!$C$37,Esc_Instr,$B42)&gt;0),"",IF(SUMPRODUCT('Calc_Mix'!$D$37:$W$37,'Matriz_Habilidades'!$D42:$W42)=0,"",SUMPRODUCT('Calc_Mix'!$D$37:$W$37,'Matriz_Habilidades'!$D42:$W42)/'Calc_Mix'!$X$37+ROW()*0.000001))</f>
        <v/>
      </c>
    </row>
    <row r="43">
      <c r="A43" s="27">
        <f>IF('Matriz_Habilidades'!A43="","",'Matriz_Habilidades'!A43)</f>
        <v/>
      </c>
      <c r="B43" s="28">
        <f>IF('Matriz_Habilidades'!B43="","",'Matriz_Habilidades'!B43)</f>
        <v/>
      </c>
      <c r="C43" s="27">
        <f>IF($A43="","",IFERROR(INDEX(Equipe_Status,MATCH($B43,Equipe_Nome,0)),"?"))</f>
        <v/>
      </c>
      <c r="D43" s="27">
        <f>IF($A43="","",IFERROR(INDEX(Equipe_Turno,MATCH($B43,Equipe_Nome,0)),"?"))</f>
        <v/>
      </c>
      <c r="E43" s="34">
        <f>IF(OR($B43="",$C43&lt;&gt;"Ativo",$D43&lt;&gt;'Calc_Mix'!$C$2,'Calc_Mix'!$X$2=0,COUNTIFS(Esc_Turno,'Calc_Mix'!$C$2,Esc_Circ,$B43)+COUNTIFS(Esc_Turno,'Calc_Mix'!$C$2,Esc_Instr,$B43)&gt;0),"",IF(SUMPRODUCT('Calc_Mix'!$D$2:$W$2,'Matriz_Habilidades'!$D43:$W43)=0,"",SUMPRODUCT('Calc_Mix'!$D$2:$W$2,'Matriz_Habilidades'!$D43:$W43)/'Calc_Mix'!$X$2+ROW()*0.000001))</f>
        <v/>
      </c>
      <c r="F43" s="34">
        <f>IF(OR($B43="",$C43&lt;&gt;"Ativo",$D43&lt;&gt;'Calc_Mix'!$C$3,'Calc_Mix'!$X$3=0,COUNTIFS(Esc_Turno,'Calc_Mix'!$C$3,Esc_Circ,$B43)+COUNTIFS(Esc_Turno,'Calc_Mix'!$C$3,Esc_Instr,$B43)&gt;0),"",IF(SUMPRODUCT('Calc_Mix'!$D$3:$W$3,'Matriz_Habilidades'!$D43:$W43)=0,"",SUMPRODUCT('Calc_Mix'!$D$3:$W$3,'Matriz_Habilidades'!$D43:$W43)/'Calc_Mix'!$X$3+ROW()*0.000001))</f>
        <v/>
      </c>
      <c r="G43" s="34">
        <f>IF(OR($B43="",$C43&lt;&gt;"Ativo",$D43&lt;&gt;'Calc_Mix'!$C$4,'Calc_Mix'!$X$4=0,COUNTIFS(Esc_Turno,'Calc_Mix'!$C$4,Esc_Circ,$B43)+COUNTIFS(Esc_Turno,'Calc_Mix'!$C$4,Esc_Instr,$B43)&gt;0),"",IF(SUMPRODUCT('Calc_Mix'!$D$4:$W$4,'Matriz_Habilidades'!$D43:$W43)=0,"",SUMPRODUCT('Calc_Mix'!$D$4:$W$4,'Matriz_Habilidades'!$D43:$W43)/'Calc_Mix'!$X$4+ROW()*0.000001))</f>
        <v/>
      </c>
      <c r="H43" s="34">
        <f>IF(OR($B43="",$C43&lt;&gt;"Ativo",$D43&lt;&gt;'Calc_Mix'!$C$5,'Calc_Mix'!$X$5=0,COUNTIFS(Esc_Turno,'Calc_Mix'!$C$5,Esc_Circ,$B43)+COUNTIFS(Esc_Turno,'Calc_Mix'!$C$5,Esc_Instr,$B43)&gt;0),"",IF(SUMPRODUCT('Calc_Mix'!$D$5:$W$5,'Matriz_Habilidades'!$D43:$W43)=0,"",SUMPRODUCT('Calc_Mix'!$D$5:$W$5,'Matriz_Habilidades'!$D43:$W43)/'Calc_Mix'!$X$5+ROW()*0.000001))</f>
        <v/>
      </c>
      <c r="I43" s="34">
        <f>IF(OR($B43="",$C43&lt;&gt;"Ativo",$D43&lt;&gt;'Calc_Mix'!$C$6,'Calc_Mix'!$X$6=0,COUNTIFS(Esc_Turno,'Calc_Mix'!$C$6,Esc_Circ,$B43)+COUNTIFS(Esc_Turno,'Calc_Mix'!$C$6,Esc_Instr,$B43)&gt;0),"",IF(SUMPRODUCT('Calc_Mix'!$D$6:$W$6,'Matriz_Habilidades'!$D43:$W43)=0,"",SUMPRODUCT('Calc_Mix'!$D$6:$W$6,'Matriz_Habilidades'!$D43:$W43)/'Calc_Mix'!$X$6+ROW()*0.000001))</f>
        <v/>
      </c>
      <c r="J43" s="34">
        <f>IF(OR($B43="",$C43&lt;&gt;"Ativo",$D43&lt;&gt;'Calc_Mix'!$C$7,'Calc_Mix'!$X$7=0,COUNTIFS(Esc_Turno,'Calc_Mix'!$C$7,Esc_Circ,$B43)+COUNTIFS(Esc_Turno,'Calc_Mix'!$C$7,Esc_Instr,$B43)&gt;0),"",IF(SUMPRODUCT('Calc_Mix'!$D$7:$W$7,'Matriz_Habilidades'!$D43:$W43)=0,"",SUMPRODUCT('Calc_Mix'!$D$7:$W$7,'Matriz_Habilidades'!$D43:$W43)/'Calc_Mix'!$X$7+ROW()*0.000001))</f>
        <v/>
      </c>
      <c r="K43" s="34">
        <f>IF(OR($B43="",$C43&lt;&gt;"Ativo",$D43&lt;&gt;'Calc_Mix'!$C$8,'Calc_Mix'!$X$8=0,COUNTIFS(Esc_Turno,'Calc_Mix'!$C$8,Esc_Circ,$B43)+COUNTIFS(Esc_Turno,'Calc_Mix'!$C$8,Esc_Instr,$B43)&gt;0),"",IF(SUMPRODUCT('Calc_Mix'!$D$8:$W$8,'Matriz_Habilidades'!$D43:$W43)=0,"",SUMPRODUCT('Calc_Mix'!$D$8:$W$8,'Matriz_Habilidades'!$D43:$W43)/'Calc_Mix'!$X$8+ROW()*0.000001))</f>
        <v/>
      </c>
      <c r="L43" s="34">
        <f>IF(OR($B43="",$C43&lt;&gt;"Ativo",$D43&lt;&gt;'Calc_Mix'!$C$9,'Calc_Mix'!$X$9=0,COUNTIFS(Esc_Turno,'Calc_Mix'!$C$9,Esc_Circ,$B43)+COUNTIFS(Esc_Turno,'Calc_Mix'!$C$9,Esc_Instr,$B43)&gt;0),"",IF(SUMPRODUCT('Calc_Mix'!$D$9:$W$9,'Matriz_Habilidades'!$D43:$W43)=0,"",SUMPRODUCT('Calc_Mix'!$D$9:$W$9,'Matriz_Habilidades'!$D43:$W43)/'Calc_Mix'!$X$9+ROW()*0.000001))</f>
        <v/>
      </c>
      <c r="M43" s="34">
        <f>IF(OR($B43="",$C43&lt;&gt;"Ativo",$D43&lt;&gt;'Calc_Mix'!$C$10,'Calc_Mix'!$X$10=0,COUNTIFS(Esc_Turno,'Calc_Mix'!$C$10,Esc_Circ,$B43)+COUNTIFS(Esc_Turno,'Calc_Mix'!$C$10,Esc_Instr,$B43)&gt;0),"",IF(SUMPRODUCT('Calc_Mix'!$D$10:$W$10,'Matriz_Habilidades'!$D43:$W43)=0,"",SUMPRODUCT('Calc_Mix'!$D$10:$W$10,'Matriz_Habilidades'!$D43:$W43)/'Calc_Mix'!$X$10+ROW()*0.000001))</f>
        <v/>
      </c>
      <c r="N43" s="34">
        <f>IF(OR($B43="",$C43&lt;&gt;"Ativo",$D43&lt;&gt;'Calc_Mix'!$C$11,'Calc_Mix'!$X$11=0,COUNTIFS(Esc_Turno,'Calc_Mix'!$C$11,Esc_Circ,$B43)+COUNTIFS(Esc_Turno,'Calc_Mix'!$C$11,Esc_Instr,$B43)&gt;0),"",IF(SUMPRODUCT('Calc_Mix'!$D$11:$W$11,'Matriz_Habilidades'!$D43:$W43)=0,"",SUMPRODUCT('Calc_Mix'!$D$11:$W$11,'Matriz_Habilidades'!$D43:$W43)/'Calc_Mix'!$X$11+ROW()*0.000001))</f>
        <v/>
      </c>
      <c r="O43" s="34">
        <f>IF(OR($B43="",$C43&lt;&gt;"Ativo",$D43&lt;&gt;'Calc_Mix'!$C$12,'Calc_Mix'!$X$12=0,COUNTIFS(Esc_Turno,'Calc_Mix'!$C$12,Esc_Circ,$B43)+COUNTIFS(Esc_Turno,'Calc_Mix'!$C$12,Esc_Instr,$B43)&gt;0),"",IF(SUMPRODUCT('Calc_Mix'!$D$12:$W$12,'Matriz_Habilidades'!$D43:$W43)=0,"",SUMPRODUCT('Calc_Mix'!$D$12:$W$12,'Matriz_Habilidades'!$D43:$W43)/'Calc_Mix'!$X$12+ROW()*0.000001))</f>
        <v/>
      </c>
      <c r="P43" s="34">
        <f>IF(OR($B43="",$C43&lt;&gt;"Ativo",$D43&lt;&gt;'Calc_Mix'!$C$13,'Calc_Mix'!$X$13=0,COUNTIFS(Esc_Turno,'Calc_Mix'!$C$13,Esc_Circ,$B43)+COUNTIFS(Esc_Turno,'Calc_Mix'!$C$13,Esc_Instr,$B43)&gt;0),"",IF(SUMPRODUCT('Calc_Mix'!$D$13:$W$13,'Matriz_Habilidades'!$D43:$W43)=0,"",SUMPRODUCT('Calc_Mix'!$D$13:$W$13,'Matriz_Habilidades'!$D43:$W43)/'Calc_Mix'!$X$13+ROW()*0.000001))</f>
        <v/>
      </c>
      <c r="Q43" s="34">
        <f>IF(OR($B43="",$C43&lt;&gt;"Ativo",$D43&lt;&gt;'Calc_Mix'!$C$14,'Calc_Mix'!$X$14=0,COUNTIFS(Esc_Turno,'Calc_Mix'!$C$14,Esc_Circ,$B43)+COUNTIFS(Esc_Turno,'Calc_Mix'!$C$14,Esc_Instr,$B43)&gt;0),"",IF(SUMPRODUCT('Calc_Mix'!$D$14:$W$14,'Matriz_Habilidades'!$D43:$W43)=0,"",SUMPRODUCT('Calc_Mix'!$D$14:$W$14,'Matriz_Habilidades'!$D43:$W43)/'Calc_Mix'!$X$14+ROW()*0.000001))</f>
        <v/>
      </c>
      <c r="R43" s="34">
        <f>IF(OR($B43="",$C43&lt;&gt;"Ativo",$D43&lt;&gt;'Calc_Mix'!$C$15,'Calc_Mix'!$X$15=0,COUNTIFS(Esc_Turno,'Calc_Mix'!$C$15,Esc_Circ,$B43)+COUNTIFS(Esc_Turno,'Calc_Mix'!$C$15,Esc_Instr,$B43)&gt;0),"",IF(SUMPRODUCT('Calc_Mix'!$D$15:$W$15,'Matriz_Habilidades'!$D43:$W43)=0,"",SUMPRODUCT('Calc_Mix'!$D$15:$W$15,'Matriz_Habilidades'!$D43:$W43)/'Calc_Mix'!$X$15+ROW()*0.000001))</f>
        <v/>
      </c>
      <c r="S43" s="34">
        <f>IF(OR($B43="",$C43&lt;&gt;"Ativo",$D43&lt;&gt;'Calc_Mix'!$C$16,'Calc_Mix'!$X$16=0,COUNTIFS(Esc_Turno,'Calc_Mix'!$C$16,Esc_Circ,$B43)+COUNTIFS(Esc_Turno,'Calc_Mix'!$C$16,Esc_Instr,$B43)&gt;0),"",IF(SUMPRODUCT('Calc_Mix'!$D$16:$W$16,'Matriz_Habilidades'!$D43:$W43)=0,"",SUMPRODUCT('Calc_Mix'!$D$16:$W$16,'Matriz_Habilidades'!$D43:$W43)/'Calc_Mix'!$X$16+ROW()*0.000001))</f>
        <v/>
      </c>
      <c r="T43" s="34">
        <f>IF(OR($B43="",$C43&lt;&gt;"Ativo",$D43&lt;&gt;'Calc_Mix'!$C$17,'Calc_Mix'!$X$17=0,COUNTIFS(Esc_Turno,'Calc_Mix'!$C$17,Esc_Circ,$B43)+COUNTIFS(Esc_Turno,'Calc_Mix'!$C$17,Esc_Instr,$B43)&gt;0),"",IF(SUMPRODUCT('Calc_Mix'!$D$17:$W$17,'Matriz_Habilidades'!$D43:$W43)=0,"",SUMPRODUCT('Calc_Mix'!$D$17:$W$17,'Matriz_Habilidades'!$D43:$W43)/'Calc_Mix'!$X$17+ROW()*0.000001))</f>
        <v/>
      </c>
      <c r="U43" s="34">
        <f>IF(OR($B43="",$C43&lt;&gt;"Ativo",$D43&lt;&gt;'Calc_Mix'!$C$18,'Calc_Mix'!$X$18=0,COUNTIFS(Esc_Turno,'Calc_Mix'!$C$18,Esc_Circ,$B43)+COUNTIFS(Esc_Turno,'Calc_Mix'!$C$18,Esc_Instr,$B43)&gt;0),"",IF(SUMPRODUCT('Calc_Mix'!$D$18:$W$18,'Matriz_Habilidades'!$D43:$W43)=0,"",SUMPRODUCT('Calc_Mix'!$D$18:$W$18,'Matriz_Habilidades'!$D43:$W43)/'Calc_Mix'!$X$18+ROW()*0.000001))</f>
        <v/>
      </c>
      <c r="V43" s="34">
        <f>IF(OR($B43="",$C43&lt;&gt;"Ativo",$D43&lt;&gt;'Calc_Mix'!$C$19,'Calc_Mix'!$X$19=0,COUNTIFS(Esc_Turno,'Calc_Mix'!$C$19,Esc_Circ,$B43)+COUNTIFS(Esc_Turno,'Calc_Mix'!$C$19,Esc_Instr,$B43)&gt;0),"",IF(SUMPRODUCT('Calc_Mix'!$D$19:$W$19,'Matriz_Habilidades'!$D43:$W43)=0,"",SUMPRODUCT('Calc_Mix'!$D$19:$W$19,'Matriz_Habilidades'!$D43:$W43)/'Calc_Mix'!$X$19+ROW()*0.000001))</f>
        <v/>
      </c>
      <c r="W43" s="34">
        <f>IF(OR($B43="",$C43&lt;&gt;"Ativo",$D43&lt;&gt;'Calc_Mix'!$C$20,'Calc_Mix'!$X$20=0,COUNTIFS(Esc_Turno,'Calc_Mix'!$C$20,Esc_Circ,$B43)+COUNTIFS(Esc_Turno,'Calc_Mix'!$C$20,Esc_Instr,$B43)&gt;0),"",IF(SUMPRODUCT('Calc_Mix'!$D$20:$W$20,'Matriz_Habilidades'!$D43:$W43)=0,"",SUMPRODUCT('Calc_Mix'!$D$20:$W$20,'Matriz_Habilidades'!$D43:$W43)/'Calc_Mix'!$X$20+ROW()*0.000001))</f>
        <v/>
      </c>
      <c r="X43" s="34">
        <f>IF(OR($B43="",$C43&lt;&gt;"Ativo",$D43&lt;&gt;'Calc_Mix'!$C$21,'Calc_Mix'!$X$21=0,COUNTIFS(Esc_Turno,'Calc_Mix'!$C$21,Esc_Circ,$B43)+COUNTIFS(Esc_Turno,'Calc_Mix'!$C$21,Esc_Instr,$B43)&gt;0),"",IF(SUMPRODUCT('Calc_Mix'!$D$21:$W$21,'Matriz_Habilidades'!$D43:$W43)=0,"",SUMPRODUCT('Calc_Mix'!$D$21:$W$21,'Matriz_Habilidades'!$D43:$W43)/'Calc_Mix'!$X$21+ROW()*0.000001))</f>
        <v/>
      </c>
      <c r="Y43" s="34">
        <f>IF(OR($B43="",$C43&lt;&gt;"Ativo",$D43&lt;&gt;'Calc_Mix'!$C$22,'Calc_Mix'!$X$22=0,COUNTIFS(Esc_Turno,'Calc_Mix'!$C$22,Esc_Circ,$B43)+COUNTIFS(Esc_Turno,'Calc_Mix'!$C$22,Esc_Instr,$B43)&gt;0),"",IF(SUMPRODUCT('Calc_Mix'!$D$22:$W$22,'Matriz_Habilidades'!$D43:$W43)=0,"",SUMPRODUCT('Calc_Mix'!$D$22:$W$22,'Matriz_Habilidades'!$D43:$W43)/'Calc_Mix'!$X$22+ROW()*0.000001))</f>
        <v/>
      </c>
      <c r="Z43" s="34">
        <f>IF(OR($B43="",$C43&lt;&gt;"Ativo",$D43&lt;&gt;'Calc_Mix'!$C$23,'Calc_Mix'!$X$23=0,COUNTIFS(Esc_Turno,'Calc_Mix'!$C$23,Esc_Circ,$B43)+COUNTIFS(Esc_Turno,'Calc_Mix'!$C$23,Esc_Instr,$B43)&gt;0),"",IF(SUMPRODUCT('Calc_Mix'!$D$23:$W$23,'Matriz_Habilidades'!$D43:$W43)=0,"",SUMPRODUCT('Calc_Mix'!$D$23:$W$23,'Matriz_Habilidades'!$D43:$W43)/'Calc_Mix'!$X$23+ROW()*0.000001))</f>
        <v/>
      </c>
      <c r="AA43" s="34">
        <f>IF(OR($B43="",$C43&lt;&gt;"Ativo",$D43&lt;&gt;'Calc_Mix'!$C$24,'Calc_Mix'!$X$24=0,COUNTIFS(Esc_Turno,'Calc_Mix'!$C$24,Esc_Circ,$B43)+COUNTIFS(Esc_Turno,'Calc_Mix'!$C$24,Esc_Instr,$B43)&gt;0),"",IF(SUMPRODUCT('Calc_Mix'!$D$24:$W$24,'Matriz_Habilidades'!$D43:$W43)=0,"",SUMPRODUCT('Calc_Mix'!$D$24:$W$24,'Matriz_Habilidades'!$D43:$W43)/'Calc_Mix'!$X$24+ROW()*0.000001))</f>
        <v/>
      </c>
      <c r="AB43" s="34">
        <f>IF(OR($B43="",$C43&lt;&gt;"Ativo",$D43&lt;&gt;'Calc_Mix'!$C$25,'Calc_Mix'!$X$25=0,COUNTIFS(Esc_Turno,'Calc_Mix'!$C$25,Esc_Circ,$B43)+COUNTIFS(Esc_Turno,'Calc_Mix'!$C$25,Esc_Instr,$B43)&gt;0),"",IF(SUMPRODUCT('Calc_Mix'!$D$25:$W$25,'Matriz_Habilidades'!$D43:$W43)=0,"",SUMPRODUCT('Calc_Mix'!$D$25:$W$25,'Matriz_Habilidades'!$D43:$W43)/'Calc_Mix'!$X$25+ROW()*0.000001))</f>
        <v/>
      </c>
      <c r="AC43" s="34">
        <f>IF(OR($B43="",$C43&lt;&gt;"Ativo",$D43&lt;&gt;'Calc_Mix'!$C$26,'Calc_Mix'!$X$26=0,COUNTIFS(Esc_Turno,'Calc_Mix'!$C$26,Esc_Circ,$B43)+COUNTIFS(Esc_Turno,'Calc_Mix'!$C$26,Esc_Instr,$B43)&gt;0),"",IF(SUMPRODUCT('Calc_Mix'!$D$26:$W$26,'Matriz_Habilidades'!$D43:$W43)=0,"",SUMPRODUCT('Calc_Mix'!$D$26:$W$26,'Matriz_Habilidades'!$D43:$W43)/'Calc_Mix'!$X$26+ROW()*0.000001))</f>
        <v/>
      </c>
      <c r="AD43" s="34">
        <f>IF(OR($B43="",$C43&lt;&gt;"Ativo",$D43&lt;&gt;'Calc_Mix'!$C$27,'Calc_Mix'!$X$27=0,COUNTIFS(Esc_Turno,'Calc_Mix'!$C$27,Esc_Circ,$B43)+COUNTIFS(Esc_Turno,'Calc_Mix'!$C$27,Esc_Instr,$B43)&gt;0),"",IF(SUMPRODUCT('Calc_Mix'!$D$27:$W$27,'Matriz_Habilidades'!$D43:$W43)=0,"",SUMPRODUCT('Calc_Mix'!$D$27:$W$27,'Matriz_Habilidades'!$D43:$W43)/'Calc_Mix'!$X$27+ROW()*0.000001))</f>
        <v/>
      </c>
      <c r="AE43" s="34">
        <f>IF(OR($B43="",$C43&lt;&gt;"Ativo",$D43&lt;&gt;'Calc_Mix'!$C$28,'Calc_Mix'!$X$28=0,COUNTIFS(Esc_Turno,'Calc_Mix'!$C$28,Esc_Circ,$B43)+COUNTIFS(Esc_Turno,'Calc_Mix'!$C$28,Esc_Instr,$B43)&gt;0),"",IF(SUMPRODUCT('Calc_Mix'!$D$28:$W$28,'Matriz_Habilidades'!$D43:$W43)=0,"",SUMPRODUCT('Calc_Mix'!$D$28:$W$28,'Matriz_Habilidades'!$D43:$W43)/'Calc_Mix'!$X$28+ROW()*0.000001))</f>
        <v/>
      </c>
      <c r="AF43" s="34">
        <f>IF(OR($B43="",$C43&lt;&gt;"Ativo",$D43&lt;&gt;'Calc_Mix'!$C$29,'Calc_Mix'!$X$29=0,COUNTIFS(Esc_Turno,'Calc_Mix'!$C$29,Esc_Circ,$B43)+COUNTIFS(Esc_Turno,'Calc_Mix'!$C$29,Esc_Instr,$B43)&gt;0),"",IF(SUMPRODUCT('Calc_Mix'!$D$29:$W$29,'Matriz_Habilidades'!$D43:$W43)=0,"",SUMPRODUCT('Calc_Mix'!$D$29:$W$29,'Matriz_Habilidades'!$D43:$W43)/'Calc_Mix'!$X$29+ROW()*0.000001))</f>
        <v/>
      </c>
      <c r="AG43" s="34">
        <f>IF(OR($B43="",$C43&lt;&gt;"Ativo",$D43&lt;&gt;'Calc_Mix'!$C$30,'Calc_Mix'!$X$30=0,COUNTIFS(Esc_Turno,'Calc_Mix'!$C$30,Esc_Circ,$B43)+COUNTIFS(Esc_Turno,'Calc_Mix'!$C$30,Esc_Instr,$B43)&gt;0),"",IF(SUMPRODUCT('Calc_Mix'!$D$30:$W$30,'Matriz_Habilidades'!$D43:$W43)=0,"",SUMPRODUCT('Calc_Mix'!$D$30:$W$30,'Matriz_Habilidades'!$D43:$W43)/'Calc_Mix'!$X$30+ROW()*0.000001))</f>
        <v/>
      </c>
      <c r="AH43" s="34">
        <f>IF(OR($B43="",$C43&lt;&gt;"Ativo",$D43&lt;&gt;'Calc_Mix'!$C$31,'Calc_Mix'!$X$31=0,COUNTIFS(Esc_Turno,'Calc_Mix'!$C$31,Esc_Circ,$B43)+COUNTIFS(Esc_Turno,'Calc_Mix'!$C$31,Esc_Instr,$B43)&gt;0),"",IF(SUMPRODUCT('Calc_Mix'!$D$31:$W$31,'Matriz_Habilidades'!$D43:$W43)=0,"",SUMPRODUCT('Calc_Mix'!$D$31:$W$31,'Matriz_Habilidades'!$D43:$W43)/'Calc_Mix'!$X$31+ROW()*0.000001))</f>
        <v/>
      </c>
      <c r="AI43" s="34">
        <f>IF(OR($B43="",$C43&lt;&gt;"Ativo",$D43&lt;&gt;'Calc_Mix'!$C$32,'Calc_Mix'!$X$32=0,COUNTIFS(Esc_Turno,'Calc_Mix'!$C$32,Esc_Circ,$B43)+COUNTIFS(Esc_Turno,'Calc_Mix'!$C$32,Esc_Instr,$B43)&gt;0),"",IF(SUMPRODUCT('Calc_Mix'!$D$32:$W$32,'Matriz_Habilidades'!$D43:$W43)=0,"",SUMPRODUCT('Calc_Mix'!$D$32:$W$32,'Matriz_Habilidades'!$D43:$W43)/'Calc_Mix'!$X$32+ROW()*0.000001))</f>
        <v/>
      </c>
      <c r="AJ43" s="34">
        <f>IF(OR($B43="",$C43&lt;&gt;"Ativo",$D43&lt;&gt;'Calc_Mix'!$C$33,'Calc_Mix'!$X$33=0,COUNTIFS(Esc_Turno,'Calc_Mix'!$C$33,Esc_Circ,$B43)+COUNTIFS(Esc_Turno,'Calc_Mix'!$C$33,Esc_Instr,$B43)&gt;0),"",IF(SUMPRODUCT('Calc_Mix'!$D$33:$W$33,'Matriz_Habilidades'!$D43:$W43)=0,"",SUMPRODUCT('Calc_Mix'!$D$33:$W$33,'Matriz_Habilidades'!$D43:$W43)/'Calc_Mix'!$X$33+ROW()*0.000001))</f>
        <v/>
      </c>
      <c r="AK43" s="34">
        <f>IF(OR($B43="",$C43&lt;&gt;"Ativo",$D43&lt;&gt;'Calc_Mix'!$C$34,'Calc_Mix'!$X$34=0,COUNTIFS(Esc_Turno,'Calc_Mix'!$C$34,Esc_Circ,$B43)+COUNTIFS(Esc_Turno,'Calc_Mix'!$C$34,Esc_Instr,$B43)&gt;0),"",IF(SUMPRODUCT('Calc_Mix'!$D$34:$W$34,'Matriz_Habilidades'!$D43:$W43)=0,"",SUMPRODUCT('Calc_Mix'!$D$34:$W$34,'Matriz_Habilidades'!$D43:$W43)/'Calc_Mix'!$X$34+ROW()*0.000001))</f>
        <v/>
      </c>
      <c r="AL43" s="34">
        <f>IF(OR($B43="",$C43&lt;&gt;"Ativo",$D43&lt;&gt;'Calc_Mix'!$C$35,'Calc_Mix'!$X$35=0,COUNTIFS(Esc_Turno,'Calc_Mix'!$C$35,Esc_Circ,$B43)+COUNTIFS(Esc_Turno,'Calc_Mix'!$C$35,Esc_Instr,$B43)&gt;0),"",IF(SUMPRODUCT('Calc_Mix'!$D$35:$W$35,'Matriz_Habilidades'!$D43:$W43)=0,"",SUMPRODUCT('Calc_Mix'!$D$35:$W$35,'Matriz_Habilidades'!$D43:$W43)/'Calc_Mix'!$X$35+ROW()*0.000001))</f>
        <v/>
      </c>
      <c r="AM43" s="34">
        <f>IF(OR($B43="",$C43&lt;&gt;"Ativo",$D43&lt;&gt;'Calc_Mix'!$C$36,'Calc_Mix'!$X$36=0,COUNTIFS(Esc_Turno,'Calc_Mix'!$C$36,Esc_Circ,$B43)+COUNTIFS(Esc_Turno,'Calc_Mix'!$C$36,Esc_Instr,$B43)&gt;0),"",IF(SUMPRODUCT('Calc_Mix'!$D$36:$W$36,'Matriz_Habilidades'!$D43:$W43)=0,"",SUMPRODUCT('Calc_Mix'!$D$36:$W$36,'Matriz_Habilidades'!$D43:$W43)/'Calc_Mix'!$X$36+ROW()*0.000001))</f>
        <v/>
      </c>
      <c r="AN43" s="34">
        <f>IF(OR($B43="",$C43&lt;&gt;"Ativo",$D43&lt;&gt;'Calc_Mix'!$C$37,'Calc_Mix'!$X$37=0,COUNTIFS(Esc_Turno,'Calc_Mix'!$C$37,Esc_Circ,$B43)+COUNTIFS(Esc_Turno,'Calc_Mix'!$C$37,Esc_Instr,$B43)&gt;0),"",IF(SUMPRODUCT('Calc_Mix'!$D$37:$W$37,'Matriz_Habilidades'!$D43:$W43)=0,"",SUMPRODUCT('Calc_Mix'!$D$37:$W$37,'Matriz_Habilidades'!$D43:$W43)/'Calc_Mix'!$X$37+ROW()*0.000001))</f>
        <v/>
      </c>
    </row>
    <row r="44">
      <c r="A44" s="27">
        <f>IF('Matriz_Habilidades'!A44="","",'Matriz_Habilidades'!A44)</f>
        <v/>
      </c>
      <c r="B44" s="28">
        <f>IF('Matriz_Habilidades'!B44="","",'Matriz_Habilidades'!B44)</f>
        <v/>
      </c>
      <c r="C44" s="27">
        <f>IF($A44="","",IFERROR(INDEX(Equipe_Status,MATCH($B44,Equipe_Nome,0)),"?"))</f>
        <v/>
      </c>
      <c r="D44" s="27">
        <f>IF($A44="","",IFERROR(INDEX(Equipe_Turno,MATCH($B44,Equipe_Nome,0)),"?"))</f>
        <v/>
      </c>
      <c r="E44" s="34">
        <f>IF(OR($B44="",$C44&lt;&gt;"Ativo",$D44&lt;&gt;'Calc_Mix'!$C$2,'Calc_Mix'!$X$2=0,COUNTIFS(Esc_Turno,'Calc_Mix'!$C$2,Esc_Circ,$B44)+COUNTIFS(Esc_Turno,'Calc_Mix'!$C$2,Esc_Instr,$B44)&gt;0),"",IF(SUMPRODUCT('Calc_Mix'!$D$2:$W$2,'Matriz_Habilidades'!$D44:$W44)=0,"",SUMPRODUCT('Calc_Mix'!$D$2:$W$2,'Matriz_Habilidades'!$D44:$W44)/'Calc_Mix'!$X$2+ROW()*0.000001))</f>
        <v/>
      </c>
      <c r="F44" s="34">
        <f>IF(OR($B44="",$C44&lt;&gt;"Ativo",$D44&lt;&gt;'Calc_Mix'!$C$3,'Calc_Mix'!$X$3=0,COUNTIFS(Esc_Turno,'Calc_Mix'!$C$3,Esc_Circ,$B44)+COUNTIFS(Esc_Turno,'Calc_Mix'!$C$3,Esc_Instr,$B44)&gt;0),"",IF(SUMPRODUCT('Calc_Mix'!$D$3:$W$3,'Matriz_Habilidades'!$D44:$W44)=0,"",SUMPRODUCT('Calc_Mix'!$D$3:$W$3,'Matriz_Habilidades'!$D44:$W44)/'Calc_Mix'!$X$3+ROW()*0.000001))</f>
        <v/>
      </c>
      <c r="G44" s="34">
        <f>IF(OR($B44="",$C44&lt;&gt;"Ativo",$D44&lt;&gt;'Calc_Mix'!$C$4,'Calc_Mix'!$X$4=0,COUNTIFS(Esc_Turno,'Calc_Mix'!$C$4,Esc_Circ,$B44)+COUNTIFS(Esc_Turno,'Calc_Mix'!$C$4,Esc_Instr,$B44)&gt;0),"",IF(SUMPRODUCT('Calc_Mix'!$D$4:$W$4,'Matriz_Habilidades'!$D44:$W44)=0,"",SUMPRODUCT('Calc_Mix'!$D$4:$W$4,'Matriz_Habilidades'!$D44:$W44)/'Calc_Mix'!$X$4+ROW()*0.000001))</f>
        <v/>
      </c>
      <c r="H44" s="34">
        <f>IF(OR($B44="",$C44&lt;&gt;"Ativo",$D44&lt;&gt;'Calc_Mix'!$C$5,'Calc_Mix'!$X$5=0,COUNTIFS(Esc_Turno,'Calc_Mix'!$C$5,Esc_Circ,$B44)+COUNTIFS(Esc_Turno,'Calc_Mix'!$C$5,Esc_Instr,$B44)&gt;0),"",IF(SUMPRODUCT('Calc_Mix'!$D$5:$W$5,'Matriz_Habilidades'!$D44:$W44)=0,"",SUMPRODUCT('Calc_Mix'!$D$5:$W$5,'Matriz_Habilidades'!$D44:$W44)/'Calc_Mix'!$X$5+ROW()*0.000001))</f>
        <v/>
      </c>
      <c r="I44" s="34">
        <f>IF(OR($B44="",$C44&lt;&gt;"Ativo",$D44&lt;&gt;'Calc_Mix'!$C$6,'Calc_Mix'!$X$6=0,COUNTIFS(Esc_Turno,'Calc_Mix'!$C$6,Esc_Circ,$B44)+COUNTIFS(Esc_Turno,'Calc_Mix'!$C$6,Esc_Instr,$B44)&gt;0),"",IF(SUMPRODUCT('Calc_Mix'!$D$6:$W$6,'Matriz_Habilidades'!$D44:$W44)=0,"",SUMPRODUCT('Calc_Mix'!$D$6:$W$6,'Matriz_Habilidades'!$D44:$W44)/'Calc_Mix'!$X$6+ROW()*0.000001))</f>
        <v/>
      </c>
      <c r="J44" s="34">
        <f>IF(OR($B44="",$C44&lt;&gt;"Ativo",$D44&lt;&gt;'Calc_Mix'!$C$7,'Calc_Mix'!$X$7=0,COUNTIFS(Esc_Turno,'Calc_Mix'!$C$7,Esc_Circ,$B44)+COUNTIFS(Esc_Turno,'Calc_Mix'!$C$7,Esc_Instr,$B44)&gt;0),"",IF(SUMPRODUCT('Calc_Mix'!$D$7:$W$7,'Matriz_Habilidades'!$D44:$W44)=0,"",SUMPRODUCT('Calc_Mix'!$D$7:$W$7,'Matriz_Habilidades'!$D44:$W44)/'Calc_Mix'!$X$7+ROW()*0.000001))</f>
        <v/>
      </c>
      <c r="K44" s="34">
        <f>IF(OR($B44="",$C44&lt;&gt;"Ativo",$D44&lt;&gt;'Calc_Mix'!$C$8,'Calc_Mix'!$X$8=0,COUNTIFS(Esc_Turno,'Calc_Mix'!$C$8,Esc_Circ,$B44)+COUNTIFS(Esc_Turno,'Calc_Mix'!$C$8,Esc_Instr,$B44)&gt;0),"",IF(SUMPRODUCT('Calc_Mix'!$D$8:$W$8,'Matriz_Habilidades'!$D44:$W44)=0,"",SUMPRODUCT('Calc_Mix'!$D$8:$W$8,'Matriz_Habilidades'!$D44:$W44)/'Calc_Mix'!$X$8+ROW()*0.000001))</f>
        <v/>
      </c>
      <c r="L44" s="34">
        <f>IF(OR($B44="",$C44&lt;&gt;"Ativo",$D44&lt;&gt;'Calc_Mix'!$C$9,'Calc_Mix'!$X$9=0,COUNTIFS(Esc_Turno,'Calc_Mix'!$C$9,Esc_Circ,$B44)+COUNTIFS(Esc_Turno,'Calc_Mix'!$C$9,Esc_Instr,$B44)&gt;0),"",IF(SUMPRODUCT('Calc_Mix'!$D$9:$W$9,'Matriz_Habilidades'!$D44:$W44)=0,"",SUMPRODUCT('Calc_Mix'!$D$9:$W$9,'Matriz_Habilidades'!$D44:$W44)/'Calc_Mix'!$X$9+ROW()*0.000001))</f>
        <v/>
      </c>
      <c r="M44" s="34">
        <f>IF(OR($B44="",$C44&lt;&gt;"Ativo",$D44&lt;&gt;'Calc_Mix'!$C$10,'Calc_Mix'!$X$10=0,COUNTIFS(Esc_Turno,'Calc_Mix'!$C$10,Esc_Circ,$B44)+COUNTIFS(Esc_Turno,'Calc_Mix'!$C$10,Esc_Instr,$B44)&gt;0),"",IF(SUMPRODUCT('Calc_Mix'!$D$10:$W$10,'Matriz_Habilidades'!$D44:$W44)=0,"",SUMPRODUCT('Calc_Mix'!$D$10:$W$10,'Matriz_Habilidades'!$D44:$W44)/'Calc_Mix'!$X$10+ROW()*0.000001))</f>
        <v/>
      </c>
      <c r="N44" s="34">
        <f>IF(OR($B44="",$C44&lt;&gt;"Ativo",$D44&lt;&gt;'Calc_Mix'!$C$11,'Calc_Mix'!$X$11=0,COUNTIFS(Esc_Turno,'Calc_Mix'!$C$11,Esc_Circ,$B44)+COUNTIFS(Esc_Turno,'Calc_Mix'!$C$11,Esc_Instr,$B44)&gt;0),"",IF(SUMPRODUCT('Calc_Mix'!$D$11:$W$11,'Matriz_Habilidades'!$D44:$W44)=0,"",SUMPRODUCT('Calc_Mix'!$D$11:$W$11,'Matriz_Habilidades'!$D44:$W44)/'Calc_Mix'!$X$11+ROW()*0.000001))</f>
        <v/>
      </c>
      <c r="O44" s="34">
        <f>IF(OR($B44="",$C44&lt;&gt;"Ativo",$D44&lt;&gt;'Calc_Mix'!$C$12,'Calc_Mix'!$X$12=0,COUNTIFS(Esc_Turno,'Calc_Mix'!$C$12,Esc_Circ,$B44)+COUNTIFS(Esc_Turno,'Calc_Mix'!$C$12,Esc_Instr,$B44)&gt;0),"",IF(SUMPRODUCT('Calc_Mix'!$D$12:$W$12,'Matriz_Habilidades'!$D44:$W44)=0,"",SUMPRODUCT('Calc_Mix'!$D$12:$W$12,'Matriz_Habilidades'!$D44:$W44)/'Calc_Mix'!$X$12+ROW()*0.000001))</f>
        <v/>
      </c>
      <c r="P44" s="34">
        <f>IF(OR($B44="",$C44&lt;&gt;"Ativo",$D44&lt;&gt;'Calc_Mix'!$C$13,'Calc_Mix'!$X$13=0,COUNTIFS(Esc_Turno,'Calc_Mix'!$C$13,Esc_Circ,$B44)+COUNTIFS(Esc_Turno,'Calc_Mix'!$C$13,Esc_Instr,$B44)&gt;0),"",IF(SUMPRODUCT('Calc_Mix'!$D$13:$W$13,'Matriz_Habilidades'!$D44:$W44)=0,"",SUMPRODUCT('Calc_Mix'!$D$13:$W$13,'Matriz_Habilidades'!$D44:$W44)/'Calc_Mix'!$X$13+ROW()*0.000001))</f>
        <v/>
      </c>
      <c r="Q44" s="34">
        <f>IF(OR($B44="",$C44&lt;&gt;"Ativo",$D44&lt;&gt;'Calc_Mix'!$C$14,'Calc_Mix'!$X$14=0,COUNTIFS(Esc_Turno,'Calc_Mix'!$C$14,Esc_Circ,$B44)+COUNTIFS(Esc_Turno,'Calc_Mix'!$C$14,Esc_Instr,$B44)&gt;0),"",IF(SUMPRODUCT('Calc_Mix'!$D$14:$W$14,'Matriz_Habilidades'!$D44:$W44)=0,"",SUMPRODUCT('Calc_Mix'!$D$14:$W$14,'Matriz_Habilidades'!$D44:$W44)/'Calc_Mix'!$X$14+ROW()*0.000001))</f>
        <v/>
      </c>
      <c r="R44" s="34">
        <f>IF(OR($B44="",$C44&lt;&gt;"Ativo",$D44&lt;&gt;'Calc_Mix'!$C$15,'Calc_Mix'!$X$15=0,COUNTIFS(Esc_Turno,'Calc_Mix'!$C$15,Esc_Circ,$B44)+COUNTIFS(Esc_Turno,'Calc_Mix'!$C$15,Esc_Instr,$B44)&gt;0),"",IF(SUMPRODUCT('Calc_Mix'!$D$15:$W$15,'Matriz_Habilidades'!$D44:$W44)=0,"",SUMPRODUCT('Calc_Mix'!$D$15:$W$15,'Matriz_Habilidades'!$D44:$W44)/'Calc_Mix'!$X$15+ROW()*0.000001))</f>
        <v/>
      </c>
      <c r="S44" s="34">
        <f>IF(OR($B44="",$C44&lt;&gt;"Ativo",$D44&lt;&gt;'Calc_Mix'!$C$16,'Calc_Mix'!$X$16=0,COUNTIFS(Esc_Turno,'Calc_Mix'!$C$16,Esc_Circ,$B44)+COUNTIFS(Esc_Turno,'Calc_Mix'!$C$16,Esc_Instr,$B44)&gt;0),"",IF(SUMPRODUCT('Calc_Mix'!$D$16:$W$16,'Matriz_Habilidades'!$D44:$W44)=0,"",SUMPRODUCT('Calc_Mix'!$D$16:$W$16,'Matriz_Habilidades'!$D44:$W44)/'Calc_Mix'!$X$16+ROW()*0.000001))</f>
        <v/>
      </c>
      <c r="T44" s="34">
        <f>IF(OR($B44="",$C44&lt;&gt;"Ativo",$D44&lt;&gt;'Calc_Mix'!$C$17,'Calc_Mix'!$X$17=0,COUNTIFS(Esc_Turno,'Calc_Mix'!$C$17,Esc_Circ,$B44)+COUNTIFS(Esc_Turno,'Calc_Mix'!$C$17,Esc_Instr,$B44)&gt;0),"",IF(SUMPRODUCT('Calc_Mix'!$D$17:$W$17,'Matriz_Habilidades'!$D44:$W44)=0,"",SUMPRODUCT('Calc_Mix'!$D$17:$W$17,'Matriz_Habilidades'!$D44:$W44)/'Calc_Mix'!$X$17+ROW()*0.000001))</f>
        <v/>
      </c>
      <c r="U44" s="34">
        <f>IF(OR($B44="",$C44&lt;&gt;"Ativo",$D44&lt;&gt;'Calc_Mix'!$C$18,'Calc_Mix'!$X$18=0,COUNTIFS(Esc_Turno,'Calc_Mix'!$C$18,Esc_Circ,$B44)+COUNTIFS(Esc_Turno,'Calc_Mix'!$C$18,Esc_Instr,$B44)&gt;0),"",IF(SUMPRODUCT('Calc_Mix'!$D$18:$W$18,'Matriz_Habilidades'!$D44:$W44)=0,"",SUMPRODUCT('Calc_Mix'!$D$18:$W$18,'Matriz_Habilidades'!$D44:$W44)/'Calc_Mix'!$X$18+ROW()*0.000001))</f>
        <v/>
      </c>
      <c r="V44" s="34">
        <f>IF(OR($B44="",$C44&lt;&gt;"Ativo",$D44&lt;&gt;'Calc_Mix'!$C$19,'Calc_Mix'!$X$19=0,COUNTIFS(Esc_Turno,'Calc_Mix'!$C$19,Esc_Circ,$B44)+COUNTIFS(Esc_Turno,'Calc_Mix'!$C$19,Esc_Instr,$B44)&gt;0),"",IF(SUMPRODUCT('Calc_Mix'!$D$19:$W$19,'Matriz_Habilidades'!$D44:$W44)=0,"",SUMPRODUCT('Calc_Mix'!$D$19:$W$19,'Matriz_Habilidades'!$D44:$W44)/'Calc_Mix'!$X$19+ROW()*0.000001))</f>
        <v/>
      </c>
      <c r="W44" s="34">
        <f>IF(OR($B44="",$C44&lt;&gt;"Ativo",$D44&lt;&gt;'Calc_Mix'!$C$20,'Calc_Mix'!$X$20=0,COUNTIFS(Esc_Turno,'Calc_Mix'!$C$20,Esc_Circ,$B44)+COUNTIFS(Esc_Turno,'Calc_Mix'!$C$20,Esc_Instr,$B44)&gt;0),"",IF(SUMPRODUCT('Calc_Mix'!$D$20:$W$20,'Matriz_Habilidades'!$D44:$W44)=0,"",SUMPRODUCT('Calc_Mix'!$D$20:$W$20,'Matriz_Habilidades'!$D44:$W44)/'Calc_Mix'!$X$20+ROW()*0.000001))</f>
        <v/>
      </c>
      <c r="X44" s="34">
        <f>IF(OR($B44="",$C44&lt;&gt;"Ativo",$D44&lt;&gt;'Calc_Mix'!$C$21,'Calc_Mix'!$X$21=0,COUNTIFS(Esc_Turno,'Calc_Mix'!$C$21,Esc_Circ,$B44)+COUNTIFS(Esc_Turno,'Calc_Mix'!$C$21,Esc_Instr,$B44)&gt;0),"",IF(SUMPRODUCT('Calc_Mix'!$D$21:$W$21,'Matriz_Habilidades'!$D44:$W44)=0,"",SUMPRODUCT('Calc_Mix'!$D$21:$W$21,'Matriz_Habilidades'!$D44:$W44)/'Calc_Mix'!$X$21+ROW()*0.000001))</f>
        <v/>
      </c>
      <c r="Y44" s="34">
        <f>IF(OR($B44="",$C44&lt;&gt;"Ativo",$D44&lt;&gt;'Calc_Mix'!$C$22,'Calc_Mix'!$X$22=0,COUNTIFS(Esc_Turno,'Calc_Mix'!$C$22,Esc_Circ,$B44)+COUNTIFS(Esc_Turno,'Calc_Mix'!$C$22,Esc_Instr,$B44)&gt;0),"",IF(SUMPRODUCT('Calc_Mix'!$D$22:$W$22,'Matriz_Habilidades'!$D44:$W44)=0,"",SUMPRODUCT('Calc_Mix'!$D$22:$W$22,'Matriz_Habilidades'!$D44:$W44)/'Calc_Mix'!$X$22+ROW()*0.000001))</f>
        <v/>
      </c>
      <c r="Z44" s="34">
        <f>IF(OR($B44="",$C44&lt;&gt;"Ativo",$D44&lt;&gt;'Calc_Mix'!$C$23,'Calc_Mix'!$X$23=0,COUNTIFS(Esc_Turno,'Calc_Mix'!$C$23,Esc_Circ,$B44)+COUNTIFS(Esc_Turno,'Calc_Mix'!$C$23,Esc_Instr,$B44)&gt;0),"",IF(SUMPRODUCT('Calc_Mix'!$D$23:$W$23,'Matriz_Habilidades'!$D44:$W44)=0,"",SUMPRODUCT('Calc_Mix'!$D$23:$W$23,'Matriz_Habilidades'!$D44:$W44)/'Calc_Mix'!$X$23+ROW()*0.000001))</f>
        <v/>
      </c>
      <c r="AA44" s="34">
        <f>IF(OR($B44="",$C44&lt;&gt;"Ativo",$D44&lt;&gt;'Calc_Mix'!$C$24,'Calc_Mix'!$X$24=0,COUNTIFS(Esc_Turno,'Calc_Mix'!$C$24,Esc_Circ,$B44)+COUNTIFS(Esc_Turno,'Calc_Mix'!$C$24,Esc_Instr,$B44)&gt;0),"",IF(SUMPRODUCT('Calc_Mix'!$D$24:$W$24,'Matriz_Habilidades'!$D44:$W44)=0,"",SUMPRODUCT('Calc_Mix'!$D$24:$W$24,'Matriz_Habilidades'!$D44:$W44)/'Calc_Mix'!$X$24+ROW()*0.000001))</f>
        <v/>
      </c>
      <c r="AB44" s="34">
        <f>IF(OR($B44="",$C44&lt;&gt;"Ativo",$D44&lt;&gt;'Calc_Mix'!$C$25,'Calc_Mix'!$X$25=0,COUNTIFS(Esc_Turno,'Calc_Mix'!$C$25,Esc_Circ,$B44)+COUNTIFS(Esc_Turno,'Calc_Mix'!$C$25,Esc_Instr,$B44)&gt;0),"",IF(SUMPRODUCT('Calc_Mix'!$D$25:$W$25,'Matriz_Habilidades'!$D44:$W44)=0,"",SUMPRODUCT('Calc_Mix'!$D$25:$W$25,'Matriz_Habilidades'!$D44:$W44)/'Calc_Mix'!$X$25+ROW()*0.000001))</f>
        <v/>
      </c>
      <c r="AC44" s="34">
        <f>IF(OR($B44="",$C44&lt;&gt;"Ativo",$D44&lt;&gt;'Calc_Mix'!$C$26,'Calc_Mix'!$X$26=0,COUNTIFS(Esc_Turno,'Calc_Mix'!$C$26,Esc_Circ,$B44)+COUNTIFS(Esc_Turno,'Calc_Mix'!$C$26,Esc_Instr,$B44)&gt;0),"",IF(SUMPRODUCT('Calc_Mix'!$D$26:$W$26,'Matriz_Habilidades'!$D44:$W44)=0,"",SUMPRODUCT('Calc_Mix'!$D$26:$W$26,'Matriz_Habilidades'!$D44:$W44)/'Calc_Mix'!$X$26+ROW()*0.000001))</f>
        <v/>
      </c>
      <c r="AD44" s="34">
        <f>IF(OR($B44="",$C44&lt;&gt;"Ativo",$D44&lt;&gt;'Calc_Mix'!$C$27,'Calc_Mix'!$X$27=0,COUNTIFS(Esc_Turno,'Calc_Mix'!$C$27,Esc_Circ,$B44)+COUNTIFS(Esc_Turno,'Calc_Mix'!$C$27,Esc_Instr,$B44)&gt;0),"",IF(SUMPRODUCT('Calc_Mix'!$D$27:$W$27,'Matriz_Habilidades'!$D44:$W44)=0,"",SUMPRODUCT('Calc_Mix'!$D$27:$W$27,'Matriz_Habilidades'!$D44:$W44)/'Calc_Mix'!$X$27+ROW()*0.000001))</f>
        <v/>
      </c>
      <c r="AE44" s="34">
        <f>IF(OR($B44="",$C44&lt;&gt;"Ativo",$D44&lt;&gt;'Calc_Mix'!$C$28,'Calc_Mix'!$X$28=0,COUNTIFS(Esc_Turno,'Calc_Mix'!$C$28,Esc_Circ,$B44)+COUNTIFS(Esc_Turno,'Calc_Mix'!$C$28,Esc_Instr,$B44)&gt;0),"",IF(SUMPRODUCT('Calc_Mix'!$D$28:$W$28,'Matriz_Habilidades'!$D44:$W44)=0,"",SUMPRODUCT('Calc_Mix'!$D$28:$W$28,'Matriz_Habilidades'!$D44:$W44)/'Calc_Mix'!$X$28+ROW()*0.000001))</f>
        <v/>
      </c>
      <c r="AF44" s="34">
        <f>IF(OR($B44="",$C44&lt;&gt;"Ativo",$D44&lt;&gt;'Calc_Mix'!$C$29,'Calc_Mix'!$X$29=0,COUNTIFS(Esc_Turno,'Calc_Mix'!$C$29,Esc_Circ,$B44)+COUNTIFS(Esc_Turno,'Calc_Mix'!$C$29,Esc_Instr,$B44)&gt;0),"",IF(SUMPRODUCT('Calc_Mix'!$D$29:$W$29,'Matriz_Habilidades'!$D44:$W44)=0,"",SUMPRODUCT('Calc_Mix'!$D$29:$W$29,'Matriz_Habilidades'!$D44:$W44)/'Calc_Mix'!$X$29+ROW()*0.000001))</f>
        <v/>
      </c>
      <c r="AG44" s="34">
        <f>IF(OR($B44="",$C44&lt;&gt;"Ativo",$D44&lt;&gt;'Calc_Mix'!$C$30,'Calc_Mix'!$X$30=0,COUNTIFS(Esc_Turno,'Calc_Mix'!$C$30,Esc_Circ,$B44)+COUNTIFS(Esc_Turno,'Calc_Mix'!$C$30,Esc_Instr,$B44)&gt;0),"",IF(SUMPRODUCT('Calc_Mix'!$D$30:$W$30,'Matriz_Habilidades'!$D44:$W44)=0,"",SUMPRODUCT('Calc_Mix'!$D$30:$W$30,'Matriz_Habilidades'!$D44:$W44)/'Calc_Mix'!$X$30+ROW()*0.000001))</f>
        <v/>
      </c>
      <c r="AH44" s="34">
        <f>IF(OR($B44="",$C44&lt;&gt;"Ativo",$D44&lt;&gt;'Calc_Mix'!$C$31,'Calc_Mix'!$X$31=0,COUNTIFS(Esc_Turno,'Calc_Mix'!$C$31,Esc_Circ,$B44)+COUNTIFS(Esc_Turno,'Calc_Mix'!$C$31,Esc_Instr,$B44)&gt;0),"",IF(SUMPRODUCT('Calc_Mix'!$D$31:$W$31,'Matriz_Habilidades'!$D44:$W44)=0,"",SUMPRODUCT('Calc_Mix'!$D$31:$W$31,'Matriz_Habilidades'!$D44:$W44)/'Calc_Mix'!$X$31+ROW()*0.000001))</f>
        <v/>
      </c>
      <c r="AI44" s="34">
        <f>IF(OR($B44="",$C44&lt;&gt;"Ativo",$D44&lt;&gt;'Calc_Mix'!$C$32,'Calc_Mix'!$X$32=0,COUNTIFS(Esc_Turno,'Calc_Mix'!$C$32,Esc_Circ,$B44)+COUNTIFS(Esc_Turno,'Calc_Mix'!$C$32,Esc_Instr,$B44)&gt;0),"",IF(SUMPRODUCT('Calc_Mix'!$D$32:$W$32,'Matriz_Habilidades'!$D44:$W44)=0,"",SUMPRODUCT('Calc_Mix'!$D$32:$W$32,'Matriz_Habilidades'!$D44:$W44)/'Calc_Mix'!$X$32+ROW()*0.000001))</f>
        <v/>
      </c>
      <c r="AJ44" s="34">
        <f>IF(OR($B44="",$C44&lt;&gt;"Ativo",$D44&lt;&gt;'Calc_Mix'!$C$33,'Calc_Mix'!$X$33=0,COUNTIFS(Esc_Turno,'Calc_Mix'!$C$33,Esc_Circ,$B44)+COUNTIFS(Esc_Turno,'Calc_Mix'!$C$33,Esc_Instr,$B44)&gt;0),"",IF(SUMPRODUCT('Calc_Mix'!$D$33:$W$33,'Matriz_Habilidades'!$D44:$W44)=0,"",SUMPRODUCT('Calc_Mix'!$D$33:$W$33,'Matriz_Habilidades'!$D44:$W44)/'Calc_Mix'!$X$33+ROW()*0.000001))</f>
        <v/>
      </c>
      <c r="AK44" s="34">
        <f>IF(OR($B44="",$C44&lt;&gt;"Ativo",$D44&lt;&gt;'Calc_Mix'!$C$34,'Calc_Mix'!$X$34=0,COUNTIFS(Esc_Turno,'Calc_Mix'!$C$34,Esc_Circ,$B44)+COUNTIFS(Esc_Turno,'Calc_Mix'!$C$34,Esc_Instr,$B44)&gt;0),"",IF(SUMPRODUCT('Calc_Mix'!$D$34:$W$34,'Matriz_Habilidades'!$D44:$W44)=0,"",SUMPRODUCT('Calc_Mix'!$D$34:$W$34,'Matriz_Habilidades'!$D44:$W44)/'Calc_Mix'!$X$34+ROW()*0.000001))</f>
        <v/>
      </c>
      <c r="AL44" s="34">
        <f>IF(OR($B44="",$C44&lt;&gt;"Ativo",$D44&lt;&gt;'Calc_Mix'!$C$35,'Calc_Mix'!$X$35=0,COUNTIFS(Esc_Turno,'Calc_Mix'!$C$35,Esc_Circ,$B44)+COUNTIFS(Esc_Turno,'Calc_Mix'!$C$35,Esc_Instr,$B44)&gt;0),"",IF(SUMPRODUCT('Calc_Mix'!$D$35:$W$35,'Matriz_Habilidades'!$D44:$W44)=0,"",SUMPRODUCT('Calc_Mix'!$D$35:$W$35,'Matriz_Habilidades'!$D44:$W44)/'Calc_Mix'!$X$35+ROW()*0.000001))</f>
        <v/>
      </c>
      <c r="AM44" s="34">
        <f>IF(OR($B44="",$C44&lt;&gt;"Ativo",$D44&lt;&gt;'Calc_Mix'!$C$36,'Calc_Mix'!$X$36=0,COUNTIFS(Esc_Turno,'Calc_Mix'!$C$36,Esc_Circ,$B44)+COUNTIFS(Esc_Turno,'Calc_Mix'!$C$36,Esc_Instr,$B44)&gt;0),"",IF(SUMPRODUCT('Calc_Mix'!$D$36:$W$36,'Matriz_Habilidades'!$D44:$W44)=0,"",SUMPRODUCT('Calc_Mix'!$D$36:$W$36,'Matriz_Habilidades'!$D44:$W44)/'Calc_Mix'!$X$36+ROW()*0.000001))</f>
        <v/>
      </c>
      <c r="AN44" s="34">
        <f>IF(OR($B44="",$C44&lt;&gt;"Ativo",$D44&lt;&gt;'Calc_Mix'!$C$37,'Calc_Mix'!$X$37=0,COUNTIFS(Esc_Turno,'Calc_Mix'!$C$37,Esc_Circ,$B44)+COUNTIFS(Esc_Turno,'Calc_Mix'!$C$37,Esc_Instr,$B44)&gt;0),"",IF(SUMPRODUCT('Calc_Mix'!$D$37:$W$37,'Matriz_Habilidades'!$D44:$W44)=0,"",SUMPRODUCT('Calc_Mix'!$D$37:$W$37,'Matriz_Habilidades'!$D44:$W44)/'Calc_Mix'!$X$37+ROW()*0.000001))</f>
        <v/>
      </c>
    </row>
    <row r="45">
      <c r="A45" s="27">
        <f>IF('Matriz_Habilidades'!A45="","",'Matriz_Habilidades'!A45)</f>
        <v/>
      </c>
      <c r="B45" s="28">
        <f>IF('Matriz_Habilidades'!B45="","",'Matriz_Habilidades'!B45)</f>
        <v/>
      </c>
      <c r="C45" s="27">
        <f>IF($A45="","",IFERROR(INDEX(Equipe_Status,MATCH($B45,Equipe_Nome,0)),"?"))</f>
        <v/>
      </c>
      <c r="D45" s="27">
        <f>IF($A45="","",IFERROR(INDEX(Equipe_Turno,MATCH($B45,Equipe_Nome,0)),"?"))</f>
        <v/>
      </c>
      <c r="E45" s="34">
        <f>IF(OR($B45="",$C45&lt;&gt;"Ativo",$D45&lt;&gt;'Calc_Mix'!$C$2,'Calc_Mix'!$X$2=0,COUNTIFS(Esc_Turno,'Calc_Mix'!$C$2,Esc_Circ,$B45)+COUNTIFS(Esc_Turno,'Calc_Mix'!$C$2,Esc_Instr,$B45)&gt;0),"",IF(SUMPRODUCT('Calc_Mix'!$D$2:$W$2,'Matriz_Habilidades'!$D45:$W45)=0,"",SUMPRODUCT('Calc_Mix'!$D$2:$W$2,'Matriz_Habilidades'!$D45:$W45)/'Calc_Mix'!$X$2+ROW()*0.000001))</f>
        <v/>
      </c>
      <c r="F45" s="34">
        <f>IF(OR($B45="",$C45&lt;&gt;"Ativo",$D45&lt;&gt;'Calc_Mix'!$C$3,'Calc_Mix'!$X$3=0,COUNTIFS(Esc_Turno,'Calc_Mix'!$C$3,Esc_Circ,$B45)+COUNTIFS(Esc_Turno,'Calc_Mix'!$C$3,Esc_Instr,$B45)&gt;0),"",IF(SUMPRODUCT('Calc_Mix'!$D$3:$W$3,'Matriz_Habilidades'!$D45:$W45)=0,"",SUMPRODUCT('Calc_Mix'!$D$3:$W$3,'Matriz_Habilidades'!$D45:$W45)/'Calc_Mix'!$X$3+ROW()*0.000001))</f>
        <v/>
      </c>
      <c r="G45" s="34">
        <f>IF(OR($B45="",$C45&lt;&gt;"Ativo",$D45&lt;&gt;'Calc_Mix'!$C$4,'Calc_Mix'!$X$4=0,COUNTIFS(Esc_Turno,'Calc_Mix'!$C$4,Esc_Circ,$B45)+COUNTIFS(Esc_Turno,'Calc_Mix'!$C$4,Esc_Instr,$B45)&gt;0),"",IF(SUMPRODUCT('Calc_Mix'!$D$4:$W$4,'Matriz_Habilidades'!$D45:$W45)=0,"",SUMPRODUCT('Calc_Mix'!$D$4:$W$4,'Matriz_Habilidades'!$D45:$W45)/'Calc_Mix'!$X$4+ROW()*0.000001))</f>
        <v/>
      </c>
      <c r="H45" s="34">
        <f>IF(OR($B45="",$C45&lt;&gt;"Ativo",$D45&lt;&gt;'Calc_Mix'!$C$5,'Calc_Mix'!$X$5=0,COUNTIFS(Esc_Turno,'Calc_Mix'!$C$5,Esc_Circ,$B45)+COUNTIFS(Esc_Turno,'Calc_Mix'!$C$5,Esc_Instr,$B45)&gt;0),"",IF(SUMPRODUCT('Calc_Mix'!$D$5:$W$5,'Matriz_Habilidades'!$D45:$W45)=0,"",SUMPRODUCT('Calc_Mix'!$D$5:$W$5,'Matriz_Habilidades'!$D45:$W45)/'Calc_Mix'!$X$5+ROW()*0.000001))</f>
        <v/>
      </c>
      <c r="I45" s="34">
        <f>IF(OR($B45="",$C45&lt;&gt;"Ativo",$D45&lt;&gt;'Calc_Mix'!$C$6,'Calc_Mix'!$X$6=0,COUNTIFS(Esc_Turno,'Calc_Mix'!$C$6,Esc_Circ,$B45)+COUNTIFS(Esc_Turno,'Calc_Mix'!$C$6,Esc_Instr,$B45)&gt;0),"",IF(SUMPRODUCT('Calc_Mix'!$D$6:$W$6,'Matriz_Habilidades'!$D45:$W45)=0,"",SUMPRODUCT('Calc_Mix'!$D$6:$W$6,'Matriz_Habilidades'!$D45:$W45)/'Calc_Mix'!$X$6+ROW()*0.000001))</f>
        <v/>
      </c>
      <c r="J45" s="34">
        <f>IF(OR($B45="",$C45&lt;&gt;"Ativo",$D45&lt;&gt;'Calc_Mix'!$C$7,'Calc_Mix'!$X$7=0,COUNTIFS(Esc_Turno,'Calc_Mix'!$C$7,Esc_Circ,$B45)+COUNTIFS(Esc_Turno,'Calc_Mix'!$C$7,Esc_Instr,$B45)&gt;0),"",IF(SUMPRODUCT('Calc_Mix'!$D$7:$W$7,'Matriz_Habilidades'!$D45:$W45)=0,"",SUMPRODUCT('Calc_Mix'!$D$7:$W$7,'Matriz_Habilidades'!$D45:$W45)/'Calc_Mix'!$X$7+ROW()*0.000001))</f>
        <v/>
      </c>
      <c r="K45" s="34">
        <f>IF(OR($B45="",$C45&lt;&gt;"Ativo",$D45&lt;&gt;'Calc_Mix'!$C$8,'Calc_Mix'!$X$8=0,COUNTIFS(Esc_Turno,'Calc_Mix'!$C$8,Esc_Circ,$B45)+COUNTIFS(Esc_Turno,'Calc_Mix'!$C$8,Esc_Instr,$B45)&gt;0),"",IF(SUMPRODUCT('Calc_Mix'!$D$8:$W$8,'Matriz_Habilidades'!$D45:$W45)=0,"",SUMPRODUCT('Calc_Mix'!$D$8:$W$8,'Matriz_Habilidades'!$D45:$W45)/'Calc_Mix'!$X$8+ROW()*0.000001))</f>
        <v/>
      </c>
      <c r="L45" s="34">
        <f>IF(OR($B45="",$C45&lt;&gt;"Ativo",$D45&lt;&gt;'Calc_Mix'!$C$9,'Calc_Mix'!$X$9=0,COUNTIFS(Esc_Turno,'Calc_Mix'!$C$9,Esc_Circ,$B45)+COUNTIFS(Esc_Turno,'Calc_Mix'!$C$9,Esc_Instr,$B45)&gt;0),"",IF(SUMPRODUCT('Calc_Mix'!$D$9:$W$9,'Matriz_Habilidades'!$D45:$W45)=0,"",SUMPRODUCT('Calc_Mix'!$D$9:$W$9,'Matriz_Habilidades'!$D45:$W45)/'Calc_Mix'!$X$9+ROW()*0.000001))</f>
        <v/>
      </c>
      <c r="M45" s="34">
        <f>IF(OR($B45="",$C45&lt;&gt;"Ativo",$D45&lt;&gt;'Calc_Mix'!$C$10,'Calc_Mix'!$X$10=0,COUNTIFS(Esc_Turno,'Calc_Mix'!$C$10,Esc_Circ,$B45)+COUNTIFS(Esc_Turno,'Calc_Mix'!$C$10,Esc_Instr,$B45)&gt;0),"",IF(SUMPRODUCT('Calc_Mix'!$D$10:$W$10,'Matriz_Habilidades'!$D45:$W45)=0,"",SUMPRODUCT('Calc_Mix'!$D$10:$W$10,'Matriz_Habilidades'!$D45:$W45)/'Calc_Mix'!$X$10+ROW()*0.000001))</f>
        <v/>
      </c>
      <c r="N45" s="34">
        <f>IF(OR($B45="",$C45&lt;&gt;"Ativo",$D45&lt;&gt;'Calc_Mix'!$C$11,'Calc_Mix'!$X$11=0,COUNTIFS(Esc_Turno,'Calc_Mix'!$C$11,Esc_Circ,$B45)+COUNTIFS(Esc_Turno,'Calc_Mix'!$C$11,Esc_Instr,$B45)&gt;0),"",IF(SUMPRODUCT('Calc_Mix'!$D$11:$W$11,'Matriz_Habilidades'!$D45:$W45)=0,"",SUMPRODUCT('Calc_Mix'!$D$11:$W$11,'Matriz_Habilidades'!$D45:$W45)/'Calc_Mix'!$X$11+ROW()*0.000001))</f>
        <v/>
      </c>
      <c r="O45" s="34">
        <f>IF(OR($B45="",$C45&lt;&gt;"Ativo",$D45&lt;&gt;'Calc_Mix'!$C$12,'Calc_Mix'!$X$12=0,COUNTIFS(Esc_Turno,'Calc_Mix'!$C$12,Esc_Circ,$B45)+COUNTIFS(Esc_Turno,'Calc_Mix'!$C$12,Esc_Instr,$B45)&gt;0),"",IF(SUMPRODUCT('Calc_Mix'!$D$12:$W$12,'Matriz_Habilidades'!$D45:$W45)=0,"",SUMPRODUCT('Calc_Mix'!$D$12:$W$12,'Matriz_Habilidades'!$D45:$W45)/'Calc_Mix'!$X$12+ROW()*0.000001))</f>
        <v/>
      </c>
      <c r="P45" s="34">
        <f>IF(OR($B45="",$C45&lt;&gt;"Ativo",$D45&lt;&gt;'Calc_Mix'!$C$13,'Calc_Mix'!$X$13=0,COUNTIFS(Esc_Turno,'Calc_Mix'!$C$13,Esc_Circ,$B45)+COUNTIFS(Esc_Turno,'Calc_Mix'!$C$13,Esc_Instr,$B45)&gt;0),"",IF(SUMPRODUCT('Calc_Mix'!$D$13:$W$13,'Matriz_Habilidades'!$D45:$W45)=0,"",SUMPRODUCT('Calc_Mix'!$D$13:$W$13,'Matriz_Habilidades'!$D45:$W45)/'Calc_Mix'!$X$13+ROW()*0.000001))</f>
        <v/>
      </c>
      <c r="Q45" s="34">
        <f>IF(OR($B45="",$C45&lt;&gt;"Ativo",$D45&lt;&gt;'Calc_Mix'!$C$14,'Calc_Mix'!$X$14=0,COUNTIFS(Esc_Turno,'Calc_Mix'!$C$14,Esc_Circ,$B45)+COUNTIFS(Esc_Turno,'Calc_Mix'!$C$14,Esc_Instr,$B45)&gt;0),"",IF(SUMPRODUCT('Calc_Mix'!$D$14:$W$14,'Matriz_Habilidades'!$D45:$W45)=0,"",SUMPRODUCT('Calc_Mix'!$D$14:$W$14,'Matriz_Habilidades'!$D45:$W45)/'Calc_Mix'!$X$14+ROW()*0.000001))</f>
        <v/>
      </c>
      <c r="R45" s="34">
        <f>IF(OR($B45="",$C45&lt;&gt;"Ativo",$D45&lt;&gt;'Calc_Mix'!$C$15,'Calc_Mix'!$X$15=0,COUNTIFS(Esc_Turno,'Calc_Mix'!$C$15,Esc_Circ,$B45)+COUNTIFS(Esc_Turno,'Calc_Mix'!$C$15,Esc_Instr,$B45)&gt;0),"",IF(SUMPRODUCT('Calc_Mix'!$D$15:$W$15,'Matriz_Habilidades'!$D45:$W45)=0,"",SUMPRODUCT('Calc_Mix'!$D$15:$W$15,'Matriz_Habilidades'!$D45:$W45)/'Calc_Mix'!$X$15+ROW()*0.000001))</f>
        <v/>
      </c>
      <c r="S45" s="34">
        <f>IF(OR($B45="",$C45&lt;&gt;"Ativo",$D45&lt;&gt;'Calc_Mix'!$C$16,'Calc_Mix'!$X$16=0,COUNTIFS(Esc_Turno,'Calc_Mix'!$C$16,Esc_Circ,$B45)+COUNTIFS(Esc_Turno,'Calc_Mix'!$C$16,Esc_Instr,$B45)&gt;0),"",IF(SUMPRODUCT('Calc_Mix'!$D$16:$W$16,'Matriz_Habilidades'!$D45:$W45)=0,"",SUMPRODUCT('Calc_Mix'!$D$16:$W$16,'Matriz_Habilidades'!$D45:$W45)/'Calc_Mix'!$X$16+ROW()*0.000001))</f>
        <v/>
      </c>
      <c r="T45" s="34">
        <f>IF(OR($B45="",$C45&lt;&gt;"Ativo",$D45&lt;&gt;'Calc_Mix'!$C$17,'Calc_Mix'!$X$17=0,COUNTIFS(Esc_Turno,'Calc_Mix'!$C$17,Esc_Circ,$B45)+COUNTIFS(Esc_Turno,'Calc_Mix'!$C$17,Esc_Instr,$B45)&gt;0),"",IF(SUMPRODUCT('Calc_Mix'!$D$17:$W$17,'Matriz_Habilidades'!$D45:$W45)=0,"",SUMPRODUCT('Calc_Mix'!$D$17:$W$17,'Matriz_Habilidades'!$D45:$W45)/'Calc_Mix'!$X$17+ROW()*0.000001))</f>
        <v/>
      </c>
      <c r="U45" s="34">
        <f>IF(OR($B45="",$C45&lt;&gt;"Ativo",$D45&lt;&gt;'Calc_Mix'!$C$18,'Calc_Mix'!$X$18=0,COUNTIFS(Esc_Turno,'Calc_Mix'!$C$18,Esc_Circ,$B45)+COUNTIFS(Esc_Turno,'Calc_Mix'!$C$18,Esc_Instr,$B45)&gt;0),"",IF(SUMPRODUCT('Calc_Mix'!$D$18:$W$18,'Matriz_Habilidades'!$D45:$W45)=0,"",SUMPRODUCT('Calc_Mix'!$D$18:$W$18,'Matriz_Habilidades'!$D45:$W45)/'Calc_Mix'!$X$18+ROW()*0.000001))</f>
        <v/>
      </c>
      <c r="V45" s="34">
        <f>IF(OR($B45="",$C45&lt;&gt;"Ativo",$D45&lt;&gt;'Calc_Mix'!$C$19,'Calc_Mix'!$X$19=0,COUNTIFS(Esc_Turno,'Calc_Mix'!$C$19,Esc_Circ,$B45)+COUNTIFS(Esc_Turno,'Calc_Mix'!$C$19,Esc_Instr,$B45)&gt;0),"",IF(SUMPRODUCT('Calc_Mix'!$D$19:$W$19,'Matriz_Habilidades'!$D45:$W45)=0,"",SUMPRODUCT('Calc_Mix'!$D$19:$W$19,'Matriz_Habilidades'!$D45:$W45)/'Calc_Mix'!$X$19+ROW()*0.000001))</f>
        <v/>
      </c>
      <c r="W45" s="34">
        <f>IF(OR($B45="",$C45&lt;&gt;"Ativo",$D45&lt;&gt;'Calc_Mix'!$C$20,'Calc_Mix'!$X$20=0,COUNTIFS(Esc_Turno,'Calc_Mix'!$C$20,Esc_Circ,$B45)+COUNTIFS(Esc_Turno,'Calc_Mix'!$C$20,Esc_Instr,$B45)&gt;0),"",IF(SUMPRODUCT('Calc_Mix'!$D$20:$W$20,'Matriz_Habilidades'!$D45:$W45)=0,"",SUMPRODUCT('Calc_Mix'!$D$20:$W$20,'Matriz_Habilidades'!$D45:$W45)/'Calc_Mix'!$X$20+ROW()*0.000001))</f>
        <v/>
      </c>
      <c r="X45" s="34">
        <f>IF(OR($B45="",$C45&lt;&gt;"Ativo",$D45&lt;&gt;'Calc_Mix'!$C$21,'Calc_Mix'!$X$21=0,COUNTIFS(Esc_Turno,'Calc_Mix'!$C$21,Esc_Circ,$B45)+COUNTIFS(Esc_Turno,'Calc_Mix'!$C$21,Esc_Instr,$B45)&gt;0),"",IF(SUMPRODUCT('Calc_Mix'!$D$21:$W$21,'Matriz_Habilidades'!$D45:$W45)=0,"",SUMPRODUCT('Calc_Mix'!$D$21:$W$21,'Matriz_Habilidades'!$D45:$W45)/'Calc_Mix'!$X$21+ROW()*0.000001))</f>
        <v/>
      </c>
      <c r="Y45" s="34">
        <f>IF(OR($B45="",$C45&lt;&gt;"Ativo",$D45&lt;&gt;'Calc_Mix'!$C$22,'Calc_Mix'!$X$22=0,COUNTIFS(Esc_Turno,'Calc_Mix'!$C$22,Esc_Circ,$B45)+COUNTIFS(Esc_Turno,'Calc_Mix'!$C$22,Esc_Instr,$B45)&gt;0),"",IF(SUMPRODUCT('Calc_Mix'!$D$22:$W$22,'Matriz_Habilidades'!$D45:$W45)=0,"",SUMPRODUCT('Calc_Mix'!$D$22:$W$22,'Matriz_Habilidades'!$D45:$W45)/'Calc_Mix'!$X$22+ROW()*0.000001))</f>
        <v/>
      </c>
      <c r="Z45" s="34">
        <f>IF(OR($B45="",$C45&lt;&gt;"Ativo",$D45&lt;&gt;'Calc_Mix'!$C$23,'Calc_Mix'!$X$23=0,COUNTIFS(Esc_Turno,'Calc_Mix'!$C$23,Esc_Circ,$B45)+COUNTIFS(Esc_Turno,'Calc_Mix'!$C$23,Esc_Instr,$B45)&gt;0),"",IF(SUMPRODUCT('Calc_Mix'!$D$23:$W$23,'Matriz_Habilidades'!$D45:$W45)=0,"",SUMPRODUCT('Calc_Mix'!$D$23:$W$23,'Matriz_Habilidades'!$D45:$W45)/'Calc_Mix'!$X$23+ROW()*0.000001))</f>
        <v/>
      </c>
      <c r="AA45" s="34">
        <f>IF(OR($B45="",$C45&lt;&gt;"Ativo",$D45&lt;&gt;'Calc_Mix'!$C$24,'Calc_Mix'!$X$24=0,COUNTIFS(Esc_Turno,'Calc_Mix'!$C$24,Esc_Circ,$B45)+COUNTIFS(Esc_Turno,'Calc_Mix'!$C$24,Esc_Instr,$B45)&gt;0),"",IF(SUMPRODUCT('Calc_Mix'!$D$24:$W$24,'Matriz_Habilidades'!$D45:$W45)=0,"",SUMPRODUCT('Calc_Mix'!$D$24:$W$24,'Matriz_Habilidades'!$D45:$W45)/'Calc_Mix'!$X$24+ROW()*0.000001))</f>
        <v/>
      </c>
      <c r="AB45" s="34">
        <f>IF(OR($B45="",$C45&lt;&gt;"Ativo",$D45&lt;&gt;'Calc_Mix'!$C$25,'Calc_Mix'!$X$25=0,COUNTIFS(Esc_Turno,'Calc_Mix'!$C$25,Esc_Circ,$B45)+COUNTIFS(Esc_Turno,'Calc_Mix'!$C$25,Esc_Instr,$B45)&gt;0),"",IF(SUMPRODUCT('Calc_Mix'!$D$25:$W$25,'Matriz_Habilidades'!$D45:$W45)=0,"",SUMPRODUCT('Calc_Mix'!$D$25:$W$25,'Matriz_Habilidades'!$D45:$W45)/'Calc_Mix'!$X$25+ROW()*0.000001))</f>
        <v/>
      </c>
      <c r="AC45" s="34">
        <f>IF(OR($B45="",$C45&lt;&gt;"Ativo",$D45&lt;&gt;'Calc_Mix'!$C$26,'Calc_Mix'!$X$26=0,COUNTIFS(Esc_Turno,'Calc_Mix'!$C$26,Esc_Circ,$B45)+COUNTIFS(Esc_Turno,'Calc_Mix'!$C$26,Esc_Instr,$B45)&gt;0),"",IF(SUMPRODUCT('Calc_Mix'!$D$26:$W$26,'Matriz_Habilidades'!$D45:$W45)=0,"",SUMPRODUCT('Calc_Mix'!$D$26:$W$26,'Matriz_Habilidades'!$D45:$W45)/'Calc_Mix'!$X$26+ROW()*0.000001))</f>
        <v/>
      </c>
      <c r="AD45" s="34">
        <f>IF(OR($B45="",$C45&lt;&gt;"Ativo",$D45&lt;&gt;'Calc_Mix'!$C$27,'Calc_Mix'!$X$27=0,COUNTIFS(Esc_Turno,'Calc_Mix'!$C$27,Esc_Circ,$B45)+COUNTIFS(Esc_Turno,'Calc_Mix'!$C$27,Esc_Instr,$B45)&gt;0),"",IF(SUMPRODUCT('Calc_Mix'!$D$27:$W$27,'Matriz_Habilidades'!$D45:$W45)=0,"",SUMPRODUCT('Calc_Mix'!$D$27:$W$27,'Matriz_Habilidades'!$D45:$W45)/'Calc_Mix'!$X$27+ROW()*0.000001))</f>
        <v/>
      </c>
      <c r="AE45" s="34">
        <f>IF(OR($B45="",$C45&lt;&gt;"Ativo",$D45&lt;&gt;'Calc_Mix'!$C$28,'Calc_Mix'!$X$28=0,COUNTIFS(Esc_Turno,'Calc_Mix'!$C$28,Esc_Circ,$B45)+COUNTIFS(Esc_Turno,'Calc_Mix'!$C$28,Esc_Instr,$B45)&gt;0),"",IF(SUMPRODUCT('Calc_Mix'!$D$28:$W$28,'Matriz_Habilidades'!$D45:$W45)=0,"",SUMPRODUCT('Calc_Mix'!$D$28:$W$28,'Matriz_Habilidades'!$D45:$W45)/'Calc_Mix'!$X$28+ROW()*0.000001))</f>
        <v/>
      </c>
      <c r="AF45" s="34">
        <f>IF(OR($B45="",$C45&lt;&gt;"Ativo",$D45&lt;&gt;'Calc_Mix'!$C$29,'Calc_Mix'!$X$29=0,COUNTIFS(Esc_Turno,'Calc_Mix'!$C$29,Esc_Circ,$B45)+COUNTIFS(Esc_Turno,'Calc_Mix'!$C$29,Esc_Instr,$B45)&gt;0),"",IF(SUMPRODUCT('Calc_Mix'!$D$29:$W$29,'Matriz_Habilidades'!$D45:$W45)=0,"",SUMPRODUCT('Calc_Mix'!$D$29:$W$29,'Matriz_Habilidades'!$D45:$W45)/'Calc_Mix'!$X$29+ROW()*0.000001))</f>
        <v/>
      </c>
      <c r="AG45" s="34">
        <f>IF(OR($B45="",$C45&lt;&gt;"Ativo",$D45&lt;&gt;'Calc_Mix'!$C$30,'Calc_Mix'!$X$30=0,COUNTIFS(Esc_Turno,'Calc_Mix'!$C$30,Esc_Circ,$B45)+COUNTIFS(Esc_Turno,'Calc_Mix'!$C$30,Esc_Instr,$B45)&gt;0),"",IF(SUMPRODUCT('Calc_Mix'!$D$30:$W$30,'Matriz_Habilidades'!$D45:$W45)=0,"",SUMPRODUCT('Calc_Mix'!$D$30:$W$30,'Matriz_Habilidades'!$D45:$W45)/'Calc_Mix'!$X$30+ROW()*0.000001))</f>
        <v/>
      </c>
      <c r="AH45" s="34">
        <f>IF(OR($B45="",$C45&lt;&gt;"Ativo",$D45&lt;&gt;'Calc_Mix'!$C$31,'Calc_Mix'!$X$31=0,COUNTIFS(Esc_Turno,'Calc_Mix'!$C$31,Esc_Circ,$B45)+COUNTIFS(Esc_Turno,'Calc_Mix'!$C$31,Esc_Instr,$B45)&gt;0),"",IF(SUMPRODUCT('Calc_Mix'!$D$31:$W$31,'Matriz_Habilidades'!$D45:$W45)=0,"",SUMPRODUCT('Calc_Mix'!$D$31:$W$31,'Matriz_Habilidades'!$D45:$W45)/'Calc_Mix'!$X$31+ROW()*0.000001))</f>
        <v/>
      </c>
      <c r="AI45" s="34">
        <f>IF(OR($B45="",$C45&lt;&gt;"Ativo",$D45&lt;&gt;'Calc_Mix'!$C$32,'Calc_Mix'!$X$32=0,COUNTIFS(Esc_Turno,'Calc_Mix'!$C$32,Esc_Circ,$B45)+COUNTIFS(Esc_Turno,'Calc_Mix'!$C$32,Esc_Instr,$B45)&gt;0),"",IF(SUMPRODUCT('Calc_Mix'!$D$32:$W$32,'Matriz_Habilidades'!$D45:$W45)=0,"",SUMPRODUCT('Calc_Mix'!$D$32:$W$32,'Matriz_Habilidades'!$D45:$W45)/'Calc_Mix'!$X$32+ROW()*0.000001))</f>
        <v/>
      </c>
      <c r="AJ45" s="34">
        <f>IF(OR($B45="",$C45&lt;&gt;"Ativo",$D45&lt;&gt;'Calc_Mix'!$C$33,'Calc_Mix'!$X$33=0,COUNTIFS(Esc_Turno,'Calc_Mix'!$C$33,Esc_Circ,$B45)+COUNTIFS(Esc_Turno,'Calc_Mix'!$C$33,Esc_Instr,$B45)&gt;0),"",IF(SUMPRODUCT('Calc_Mix'!$D$33:$W$33,'Matriz_Habilidades'!$D45:$W45)=0,"",SUMPRODUCT('Calc_Mix'!$D$33:$W$33,'Matriz_Habilidades'!$D45:$W45)/'Calc_Mix'!$X$33+ROW()*0.000001))</f>
        <v/>
      </c>
      <c r="AK45" s="34">
        <f>IF(OR($B45="",$C45&lt;&gt;"Ativo",$D45&lt;&gt;'Calc_Mix'!$C$34,'Calc_Mix'!$X$34=0,COUNTIFS(Esc_Turno,'Calc_Mix'!$C$34,Esc_Circ,$B45)+COUNTIFS(Esc_Turno,'Calc_Mix'!$C$34,Esc_Instr,$B45)&gt;0),"",IF(SUMPRODUCT('Calc_Mix'!$D$34:$W$34,'Matriz_Habilidades'!$D45:$W45)=0,"",SUMPRODUCT('Calc_Mix'!$D$34:$W$34,'Matriz_Habilidades'!$D45:$W45)/'Calc_Mix'!$X$34+ROW()*0.000001))</f>
        <v/>
      </c>
      <c r="AL45" s="34">
        <f>IF(OR($B45="",$C45&lt;&gt;"Ativo",$D45&lt;&gt;'Calc_Mix'!$C$35,'Calc_Mix'!$X$35=0,COUNTIFS(Esc_Turno,'Calc_Mix'!$C$35,Esc_Circ,$B45)+COUNTIFS(Esc_Turno,'Calc_Mix'!$C$35,Esc_Instr,$B45)&gt;0),"",IF(SUMPRODUCT('Calc_Mix'!$D$35:$W$35,'Matriz_Habilidades'!$D45:$W45)=0,"",SUMPRODUCT('Calc_Mix'!$D$35:$W$35,'Matriz_Habilidades'!$D45:$W45)/'Calc_Mix'!$X$35+ROW()*0.000001))</f>
        <v/>
      </c>
      <c r="AM45" s="34">
        <f>IF(OR($B45="",$C45&lt;&gt;"Ativo",$D45&lt;&gt;'Calc_Mix'!$C$36,'Calc_Mix'!$X$36=0,COUNTIFS(Esc_Turno,'Calc_Mix'!$C$36,Esc_Circ,$B45)+COUNTIFS(Esc_Turno,'Calc_Mix'!$C$36,Esc_Instr,$B45)&gt;0),"",IF(SUMPRODUCT('Calc_Mix'!$D$36:$W$36,'Matriz_Habilidades'!$D45:$W45)=0,"",SUMPRODUCT('Calc_Mix'!$D$36:$W$36,'Matriz_Habilidades'!$D45:$W45)/'Calc_Mix'!$X$36+ROW()*0.000001))</f>
        <v/>
      </c>
      <c r="AN45" s="34">
        <f>IF(OR($B45="",$C45&lt;&gt;"Ativo",$D45&lt;&gt;'Calc_Mix'!$C$37,'Calc_Mix'!$X$37=0,COUNTIFS(Esc_Turno,'Calc_Mix'!$C$37,Esc_Circ,$B45)+COUNTIFS(Esc_Turno,'Calc_Mix'!$C$37,Esc_Instr,$B45)&gt;0),"",IF(SUMPRODUCT('Calc_Mix'!$D$37:$W$37,'Matriz_Habilidades'!$D45:$W45)=0,"",SUMPRODUCT('Calc_Mix'!$D$37:$W$37,'Matriz_Habilidades'!$D45:$W45)/'Calc_Mix'!$X$37+ROW()*0.000001))</f>
        <v/>
      </c>
    </row>
    <row r="46">
      <c r="A46" s="27">
        <f>IF('Matriz_Habilidades'!A46="","",'Matriz_Habilidades'!A46)</f>
        <v/>
      </c>
      <c r="B46" s="28">
        <f>IF('Matriz_Habilidades'!B46="","",'Matriz_Habilidades'!B46)</f>
        <v/>
      </c>
      <c r="C46" s="27">
        <f>IF($A46="","",IFERROR(INDEX(Equipe_Status,MATCH($B46,Equipe_Nome,0)),"?"))</f>
        <v/>
      </c>
      <c r="D46" s="27">
        <f>IF($A46="","",IFERROR(INDEX(Equipe_Turno,MATCH($B46,Equipe_Nome,0)),"?"))</f>
        <v/>
      </c>
      <c r="E46" s="34">
        <f>IF(OR($B46="",$C46&lt;&gt;"Ativo",$D46&lt;&gt;'Calc_Mix'!$C$2,'Calc_Mix'!$X$2=0,COUNTIFS(Esc_Turno,'Calc_Mix'!$C$2,Esc_Circ,$B46)+COUNTIFS(Esc_Turno,'Calc_Mix'!$C$2,Esc_Instr,$B46)&gt;0),"",IF(SUMPRODUCT('Calc_Mix'!$D$2:$W$2,'Matriz_Habilidades'!$D46:$W46)=0,"",SUMPRODUCT('Calc_Mix'!$D$2:$W$2,'Matriz_Habilidades'!$D46:$W46)/'Calc_Mix'!$X$2+ROW()*0.000001))</f>
        <v/>
      </c>
      <c r="F46" s="34">
        <f>IF(OR($B46="",$C46&lt;&gt;"Ativo",$D46&lt;&gt;'Calc_Mix'!$C$3,'Calc_Mix'!$X$3=0,COUNTIFS(Esc_Turno,'Calc_Mix'!$C$3,Esc_Circ,$B46)+COUNTIFS(Esc_Turno,'Calc_Mix'!$C$3,Esc_Instr,$B46)&gt;0),"",IF(SUMPRODUCT('Calc_Mix'!$D$3:$W$3,'Matriz_Habilidades'!$D46:$W46)=0,"",SUMPRODUCT('Calc_Mix'!$D$3:$W$3,'Matriz_Habilidades'!$D46:$W46)/'Calc_Mix'!$X$3+ROW()*0.000001))</f>
        <v/>
      </c>
      <c r="G46" s="34">
        <f>IF(OR($B46="",$C46&lt;&gt;"Ativo",$D46&lt;&gt;'Calc_Mix'!$C$4,'Calc_Mix'!$X$4=0,COUNTIFS(Esc_Turno,'Calc_Mix'!$C$4,Esc_Circ,$B46)+COUNTIFS(Esc_Turno,'Calc_Mix'!$C$4,Esc_Instr,$B46)&gt;0),"",IF(SUMPRODUCT('Calc_Mix'!$D$4:$W$4,'Matriz_Habilidades'!$D46:$W46)=0,"",SUMPRODUCT('Calc_Mix'!$D$4:$W$4,'Matriz_Habilidades'!$D46:$W46)/'Calc_Mix'!$X$4+ROW()*0.000001))</f>
        <v/>
      </c>
      <c r="H46" s="34">
        <f>IF(OR($B46="",$C46&lt;&gt;"Ativo",$D46&lt;&gt;'Calc_Mix'!$C$5,'Calc_Mix'!$X$5=0,COUNTIFS(Esc_Turno,'Calc_Mix'!$C$5,Esc_Circ,$B46)+COUNTIFS(Esc_Turno,'Calc_Mix'!$C$5,Esc_Instr,$B46)&gt;0),"",IF(SUMPRODUCT('Calc_Mix'!$D$5:$W$5,'Matriz_Habilidades'!$D46:$W46)=0,"",SUMPRODUCT('Calc_Mix'!$D$5:$W$5,'Matriz_Habilidades'!$D46:$W46)/'Calc_Mix'!$X$5+ROW()*0.000001))</f>
        <v/>
      </c>
      <c r="I46" s="34">
        <f>IF(OR($B46="",$C46&lt;&gt;"Ativo",$D46&lt;&gt;'Calc_Mix'!$C$6,'Calc_Mix'!$X$6=0,COUNTIFS(Esc_Turno,'Calc_Mix'!$C$6,Esc_Circ,$B46)+COUNTIFS(Esc_Turno,'Calc_Mix'!$C$6,Esc_Instr,$B46)&gt;0),"",IF(SUMPRODUCT('Calc_Mix'!$D$6:$W$6,'Matriz_Habilidades'!$D46:$W46)=0,"",SUMPRODUCT('Calc_Mix'!$D$6:$W$6,'Matriz_Habilidades'!$D46:$W46)/'Calc_Mix'!$X$6+ROW()*0.000001))</f>
        <v/>
      </c>
      <c r="J46" s="34">
        <f>IF(OR($B46="",$C46&lt;&gt;"Ativo",$D46&lt;&gt;'Calc_Mix'!$C$7,'Calc_Mix'!$X$7=0,COUNTIFS(Esc_Turno,'Calc_Mix'!$C$7,Esc_Circ,$B46)+COUNTIFS(Esc_Turno,'Calc_Mix'!$C$7,Esc_Instr,$B46)&gt;0),"",IF(SUMPRODUCT('Calc_Mix'!$D$7:$W$7,'Matriz_Habilidades'!$D46:$W46)=0,"",SUMPRODUCT('Calc_Mix'!$D$7:$W$7,'Matriz_Habilidades'!$D46:$W46)/'Calc_Mix'!$X$7+ROW()*0.000001))</f>
        <v/>
      </c>
      <c r="K46" s="34">
        <f>IF(OR($B46="",$C46&lt;&gt;"Ativo",$D46&lt;&gt;'Calc_Mix'!$C$8,'Calc_Mix'!$X$8=0,COUNTIFS(Esc_Turno,'Calc_Mix'!$C$8,Esc_Circ,$B46)+COUNTIFS(Esc_Turno,'Calc_Mix'!$C$8,Esc_Instr,$B46)&gt;0),"",IF(SUMPRODUCT('Calc_Mix'!$D$8:$W$8,'Matriz_Habilidades'!$D46:$W46)=0,"",SUMPRODUCT('Calc_Mix'!$D$8:$W$8,'Matriz_Habilidades'!$D46:$W46)/'Calc_Mix'!$X$8+ROW()*0.000001))</f>
        <v/>
      </c>
      <c r="L46" s="34">
        <f>IF(OR($B46="",$C46&lt;&gt;"Ativo",$D46&lt;&gt;'Calc_Mix'!$C$9,'Calc_Mix'!$X$9=0,COUNTIFS(Esc_Turno,'Calc_Mix'!$C$9,Esc_Circ,$B46)+COUNTIFS(Esc_Turno,'Calc_Mix'!$C$9,Esc_Instr,$B46)&gt;0),"",IF(SUMPRODUCT('Calc_Mix'!$D$9:$W$9,'Matriz_Habilidades'!$D46:$W46)=0,"",SUMPRODUCT('Calc_Mix'!$D$9:$W$9,'Matriz_Habilidades'!$D46:$W46)/'Calc_Mix'!$X$9+ROW()*0.000001))</f>
        <v/>
      </c>
      <c r="M46" s="34">
        <f>IF(OR($B46="",$C46&lt;&gt;"Ativo",$D46&lt;&gt;'Calc_Mix'!$C$10,'Calc_Mix'!$X$10=0,COUNTIFS(Esc_Turno,'Calc_Mix'!$C$10,Esc_Circ,$B46)+COUNTIFS(Esc_Turno,'Calc_Mix'!$C$10,Esc_Instr,$B46)&gt;0),"",IF(SUMPRODUCT('Calc_Mix'!$D$10:$W$10,'Matriz_Habilidades'!$D46:$W46)=0,"",SUMPRODUCT('Calc_Mix'!$D$10:$W$10,'Matriz_Habilidades'!$D46:$W46)/'Calc_Mix'!$X$10+ROW()*0.000001))</f>
        <v/>
      </c>
      <c r="N46" s="34">
        <f>IF(OR($B46="",$C46&lt;&gt;"Ativo",$D46&lt;&gt;'Calc_Mix'!$C$11,'Calc_Mix'!$X$11=0,COUNTIFS(Esc_Turno,'Calc_Mix'!$C$11,Esc_Circ,$B46)+COUNTIFS(Esc_Turno,'Calc_Mix'!$C$11,Esc_Instr,$B46)&gt;0),"",IF(SUMPRODUCT('Calc_Mix'!$D$11:$W$11,'Matriz_Habilidades'!$D46:$W46)=0,"",SUMPRODUCT('Calc_Mix'!$D$11:$W$11,'Matriz_Habilidades'!$D46:$W46)/'Calc_Mix'!$X$11+ROW()*0.000001))</f>
        <v/>
      </c>
      <c r="O46" s="34">
        <f>IF(OR($B46="",$C46&lt;&gt;"Ativo",$D46&lt;&gt;'Calc_Mix'!$C$12,'Calc_Mix'!$X$12=0,COUNTIFS(Esc_Turno,'Calc_Mix'!$C$12,Esc_Circ,$B46)+COUNTIFS(Esc_Turno,'Calc_Mix'!$C$12,Esc_Instr,$B46)&gt;0),"",IF(SUMPRODUCT('Calc_Mix'!$D$12:$W$12,'Matriz_Habilidades'!$D46:$W46)=0,"",SUMPRODUCT('Calc_Mix'!$D$12:$W$12,'Matriz_Habilidades'!$D46:$W46)/'Calc_Mix'!$X$12+ROW()*0.000001))</f>
        <v/>
      </c>
      <c r="P46" s="34">
        <f>IF(OR($B46="",$C46&lt;&gt;"Ativo",$D46&lt;&gt;'Calc_Mix'!$C$13,'Calc_Mix'!$X$13=0,COUNTIFS(Esc_Turno,'Calc_Mix'!$C$13,Esc_Circ,$B46)+COUNTIFS(Esc_Turno,'Calc_Mix'!$C$13,Esc_Instr,$B46)&gt;0),"",IF(SUMPRODUCT('Calc_Mix'!$D$13:$W$13,'Matriz_Habilidades'!$D46:$W46)=0,"",SUMPRODUCT('Calc_Mix'!$D$13:$W$13,'Matriz_Habilidades'!$D46:$W46)/'Calc_Mix'!$X$13+ROW()*0.000001))</f>
        <v/>
      </c>
      <c r="Q46" s="34">
        <f>IF(OR($B46="",$C46&lt;&gt;"Ativo",$D46&lt;&gt;'Calc_Mix'!$C$14,'Calc_Mix'!$X$14=0,COUNTIFS(Esc_Turno,'Calc_Mix'!$C$14,Esc_Circ,$B46)+COUNTIFS(Esc_Turno,'Calc_Mix'!$C$14,Esc_Instr,$B46)&gt;0),"",IF(SUMPRODUCT('Calc_Mix'!$D$14:$W$14,'Matriz_Habilidades'!$D46:$W46)=0,"",SUMPRODUCT('Calc_Mix'!$D$14:$W$14,'Matriz_Habilidades'!$D46:$W46)/'Calc_Mix'!$X$14+ROW()*0.000001))</f>
        <v/>
      </c>
      <c r="R46" s="34">
        <f>IF(OR($B46="",$C46&lt;&gt;"Ativo",$D46&lt;&gt;'Calc_Mix'!$C$15,'Calc_Mix'!$X$15=0,COUNTIFS(Esc_Turno,'Calc_Mix'!$C$15,Esc_Circ,$B46)+COUNTIFS(Esc_Turno,'Calc_Mix'!$C$15,Esc_Instr,$B46)&gt;0),"",IF(SUMPRODUCT('Calc_Mix'!$D$15:$W$15,'Matriz_Habilidades'!$D46:$W46)=0,"",SUMPRODUCT('Calc_Mix'!$D$15:$W$15,'Matriz_Habilidades'!$D46:$W46)/'Calc_Mix'!$X$15+ROW()*0.000001))</f>
        <v/>
      </c>
      <c r="S46" s="34">
        <f>IF(OR($B46="",$C46&lt;&gt;"Ativo",$D46&lt;&gt;'Calc_Mix'!$C$16,'Calc_Mix'!$X$16=0,COUNTIFS(Esc_Turno,'Calc_Mix'!$C$16,Esc_Circ,$B46)+COUNTIFS(Esc_Turno,'Calc_Mix'!$C$16,Esc_Instr,$B46)&gt;0),"",IF(SUMPRODUCT('Calc_Mix'!$D$16:$W$16,'Matriz_Habilidades'!$D46:$W46)=0,"",SUMPRODUCT('Calc_Mix'!$D$16:$W$16,'Matriz_Habilidades'!$D46:$W46)/'Calc_Mix'!$X$16+ROW()*0.000001))</f>
        <v/>
      </c>
      <c r="T46" s="34">
        <f>IF(OR($B46="",$C46&lt;&gt;"Ativo",$D46&lt;&gt;'Calc_Mix'!$C$17,'Calc_Mix'!$X$17=0,COUNTIFS(Esc_Turno,'Calc_Mix'!$C$17,Esc_Circ,$B46)+COUNTIFS(Esc_Turno,'Calc_Mix'!$C$17,Esc_Instr,$B46)&gt;0),"",IF(SUMPRODUCT('Calc_Mix'!$D$17:$W$17,'Matriz_Habilidades'!$D46:$W46)=0,"",SUMPRODUCT('Calc_Mix'!$D$17:$W$17,'Matriz_Habilidades'!$D46:$W46)/'Calc_Mix'!$X$17+ROW()*0.000001))</f>
        <v/>
      </c>
      <c r="U46" s="34">
        <f>IF(OR($B46="",$C46&lt;&gt;"Ativo",$D46&lt;&gt;'Calc_Mix'!$C$18,'Calc_Mix'!$X$18=0,COUNTIFS(Esc_Turno,'Calc_Mix'!$C$18,Esc_Circ,$B46)+COUNTIFS(Esc_Turno,'Calc_Mix'!$C$18,Esc_Instr,$B46)&gt;0),"",IF(SUMPRODUCT('Calc_Mix'!$D$18:$W$18,'Matriz_Habilidades'!$D46:$W46)=0,"",SUMPRODUCT('Calc_Mix'!$D$18:$W$18,'Matriz_Habilidades'!$D46:$W46)/'Calc_Mix'!$X$18+ROW()*0.000001))</f>
        <v/>
      </c>
      <c r="V46" s="34">
        <f>IF(OR($B46="",$C46&lt;&gt;"Ativo",$D46&lt;&gt;'Calc_Mix'!$C$19,'Calc_Mix'!$X$19=0,COUNTIFS(Esc_Turno,'Calc_Mix'!$C$19,Esc_Circ,$B46)+COUNTIFS(Esc_Turno,'Calc_Mix'!$C$19,Esc_Instr,$B46)&gt;0),"",IF(SUMPRODUCT('Calc_Mix'!$D$19:$W$19,'Matriz_Habilidades'!$D46:$W46)=0,"",SUMPRODUCT('Calc_Mix'!$D$19:$W$19,'Matriz_Habilidades'!$D46:$W46)/'Calc_Mix'!$X$19+ROW()*0.000001))</f>
        <v/>
      </c>
      <c r="W46" s="34">
        <f>IF(OR($B46="",$C46&lt;&gt;"Ativo",$D46&lt;&gt;'Calc_Mix'!$C$20,'Calc_Mix'!$X$20=0,COUNTIFS(Esc_Turno,'Calc_Mix'!$C$20,Esc_Circ,$B46)+COUNTIFS(Esc_Turno,'Calc_Mix'!$C$20,Esc_Instr,$B46)&gt;0),"",IF(SUMPRODUCT('Calc_Mix'!$D$20:$W$20,'Matriz_Habilidades'!$D46:$W46)=0,"",SUMPRODUCT('Calc_Mix'!$D$20:$W$20,'Matriz_Habilidades'!$D46:$W46)/'Calc_Mix'!$X$20+ROW()*0.000001))</f>
        <v/>
      </c>
      <c r="X46" s="34">
        <f>IF(OR($B46="",$C46&lt;&gt;"Ativo",$D46&lt;&gt;'Calc_Mix'!$C$21,'Calc_Mix'!$X$21=0,COUNTIFS(Esc_Turno,'Calc_Mix'!$C$21,Esc_Circ,$B46)+COUNTIFS(Esc_Turno,'Calc_Mix'!$C$21,Esc_Instr,$B46)&gt;0),"",IF(SUMPRODUCT('Calc_Mix'!$D$21:$W$21,'Matriz_Habilidades'!$D46:$W46)=0,"",SUMPRODUCT('Calc_Mix'!$D$21:$W$21,'Matriz_Habilidades'!$D46:$W46)/'Calc_Mix'!$X$21+ROW()*0.000001))</f>
        <v/>
      </c>
      <c r="Y46" s="34">
        <f>IF(OR($B46="",$C46&lt;&gt;"Ativo",$D46&lt;&gt;'Calc_Mix'!$C$22,'Calc_Mix'!$X$22=0,COUNTIFS(Esc_Turno,'Calc_Mix'!$C$22,Esc_Circ,$B46)+COUNTIFS(Esc_Turno,'Calc_Mix'!$C$22,Esc_Instr,$B46)&gt;0),"",IF(SUMPRODUCT('Calc_Mix'!$D$22:$W$22,'Matriz_Habilidades'!$D46:$W46)=0,"",SUMPRODUCT('Calc_Mix'!$D$22:$W$22,'Matriz_Habilidades'!$D46:$W46)/'Calc_Mix'!$X$22+ROW()*0.000001))</f>
        <v/>
      </c>
      <c r="Z46" s="34">
        <f>IF(OR($B46="",$C46&lt;&gt;"Ativo",$D46&lt;&gt;'Calc_Mix'!$C$23,'Calc_Mix'!$X$23=0,COUNTIFS(Esc_Turno,'Calc_Mix'!$C$23,Esc_Circ,$B46)+COUNTIFS(Esc_Turno,'Calc_Mix'!$C$23,Esc_Instr,$B46)&gt;0),"",IF(SUMPRODUCT('Calc_Mix'!$D$23:$W$23,'Matriz_Habilidades'!$D46:$W46)=0,"",SUMPRODUCT('Calc_Mix'!$D$23:$W$23,'Matriz_Habilidades'!$D46:$W46)/'Calc_Mix'!$X$23+ROW()*0.000001))</f>
        <v/>
      </c>
      <c r="AA46" s="34">
        <f>IF(OR($B46="",$C46&lt;&gt;"Ativo",$D46&lt;&gt;'Calc_Mix'!$C$24,'Calc_Mix'!$X$24=0,COUNTIFS(Esc_Turno,'Calc_Mix'!$C$24,Esc_Circ,$B46)+COUNTIFS(Esc_Turno,'Calc_Mix'!$C$24,Esc_Instr,$B46)&gt;0),"",IF(SUMPRODUCT('Calc_Mix'!$D$24:$W$24,'Matriz_Habilidades'!$D46:$W46)=0,"",SUMPRODUCT('Calc_Mix'!$D$24:$W$24,'Matriz_Habilidades'!$D46:$W46)/'Calc_Mix'!$X$24+ROW()*0.000001))</f>
        <v/>
      </c>
      <c r="AB46" s="34">
        <f>IF(OR($B46="",$C46&lt;&gt;"Ativo",$D46&lt;&gt;'Calc_Mix'!$C$25,'Calc_Mix'!$X$25=0,COUNTIFS(Esc_Turno,'Calc_Mix'!$C$25,Esc_Circ,$B46)+COUNTIFS(Esc_Turno,'Calc_Mix'!$C$25,Esc_Instr,$B46)&gt;0),"",IF(SUMPRODUCT('Calc_Mix'!$D$25:$W$25,'Matriz_Habilidades'!$D46:$W46)=0,"",SUMPRODUCT('Calc_Mix'!$D$25:$W$25,'Matriz_Habilidades'!$D46:$W46)/'Calc_Mix'!$X$25+ROW()*0.000001))</f>
        <v/>
      </c>
      <c r="AC46" s="34">
        <f>IF(OR($B46="",$C46&lt;&gt;"Ativo",$D46&lt;&gt;'Calc_Mix'!$C$26,'Calc_Mix'!$X$26=0,COUNTIFS(Esc_Turno,'Calc_Mix'!$C$26,Esc_Circ,$B46)+COUNTIFS(Esc_Turno,'Calc_Mix'!$C$26,Esc_Instr,$B46)&gt;0),"",IF(SUMPRODUCT('Calc_Mix'!$D$26:$W$26,'Matriz_Habilidades'!$D46:$W46)=0,"",SUMPRODUCT('Calc_Mix'!$D$26:$W$26,'Matriz_Habilidades'!$D46:$W46)/'Calc_Mix'!$X$26+ROW()*0.000001))</f>
        <v/>
      </c>
      <c r="AD46" s="34">
        <f>IF(OR($B46="",$C46&lt;&gt;"Ativo",$D46&lt;&gt;'Calc_Mix'!$C$27,'Calc_Mix'!$X$27=0,COUNTIFS(Esc_Turno,'Calc_Mix'!$C$27,Esc_Circ,$B46)+COUNTIFS(Esc_Turno,'Calc_Mix'!$C$27,Esc_Instr,$B46)&gt;0),"",IF(SUMPRODUCT('Calc_Mix'!$D$27:$W$27,'Matriz_Habilidades'!$D46:$W46)=0,"",SUMPRODUCT('Calc_Mix'!$D$27:$W$27,'Matriz_Habilidades'!$D46:$W46)/'Calc_Mix'!$X$27+ROW()*0.000001))</f>
        <v/>
      </c>
      <c r="AE46" s="34">
        <f>IF(OR($B46="",$C46&lt;&gt;"Ativo",$D46&lt;&gt;'Calc_Mix'!$C$28,'Calc_Mix'!$X$28=0,COUNTIFS(Esc_Turno,'Calc_Mix'!$C$28,Esc_Circ,$B46)+COUNTIFS(Esc_Turno,'Calc_Mix'!$C$28,Esc_Instr,$B46)&gt;0),"",IF(SUMPRODUCT('Calc_Mix'!$D$28:$W$28,'Matriz_Habilidades'!$D46:$W46)=0,"",SUMPRODUCT('Calc_Mix'!$D$28:$W$28,'Matriz_Habilidades'!$D46:$W46)/'Calc_Mix'!$X$28+ROW()*0.000001))</f>
        <v/>
      </c>
      <c r="AF46" s="34">
        <f>IF(OR($B46="",$C46&lt;&gt;"Ativo",$D46&lt;&gt;'Calc_Mix'!$C$29,'Calc_Mix'!$X$29=0,COUNTIFS(Esc_Turno,'Calc_Mix'!$C$29,Esc_Circ,$B46)+COUNTIFS(Esc_Turno,'Calc_Mix'!$C$29,Esc_Instr,$B46)&gt;0),"",IF(SUMPRODUCT('Calc_Mix'!$D$29:$W$29,'Matriz_Habilidades'!$D46:$W46)=0,"",SUMPRODUCT('Calc_Mix'!$D$29:$W$29,'Matriz_Habilidades'!$D46:$W46)/'Calc_Mix'!$X$29+ROW()*0.000001))</f>
        <v/>
      </c>
      <c r="AG46" s="34">
        <f>IF(OR($B46="",$C46&lt;&gt;"Ativo",$D46&lt;&gt;'Calc_Mix'!$C$30,'Calc_Mix'!$X$30=0,COUNTIFS(Esc_Turno,'Calc_Mix'!$C$30,Esc_Circ,$B46)+COUNTIFS(Esc_Turno,'Calc_Mix'!$C$30,Esc_Instr,$B46)&gt;0),"",IF(SUMPRODUCT('Calc_Mix'!$D$30:$W$30,'Matriz_Habilidades'!$D46:$W46)=0,"",SUMPRODUCT('Calc_Mix'!$D$30:$W$30,'Matriz_Habilidades'!$D46:$W46)/'Calc_Mix'!$X$30+ROW()*0.000001))</f>
        <v/>
      </c>
      <c r="AH46" s="34">
        <f>IF(OR($B46="",$C46&lt;&gt;"Ativo",$D46&lt;&gt;'Calc_Mix'!$C$31,'Calc_Mix'!$X$31=0,COUNTIFS(Esc_Turno,'Calc_Mix'!$C$31,Esc_Circ,$B46)+COUNTIFS(Esc_Turno,'Calc_Mix'!$C$31,Esc_Instr,$B46)&gt;0),"",IF(SUMPRODUCT('Calc_Mix'!$D$31:$W$31,'Matriz_Habilidades'!$D46:$W46)=0,"",SUMPRODUCT('Calc_Mix'!$D$31:$W$31,'Matriz_Habilidades'!$D46:$W46)/'Calc_Mix'!$X$31+ROW()*0.000001))</f>
        <v/>
      </c>
      <c r="AI46" s="34">
        <f>IF(OR($B46="",$C46&lt;&gt;"Ativo",$D46&lt;&gt;'Calc_Mix'!$C$32,'Calc_Mix'!$X$32=0,COUNTIFS(Esc_Turno,'Calc_Mix'!$C$32,Esc_Circ,$B46)+COUNTIFS(Esc_Turno,'Calc_Mix'!$C$32,Esc_Instr,$B46)&gt;0),"",IF(SUMPRODUCT('Calc_Mix'!$D$32:$W$32,'Matriz_Habilidades'!$D46:$W46)=0,"",SUMPRODUCT('Calc_Mix'!$D$32:$W$32,'Matriz_Habilidades'!$D46:$W46)/'Calc_Mix'!$X$32+ROW()*0.000001))</f>
        <v/>
      </c>
      <c r="AJ46" s="34">
        <f>IF(OR($B46="",$C46&lt;&gt;"Ativo",$D46&lt;&gt;'Calc_Mix'!$C$33,'Calc_Mix'!$X$33=0,COUNTIFS(Esc_Turno,'Calc_Mix'!$C$33,Esc_Circ,$B46)+COUNTIFS(Esc_Turno,'Calc_Mix'!$C$33,Esc_Instr,$B46)&gt;0),"",IF(SUMPRODUCT('Calc_Mix'!$D$33:$W$33,'Matriz_Habilidades'!$D46:$W46)=0,"",SUMPRODUCT('Calc_Mix'!$D$33:$W$33,'Matriz_Habilidades'!$D46:$W46)/'Calc_Mix'!$X$33+ROW()*0.000001))</f>
        <v/>
      </c>
      <c r="AK46" s="34">
        <f>IF(OR($B46="",$C46&lt;&gt;"Ativo",$D46&lt;&gt;'Calc_Mix'!$C$34,'Calc_Mix'!$X$34=0,COUNTIFS(Esc_Turno,'Calc_Mix'!$C$34,Esc_Circ,$B46)+COUNTIFS(Esc_Turno,'Calc_Mix'!$C$34,Esc_Instr,$B46)&gt;0),"",IF(SUMPRODUCT('Calc_Mix'!$D$34:$W$34,'Matriz_Habilidades'!$D46:$W46)=0,"",SUMPRODUCT('Calc_Mix'!$D$34:$W$34,'Matriz_Habilidades'!$D46:$W46)/'Calc_Mix'!$X$34+ROW()*0.000001))</f>
        <v/>
      </c>
      <c r="AL46" s="34">
        <f>IF(OR($B46="",$C46&lt;&gt;"Ativo",$D46&lt;&gt;'Calc_Mix'!$C$35,'Calc_Mix'!$X$35=0,COUNTIFS(Esc_Turno,'Calc_Mix'!$C$35,Esc_Circ,$B46)+COUNTIFS(Esc_Turno,'Calc_Mix'!$C$35,Esc_Instr,$B46)&gt;0),"",IF(SUMPRODUCT('Calc_Mix'!$D$35:$W$35,'Matriz_Habilidades'!$D46:$W46)=0,"",SUMPRODUCT('Calc_Mix'!$D$35:$W$35,'Matriz_Habilidades'!$D46:$W46)/'Calc_Mix'!$X$35+ROW()*0.000001))</f>
        <v/>
      </c>
      <c r="AM46" s="34">
        <f>IF(OR($B46="",$C46&lt;&gt;"Ativo",$D46&lt;&gt;'Calc_Mix'!$C$36,'Calc_Mix'!$X$36=0,COUNTIFS(Esc_Turno,'Calc_Mix'!$C$36,Esc_Circ,$B46)+COUNTIFS(Esc_Turno,'Calc_Mix'!$C$36,Esc_Instr,$B46)&gt;0),"",IF(SUMPRODUCT('Calc_Mix'!$D$36:$W$36,'Matriz_Habilidades'!$D46:$W46)=0,"",SUMPRODUCT('Calc_Mix'!$D$36:$W$36,'Matriz_Habilidades'!$D46:$W46)/'Calc_Mix'!$X$36+ROW()*0.000001))</f>
        <v/>
      </c>
      <c r="AN46" s="34">
        <f>IF(OR($B46="",$C46&lt;&gt;"Ativo",$D46&lt;&gt;'Calc_Mix'!$C$37,'Calc_Mix'!$X$37=0,COUNTIFS(Esc_Turno,'Calc_Mix'!$C$37,Esc_Circ,$B46)+COUNTIFS(Esc_Turno,'Calc_Mix'!$C$37,Esc_Instr,$B46)&gt;0),"",IF(SUMPRODUCT('Calc_Mix'!$D$37:$W$37,'Matriz_Habilidades'!$D46:$W46)=0,"",SUMPRODUCT('Calc_Mix'!$D$37:$W$37,'Matriz_Habilidades'!$D46:$W46)/'Calc_Mix'!$X$37+ROW()*0.000001))</f>
        <v/>
      </c>
    </row>
    <row r="47">
      <c r="A47" s="27">
        <f>IF('Matriz_Habilidades'!A47="","",'Matriz_Habilidades'!A47)</f>
        <v/>
      </c>
      <c r="B47" s="28">
        <f>IF('Matriz_Habilidades'!B47="","",'Matriz_Habilidades'!B47)</f>
        <v/>
      </c>
      <c r="C47" s="27">
        <f>IF($A47="","",IFERROR(INDEX(Equipe_Status,MATCH($B47,Equipe_Nome,0)),"?"))</f>
        <v/>
      </c>
      <c r="D47" s="27">
        <f>IF($A47="","",IFERROR(INDEX(Equipe_Turno,MATCH($B47,Equipe_Nome,0)),"?"))</f>
        <v/>
      </c>
      <c r="E47" s="34">
        <f>IF(OR($B47="",$C47&lt;&gt;"Ativo",$D47&lt;&gt;'Calc_Mix'!$C$2,'Calc_Mix'!$X$2=0,COUNTIFS(Esc_Turno,'Calc_Mix'!$C$2,Esc_Circ,$B47)+COUNTIFS(Esc_Turno,'Calc_Mix'!$C$2,Esc_Instr,$B47)&gt;0),"",IF(SUMPRODUCT('Calc_Mix'!$D$2:$W$2,'Matriz_Habilidades'!$D47:$W47)=0,"",SUMPRODUCT('Calc_Mix'!$D$2:$W$2,'Matriz_Habilidades'!$D47:$W47)/'Calc_Mix'!$X$2+ROW()*0.000001))</f>
        <v/>
      </c>
      <c r="F47" s="34">
        <f>IF(OR($B47="",$C47&lt;&gt;"Ativo",$D47&lt;&gt;'Calc_Mix'!$C$3,'Calc_Mix'!$X$3=0,COUNTIFS(Esc_Turno,'Calc_Mix'!$C$3,Esc_Circ,$B47)+COUNTIFS(Esc_Turno,'Calc_Mix'!$C$3,Esc_Instr,$B47)&gt;0),"",IF(SUMPRODUCT('Calc_Mix'!$D$3:$W$3,'Matriz_Habilidades'!$D47:$W47)=0,"",SUMPRODUCT('Calc_Mix'!$D$3:$W$3,'Matriz_Habilidades'!$D47:$W47)/'Calc_Mix'!$X$3+ROW()*0.000001))</f>
        <v/>
      </c>
      <c r="G47" s="34">
        <f>IF(OR($B47="",$C47&lt;&gt;"Ativo",$D47&lt;&gt;'Calc_Mix'!$C$4,'Calc_Mix'!$X$4=0,COUNTIFS(Esc_Turno,'Calc_Mix'!$C$4,Esc_Circ,$B47)+COUNTIFS(Esc_Turno,'Calc_Mix'!$C$4,Esc_Instr,$B47)&gt;0),"",IF(SUMPRODUCT('Calc_Mix'!$D$4:$W$4,'Matriz_Habilidades'!$D47:$W47)=0,"",SUMPRODUCT('Calc_Mix'!$D$4:$W$4,'Matriz_Habilidades'!$D47:$W47)/'Calc_Mix'!$X$4+ROW()*0.000001))</f>
        <v/>
      </c>
      <c r="H47" s="34">
        <f>IF(OR($B47="",$C47&lt;&gt;"Ativo",$D47&lt;&gt;'Calc_Mix'!$C$5,'Calc_Mix'!$X$5=0,COUNTIFS(Esc_Turno,'Calc_Mix'!$C$5,Esc_Circ,$B47)+COUNTIFS(Esc_Turno,'Calc_Mix'!$C$5,Esc_Instr,$B47)&gt;0),"",IF(SUMPRODUCT('Calc_Mix'!$D$5:$W$5,'Matriz_Habilidades'!$D47:$W47)=0,"",SUMPRODUCT('Calc_Mix'!$D$5:$W$5,'Matriz_Habilidades'!$D47:$W47)/'Calc_Mix'!$X$5+ROW()*0.000001))</f>
        <v/>
      </c>
      <c r="I47" s="34">
        <f>IF(OR($B47="",$C47&lt;&gt;"Ativo",$D47&lt;&gt;'Calc_Mix'!$C$6,'Calc_Mix'!$X$6=0,COUNTIFS(Esc_Turno,'Calc_Mix'!$C$6,Esc_Circ,$B47)+COUNTIFS(Esc_Turno,'Calc_Mix'!$C$6,Esc_Instr,$B47)&gt;0),"",IF(SUMPRODUCT('Calc_Mix'!$D$6:$W$6,'Matriz_Habilidades'!$D47:$W47)=0,"",SUMPRODUCT('Calc_Mix'!$D$6:$W$6,'Matriz_Habilidades'!$D47:$W47)/'Calc_Mix'!$X$6+ROW()*0.000001))</f>
        <v/>
      </c>
      <c r="J47" s="34">
        <f>IF(OR($B47="",$C47&lt;&gt;"Ativo",$D47&lt;&gt;'Calc_Mix'!$C$7,'Calc_Mix'!$X$7=0,COUNTIFS(Esc_Turno,'Calc_Mix'!$C$7,Esc_Circ,$B47)+COUNTIFS(Esc_Turno,'Calc_Mix'!$C$7,Esc_Instr,$B47)&gt;0),"",IF(SUMPRODUCT('Calc_Mix'!$D$7:$W$7,'Matriz_Habilidades'!$D47:$W47)=0,"",SUMPRODUCT('Calc_Mix'!$D$7:$W$7,'Matriz_Habilidades'!$D47:$W47)/'Calc_Mix'!$X$7+ROW()*0.000001))</f>
        <v/>
      </c>
      <c r="K47" s="34">
        <f>IF(OR($B47="",$C47&lt;&gt;"Ativo",$D47&lt;&gt;'Calc_Mix'!$C$8,'Calc_Mix'!$X$8=0,COUNTIFS(Esc_Turno,'Calc_Mix'!$C$8,Esc_Circ,$B47)+COUNTIFS(Esc_Turno,'Calc_Mix'!$C$8,Esc_Instr,$B47)&gt;0),"",IF(SUMPRODUCT('Calc_Mix'!$D$8:$W$8,'Matriz_Habilidades'!$D47:$W47)=0,"",SUMPRODUCT('Calc_Mix'!$D$8:$W$8,'Matriz_Habilidades'!$D47:$W47)/'Calc_Mix'!$X$8+ROW()*0.000001))</f>
        <v/>
      </c>
      <c r="L47" s="34">
        <f>IF(OR($B47="",$C47&lt;&gt;"Ativo",$D47&lt;&gt;'Calc_Mix'!$C$9,'Calc_Mix'!$X$9=0,COUNTIFS(Esc_Turno,'Calc_Mix'!$C$9,Esc_Circ,$B47)+COUNTIFS(Esc_Turno,'Calc_Mix'!$C$9,Esc_Instr,$B47)&gt;0),"",IF(SUMPRODUCT('Calc_Mix'!$D$9:$W$9,'Matriz_Habilidades'!$D47:$W47)=0,"",SUMPRODUCT('Calc_Mix'!$D$9:$W$9,'Matriz_Habilidades'!$D47:$W47)/'Calc_Mix'!$X$9+ROW()*0.000001))</f>
        <v/>
      </c>
      <c r="M47" s="34">
        <f>IF(OR($B47="",$C47&lt;&gt;"Ativo",$D47&lt;&gt;'Calc_Mix'!$C$10,'Calc_Mix'!$X$10=0,COUNTIFS(Esc_Turno,'Calc_Mix'!$C$10,Esc_Circ,$B47)+COUNTIFS(Esc_Turno,'Calc_Mix'!$C$10,Esc_Instr,$B47)&gt;0),"",IF(SUMPRODUCT('Calc_Mix'!$D$10:$W$10,'Matriz_Habilidades'!$D47:$W47)=0,"",SUMPRODUCT('Calc_Mix'!$D$10:$W$10,'Matriz_Habilidades'!$D47:$W47)/'Calc_Mix'!$X$10+ROW()*0.000001))</f>
        <v/>
      </c>
      <c r="N47" s="34">
        <f>IF(OR($B47="",$C47&lt;&gt;"Ativo",$D47&lt;&gt;'Calc_Mix'!$C$11,'Calc_Mix'!$X$11=0,COUNTIFS(Esc_Turno,'Calc_Mix'!$C$11,Esc_Circ,$B47)+COUNTIFS(Esc_Turno,'Calc_Mix'!$C$11,Esc_Instr,$B47)&gt;0),"",IF(SUMPRODUCT('Calc_Mix'!$D$11:$W$11,'Matriz_Habilidades'!$D47:$W47)=0,"",SUMPRODUCT('Calc_Mix'!$D$11:$W$11,'Matriz_Habilidades'!$D47:$W47)/'Calc_Mix'!$X$11+ROW()*0.000001))</f>
        <v/>
      </c>
      <c r="O47" s="34">
        <f>IF(OR($B47="",$C47&lt;&gt;"Ativo",$D47&lt;&gt;'Calc_Mix'!$C$12,'Calc_Mix'!$X$12=0,COUNTIFS(Esc_Turno,'Calc_Mix'!$C$12,Esc_Circ,$B47)+COUNTIFS(Esc_Turno,'Calc_Mix'!$C$12,Esc_Instr,$B47)&gt;0),"",IF(SUMPRODUCT('Calc_Mix'!$D$12:$W$12,'Matriz_Habilidades'!$D47:$W47)=0,"",SUMPRODUCT('Calc_Mix'!$D$12:$W$12,'Matriz_Habilidades'!$D47:$W47)/'Calc_Mix'!$X$12+ROW()*0.000001))</f>
        <v/>
      </c>
      <c r="P47" s="34">
        <f>IF(OR($B47="",$C47&lt;&gt;"Ativo",$D47&lt;&gt;'Calc_Mix'!$C$13,'Calc_Mix'!$X$13=0,COUNTIFS(Esc_Turno,'Calc_Mix'!$C$13,Esc_Circ,$B47)+COUNTIFS(Esc_Turno,'Calc_Mix'!$C$13,Esc_Instr,$B47)&gt;0),"",IF(SUMPRODUCT('Calc_Mix'!$D$13:$W$13,'Matriz_Habilidades'!$D47:$W47)=0,"",SUMPRODUCT('Calc_Mix'!$D$13:$W$13,'Matriz_Habilidades'!$D47:$W47)/'Calc_Mix'!$X$13+ROW()*0.000001))</f>
        <v/>
      </c>
      <c r="Q47" s="34">
        <f>IF(OR($B47="",$C47&lt;&gt;"Ativo",$D47&lt;&gt;'Calc_Mix'!$C$14,'Calc_Mix'!$X$14=0,COUNTIFS(Esc_Turno,'Calc_Mix'!$C$14,Esc_Circ,$B47)+COUNTIFS(Esc_Turno,'Calc_Mix'!$C$14,Esc_Instr,$B47)&gt;0),"",IF(SUMPRODUCT('Calc_Mix'!$D$14:$W$14,'Matriz_Habilidades'!$D47:$W47)=0,"",SUMPRODUCT('Calc_Mix'!$D$14:$W$14,'Matriz_Habilidades'!$D47:$W47)/'Calc_Mix'!$X$14+ROW()*0.000001))</f>
        <v/>
      </c>
      <c r="R47" s="34">
        <f>IF(OR($B47="",$C47&lt;&gt;"Ativo",$D47&lt;&gt;'Calc_Mix'!$C$15,'Calc_Mix'!$X$15=0,COUNTIFS(Esc_Turno,'Calc_Mix'!$C$15,Esc_Circ,$B47)+COUNTIFS(Esc_Turno,'Calc_Mix'!$C$15,Esc_Instr,$B47)&gt;0),"",IF(SUMPRODUCT('Calc_Mix'!$D$15:$W$15,'Matriz_Habilidades'!$D47:$W47)=0,"",SUMPRODUCT('Calc_Mix'!$D$15:$W$15,'Matriz_Habilidades'!$D47:$W47)/'Calc_Mix'!$X$15+ROW()*0.000001))</f>
        <v/>
      </c>
      <c r="S47" s="34">
        <f>IF(OR($B47="",$C47&lt;&gt;"Ativo",$D47&lt;&gt;'Calc_Mix'!$C$16,'Calc_Mix'!$X$16=0,COUNTIFS(Esc_Turno,'Calc_Mix'!$C$16,Esc_Circ,$B47)+COUNTIFS(Esc_Turno,'Calc_Mix'!$C$16,Esc_Instr,$B47)&gt;0),"",IF(SUMPRODUCT('Calc_Mix'!$D$16:$W$16,'Matriz_Habilidades'!$D47:$W47)=0,"",SUMPRODUCT('Calc_Mix'!$D$16:$W$16,'Matriz_Habilidades'!$D47:$W47)/'Calc_Mix'!$X$16+ROW()*0.000001))</f>
        <v/>
      </c>
      <c r="T47" s="34">
        <f>IF(OR($B47="",$C47&lt;&gt;"Ativo",$D47&lt;&gt;'Calc_Mix'!$C$17,'Calc_Mix'!$X$17=0,COUNTIFS(Esc_Turno,'Calc_Mix'!$C$17,Esc_Circ,$B47)+COUNTIFS(Esc_Turno,'Calc_Mix'!$C$17,Esc_Instr,$B47)&gt;0),"",IF(SUMPRODUCT('Calc_Mix'!$D$17:$W$17,'Matriz_Habilidades'!$D47:$W47)=0,"",SUMPRODUCT('Calc_Mix'!$D$17:$W$17,'Matriz_Habilidades'!$D47:$W47)/'Calc_Mix'!$X$17+ROW()*0.000001))</f>
        <v/>
      </c>
      <c r="U47" s="34">
        <f>IF(OR($B47="",$C47&lt;&gt;"Ativo",$D47&lt;&gt;'Calc_Mix'!$C$18,'Calc_Mix'!$X$18=0,COUNTIFS(Esc_Turno,'Calc_Mix'!$C$18,Esc_Circ,$B47)+COUNTIFS(Esc_Turno,'Calc_Mix'!$C$18,Esc_Instr,$B47)&gt;0),"",IF(SUMPRODUCT('Calc_Mix'!$D$18:$W$18,'Matriz_Habilidades'!$D47:$W47)=0,"",SUMPRODUCT('Calc_Mix'!$D$18:$W$18,'Matriz_Habilidades'!$D47:$W47)/'Calc_Mix'!$X$18+ROW()*0.000001))</f>
        <v/>
      </c>
      <c r="V47" s="34">
        <f>IF(OR($B47="",$C47&lt;&gt;"Ativo",$D47&lt;&gt;'Calc_Mix'!$C$19,'Calc_Mix'!$X$19=0,COUNTIFS(Esc_Turno,'Calc_Mix'!$C$19,Esc_Circ,$B47)+COUNTIFS(Esc_Turno,'Calc_Mix'!$C$19,Esc_Instr,$B47)&gt;0),"",IF(SUMPRODUCT('Calc_Mix'!$D$19:$W$19,'Matriz_Habilidades'!$D47:$W47)=0,"",SUMPRODUCT('Calc_Mix'!$D$19:$W$19,'Matriz_Habilidades'!$D47:$W47)/'Calc_Mix'!$X$19+ROW()*0.000001))</f>
        <v/>
      </c>
      <c r="W47" s="34">
        <f>IF(OR($B47="",$C47&lt;&gt;"Ativo",$D47&lt;&gt;'Calc_Mix'!$C$20,'Calc_Mix'!$X$20=0,COUNTIFS(Esc_Turno,'Calc_Mix'!$C$20,Esc_Circ,$B47)+COUNTIFS(Esc_Turno,'Calc_Mix'!$C$20,Esc_Instr,$B47)&gt;0),"",IF(SUMPRODUCT('Calc_Mix'!$D$20:$W$20,'Matriz_Habilidades'!$D47:$W47)=0,"",SUMPRODUCT('Calc_Mix'!$D$20:$W$20,'Matriz_Habilidades'!$D47:$W47)/'Calc_Mix'!$X$20+ROW()*0.000001))</f>
        <v/>
      </c>
      <c r="X47" s="34">
        <f>IF(OR($B47="",$C47&lt;&gt;"Ativo",$D47&lt;&gt;'Calc_Mix'!$C$21,'Calc_Mix'!$X$21=0,COUNTIFS(Esc_Turno,'Calc_Mix'!$C$21,Esc_Circ,$B47)+COUNTIFS(Esc_Turno,'Calc_Mix'!$C$21,Esc_Instr,$B47)&gt;0),"",IF(SUMPRODUCT('Calc_Mix'!$D$21:$W$21,'Matriz_Habilidades'!$D47:$W47)=0,"",SUMPRODUCT('Calc_Mix'!$D$21:$W$21,'Matriz_Habilidades'!$D47:$W47)/'Calc_Mix'!$X$21+ROW()*0.000001))</f>
        <v/>
      </c>
      <c r="Y47" s="34">
        <f>IF(OR($B47="",$C47&lt;&gt;"Ativo",$D47&lt;&gt;'Calc_Mix'!$C$22,'Calc_Mix'!$X$22=0,COUNTIFS(Esc_Turno,'Calc_Mix'!$C$22,Esc_Circ,$B47)+COUNTIFS(Esc_Turno,'Calc_Mix'!$C$22,Esc_Instr,$B47)&gt;0),"",IF(SUMPRODUCT('Calc_Mix'!$D$22:$W$22,'Matriz_Habilidades'!$D47:$W47)=0,"",SUMPRODUCT('Calc_Mix'!$D$22:$W$22,'Matriz_Habilidades'!$D47:$W47)/'Calc_Mix'!$X$22+ROW()*0.000001))</f>
        <v/>
      </c>
      <c r="Z47" s="34">
        <f>IF(OR($B47="",$C47&lt;&gt;"Ativo",$D47&lt;&gt;'Calc_Mix'!$C$23,'Calc_Mix'!$X$23=0,COUNTIFS(Esc_Turno,'Calc_Mix'!$C$23,Esc_Circ,$B47)+COUNTIFS(Esc_Turno,'Calc_Mix'!$C$23,Esc_Instr,$B47)&gt;0),"",IF(SUMPRODUCT('Calc_Mix'!$D$23:$W$23,'Matriz_Habilidades'!$D47:$W47)=0,"",SUMPRODUCT('Calc_Mix'!$D$23:$W$23,'Matriz_Habilidades'!$D47:$W47)/'Calc_Mix'!$X$23+ROW()*0.000001))</f>
        <v/>
      </c>
      <c r="AA47" s="34">
        <f>IF(OR($B47="",$C47&lt;&gt;"Ativo",$D47&lt;&gt;'Calc_Mix'!$C$24,'Calc_Mix'!$X$24=0,COUNTIFS(Esc_Turno,'Calc_Mix'!$C$24,Esc_Circ,$B47)+COUNTIFS(Esc_Turno,'Calc_Mix'!$C$24,Esc_Instr,$B47)&gt;0),"",IF(SUMPRODUCT('Calc_Mix'!$D$24:$W$24,'Matriz_Habilidades'!$D47:$W47)=0,"",SUMPRODUCT('Calc_Mix'!$D$24:$W$24,'Matriz_Habilidades'!$D47:$W47)/'Calc_Mix'!$X$24+ROW()*0.000001))</f>
        <v/>
      </c>
      <c r="AB47" s="34">
        <f>IF(OR($B47="",$C47&lt;&gt;"Ativo",$D47&lt;&gt;'Calc_Mix'!$C$25,'Calc_Mix'!$X$25=0,COUNTIFS(Esc_Turno,'Calc_Mix'!$C$25,Esc_Circ,$B47)+COUNTIFS(Esc_Turno,'Calc_Mix'!$C$25,Esc_Instr,$B47)&gt;0),"",IF(SUMPRODUCT('Calc_Mix'!$D$25:$W$25,'Matriz_Habilidades'!$D47:$W47)=0,"",SUMPRODUCT('Calc_Mix'!$D$25:$W$25,'Matriz_Habilidades'!$D47:$W47)/'Calc_Mix'!$X$25+ROW()*0.000001))</f>
        <v/>
      </c>
      <c r="AC47" s="34">
        <f>IF(OR($B47="",$C47&lt;&gt;"Ativo",$D47&lt;&gt;'Calc_Mix'!$C$26,'Calc_Mix'!$X$26=0,COUNTIFS(Esc_Turno,'Calc_Mix'!$C$26,Esc_Circ,$B47)+COUNTIFS(Esc_Turno,'Calc_Mix'!$C$26,Esc_Instr,$B47)&gt;0),"",IF(SUMPRODUCT('Calc_Mix'!$D$26:$W$26,'Matriz_Habilidades'!$D47:$W47)=0,"",SUMPRODUCT('Calc_Mix'!$D$26:$W$26,'Matriz_Habilidades'!$D47:$W47)/'Calc_Mix'!$X$26+ROW()*0.000001))</f>
        <v/>
      </c>
      <c r="AD47" s="34">
        <f>IF(OR($B47="",$C47&lt;&gt;"Ativo",$D47&lt;&gt;'Calc_Mix'!$C$27,'Calc_Mix'!$X$27=0,COUNTIFS(Esc_Turno,'Calc_Mix'!$C$27,Esc_Circ,$B47)+COUNTIFS(Esc_Turno,'Calc_Mix'!$C$27,Esc_Instr,$B47)&gt;0),"",IF(SUMPRODUCT('Calc_Mix'!$D$27:$W$27,'Matriz_Habilidades'!$D47:$W47)=0,"",SUMPRODUCT('Calc_Mix'!$D$27:$W$27,'Matriz_Habilidades'!$D47:$W47)/'Calc_Mix'!$X$27+ROW()*0.000001))</f>
        <v/>
      </c>
      <c r="AE47" s="34">
        <f>IF(OR($B47="",$C47&lt;&gt;"Ativo",$D47&lt;&gt;'Calc_Mix'!$C$28,'Calc_Mix'!$X$28=0,COUNTIFS(Esc_Turno,'Calc_Mix'!$C$28,Esc_Circ,$B47)+COUNTIFS(Esc_Turno,'Calc_Mix'!$C$28,Esc_Instr,$B47)&gt;0),"",IF(SUMPRODUCT('Calc_Mix'!$D$28:$W$28,'Matriz_Habilidades'!$D47:$W47)=0,"",SUMPRODUCT('Calc_Mix'!$D$28:$W$28,'Matriz_Habilidades'!$D47:$W47)/'Calc_Mix'!$X$28+ROW()*0.000001))</f>
        <v/>
      </c>
      <c r="AF47" s="34">
        <f>IF(OR($B47="",$C47&lt;&gt;"Ativo",$D47&lt;&gt;'Calc_Mix'!$C$29,'Calc_Mix'!$X$29=0,COUNTIFS(Esc_Turno,'Calc_Mix'!$C$29,Esc_Circ,$B47)+COUNTIFS(Esc_Turno,'Calc_Mix'!$C$29,Esc_Instr,$B47)&gt;0),"",IF(SUMPRODUCT('Calc_Mix'!$D$29:$W$29,'Matriz_Habilidades'!$D47:$W47)=0,"",SUMPRODUCT('Calc_Mix'!$D$29:$W$29,'Matriz_Habilidades'!$D47:$W47)/'Calc_Mix'!$X$29+ROW()*0.000001))</f>
        <v/>
      </c>
      <c r="AG47" s="34">
        <f>IF(OR($B47="",$C47&lt;&gt;"Ativo",$D47&lt;&gt;'Calc_Mix'!$C$30,'Calc_Mix'!$X$30=0,COUNTIFS(Esc_Turno,'Calc_Mix'!$C$30,Esc_Circ,$B47)+COUNTIFS(Esc_Turno,'Calc_Mix'!$C$30,Esc_Instr,$B47)&gt;0),"",IF(SUMPRODUCT('Calc_Mix'!$D$30:$W$30,'Matriz_Habilidades'!$D47:$W47)=0,"",SUMPRODUCT('Calc_Mix'!$D$30:$W$30,'Matriz_Habilidades'!$D47:$W47)/'Calc_Mix'!$X$30+ROW()*0.000001))</f>
        <v/>
      </c>
      <c r="AH47" s="34">
        <f>IF(OR($B47="",$C47&lt;&gt;"Ativo",$D47&lt;&gt;'Calc_Mix'!$C$31,'Calc_Mix'!$X$31=0,COUNTIFS(Esc_Turno,'Calc_Mix'!$C$31,Esc_Circ,$B47)+COUNTIFS(Esc_Turno,'Calc_Mix'!$C$31,Esc_Instr,$B47)&gt;0),"",IF(SUMPRODUCT('Calc_Mix'!$D$31:$W$31,'Matriz_Habilidades'!$D47:$W47)=0,"",SUMPRODUCT('Calc_Mix'!$D$31:$W$31,'Matriz_Habilidades'!$D47:$W47)/'Calc_Mix'!$X$31+ROW()*0.000001))</f>
        <v/>
      </c>
      <c r="AI47" s="34">
        <f>IF(OR($B47="",$C47&lt;&gt;"Ativo",$D47&lt;&gt;'Calc_Mix'!$C$32,'Calc_Mix'!$X$32=0,COUNTIFS(Esc_Turno,'Calc_Mix'!$C$32,Esc_Circ,$B47)+COUNTIFS(Esc_Turno,'Calc_Mix'!$C$32,Esc_Instr,$B47)&gt;0),"",IF(SUMPRODUCT('Calc_Mix'!$D$32:$W$32,'Matriz_Habilidades'!$D47:$W47)=0,"",SUMPRODUCT('Calc_Mix'!$D$32:$W$32,'Matriz_Habilidades'!$D47:$W47)/'Calc_Mix'!$X$32+ROW()*0.000001))</f>
        <v/>
      </c>
      <c r="AJ47" s="34">
        <f>IF(OR($B47="",$C47&lt;&gt;"Ativo",$D47&lt;&gt;'Calc_Mix'!$C$33,'Calc_Mix'!$X$33=0,COUNTIFS(Esc_Turno,'Calc_Mix'!$C$33,Esc_Circ,$B47)+COUNTIFS(Esc_Turno,'Calc_Mix'!$C$33,Esc_Instr,$B47)&gt;0),"",IF(SUMPRODUCT('Calc_Mix'!$D$33:$W$33,'Matriz_Habilidades'!$D47:$W47)=0,"",SUMPRODUCT('Calc_Mix'!$D$33:$W$33,'Matriz_Habilidades'!$D47:$W47)/'Calc_Mix'!$X$33+ROW()*0.000001))</f>
        <v/>
      </c>
      <c r="AK47" s="34">
        <f>IF(OR($B47="",$C47&lt;&gt;"Ativo",$D47&lt;&gt;'Calc_Mix'!$C$34,'Calc_Mix'!$X$34=0,COUNTIFS(Esc_Turno,'Calc_Mix'!$C$34,Esc_Circ,$B47)+COUNTIFS(Esc_Turno,'Calc_Mix'!$C$34,Esc_Instr,$B47)&gt;0),"",IF(SUMPRODUCT('Calc_Mix'!$D$34:$W$34,'Matriz_Habilidades'!$D47:$W47)=0,"",SUMPRODUCT('Calc_Mix'!$D$34:$W$34,'Matriz_Habilidades'!$D47:$W47)/'Calc_Mix'!$X$34+ROW()*0.000001))</f>
        <v/>
      </c>
      <c r="AL47" s="34">
        <f>IF(OR($B47="",$C47&lt;&gt;"Ativo",$D47&lt;&gt;'Calc_Mix'!$C$35,'Calc_Mix'!$X$35=0,COUNTIFS(Esc_Turno,'Calc_Mix'!$C$35,Esc_Circ,$B47)+COUNTIFS(Esc_Turno,'Calc_Mix'!$C$35,Esc_Instr,$B47)&gt;0),"",IF(SUMPRODUCT('Calc_Mix'!$D$35:$W$35,'Matriz_Habilidades'!$D47:$W47)=0,"",SUMPRODUCT('Calc_Mix'!$D$35:$W$35,'Matriz_Habilidades'!$D47:$W47)/'Calc_Mix'!$X$35+ROW()*0.000001))</f>
        <v/>
      </c>
      <c r="AM47" s="34">
        <f>IF(OR($B47="",$C47&lt;&gt;"Ativo",$D47&lt;&gt;'Calc_Mix'!$C$36,'Calc_Mix'!$X$36=0,COUNTIFS(Esc_Turno,'Calc_Mix'!$C$36,Esc_Circ,$B47)+COUNTIFS(Esc_Turno,'Calc_Mix'!$C$36,Esc_Instr,$B47)&gt;0),"",IF(SUMPRODUCT('Calc_Mix'!$D$36:$W$36,'Matriz_Habilidades'!$D47:$W47)=0,"",SUMPRODUCT('Calc_Mix'!$D$36:$W$36,'Matriz_Habilidades'!$D47:$W47)/'Calc_Mix'!$X$36+ROW()*0.000001))</f>
        <v/>
      </c>
      <c r="AN47" s="34">
        <f>IF(OR($B47="",$C47&lt;&gt;"Ativo",$D47&lt;&gt;'Calc_Mix'!$C$37,'Calc_Mix'!$X$37=0,COUNTIFS(Esc_Turno,'Calc_Mix'!$C$37,Esc_Circ,$B47)+COUNTIFS(Esc_Turno,'Calc_Mix'!$C$37,Esc_Instr,$B47)&gt;0),"",IF(SUMPRODUCT('Calc_Mix'!$D$37:$W$37,'Matriz_Habilidades'!$D47:$W47)=0,"",SUMPRODUCT('Calc_Mix'!$D$37:$W$37,'Matriz_Habilidades'!$D47:$W47)/'Calc_Mix'!$X$37+ROW()*0.000001))</f>
        <v/>
      </c>
    </row>
    <row r="48">
      <c r="A48" s="27">
        <f>IF('Matriz_Habilidades'!A48="","",'Matriz_Habilidades'!A48)</f>
        <v/>
      </c>
      <c r="B48" s="28">
        <f>IF('Matriz_Habilidades'!B48="","",'Matriz_Habilidades'!B48)</f>
        <v/>
      </c>
      <c r="C48" s="27">
        <f>IF($A48="","",IFERROR(INDEX(Equipe_Status,MATCH($B48,Equipe_Nome,0)),"?"))</f>
        <v/>
      </c>
      <c r="D48" s="27">
        <f>IF($A48="","",IFERROR(INDEX(Equipe_Turno,MATCH($B48,Equipe_Nome,0)),"?"))</f>
        <v/>
      </c>
      <c r="E48" s="34">
        <f>IF(OR($B48="",$C48&lt;&gt;"Ativo",$D48&lt;&gt;'Calc_Mix'!$C$2,'Calc_Mix'!$X$2=0,COUNTIFS(Esc_Turno,'Calc_Mix'!$C$2,Esc_Circ,$B48)+COUNTIFS(Esc_Turno,'Calc_Mix'!$C$2,Esc_Instr,$B48)&gt;0),"",IF(SUMPRODUCT('Calc_Mix'!$D$2:$W$2,'Matriz_Habilidades'!$D48:$W48)=0,"",SUMPRODUCT('Calc_Mix'!$D$2:$W$2,'Matriz_Habilidades'!$D48:$W48)/'Calc_Mix'!$X$2+ROW()*0.000001))</f>
        <v/>
      </c>
      <c r="F48" s="34">
        <f>IF(OR($B48="",$C48&lt;&gt;"Ativo",$D48&lt;&gt;'Calc_Mix'!$C$3,'Calc_Mix'!$X$3=0,COUNTIFS(Esc_Turno,'Calc_Mix'!$C$3,Esc_Circ,$B48)+COUNTIFS(Esc_Turno,'Calc_Mix'!$C$3,Esc_Instr,$B48)&gt;0),"",IF(SUMPRODUCT('Calc_Mix'!$D$3:$W$3,'Matriz_Habilidades'!$D48:$W48)=0,"",SUMPRODUCT('Calc_Mix'!$D$3:$W$3,'Matriz_Habilidades'!$D48:$W48)/'Calc_Mix'!$X$3+ROW()*0.000001))</f>
        <v/>
      </c>
      <c r="G48" s="34">
        <f>IF(OR($B48="",$C48&lt;&gt;"Ativo",$D48&lt;&gt;'Calc_Mix'!$C$4,'Calc_Mix'!$X$4=0,COUNTIFS(Esc_Turno,'Calc_Mix'!$C$4,Esc_Circ,$B48)+COUNTIFS(Esc_Turno,'Calc_Mix'!$C$4,Esc_Instr,$B48)&gt;0),"",IF(SUMPRODUCT('Calc_Mix'!$D$4:$W$4,'Matriz_Habilidades'!$D48:$W48)=0,"",SUMPRODUCT('Calc_Mix'!$D$4:$W$4,'Matriz_Habilidades'!$D48:$W48)/'Calc_Mix'!$X$4+ROW()*0.000001))</f>
        <v/>
      </c>
      <c r="H48" s="34">
        <f>IF(OR($B48="",$C48&lt;&gt;"Ativo",$D48&lt;&gt;'Calc_Mix'!$C$5,'Calc_Mix'!$X$5=0,COUNTIFS(Esc_Turno,'Calc_Mix'!$C$5,Esc_Circ,$B48)+COUNTIFS(Esc_Turno,'Calc_Mix'!$C$5,Esc_Instr,$B48)&gt;0),"",IF(SUMPRODUCT('Calc_Mix'!$D$5:$W$5,'Matriz_Habilidades'!$D48:$W48)=0,"",SUMPRODUCT('Calc_Mix'!$D$5:$W$5,'Matriz_Habilidades'!$D48:$W48)/'Calc_Mix'!$X$5+ROW()*0.000001))</f>
        <v/>
      </c>
      <c r="I48" s="34">
        <f>IF(OR($B48="",$C48&lt;&gt;"Ativo",$D48&lt;&gt;'Calc_Mix'!$C$6,'Calc_Mix'!$X$6=0,COUNTIFS(Esc_Turno,'Calc_Mix'!$C$6,Esc_Circ,$B48)+COUNTIFS(Esc_Turno,'Calc_Mix'!$C$6,Esc_Instr,$B48)&gt;0),"",IF(SUMPRODUCT('Calc_Mix'!$D$6:$W$6,'Matriz_Habilidades'!$D48:$W48)=0,"",SUMPRODUCT('Calc_Mix'!$D$6:$W$6,'Matriz_Habilidades'!$D48:$W48)/'Calc_Mix'!$X$6+ROW()*0.000001))</f>
        <v/>
      </c>
      <c r="J48" s="34">
        <f>IF(OR($B48="",$C48&lt;&gt;"Ativo",$D48&lt;&gt;'Calc_Mix'!$C$7,'Calc_Mix'!$X$7=0,COUNTIFS(Esc_Turno,'Calc_Mix'!$C$7,Esc_Circ,$B48)+COUNTIFS(Esc_Turno,'Calc_Mix'!$C$7,Esc_Instr,$B48)&gt;0),"",IF(SUMPRODUCT('Calc_Mix'!$D$7:$W$7,'Matriz_Habilidades'!$D48:$W48)=0,"",SUMPRODUCT('Calc_Mix'!$D$7:$W$7,'Matriz_Habilidades'!$D48:$W48)/'Calc_Mix'!$X$7+ROW()*0.000001))</f>
        <v/>
      </c>
      <c r="K48" s="34">
        <f>IF(OR($B48="",$C48&lt;&gt;"Ativo",$D48&lt;&gt;'Calc_Mix'!$C$8,'Calc_Mix'!$X$8=0,COUNTIFS(Esc_Turno,'Calc_Mix'!$C$8,Esc_Circ,$B48)+COUNTIFS(Esc_Turno,'Calc_Mix'!$C$8,Esc_Instr,$B48)&gt;0),"",IF(SUMPRODUCT('Calc_Mix'!$D$8:$W$8,'Matriz_Habilidades'!$D48:$W48)=0,"",SUMPRODUCT('Calc_Mix'!$D$8:$W$8,'Matriz_Habilidades'!$D48:$W48)/'Calc_Mix'!$X$8+ROW()*0.000001))</f>
        <v/>
      </c>
      <c r="L48" s="34">
        <f>IF(OR($B48="",$C48&lt;&gt;"Ativo",$D48&lt;&gt;'Calc_Mix'!$C$9,'Calc_Mix'!$X$9=0,COUNTIFS(Esc_Turno,'Calc_Mix'!$C$9,Esc_Circ,$B48)+COUNTIFS(Esc_Turno,'Calc_Mix'!$C$9,Esc_Instr,$B48)&gt;0),"",IF(SUMPRODUCT('Calc_Mix'!$D$9:$W$9,'Matriz_Habilidades'!$D48:$W48)=0,"",SUMPRODUCT('Calc_Mix'!$D$9:$W$9,'Matriz_Habilidades'!$D48:$W48)/'Calc_Mix'!$X$9+ROW()*0.000001))</f>
        <v/>
      </c>
      <c r="M48" s="34">
        <f>IF(OR($B48="",$C48&lt;&gt;"Ativo",$D48&lt;&gt;'Calc_Mix'!$C$10,'Calc_Mix'!$X$10=0,COUNTIFS(Esc_Turno,'Calc_Mix'!$C$10,Esc_Circ,$B48)+COUNTIFS(Esc_Turno,'Calc_Mix'!$C$10,Esc_Instr,$B48)&gt;0),"",IF(SUMPRODUCT('Calc_Mix'!$D$10:$W$10,'Matriz_Habilidades'!$D48:$W48)=0,"",SUMPRODUCT('Calc_Mix'!$D$10:$W$10,'Matriz_Habilidades'!$D48:$W48)/'Calc_Mix'!$X$10+ROW()*0.000001))</f>
        <v/>
      </c>
      <c r="N48" s="34">
        <f>IF(OR($B48="",$C48&lt;&gt;"Ativo",$D48&lt;&gt;'Calc_Mix'!$C$11,'Calc_Mix'!$X$11=0,COUNTIFS(Esc_Turno,'Calc_Mix'!$C$11,Esc_Circ,$B48)+COUNTIFS(Esc_Turno,'Calc_Mix'!$C$11,Esc_Instr,$B48)&gt;0),"",IF(SUMPRODUCT('Calc_Mix'!$D$11:$W$11,'Matriz_Habilidades'!$D48:$W48)=0,"",SUMPRODUCT('Calc_Mix'!$D$11:$W$11,'Matriz_Habilidades'!$D48:$W48)/'Calc_Mix'!$X$11+ROW()*0.000001))</f>
        <v/>
      </c>
      <c r="O48" s="34">
        <f>IF(OR($B48="",$C48&lt;&gt;"Ativo",$D48&lt;&gt;'Calc_Mix'!$C$12,'Calc_Mix'!$X$12=0,COUNTIFS(Esc_Turno,'Calc_Mix'!$C$12,Esc_Circ,$B48)+COUNTIFS(Esc_Turno,'Calc_Mix'!$C$12,Esc_Instr,$B48)&gt;0),"",IF(SUMPRODUCT('Calc_Mix'!$D$12:$W$12,'Matriz_Habilidades'!$D48:$W48)=0,"",SUMPRODUCT('Calc_Mix'!$D$12:$W$12,'Matriz_Habilidades'!$D48:$W48)/'Calc_Mix'!$X$12+ROW()*0.000001))</f>
        <v/>
      </c>
      <c r="P48" s="34">
        <f>IF(OR($B48="",$C48&lt;&gt;"Ativo",$D48&lt;&gt;'Calc_Mix'!$C$13,'Calc_Mix'!$X$13=0,COUNTIFS(Esc_Turno,'Calc_Mix'!$C$13,Esc_Circ,$B48)+COUNTIFS(Esc_Turno,'Calc_Mix'!$C$13,Esc_Instr,$B48)&gt;0),"",IF(SUMPRODUCT('Calc_Mix'!$D$13:$W$13,'Matriz_Habilidades'!$D48:$W48)=0,"",SUMPRODUCT('Calc_Mix'!$D$13:$W$13,'Matriz_Habilidades'!$D48:$W48)/'Calc_Mix'!$X$13+ROW()*0.000001))</f>
        <v/>
      </c>
      <c r="Q48" s="34">
        <f>IF(OR($B48="",$C48&lt;&gt;"Ativo",$D48&lt;&gt;'Calc_Mix'!$C$14,'Calc_Mix'!$X$14=0,COUNTIFS(Esc_Turno,'Calc_Mix'!$C$14,Esc_Circ,$B48)+COUNTIFS(Esc_Turno,'Calc_Mix'!$C$14,Esc_Instr,$B48)&gt;0),"",IF(SUMPRODUCT('Calc_Mix'!$D$14:$W$14,'Matriz_Habilidades'!$D48:$W48)=0,"",SUMPRODUCT('Calc_Mix'!$D$14:$W$14,'Matriz_Habilidades'!$D48:$W48)/'Calc_Mix'!$X$14+ROW()*0.000001))</f>
        <v/>
      </c>
      <c r="R48" s="34">
        <f>IF(OR($B48="",$C48&lt;&gt;"Ativo",$D48&lt;&gt;'Calc_Mix'!$C$15,'Calc_Mix'!$X$15=0,COUNTIFS(Esc_Turno,'Calc_Mix'!$C$15,Esc_Circ,$B48)+COUNTIFS(Esc_Turno,'Calc_Mix'!$C$15,Esc_Instr,$B48)&gt;0),"",IF(SUMPRODUCT('Calc_Mix'!$D$15:$W$15,'Matriz_Habilidades'!$D48:$W48)=0,"",SUMPRODUCT('Calc_Mix'!$D$15:$W$15,'Matriz_Habilidades'!$D48:$W48)/'Calc_Mix'!$X$15+ROW()*0.000001))</f>
        <v/>
      </c>
      <c r="S48" s="34">
        <f>IF(OR($B48="",$C48&lt;&gt;"Ativo",$D48&lt;&gt;'Calc_Mix'!$C$16,'Calc_Mix'!$X$16=0,COUNTIFS(Esc_Turno,'Calc_Mix'!$C$16,Esc_Circ,$B48)+COUNTIFS(Esc_Turno,'Calc_Mix'!$C$16,Esc_Instr,$B48)&gt;0),"",IF(SUMPRODUCT('Calc_Mix'!$D$16:$W$16,'Matriz_Habilidades'!$D48:$W48)=0,"",SUMPRODUCT('Calc_Mix'!$D$16:$W$16,'Matriz_Habilidades'!$D48:$W48)/'Calc_Mix'!$X$16+ROW()*0.000001))</f>
        <v/>
      </c>
      <c r="T48" s="34">
        <f>IF(OR($B48="",$C48&lt;&gt;"Ativo",$D48&lt;&gt;'Calc_Mix'!$C$17,'Calc_Mix'!$X$17=0,COUNTIFS(Esc_Turno,'Calc_Mix'!$C$17,Esc_Circ,$B48)+COUNTIFS(Esc_Turno,'Calc_Mix'!$C$17,Esc_Instr,$B48)&gt;0),"",IF(SUMPRODUCT('Calc_Mix'!$D$17:$W$17,'Matriz_Habilidades'!$D48:$W48)=0,"",SUMPRODUCT('Calc_Mix'!$D$17:$W$17,'Matriz_Habilidades'!$D48:$W48)/'Calc_Mix'!$X$17+ROW()*0.000001))</f>
        <v/>
      </c>
      <c r="U48" s="34">
        <f>IF(OR($B48="",$C48&lt;&gt;"Ativo",$D48&lt;&gt;'Calc_Mix'!$C$18,'Calc_Mix'!$X$18=0,COUNTIFS(Esc_Turno,'Calc_Mix'!$C$18,Esc_Circ,$B48)+COUNTIFS(Esc_Turno,'Calc_Mix'!$C$18,Esc_Instr,$B48)&gt;0),"",IF(SUMPRODUCT('Calc_Mix'!$D$18:$W$18,'Matriz_Habilidades'!$D48:$W48)=0,"",SUMPRODUCT('Calc_Mix'!$D$18:$W$18,'Matriz_Habilidades'!$D48:$W48)/'Calc_Mix'!$X$18+ROW()*0.000001))</f>
        <v/>
      </c>
      <c r="V48" s="34">
        <f>IF(OR($B48="",$C48&lt;&gt;"Ativo",$D48&lt;&gt;'Calc_Mix'!$C$19,'Calc_Mix'!$X$19=0,COUNTIFS(Esc_Turno,'Calc_Mix'!$C$19,Esc_Circ,$B48)+COUNTIFS(Esc_Turno,'Calc_Mix'!$C$19,Esc_Instr,$B48)&gt;0),"",IF(SUMPRODUCT('Calc_Mix'!$D$19:$W$19,'Matriz_Habilidades'!$D48:$W48)=0,"",SUMPRODUCT('Calc_Mix'!$D$19:$W$19,'Matriz_Habilidades'!$D48:$W48)/'Calc_Mix'!$X$19+ROW()*0.000001))</f>
        <v/>
      </c>
      <c r="W48" s="34">
        <f>IF(OR($B48="",$C48&lt;&gt;"Ativo",$D48&lt;&gt;'Calc_Mix'!$C$20,'Calc_Mix'!$X$20=0,COUNTIFS(Esc_Turno,'Calc_Mix'!$C$20,Esc_Circ,$B48)+COUNTIFS(Esc_Turno,'Calc_Mix'!$C$20,Esc_Instr,$B48)&gt;0),"",IF(SUMPRODUCT('Calc_Mix'!$D$20:$W$20,'Matriz_Habilidades'!$D48:$W48)=0,"",SUMPRODUCT('Calc_Mix'!$D$20:$W$20,'Matriz_Habilidades'!$D48:$W48)/'Calc_Mix'!$X$20+ROW()*0.000001))</f>
        <v/>
      </c>
      <c r="X48" s="34">
        <f>IF(OR($B48="",$C48&lt;&gt;"Ativo",$D48&lt;&gt;'Calc_Mix'!$C$21,'Calc_Mix'!$X$21=0,COUNTIFS(Esc_Turno,'Calc_Mix'!$C$21,Esc_Circ,$B48)+COUNTIFS(Esc_Turno,'Calc_Mix'!$C$21,Esc_Instr,$B48)&gt;0),"",IF(SUMPRODUCT('Calc_Mix'!$D$21:$W$21,'Matriz_Habilidades'!$D48:$W48)=0,"",SUMPRODUCT('Calc_Mix'!$D$21:$W$21,'Matriz_Habilidades'!$D48:$W48)/'Calc_Mix'!$X$21+ROW()*0.000001))</f>
        <v/>
      </c>
      <c r="Y48" s="34">
        <f>IF(OR($B48="",$C48&lt;&gt;"Ativo",$D48&lt;&gt;'Calc_Mix'!$C$22,'Calc_Mix'!$X$22=0,COUNTIFS(Esc_Turno,'Calc_Mix'!$C$22,Esc_Circ,$B48)+COUNTIFS(Esc_Turno,'Calc_Mix'!$C$22,Esc_Instr,$B48)&gt;0),"",IF(SUMPRODUCT('Calc_Mix'!$D$22:$W$22,'Matriz_Habilidades'!$D48:$W48)=0,"",SUMPRODUCT('Calc_Mix'!$D$22:$W$22,'Matriz_Habilidades'!$D48:$W48)/'Calc_Mix'!$X$22+ROW()*0.000001))</f>
        <v/>
      </c>
      <c r="Z48" s="34">
        <f>IF(OR($B48="",$C48&lt;&gt;"Ativo",$D48&lt;&gt;'Calc_Mix'!$C$23,'Calc_Mix'!$X$23=0,COUNTIFS(Esc_Turno,'Calc_Mix'!$C$23,Esc_Circ,$B48)+COUNTIFS(Esc_Turno,'Calc_Mix'!$C$23,Esc_Instr,$B48)&gt;0),"",IF(SUMPRODUCT('Calc_Mix'!$D$23:$W$23,'Matriz_Habilidades'!$D48:$W48)=0,"",SUMPRODUCT('Calc_Mix'!$D$23:$W$23,'Matriz_Habilidades'!$D48:$W48)/'Calc_Mix'!$X$23+ROW()*0.000001))</f>
        <v/>
      </c>
      <c r="AA48" s="34">
        <f>IF(OR($B48="",$C48&lt;&gt;"Ativo",$D48&lt;&gt;'Calc_Mix'!$C$24,'Calc_Mix'!$X$24=0,COUNTIFS(Esc_Turno,'Calc_Mix'!$C$24,Esc_Circ,$B48)+COUNTIFS(Esc_Turno,'Calc_Mix'!$C$24,Esc_Instr,$B48)&gt;0),"",IF(SUMPRODUCT('Calc_Mix'!$D$24:$W$24,'Matriz_Habilidades'!$D48:$W48)=0,"",SUMPRODUCT('Calc_Mix'!$D$24:$W$24,'Matriz_Habilidades'!$D48:$W48)/'Calc_Mix'!$X$24+ROW()*0.000001))</f>
        <v/>
      </c>
      <c r="AB48" s="34">
        <f>IF(OR($B48="",$C48&lt;&gt;"Ativo",$D48&lt;&gt;'Calc_Mix'!$C$25,'Calc_Mix'!$X$25=0,COUNTIFS(Esc_Turno,'Calc_Mix'!$C$25,Esc_Circ,$B48)+COUNTIFS(Esc_Turno,'Calc_Mix'!$C$25,Esc_Instr,$B48)&gt;0),"",IF(SUMPRODUCT('Calc_Mix'!$D$25:$W$25,'Matriz_Habilidades'!$D48:$W48)=0,"",SUMPRODUCT('Calc_Mix'!$D$25:$W$25,'Matriz_Habilidades'!$D48:$W48)/'Calc_Mix'!$X$25+ROW()*0.000001))</f>
        <v/>
      </c>
      <c r="AC48" s="34">
        <f>IF(OR($B48="",$C48&lt;&gt;"Ativo",$D48&lt;&gt;'Calc_Mix'!$C$26,'Calc_Mix'!$X$26=0,COUNTIFS(Esc_Turno,'Calc_Mix'!$C$26,Esc_Circ,$B48)+COUNTIFS(Esc_Turno,'Calc_Mix'!$C$26,Esc_Instr,$B48)&gt;0),"",IF(SUMPRODUCT('Calc_Mix'!$D$26:$W$26,'Matriz_Habilidades'!$D48:$W48)=0,"",SUMPRODUCT('Calc_Mix'!$D$26:$W$26,'Matriz_Habilidades'!$D48:$W48)/'Calc_Mix'!$X$26+ROW()*0.000001))</f>
        <v/>
      </c>
      <c r="AD48" s="34">
        <f>IF(OR($B48="",$C48&lt;&gt;"Ativo",$D48&lt;&gt;'Calc_Mix'!$C$27,'Calc_Mix'!$X$27=0,COUNTIFS(Esc_Turno,'Calc_Mix'!$C$27,Esc_Circ,$B48)+COUNTIFS(Esc_Turno,'Calc_Mix'!$C$27,Esc_Instr,$B48)&gt;0),"",IF(SUMPRODUCT('Calc_Mix'!$D$27:$W$27,'Matriz_Habilidades'!$D48:$W48)=0,"",SUMPRODUCT('Calc_Mix'!$D$27:$W$27,'Matriz_Habilidades'!$D48:$W48)/'Calc_Mix'!$X$27+ROW()*0.000001))</f>
        <v/>
      </c>
      <c r="AE48" s="34">
        <f>IF(OR($B48="",$C48&lt;&gt;"Ativo",$D48&lt;&gt;'Calc_Mix'!$C$28,'Calc_Mix'!$X$28=0,COUNTIFS(Esc_Turno,'Calc_Mix'!$C$28,Esc_Circ,$B48)+COUNTIFS(Esc_Turno,'Calc_Mix'!$C$28,Esc_Instr,$B48)&gt;0),"",IF(SUMPRODUCT('Calc_Mix'!$D$28:$W$28,'Matriz_Habilidades'!$D48:$W48)=0,"",SUMPRODUCT('Calc_Mix'!$D$28:$W$28,'Matriz_Habilidades'!$D48:$W48)/'Calc_Mix'!$X$28+ROW()*0.000001))</f>
        <v/>
      </c>
      <c r="AF48" s="34">
        <f>IF(OR($B48="",$C48&lt;&gt;"Ativo",$D48&lt;&gt;'Calc_Mix'!$C$29,'Calc_Mix'!$X$29=0,COUNTIFS(Esc_Turno,'Calc_Mix'!$C$29,Esc_Circ,$B48)+COUNTIFS(Esc_Turno,'Calc_Mix'!$C$29,Esc_Instr,$B48)&gt;0),"",IF(SUMPRODUCT('Calc_Mix'!$D$29:$W$29,'Matriz_Habilidades'!$D48:$W48)=0,"",SUMPRODUCT('Calc_Mix'!$D$29:$W$29,'Matriz_Habilidades'!$D48:$W48)/'Calc_Mix'!$X$29+ROW()*0.000001))</f>
        <v/>
      </c>
      <c r="AG48" s="34">
        <f>IF(OR($B48="",$C48&lt;&gt;"Ativo",$D48&lt;&gt;'Calc_Mix'!$C$30,'Calc_Mix'!$X$30=0,COUNTIFS(Esc_Turno,'Calc_Mix'!$C$30,Esc_Circ,$B48)+COUNTIFS(Esc_Turno,'Calc_Mix'!$C$30,Esc_Instr,$B48)&gt;0),"",IF(SUMPRODUCT('Calc_Mix'!$D$30:$W$30,'Matriz_Habilidades'!$D48:$W48)=0,"",SUMPRODUCT('Calc_Mix'!$D$30:$W$30,'Matriz_Habilidades'!$D48:$W48)/'Calc_Mix'!$X$30+ROW()*0.000001))</f>
        <v/>
      </c>
      <c r="AH48" s="34">
        <f>IF(OR($B48="",$C48&lt;&gt;"Ativo",$D48&lt;&gt;'Calc_Mix'!$C$31,'Calc_Mix'!$X$31=0,COUNTIFS(Esc_Turno,'Calc_Mix'!$C$31,Esc_Circ,$B48)+COUNTIFS(Esc_Turno,'Calc_Mix'!$C$31,Esc_Instr,$B48)&gt;0),"",IF(SUMPRODUCT('Calc_Mix'!$D$31:$W$31,'Matriz_Habilidades'!$D48:$W48)=0,"",SUMPRODUCT('Calc_Mix'!$D$31:$W$31,'Matriz_Habilidades'!$D48:$W48)/'Calc_Mix'!$X$31+ROW()*0.000001))</f>
        <v/>
      </c>
      <c r="AI48" s="34">
        <f>IF(OR($B48="",$C48&lt;&gt;"Ativo",$D48&lt;&gt;'Calc_Mix'!$C$32,'Calc_Mix'!$X$32=0,COUNTIFS(Esc_Turno,'Calc_Mix'!$C$32,Esc_Circ,$B48)+COUNTIFS(Esc_Turno,'Calc_Mix'!$C$32,Esc_Instr,$B48)&gt;0),"",IF(SUMPRODUCT('Calc_Mix'!$D$32:$W$32,'Matriz_Habilidades'!$D48:$W48)=0,"",SUMPRODUCT('Calc_Mix'!$D$32:$W$32,'Matriz_Habilidades'!$D48:$W48)/'Calc_Mix'!$X$32+ROW()*0.000001))</f>
        <v/>
      </c>
      <c r="AJ48" s="34">
        <f>IF(OR($B48="",$C48&lt;&gt;"Ativo",$D48&lt;&gt;'Calc_Mix'!$C$33,'Calc_Mix'!$X$33=0,COUNTIFS(Esc_Turno,'Calc_Mix'!$C$33,Esc_Circ,$B48)+COUNTIFS(Esc_Turno,'Calc_Mix'!$C$33,Esc_Instr,$B48)&gt;0),"",IF(SUMPRODUCT('Calc_Mix'!$D$33:$W$33,'Matriz_Habilidades'!$D48:$W48)=0,"",SUMPRODUCT('Calc_Mix'!$D$33:$W$33,'Matriz_Habilidades'!$D48:$W48)/'Calc_Mix'!$X$33+ROW()*0.000001))</f>
        <v/>
      </c>
      <c r="AK48" s="34">
        <f>IF(OR($B48="",$C48&lt;&gt;"Ativo",$D48&lt;&gt;'Calc_Mix'!$C$34,'Calc_Mix'!$X$34=0,COUNTIFS(Esc_Turno,'Calc_Mix'!$C$34,Esc_Circ,$B48)+COUNTIFS(Esc_Turno,'Calc_Mix'!$C$34,Esc_Instr,$B48)&gt;0),"",IF(SUMPRODUCT('Calc_Mix'!$D$34:$W$34,'Matriz_Habilidades'!$D48:$W48)=0,"",SUMPRODUCT('Calc_Mix'!$D$34:$W$34,'Matriz_Habilidades'!$D48:$W48)/'Calc_Mix'!$X$34+ROW()*0.000001))</f>
        <v/>
      </c>
      <c r="AL48" s="34">
        <f>IF(OR($B48="",$C48&lt;&gt;"Ativo",$D48&lt;&gt;'Calc_Mix'!$C$35,'Calc_Mix'!$X$35=0,COUNTIFS(Esc_Turno,'Calc_Mix'!$C$35,Esc_Circ,$B48)+COUNTIFS(Esc_Turno,'Calc_Mix'!$C$35,Esc_Instr,$B48)&gt;0),"",IF(SUMPRODUCT('Calc_Mix'!$D$35:$W$35,'Matriz_Habilidades'!$D48:$W48)=0,"",SUMPRODUCT('Calc_Mix'!$D$35:$W$35,'Matriz_Habilidades'!$D48:$W48)/'Calc_Mix'!$X$35+ROW()*0.000001))</f>
        <v/>
      </c>
      <c r="AM48" s="34">
        <f>IF(OR($B48="",$C48&lt;&gt;"Ativo",$D48&lt;&gt;'Calc_Mix'!$C$36,'Calc_Mix'!$X$36=0,COUNTIFS(Esc_Turno,'Calc_Mix'!$C$36,Esc_Circ,$B48)+COUNTIFS(Esc_Turno,'Calc_Mix'!$C$36,Esc_Instr,$B48)&gt;0),"",IF(SUMPRODUCT('Calc_Mix'!$D$36:$W$36,'Matriz_Habilidades'!$D48:$W48)=0,"",SUMPRODUCT('Calc_Mix'!$D$36:$W$36,'Matriz_Habilidades'!$D48:$W48)/'Calc_Mix'!$X$36+ROW()*0.000001))</f>
        <v/>
      </c>
      <c r="AN48" s="34">
        <f>IF(OR($B48="",$C48&lt;&gt;"Ativo",$D48&lt;&gt;'Calc_Mix'!$C$37,'Calc_Mix'!$X$37=0,COUNTIFS(Esc_Turno,'Calc_Mix'!$C$37,Esc_Circ,$B48)+COUNTIFS(Esc_Turno,'Calc_Mix'!$C$37,Esc_Instr,$B48)&gt;0),"",IF(SUMPRODUCT('Calc_Mix'!$D$37:$W$37,'Matriz_Habilidades'!$D48:$W48)=0,"",SUMPRODUCT('Calc_Mix'!$D$37:$W$37,'Matriz_Habilidades'!$D48:$W48)/'Calc_Mix'!$X$37+ROW()*0.000001))</f>
        <v/>
      </c>
    </row>
    <row r="49">
      <c r="A49" s="27">
        <f>IF('Matriz_Habilidades'!A49="","",'Matriz_Habilidades'!A49)</f>
        <v/>
      </c>
      <c r="B49" s="28">
        <f>IF('Matriz_Habilidades'!B49="","",'Matriz_Habilidades'!B49)</f>
        <v/>
      </c>
      <c r="C49" s="27">
        <f>IF($A49="","",IFERROR(INDEX(Equipe_Status,MATCH($B49,Equipe_Nome,0)),"?"))</f>
        <v/>
      </c>
      <c r="D49" s="27">
        <f>IF($A49="","",IFERROR(INDEX(Equipe_Turno,MATCH($B49,Equipe_Nome,0)),"?"))</f>
        <v/>
      </c>
      <c r="E49" s="34">
        <f>IF(OR($B49="",$C49&lt;&gt;"Ativo",$D49&lt;&gt;'Calc_Mix'!$C$2,'Calc_Mix'!$X$2=0,COUNTIFS(Esc_Turno,'Calc_Mix'!$C$2,Esc_Circ,$B49)+COUNTIFS(Esc_Turno,'Calc_Mix'!$C$2,Esc_Instr,$B49)&gt;0),"",IF(SUMPRODUCT('Calc_Mix'!$D$2:$W$2,'Matriz_Habilidades'!$D49:$W49)=0,"",SUMPRODUCT('Calc_Mix'!$D$2:$W$2,'Matriz_Habilidades'!$D49:$W49)/'Calc_Mix'!$X$2+ROW()*0.000001))</f>
        <v/>
      </c>
      <c r="F49" s="34">
        <f>IF(OR($B49="",$C49&lt;&gt;"Ativo",$D49&lt;&gt;'Calc_Mix'!$C$3,'Calc_Mix'!$X$3=0,COUNTIFS(Esc_Turno,'Calc_Mix'!$C$3,Esc_Circ,$B49)+COUNTIFS(Esc_Turno,'Calc_Mix'!$C$3,Esc_Instr,$B49)&gt;0),"",IF(SUMPRODUCT('Calc_Mix'!$D$3:$W$3,'Matriz_Habilidades'!$D49:$W49)=0,"",SUMPRODUCT('Calc_Mix'!$D$3:$W$3,'Matriz_Habilidades'!$D49:$W49)/'Calc_Mix'!$X$3+ROW()*0.000001))</f>
        <v/>
      </c>
      <c r="G49" s="34">
        <f>IF(OR($B49="",$C49&lt;&gt;"Ativo",$D49&lt;&gt;'Calc_Mix'!$C$4,'Calc_Mix'!$X$4=0,COUNTIFS(Esc_Turno,'Calc_Mix'!$C$4,Esc_Circ,$B49)+COUNTIFS(Esc_Turno,'Calc_Mix'!$C$4,Esc_Instr,$B49)&gt;0),"",IF(SUMPRODUCT('Calc_Mix'!$D$4:$W$4,'Matriz_Habilidades'!$D49:$W49)=0,"",SUMPRODUCT('Calc_Mix'!$D$4:$W$4,'Matriz_Habilidades'!$D49:$W49)/'Calc_Mix'!$X$4+ROW()*0.000001))</f>
        <v/>
      </c>
      <c r="H49" s="34">
        <f>IF(OR($B49="",$C49&lt;&gt;"Ativo",$D49&lt;&gt;'Calc_Mix'!$C$5,'Calc_Mix'!$X$5=0,COUNTIFS(Esc_Turno,'Calc_Mix'!$C$5,Esc_Circ,$B49)+COUNTIFS(Esc_Turno,'Calc_Mix'!$C$5,Esc_Instr,$B49)&gt;0),"",IF(SUMPRODUCT('Calc_Mix'!$D$5:$W$5,'Matriz_Habilidades'!$D49:$W49)=0,"",SUMPRODUCT('Calc_Mix'!$D$5:$W$5,'Matriz_Habilidades'!$D49:$W49)/'Calc_Mix'!$X$5+ROW()*0.000001))</f>
        <v/>
      </c>
      <c r="I49" s="34">
        <f>IF(OR($B49="",$C49&lt;&gt;"Ativo",$D49&lt;&gt;'Calc_Mix'!$C$6,'Calc_Mix'!$X$6=0,COUNTIFS(Esc_Turno,'Calc_Mix'!$C$6,Esc_Circ,$B49)+COUNTIFS(Esc_Turno,'Calc_Mix'!$C$6,Esc_Instr,$B49)&gt;0),"",IF(SUMPRODUCT('Calc_Mix'!$D$6:$W$6,'Matriz_Habilidades'!$D49:$W49)=0,"",SUMPRODUCT('Calc_Mix'!$D$6:$W$6,'Matriz_Habilidades'!$D49:$W49)/'Calc_Mix'!$X$6+ROW()*0.000001))</f>
        <v/>
      </c>
      <c r="J49" s="34">
        <f>IF(OR($B49="",$C49&lt;&gt;"Ativo",$D49&lt;&gt;'Calc_Mix'!$C$7,'Calc_Mix'!$X$7=0,COUNTIFS(Esc_Turno,'Calc_Mix'!$C$7,Esc_Circ,$B49)+COUNTIFS(Esc_Turno,'Calc_Mix'!$C$7,Esc_Instr,$B49)&gt;0),"",IF(SUMPRODUCT('Calc_Mix'!$D$7:$W$7,'Matriz_Habilidades'!$D49:$W49)=0,"",SUMPRODUCT('Calc_Mix'!$D$7:$W$7,'Matriz_Habilidades'!$D49:$W49)/'Calc_Mix'!$X$7+ROW()*0.000001))</f>
        <v/>
      </c>
      <c r="K49" s="34">
        <f>IF(OR($B49="",$C49&lt;&gt;"Ativo",$D49&lt;&gt;'Calc_Mix'!$C$8,'Calc_Mix'!$X$8=0,COUNTIFS(Esc_Turno,'Calc_Mix'!$C$8,Esc_Circ,$B49)+COUNTIFS(Esc_Turno,'Calc_Mix'!$C$8,Esc_Instr,$B49)&gt;0),"",IF(SUMPRODUCT('Calc_Mix'!$D$8:$W$8,'Matriz_Habilidades'!$D49:$W49)=0,"",SUMPRODUCT('Calc_Mix'!$D$8:$W$8,'Matriz_Habilidades'!$D49:$W49)/'Calc_Mix'!$X$8+ROW()*0.000001))</f>
        <v/>
      </c>
      <c r="L49" s="34">
        <f>IF(OR($B49="",$C49&lt;&gt;"Ativo",$D49&lt;&gt;'Calc_Mix'!$C$9,'Calc_Mix'!$X$9=0,COUNTIFS(Esc_Turno,'Calc_Mix'!$C$9,Esc_Circ,$B49)+COUNTIFS(Esc_Turno,'Calc_Mix'!$C$9,Esc_Instr,$B49)&gt;0),"",IF(SUMPRODUCT('Calc_Mix'!$D$9:$W$9,'Matriz_Habilidades'!$D49:$W49)=0,"",SUMPRODUCT('Calc_Mix'!$D$9:$W$9,'Matriz_Habilidades'!$D49:$W49)/'Calc_Mix'!$X$9+ROW()*0.000001))</f>
        <v/>
      </c>
      <c r="M49" s="34">
        <f>IF(OR($B49="",$C49&lt;&gt;"Ativo",$D49&lt;&gt;'Calc_Mix'!$C$10,'Calc_Mix'!$X$10=0,COUNTIFS(Esc_Turno,'Calc_Mix'!$C$10,Esc_Circ,$B49)+COUNTIFS(Esc_Turno,'Calc_Mix'!$C$10,Esc_Instr,$B49)&gt;0),"",IF(SUMPRODUCT('Calc_Mix'!$D$10:$W$10,'Matriz_Habilidades'!$D49:$W49)=0,"",SUMPRODUCT('Calc_Mix'!$D$10:$W$10,'Matriz_Habilidades'!$D49:$W49)/'Calc_Mix'!$X$10+ROW()*0.000001))</f>
        <v/>
      </c>
      <c r="N49" s="34">
        <f>IF(OR($B49="",$C49&lt;&gt;"Ativo",$D49&lt;&gt;'Calc_Mix'!$C$11,'Calc_Mix'!$X$11=0,COUNTIFS(Esc_Turno,'Calc_Mix'!$C$11,Esc_Circ,$B49)+COUNTIFS(Esc_Turno,'Calc_Mix'!$C$11,Esc_Instr,$B49)&gt;0),"",IF(SUMPRODUCT('Calc_Mix'!$D$11:$W$11,'Matriz_Habilidades'!$D49:$W49)=0,"",SUMPRODUCT('Calc_Mix'!$D$11:$W$11,'Matriz_Habilidades'!$D49:$W49)/'Calc_Mix'!$X$11+ROW()*0.000001))</f>
        <v/>
      </c>
      <c r="O49" s="34">
        <f>IF(OR($B49="",$C49&lt;&gt;"Ativo",$D49&lt;&gt;'Calc_Mix'!$C$12,'Calc_Mix'!$X$12=0,COUNTIFS(Esc_Turno,'Calc_Mix'!$C$12,Esc_Circ,$B49)+COUNTIFS(Esc_Turno,'Calc_Mix'!$C$12,Esc_Instr,$B49)&gt;0),"",IF(SUMPRODUCT('Calc_Mix'!$D$12:$W$12,'Matriz_Habilidades'!$D49:$W49)=0,"",SUMPRODUCT('Calc_Mix'!$D$12:$W$12,'Matriz_Habilidades'!$D49:$W49)/'Calc_Mix'!$X$12+ROW()*0.000001))</f>
        <v/>
      </c>
      <c r="P49" s="34">
        <f>IF(OR($B49="",$C49&lt;&gt;"Ativo",$D49&lt;&gt;'Calc_Mix'!$C$13,'Calc_Mix'!$X$13=0,COUNTIFS(Esc_Turno,'Calc_Mix'!$C$13,Esc_Circ,$B49)+COUNTIFS(Esc_Turno,'Calc_Mix'!$C$13,Esc_Instr,$B49)&gt;0),"",IF(SUMPRODUCT('Calc_Mix'!$D$13:$W$13,'Matriz_Habilidades'!$D49:$W49)=0,"",SUMPRODUCT('Calc_Mix'!$D$13:$W$13,'Matriz_Habilidades'!$D49:$W49)/'Calc_Mix'!$X$13+ROW()*0.000001))</f>
        <v/>
      </c>
      <c r="Q49" s="34">
        <f>IF(OR($B49="",$C49&lt;&gt;"Ativo",$D49&lt;&gt;'Calc_Mix'!$C$14,'Calc_Mix'!$X$14=0,COUNTIFS(Esc_Turno,'Calc_Mix'!$C$14,Esc_Circ,$B49)+COUNTIFS(Esc_Turno,'Calc_Mix'!$C$14,Esc_Instr,$B49)&gt;0),"",IF(SUMPRODUCT('Calc_Mix'!$D$14:$W$14,'Matriz_Habilidades'!$D49:$W49)=0,"",SUMPRODUCT('Calc_Mix'!$D$14:$W$14,'Matriz_Habilidades'!$D49:$W49)/'Calc_Mix'!$X$14+ROW()*0.000001))</f>
        <v/>
      </c>
      <c r="R49" s="34">
        <f>IF(OR($B49="",$C49&lt;&gt;"Ativo",$D49&lt;&gt;'Calc_Mix'!$C$15,'Calc_Mix'!$X$15=0,COUNTIFS(Esc_Turno,'Calc_Mix'!$C$15,Esc_Circ,$B49)+COUNTIFS(Esc_Turno,'Calc_Mix'!$C$15,Esc_Instr,$B49)&gt;0),"",IF(SUMPRODUCT('Calc_Mix'!$D$15:$W$15,'Matriz_Habilidades'!$D49:$W49)=0,"",SUMPRODUCT('Calc_Mix'!$D$15:$W$15,'Matriz_Habilidades'!$D49:$W49)/'Calc_Mix'!$X$15+ROW()*0.000001))</f>
        <v/>
      </c>
      <c r="S49" s="34">
        <f>IF(OR($B49="",$C49&lt;&gt;"Ativo",$D49&lt;&gt;'Calc_Mix'!$C$16,'Calc_Mix'!$X$16=0,COUNTIFS(Esc_Turno,'Calc_Mix'!$C$16,Esc_Circ,$B49)+COUNTIFS(Esc_Turno,'Calc_Mix'!$C$16,Esc_Instr,$B49)&gt;0),"",IF(SUMPRODUCT('Calc_Mix'!$D$16:$W$16,'Matriz_Habilidades'!$D49:$W49)=0,"",SUMPRODUCT('Calc_Mix'!$D$16:$W$16,'Matriz_Habilidades'!$D49:$W49)/'Calc_Mix'!$X$16+ROW()*0.000001))</f>
        <v/>
      </c>
      <c r="T49" s="34">
        <f>IF(OR($B49="",$C49&lt;&gt;"Ativo",$D49&lt;&gt;'Calc_Mix'!$C$17,'Calc_Mix'!$X$17=0,COUNTIFS(Esc_Turno,'Calc_Mix'!$C$17,Esc_Circ,$B49)+COUNTIFS(Esc_Turno,'Calc_Mix'!$C$17,Esc_Instr,$B49)&gt;0),"",IF(SUMPRODUCT('Calc_Mix'!$D$17:$W$17,'Matriz_Habilidades'!$D49:$W49)=0,"",SUMPRODUCT('Calc_Mix'!$D$17:$W$17,'Matriz_Habilidades'!$D49:$W49)/'Calc_Mix'!$X$17+ROW()*0.000001))</f>
        <v/>
      </c>
      <c r="U49" s="34">
        <f>IF(OR($B49="",$C49&lt;&gt;"Ativo",$D49&lt;&gt;'Calc_Mix'!$C$18,'Calc_Mix'!$X$18=0,COUNTIFS(Esc_Turno,'Calc_Mix'!$C$18,Esc_Circ,$B49)+COUNTIFS(Esc_Turno,'Calc_Mix'!$C$18,Esc_Instr,$B49)&gt;0),"",IF(SUMPRODUCT('Calc_Mix'!$D$18:$W$18,'Matriz_Habilidades'!$D49:$W49)=0,"",SUMPRODUCT('Calc_Mix'!$D$18:$W$18,'Matriz_Habilidades'!$D49:$W49)/'Calc_Mix'!$X$18+ROW()*0.000001))</f>
        <v/>
      </c>
      <c r="V49" s="34">
        <f>IF(OR($B49="",$C49&lt;&gt;"Ativo",$D49&lt;&gt;'Calc_Mix'!$C$19,'Calc_Mix'!$X$19=0,COUNTIFS(Esc_Turno,'Calc_Mix'!$C$19,Esc_Circ,$B49)+COUNTIFS(Esc_Turno,'Calc_Mix'!$C$19,Esc_Instr,$B49)&gt;0),"",IF(SUMPRODUCT('Calc_Mix'!$D$19:$W$19,'Matriz_Habilidades'!$D49:$W49)=0,"",SUMPRODUCT('Calc_Mix'!$D$19:$W$19,'Matriz_Habilidades'!$D49:$W49)/'Calc_Mix'!$X$19+ROW()*0.000001))</f>
        <v/>
      </c>
      <c r="W49" s="34">
        <f>IF(OR($B49="",$C49&lt;&gt;"Ativo",$D49&lt;&gt;'Calc_Mix'!$C$20,'Calc_Mix'!$X$20=0,COUNTIFS(Esc_Turno,'Calc_Mix'!$C$20,Esc_Circ,$B49)+COUNTIFS(Esc_Turno,'Calc_Mix'!$C$20,Esc_Instr,$B49)&gt;0),"",IF(SUMPRODUCT('Calc_Mix'!$D$20:$W$20,'Matriz_Habilidades'!$D49:$W49)=0,"",SUMPRODUCT('Calc_Mix'!$D$20:$W$20,'Matriz_Habilidades'!$D49:$W49)/'Calc_Mix'!$X$20+ROW()*0.000001))</f>
        <v/>
      </c>
      <c r="X49" s="34">
        <f>IF(OR($B49="",$C49&lt;&gt;"Ativo",$D49&lt;&gt;'Calc_Mix'!$C$21,'Calc_Mix'!$X$21=0,COUNTIFS(Esc_Turno,'Calc_Mix'!$C$21,Esc_Circ,$B49)+COUNTIFS(Esc_Turno,'Calc_Mix'!$C$21,Esc_Instr,$B49)&gt;0),"",IF(SUMPRODUCT('Calc_Mix'!$D$21:$W$21,'Matriz_Habilidades'!$D49:$W49)=0,"",SUMPRODUCT('Calc_Mix'!$D$21:$W$21,'Matriz_Habilidades'!$D49:$W49)/'Calc_Mix'!$X$21+ROW()*0.000001))</f>
        <v/>
      </c>
      <c r="Y49" s="34">
        <f>IF(OR($B49="",$C49&lt;&gt;"Ativo",$D49&lt;&gt;'Calc_Mix'!$C$22,'Calc_Mix'!$X$22=0,COUNTIFS(Esc_Turno,'Calc_Mix'!$C$22,Esc_Circ,$B49)+COUNTIFS(Esc_Turno,'Calc_Mix'!$C$22,Esc_Instr,$B49)&gt;0),"",IF(SUMPRODUCT('Calc_Mix'!$D$22:$W$22,'Matriz_Habilidades'!$D49:$W49)=0,"",SUMPRODUCT('Calc_Mix'!$D$22:$W$22,'Matriz_Habilidades'!$D49:$W49)/'Calc_Mix'!$X$22+ROW()*0.000001))</f>
        <v/>
      </c>
      <c r="Z49" s="34">
        <f>IF(OR($B49="",$C49&lt;&gt;"Ativo",$D49&lt;&gt;'Calc_Mix'!$C$23,'Calc_Mix'!$X$23=0,COUNTIFS(Esc_Turno,'Calc_Mix'!$C$23,Esc_Circ,$B49)+COUNTIFS(Esc_Turno,'Calc_Mix'!$C$23,Esc_Instr,$B49)&gt;0),"",IF(SUMPRODUCT('Calc_Mix'!$D$23:$W$23,'Matriz_Habilidades'!$D49:$W49)=0,"",SUMPRODUCT('Calc_Mix'!$D$23:$W$23,'Matriz_Habilidades'!$D49:$W49)/'Calc_Mix'!$X$23+ROW()*0.000001))</f>
        <v/>
      </c>
      <c r="AA49" s="34">
        <f>IF(OR($B49="",$C49&lt;&gt;"Ativo",$D49&lt;&gt;'Calc_Mix'!$C$24,'Calc_Mix'!$X$24=0,COUNTIFS(Esc_Turno,'Calc_Mix'!$C$24,Esc_Circ,$B49)+COUNTIFS(Esc_Turno,'Calc_Mix'!$C$24,Esc_Instr,$B49)&gt;0),"",IF(SUMPRODUCT('Calc_Mix'!$D$24:$W$24,'Matriz_Habilidades'!$D49:$W49)=0,"",SUMPRODUCT('Calc_Mix'!$D$24:$W$24,'Matriz_Habilidades'!$D49:$W49)/'Calc_Mix'!$X$24+ROW()*0.000001))</f>
        <v/>
      </c>
      <c r="AB49" s="34">
        <f>IF(OR($B49="",$C49&lt;&gt;"Ativo",$D49&lt;&gt;'Calc_Mix'!$C$25,'Calc_Mix'!$X$25=0,COUNTIFS(Esc_Turno,'Calc_Mix'!$C$25,Esc_Circ,$B49)+COUNTIFS(Esc_Turno,'Calc_Mix'!$C$25,Esc_Instr,$B49)&gt;0),"",IF(SUMPRODUCT('Calc_Mix'!$D$25:$W$25,'Matriz_Habilidades'!$D49:$W49)=0,"",SUMPRODUCT('Calc_Mix'!$D$25:$W$25,'Matriz_Habilidades'!$D49:$W49)/'Calc_Mix'!$X$25+ROW()*0.000001))</f>
        <v/>
      </c>
      <c r="AC49" s="34">
        <f>IF(OR($B49="",$C49&lt;&gt;"Ativo",$D49&lt;&gt;'Calc_Mix'!$C$26,'Calc_Mix'!$X$26=0,COUNTIFS(Esc_Turno,'Calc_Mix'!$C$26,Esc_Circ,$B49)+COUNTIFS(Esc_Turno,'Calc_Mix'!$C$26,Esc_Instr,$B49)&gt;0),"",IF(SUMPRODUCT('Calc_Mix'!$D$26:$W$26,'Matriz_Habilidades'!$D49:$W49)=0,"",SUMPRODUCT('Calc_Mix'!$D$26:$W$26,'Matriz_Habilidades'!$D49:$W49)/'Calc_Mix'!$X$26+ROW()*0.000001))</f>
        <v/>
      </c>
      <c r="AD49" s="34">
        <f>IF(OR($B49="",$C49&lt;&gt;"Ativo",$D49&lt;&gt;'Calc_Mix'!$C$27,'Calc_Mix'!$X$27=0,COUNTIFS(Esc_Turno,'Calc_Mix'!$C$27,Esc_Circ,$B49)+COUNTIFS(Esc_Turno,'Calc_Mix'!$C$27,Esc_Instr,$B49)&gt;0),"",IF(SUMPRODUCT('Calc_Mix'!$D$27:$W$27,'Matriz_Habilidades'!$D49:$W49)=0,"",SUMPRODUCT('Calc_Mix'!$D$27:$W$27,'Matriz_Habilidades'!$D49:$W49)/'Calc_Mix'!$X$27+ROW()*0.000001))</f>
        <v/>
      </c>
      <c r="AE49" s="34">
        <f>IF(OR($B49="",$C49&lt;&gt;"Ativo",$D49&lt;&gt;'Calc_Mix'!$C$28,'Calc_Mix'!$X$28=0,COUNTIFS(Esc_Turno,'Calc_Mix'!$C$28,Esc_Circ,$B49)+COUNTIFS(Esc_Turno,'Calc_Mix'!$C$28,Esc_Instr,$B49)&gt;0),"",IF(SUMPRODUCT('Calc_Mix'!$D$28:$W$28,'Matriz_Habilidades'!$D49:$W49)=0,"",SUMPRODUCT('Calc_Mix'!$D$28:$W$28,'Matriz_Habilidades'!$D49:$W49)/'Calc_Mix'!$X$28+ROW()*0.000001))</f>
        <v/>
      </c>
      <c r="AF49" s="34">
        <f>IF(OR($B49="",$C49&lt;&gt;"Ativo",$D49&lt;&gt;'Calc_Mix'!$C$29,'Calc_Mix'!$X$29=0,COUNTIFS(Esc_Turno,'Calc_Mix'!$C$29,Esc_Circ,$B49)+COUNTIFS(Esc_Turno,'Calc_Mix'!$C$29,Esc_Instr,$B49)&gt;0),"",IF(SUMPRODUCT('Calc_Mix'!$D$29:$W$29,'Matriz_Habilidades'!$D49:$W49)=0,"",SUMPRODUCT('Calc_Mix'!$D$29:$W$29,'Matriz_Habilidades'!$D49:$W49)/'Calc_Mix'!$X$29+ROW()*0.000001))</f>
        <v/>
      </c>
      <c r="AG49" s="34">
        <f>IF(OR($B49="",$C49&lt;&gt;"Ativo",$D49&lt;&gt;'Calc_Mix'!$C$30,'Calc_Mix'!$X$30=0,COUNTIFS(Esc_Turno,'Calc_Mix'!$C$30,Esc_Circ,$B49)+COUNTIFS(Esc_Turno,'Calc_Mix'!$C$30,Esc_Instr,$B49)&gt;0),"",IF(SUMPRODUCT('Calc_Mix'!$D$30:$W$30,'Matriz_Habilidades'!$D49:$W49)=0,"",SUMPRODUCT('Calc_Mix'!$D$30:$W$30,'Matriz_Habilidades'!$D49:$W49)/'Calc_Mix'!$X$30+ROW()*0.000001))</f>
        <v/>
      </c>
      <c r="AH49" s="34">
        <f>IF(OR($B49="",$C49&lt;&gt;"Ativo",$D49&lt;&gt;'Calc_Mix'!$C$31,'Calc_Mix'!$X$31=0,COUNTIFS(Esc_Turno,'Calc_Mix'!$C$31,Esc_Circ,$B49)+COUNTIFS(Esc_Turno,'Calc_Mix'!$C$31,Esc_Instr,$B49)&gt;0),"",IF(SUMPRODUCT('Calc_Mix'!$D$31:$W$31,'Matriz_Habilidades'!$D49:$W49)=0,"",SUMPRODUCT('Calc_Mix'!$D$31:$W$31,'Matriz_Habilidades'!$D49:$W49)/'Calc_Mix'!$X$31+ROW()*0.000001))</f>
        <v/>
      </c>
      <c r="AI49" s="34">
        <f>IF(OR($B49="",$C49&lt;&gt;"Ativo",$D49&lt;&gt;'Calc_Mix'!$C$32,'Calc_Mix'!$X$32=0,COUNTIFS(Esc_Turno,'Calc_Mix'!$C$32,Esc_Circ,$B49)+COUNTIFS(Esc_Turno,'Calc_Mix'!$C$32,Esc_Instr,$B49)&gt;0),"",IF(SUMPRODUCT('Calc_Mix'!$D$32:$W$32,'Matriz_Habilidades'!$D49:$W49)=0,"",SUMPRODUCT('Calc_Mix'!$D$32:$W$32,'Matriz_Habilidades'!$D49:$W49)/'Calc_Mix'!$X$32+ROW()*0.000001))</f>
        <v/>
      </c>
      <c r="AJ49" s="34">
        <f>IF(OR($B49="",$C49&lt;&gt;"Ativo",$D49&lt;&gt;'Calc_Mix'!$C$33,'Calc_Mix'!$X$33=0,COUNTIFS(Esc_Turno,'Calc_Mix'!$C$33,Esc_Circ,$B49)+COUNTIFS(Esc_Turno,'Calc_Mix'!$C$33,Esc_Instr,$B49)&gt;0),"",IF(SUMPRODUCT('Calc_Mix'!$D$33:$W$33,'Matriz_Habilidades'!$D49:$W49)=0,"",SUMPRODUCT('Calc_Mix'!$D$33:$W$33,'Matriz_Habilidades'!$D49:$W49)/'Calc_Mix'!$X$33+ROW()*0.000001))</f>
        <v/>
      </c>
      <c r="AK49" s="34">
        <f>IF(OR($B49="",$C49&lt;&gt;"Ativo",$D49&lt;&gt;'Calc_Mix'!$C$34,'Calc_Mix'!$X$34=0,COUNTIFS(Esc_Turno,'Calc_Mix'!$C$34,Esc_Circ,$B49)+COUNTIFS(Esc_Turno,'Calc_Mix'!$C$34,Esc_Instr,$B49)&gt;0),"",IF(SUMPRODUCT('Calc_Mix'!$D$34:$W$34,'Matriz_Habilidades'!$D49:$W49)=0,"",SUMPRODUCT('Calc_Mix'!$D$34:$W$34,'Matriz_Habilidades'!$D49:$W49)/'Calc_Mix'!$X$34+ROW()*0.000001))</f>
        <v/>
      </c>
      <c r="AL49" s="34">
        <f>IF(OR($B49="",$C49&lt;&gt;"Ativo",$D49&lt;&gt;'Calc_Mix'!$C$35,'Calc_Mix'!$X$35=0,COUNTIFS(Esc_Turno,'Calc_Mix'!$C$35,Esc_Circ,$B49)+COUNTIFS(Esc_Turno,'Calc_Mix'!$C$35,Esc_Instr,$B49)&gt;0),"",IF(SUMPRODUCT('Calc_Mix'!$D$35:$W$35,'Matriz_Habilidades'!$D49:$W49)=0,"",SUMPRODUCT('Calc_Mix'!$D$35:$W$35,'Matriz_Habilidades'!$D49:$W49)/'Calc_Mix'!$X$35+ROW()*0.000001))</f>
        <v/>
      </c>
      <c r="AM49" s="34">
        <f>IF(OR($B49="",$C49&lt;&gt;"Ativo",$D49&lt;&gt;'Calc_Mix'!$C$36,'Calc_Mix'!$X$36=0,COUNTIFS(Esc_Turno,'Calc_Mix'!$C$36,Esc_Circ,$B49)+COUNTIFS(Esc_Turno,'Calc_Mix'!$C$36,Esc_Instr,$B49)&gt;0),"",IF(SUMPRODUCT('Calc_Mix'!$D$36:$W$36,'Matriz_Habilidades'!$D49:$W49)=0,"",SUMPRODUCT('Calc_Mix'!$D$36:$W$36,'Matriz_Habilidades'!$D49:$W49)/'Calc_Mix'!$X$36+ROW()*0.000001))</f>
        <v/>
      </c>
      <c r="AN49" s="34">
        <f>IF(OR($B49="",$C49&lt;&gt;"Ativo",$D49&lt;&gt;'Calc_Mix'!$C$37,'Calc_Mix'!$X$37=0,COUNTIFS(Esc_Turno,'Calc_Mix'!$C$37,Esc_Circ,$B49)+COUNTIFS(Esc_Turno,'Calc_Mix'!$C$37,Esc_Instr,$B49)&gt;0),"",IF(SUMPRODUCT('Calc_Mix'!$D$37:$W$37,'Matriz_Habilidades'!$D49:$W49)=0,"",SUMPRODUCT('Calc_Mix'!$D$37:$W$37,'Matriz_Habilidades'!$D49:$W49)/'Calc_Mix'!$X$37+ROW()*0.000001))</f>
        <v/>
      </c>
    </row>
    <row r="50">
      <c r="A50" s="27">
        <f>IF('Matriz_Habilidades'!A50="","",'Matriz_Habilidades'!A50)</f>
        <v/>
      </c>
      <c r="B50" s="28">
        <f>IF('Matriz_Habilidades'!B50="","",'Matriz_Habilidades'!B50)</f>
        <v/>
      </c>
      <c r="C50" s="27">
        <f>IF($A50="","",IFERROR(INDEX(Equipe_Status,MATCH($B50,Equipe_Nome,0)),"?"))</f>
        <v/>
      </c>
      <c r="D50" s="27">
        <f>IF($A50="","",IFERROR(INDEX(Equipe_Turno,MATCH($B50,Equipe_Nome,0)),"?"))</f>
        <v/>
      </c>
      <c r="E50" s="34">
        <f>IF(OR($B50="",$C50&lt;&gt;"Ativo",$D50&lt;&gt;'Calc_Mix'!$C$2,'Calc_Mix'!$X$2=0,COUNTIFS(Esc_Turno,'Calc_Mix'!$C$2,Esc_Circ,$B50)+COUNTIFS(Esc_Turno,'Calc_Mix'!$C$2,Esc_Instr,$B50)&gt;0),"",IF(SUMPRODUCT('Calc_Mix'!$D$2:$W$2,'Matriz_Habilidades'!$D50:$W50)=0,"",SUMPRODUCT('Calc_Mix'!$D$2:$W$2,'Matriz_Habilidades'!$D50:$W50)/'Calc_Mix'!$X$2+ROW()*0.000001))</f>
        <v/>
      </c>
      <c r="F50" s="34">
        <f>IF(OR($B50="",$C50&lt;&gt;"Ativo",$D50&lt;&gt;'Calc_Mix'!$C$3,'Calc_Mix'!$X$3=0,COUNTIFS(Esc_Turno,'Calc_Mix'!$C$3,Esc_Circ,$B50)+COUNTIFS(Esc_Turno,'Calc_Mix'!$C$3,Esc_Instr,$B50)&gt;0),"",IF(SUMPRODUCT('Calc_Mix'!$D$3:$W$3,'Matriz_Habilidades'!$D50:$W50)=0,"",SUMPRODUCT('Calc_Mix'!$D$3:$W$3,'Matriz_Habilidades'!$D50:$W50)/'Calc_Mix'!$X$3+ROW()*0.000001))</f>
        <v/>
      </c>
      <c r="G50" s="34">
        <f>IF(OR($B50="",$C50&lt;&gt;"Ativo",$D50&lt;&gt;'Calc_Mix'!$C$4,'Calc_Mix'!$X$4=0,COUNTIFS(Esc_Turno,'Calc_Mix'!$C$4,Esc_Circ,$B50)+COUNTIFS(Esc_Turno,'Calc_Mix'!$C$4,Esc_Instr,$B50)&gt;0),"",IF(SUMPRODUCT('Calc_Mix'!$D$4:$W$4,'Matriz_Habilidades'!$D50:$W50)=0,"",SUMPRODUCT('Calc_Mix'!$D$4:$W$4,'Matriz_Habilidades'!$D50:$W50)/'Calc_Mix'!$X$4+ROW()*0.000001))</f>
        <v/>
      </c>
      <c r="H50" s="34">
        <f>IF(OR($B50="",$C50&lt;&gt;"Ativo",$D50&lt;&gt;'Calc_Mix'!$C$5,'Calc_Mix'!$X$5=0,COUNTIFS(Esc_Turno,'Calc_Mix'!$C$5,Esc_Circ,$B50)+COUNTIFS(Esc_Turno,'Calc_Mix'!$C$5,Esc_Instr,$B50)&gt;0),"",IF(SUMPRODUCT('Calc_Mix'!$D$5:$W$5,'Matriz_Habilidades'!$D50:$W50)=0,"",SUMPRODUCT('Calc_Mix'!$D$5:$W$5,'Matriz_Habilidades'!$D50:$W50)/'Calc_Mix'!$X$5+ROW()*0.000001))</f>
        <v/>
      </c>
      <c r="I50" s="34">
        <f>IF(OR($B50="",$C50&lt;&gt;"Ativo",$D50&lt;&gt;'Calc_Mix'!$C$6,'Calc_Mix'!$X$6=0,COUNTIFS(Esc_Turno,'Calc_Mix'!$C$6,Esc_Circ,$B50)+COUNTIFS(Esc_Turno,'Calc_Mix'!$C$6,Esc_Instr,$B50)&gt;0),"",IF(SUMPRODUCT('Calc_Mix'!$D$6:$W$6,'Matriz_Habilidades'!$D50:$W50)=0,"",SUMPRODUCT('Calc_Mix'!$D$6:$W$6,'Matriz_Habilidades'!$D50:$W50)/'Calc_Mix'!$X$6+ROW()*0.000001))</f>
        <v/>
      </c>
      <c r="J50" s="34">
        <f>IF(OR($B50="",$C50&lt;&gt;"Ativo",$D50&lt;&gt;'Calc_Mix'!$C$7,'Calc_Mix'!$X$7=0,COUNTIFS(Esc_Turno,'Calc_Mix'!$C$7,Esc_Circ,$B50)+COUNTIFS(Esc_Turno,'Calc_Mix'!$C$7,Esc_Instr,$B50)&gt;0),"",IF(SUMPRODUCT('Calc_Mix'!$D$7:$W$7,'Matriz_Habilidades'!$D50:$W50)=0,"",SUMPRODUCT('Calc_Mix'!$D$7:$W$7,'Matriz_Habilidades'!$D50:$W50)/'Calc_Mix'!$X$7+ROW()*0.000001))</f>
        <v/>
      </c>
      <c r="K50" s="34">
        <f>IF(OR($B50="",$C50&lt;&gt;"Ativo",$D50&lt;&gt;'Calc_Mix'!$C$8,'Calc_Mix'!$X$8=0,COUNTIFS(Esc_Turno,'Calc_Mix'!$C$8,Esc_Circ,$B50)+COUNTIFS(Esc_Turno,'Calc_Mix'!$C$8,Esc_Instr,$B50)&gt;0),"",IF(SUMPRODUCT('Calc_Mix'!$D$8:$W$8,'Matriz_Habilidades'!$D50:$W50)=0,"",SUMPRODUCT('Calc_Mix'!$D$8:$W$8,'Matriz_Habilidades'!$D50:$W50)/'Calc_Mix'!$X$8+ROW()*0.000001))</f>
        <v/>
      </c>
      <c r="L50" s="34">
        <f>IF(OR($B50="",$C50&lt;&gt;"Ativo",$D50&lt;&gt;'Calc_Mix'!$C$9,'Calc_Mix'!$X$9=0,COUNTIFS(Esc_Turno,'Calc_Mix'!$C$9,Esc_Circ,$B50)+COUNTIFS(Esc_Turno,'Calc_Mix'!$C$9,Esc_Instr,$B50)&gt;0),"",IF(SUMPRODUCT('Calc_Mix'!$D$9:$W$9,'Matriz_Habilidades'!$D50:$W50)=0,"",SUMPRODUCT('Calc_Mix'!$D$9:$W$9,'Matriz_Habilidades'!$D50:$W50)/'Calc_Mix'!$X$9+ROW()*0.000001))</f>
        <v/>
      </c>
      <c r="M50" s="34">
        <f>IF(OR($B50="",$C50&lt;&gt;"Ativo",$D50&lt;&gt;'Calc_Mix'!$C$10,'Calc_Mix'!$X$10=0,COUNTIFS(Esc_Turno,'Calc_Mix'!$C$10,Esc_Circ,$B50)+COUNTIFS(Esc_Turno,'Calc_Mix'!$C$10,Esc_Instr,$B50)&gt;0),"",IF(SUMPRODUCT('Calc_Mix'!$D$10:$W$10,'Matriz_Habilidades'!$D50:$W50)=0,"",SUMPRODUCT('Calc_Mix'!$D$10:$W$10,'Matriz_Habilidades'!$D50:$W50)/'Calc_Mix'!$X$10+ROW()*0.000001))</f>
        <v/>
      </c>
      <c r="N50" s="34">
        <f>IF(OR($B50="",$C50&lt;&gt;"Ativo",$D50&lt;&gt;'Calc_Mix'!$C$11,'Calc_Mix'!$X$11=0,COUNTIFS(Esc_Turno,'Calc_Mix'!$C$11,Esc_Circ,$B50)+COUNTIFS(Esc_Turno,'Calc_Mix'!$C$11,Esc_Instr,$B50)&gt;0),"",IF(SUMPRODUCT('Calc_Mix'!$D$11:$W$11,'Matriz_Habilidades'!$D50:$W50)=0,"",SUMPRODUCT('Calc_Mix'!$D$11:$W$11,'Matriz_Habilidades'!$D50:$W50)/'Calc_Mix'!$X$11+ROW()*0.000001))</f>
        <v/>
      </c>
      <c r="O50" s="34">
        <f>IF(OR($B50="",$C50&lt;&gt;"Ativo",$D50&lt;&gt;'Calc_Mix'!$C$12,'Calc_Mix'!$X$12=0,COUNTIFS(Esc_Turno,'Calc_Mix'!$C$12,Esc_Circ,$B50)+COUNTIFS(Esc_Turno,'Calc_Mix'!$C$12,Esc_Instr,$B50)&gt;0),"",IF(SUMPRODUCT('Calc_Mix'!$D$12:$W$12,'Matriz_Habilidades'!$D50:$W50)=0,"",SUMPRODUCT('Calc_Mix'!$D$12:$W$12,'Matriz_Habilidades'!$D50:$W50)/'Calc_Mix'!$X$12+ROW()*0.000001))</f>
        <v/>
      </c>
      <c r="P50" s="34">
        <f>IF(OR($B50="",$C50&lt;&gt;"Ativo",$D50&lt;&gt;'Calc_Mix'!$C$13,'Calc_Mix'!$X$13=0,COUNTIFS(Esc_Turno,'Calc_Mix'!$C$13,Esc_Circ,$B50)+COUNTIFS(Esc_Turno,'Calc_Mix'!$C$13,Esc_Instr,$B50)&gt;0),"",IF(SUMPRODUCT('Calc_Mix'!$D$13:$W$13,'Matriz_Habilidades'!$D50:$W50)=0,"",SUMPRODUCT('Calc_Mix'!$D$13:$W$13,'Matriz_Habilidades'!$D50:$W50)/'Calc_Mix'!$X$13+ROW()*0.000001))</f>
        <v/>
      </c>
      <c r="Q50" s="34">
        <f>IF(OR($B50="",$C50&lt;&gt;"Ativo",$D50&lt;&gt;'Calc_Mix'!$C$14,'Calc_Mix'!$X$14=0,COUNTIFS(Esc_Turno,'Calc_Mix'!$C$14,Esc_Circ,$B50)+COUNTIFS(Esc_Turno,'Calc_Mix'!$C$14,Esc_Instr,$B50)&gt;0),"",IF(SUMPRODUCT('Calc_Mix'!$D$14:$W$14,'Matriz_Habilidades'!$D50:$W50)=0,"",SUMPRODUCT('Calc_Mix'!$D$14:$W$14,'Matriz_Habilidades'!$D50:$W50)/'Calc_Mix'!$X$14+ROW()*0.000001))</f>
        <v/>
      </c>
      <c r="R50" s="34">
        <f>IF(OR($B50="",$C50&lt;&gt;"Ativo",$D50&lt;&gt;'Calc_Mix'!$C$15,'Calc_Mix'!$X$15=0,COUNTIFS(Esc_Turno,'Calc_Mix'!$C$15,Esc_Circ,$B50)+COUNTIFS(Esc_Turno,'Calc_Mix'!$C$15,Esc_Instr,$B50)&gt;0),"",IF(SUMPRODUCT('Calc_Mix'!$D$15:$W$15,'Matriz_Habilidades'!$D50:$W50)=0,"",SUMPRODUCT('Calc_Mix'!$D$15:$W$15,'Matriz_Habilidades'!$D50:$W50)/'Calc_Mix'!$X$15+ROW()*0.000001))</f>
        <v/>
      </c>
      <c r="S50" s="34">
        <f>IF(OR($B50="",$C50&lt;&gt;"Ativo",$D50&lt;&gt;'Calc_Mix'!$C$16,'Calc_Mix'!$X$16=0,COUNTIFS(Esc_Turno,'Calc_Mix'!$C$16,Esc_Circ,$B50)+COUNTIFS(Esc_Turno,'Calc_Mix'!$C$16,Esc_Instr,$B50)&gt;0),"",IF(SUMPRODUCT('Calc_Mix'!$D$16:$W$16,'Matriz_Habilidades'!$D50:$W50)=0,"",SUMPRODUCT('Calc_Mix'!$D$16:$W$16,'Matriz_Habilidades'!$D50:$W50)/'Calc_Mix'!$X$16+ROW()*0.000001))</f>
        <v/>
      </c>
      <c r="T50" s="34">
        <f>IF(OR($B50="",$C50&lt;&gt;"Ativo",$D50&lt;&gt;'Calc_Mix'!$C$17,'Calc_Mix'!$X$17=0,COUNTIFS(Esc_Turno,'Calc_Mix'!$C$17,Esc_Circ,$B50)+COUNTIFS(Esc_Turno,'Calc_Mix'!$C$17,Esc_Instr,$B50)&gt;0),"",IF(SUMPRODUCT('Calc_Mix'!$D$17:$W$17,'Matriz_Habilidades'!$D50:$W50)=0,"",SUMPRODUCT('Calc_Mix'!$D$17:$W$17,'Matriz_Habilidades'!$D50:$W50)/'Calc_Mix'!$X$17+ROW()*0.000001))</f>
        <v/>
      </c>
      <c r="U50" s="34">
        <f>IF(OR($B50="",$C50&lt;&gt;"Ativo",$D50&lt;&gt;'Calc_Mix'!$C$18,'Calc_Mix'!$X$18=0,COUNTIFS(Esc_Turno,'Calc_Mix'!$C$18,Esc_Circ,$B50)+COUNTIFS(Esc_Turno,'Calc_Mix'!$C$18,Esc_Instr,$B50)&gt;0),"",IF(SUMPRODUCT('Calc_Mix'!$D$18:$W$18,'Matriz_Habilidades'!$D50:$W50)=0,"",SUMPRODUCT('Calc_Mix'!$D$18:$W$18,'Matriz_Habilidades'!$D50:$W50)/'Calc_Mix'!$X$18+ROW()*0.000001))</f>
        <v/>
      </c>
      <c r="V50" s="34">
        <f>IF(OR($B50="",$C50&lt;&gt;"Ativo",$D50&lt;&gt;'Calc_Mix'!$C$19,'Calc_Mix'!$X$19=0,COUNTIFS(Esc_Turno,'Calc_Mix'!$C$19,Esc_Circ,$B50)+COUNTIFS(Esc_Turno,'Calc_Mix'!$C$19,Esc_Instr,$B50)&gt;0),"",IF(SUMPRODUCT('Calc_Mix'!$D$19:$W$19,'Matriz_Habilidades'!$D50:$W50)=0,"",SUMPRODUCT('Calc_Mix'!$D$19:$W$19,'Matriz_Habilidades'!$D50:$W50)/'Calc_Mix'!$X$19+ROW()*0.000001))</f>
        <v/>
      </c>
      <c r="W50" s="34">
        <f>IF(OR($B50="",$C50&lt;&gt;"Ativo",$D50&lt;&gt;'Calc_Mix'!$C$20,'Calc_Mix'!$X$20=0,COUNTIFS(Esc_Turno,'Calc_Mix'!$C$20,Esc_Circ,$B50)+COUNTIFS(Esc_Turno,'Calc_Mix'!$C$20,Esc_Instr,$B50)&gt;0),"",IF(SUMPRODUCT('Calc_Mix'!$D$20:$W$20,'Matriz_Habilidades'!$D50:$W50)=0,"",SUMPRODUCT('Calc_Mix'!$D$20:$W$20,'Matriz_Habilidades'!$D50:$W50)/'Calc_Mix'!$X$20+ROW()*0.000001))</f>
        <v/>
      </c>
      <c r="X50" s="34">
        <f>IF(OR($B50="",$C50&lt;&gt;"Ativo",$D50&lt;&gt;'Calc_Mix'!$C$21,'Calc_Mix'!$X$21=0,COUNTIFS(Esc_Turno,'Calc_Mix'!$C$21,Esc_Circ,$B50)+COUNTIFS(Esc_Turno,'Calc_Mix'!$C$21,Esc_Instr,$B50)&gt;0),"",IF(SUMPRODUCT('Calc_Mix'!$D$21:$W$21,'Matriz_Habilidades'!$D50:$W50)=0,"",SUMPRODUCT('Calc_Mix'!$D$21:$W$21,'Matriz_Habilidades'!$D50:$W50)/'Calc_Mix'!$X$21+ROW()*0.000001))</f>
        <v/>
      </c>
      <c r="Y50" s="34">
        <f>IF(OR($B50="",$C50&lt;&gt;"Ativo",$D50&lt;&gt;'Calc_Mix'!$C$22,'Calc_Mix'!$X$22=0,COUNTIFS(Esc_Turno,'Calc_Mix'!$C$22,Esc_Circ,$B50)+COUNTIFS(Esc_Turno,'Calc_Mix'!$C$22,Esc_Instr,$B50)&gt;0),"",IF(SUMPRODUCT('Calc_Mix'!$D$22:$W$22,'Matriz_Habilidades'!$D50:$W50)=0,"",SUMPRODUCT('Calc_Mix'!$D$22:$W$22,'Matriz_Habilidades'!$D50:$W50)/'Calc_Mix'!$X$22+ROW()*0.000001))</f>
        <v/>
      </c>
      <c r="Z50" s="34">
        <f>IF(OR($B50="",$C50&lt;&gt;"Ativo",$D50&lt;&gt;'Calc_Mix'!$C$23,'Calc_Mix'!$X$23=0,COUNTIFS(Esc_Turno,'Calc_Mix'!$C$23,Esc_Circ,$B50)+COUNTIFS(Esc_Turno,'Calc_Mix'!$C$23,Esc_Instr,$B50)&gt;0),"",IF(SUMPRODUCT('Calc_Mix'!$D$23:$W$23,'Matriz_Habilidades'!$D50:$W50)=0,"",SUMPRODUCT('Calc_Mix'!$D$23:$W$23,'Matriz_Habilidades'!$D50:$W50)/'Calc_Mix'!$X$23+ROW()*0.000001))</f>
        <v/>
      </c>
      <c r="AA50" s="34">
        <f>IF(OR($B50="",$C50&lt;&gt;"Ativo",$D50&lt;&gt;'Calc_Mix'!$C$24,'Calc_Mix'!$X$24=0,COUNTIFS(Esc_Turno,'Calc_Mix'!$C$24,Esc_Circ,$B50)+COUNTIFS(Esc_Turno,'Calc_Mix'!$C$24,Esc_Instr,$B50)&gt;0),"",IF(SUMPRODUCT('Calc_Mix'!$D$24:$W$24,'Matriz_Habilidades'!$D50:$W50)=0,"",SUMPRODUCT('Calc_Mix'!$D$24:$W$24,'Matriz_Habilidades'!$D50:$W50)/'Calc_Mix'!$X$24+ROW()*0.000001))</f>
        <v/>
      </c>
      <c r="AB50" s="34">
        <f>IF(OR($B50="",$C50&lt;&gt;"Ativo",$D50&lt;&gt;'Calc_Mix'!$C$25,'Calc_Mix'!$X$25=0,COUNTIFS(Esc_Turno,'Calc_Mix'!$C$25,Esc_Circ,$B50)+COUNTIFS(Esc_Turno,'Calc_Mix'!$C$25,Esc_Instr,$B50)&gt;0),"",IF(SUMPRODUCT('Calc_Mix'!$D$25:$W$25,'Matriz_Habilidades'!$D50:$W50)=0,"",SUMPRODUCT('Calc_Mix'!$D$25:$W$25,'Matriz_Habilidades'!$D50:$W50)/'Calc_Mix'!$X$25+ROW()*0.000001))</f>
        <v/>
      </c>
      <c r="AC50" s="34">
        <f>IF(OR($B50="",$C50&lt;&gt;"Ativo",$D50&lt;&gt;'Calc_Mix'!$C$26,'Calc_Mix'!$X$26=0,COUNTIFS(Esc_Turno,'Calc_Mix'!$C$26,Esc_Circ,$B50)+COUNTIFS(Esc_Turno,'Calc_Mix'!$C$26,Esc_Instr,$B50)&gt;0),"",IF(SUMPRODUCT('Calc_Mix'!$D$26:$W$26,'Matriz_Habilidades'!$D50:$W50)=0,"",SUMPRODUCT('Calc_Mix'!$D$26:$W$26,'Matriz_Habilidades'!$D50:$W50)/'Calc_Mix'!$X$26+ROW()*0.000001))</f>
        <v/>
      </c>
      <c r="AD50" s="34">
        <f>IF(OR($B50="",$C50&lt;&gt;"Ativo",$D50&lt;&gt;'Calc_Mix'!$C$27,'Calc_Mix'!$X$27=0,COUNTIFS(Esc_Turno,'Calc_Mix'!$C$27,Esc_Circ,$B50)+COUNTIFS(Esc_Turno,'Calc_Mix'!$C$27,Esc_Instr,$B50)&gt;0),"",IF(SUMPRODUCT('Calc_Mix'!$D$27:$W$27,'Matriz_Habilidades'!$D50:$W50)=0,"",SUMPRODUCT('Calc_Mix'!$D$27:$W$27,'Matriz_Habilidades'!$D50:$W50)/'Calc_Mix'!$X$27+ROW()*0.000001))</f>
        <v/>
      </c>
      <c r="AE50" s="34">
        <f>IF(OR($B50="",$C50&lt;&gt;"Ativo",$D50&lt;&gt;'Calc_Mix'!$C$28,'Calc_Mix'!$X$28=0,COUNTIFS(Esc_Turno,'Calc_Mix'!$C$28,Esc_Circ,$B50)+COUNTIFS(Esc_Turno,'Calc_Mix'!$C$28,Esc_Instr,$B50)&gt;0),"",IF(SUMPRODUCT('Calc_Mix'!$D$28:$W$28,'Matriz_Habilidades'!$D50:$W50)=0,"",SUMPRODUCT('Calc_Mix'!$D$28:$W$28,'Matriz_Habilidades'!$D50:$W50)/'Calc_Mix'!$X$28+ROW()*0.000001))</f>
        <v/>
      </c>
      <c r="AF50" s="34">
        <f>IF(OR($B50="",$C50&lt;&gt;"Ativo",$D50&lt;&gt;'Calc_Mix'!$C$29,'Calc_Mix'!$X$29=0,COUNTIFS(Esc_Turno,'Calc_Mix'!$C$29,Esc_Circ,$B50)+COUNTIFS(Esc_Turno,'Calc_Mix'!$C$29,Esc_Instr,$B50)&gt;0),"",IF(SUMPRODUCT('Calc_Mix'!$D$29:$W$29,'Matriz_Habilidades'!$D50:$W50)=0,"",SUMPRODUCT('Calc_Mix'!$D$29:$W$29,'Matriz_Habilidades'!$D50:$W50)/'Calc_Mix'!$X$29+ROW()*0.000001))</f>
        <v/>
      </c>
      <c r="AG50" s="34">
        <f>IF(OR($B50="",$C50&lt;&gt;"Ativo",$D50&lt;&gt;'Calc_Mix'!$C$30,'Calc_Mix'!$X$30=0,COUNTIFS(Esc_Turno,'Calc_Mix'!$C$30,Esc_Circ,$B50)+COUNTIFS(Esc_Turno,'Calc_Mix'!$C$30,Esc_Instr,$B50)&gt;0),"",IF(SUMPRODUCT('Calc_Mix'!$D$30:$W$30,'Matriz_Habilidades'!$D50:$W50)=0,"",SUMPRODUCT('Calc_Mix'!$D$30:$W$30,'Matriz_Habilidades'!$D50:$W50)/'Calc_Mix'!$X$30+ROW()*0.000001))</f>
        <v/>
      </c>
      <c r="AH50" s="34">
        <f>IF(OR($B50="",$C50&lt;&gt;"Ativo",$D50&lt;&gt;'Calc_Mix'!$C$31,'Calc_Mix'!$X$31=0,COUNTIFS(Esc_Turno,'Calc_Mix'!$C$31,Esc_Circ,$B50)+COUNTIFS(Esc_Turno,'Calc_Mix'!$C$31,Esc_Instr,$B50)&gt;0),"",IF(SUMPRODUCT('Calc_Mix'!$D$31:$W$31,'Matriz_Habilidades'!$D50:$W50)=0,"",SUMPRODUCT('Calc_Mix'!$D$31:$W$31,'Matriz_Habilidades'!$D50:$W50)/'Calc_Mix'!$X$31+ROW()*0.000001))</f>
        <v/>
      </c>
      <c r="AI50" s="34">
        <f>IF(OR($B50="",$C50&lt;&gt;"Ativo",$D50&lt;&gt;'Calc_Mix'!$C$32,'Calc_Mix'!$X$32=0,COUNTIFS(Esc_Turno,'Calc_Mix'!$C$32,Esc_Circ,$B50)+COUNTIFS(Esc_Turno,'Calc_Mix'!$C$32,Esc_Instr,$B50)&gt;0),"",IF(SUMPRODUCT('Calc_Mix'!$D$32:$W$32,'Matriz_Habilidades'!$D50:$W50)=0,"",SUMPRODUCT('Calc_Mix'!$D$32:$W$32,'Matriz_Habilidades'!$D50:$W50)/'Calc_Mix'!$X$32+ROW()*0.000001))</f>
        <v/>
      </c>
      <c r="AJ50" s="34">
        <f>IF(OR($B50="",$C50&lt;&gt;"Ativo",$D50&lt;&gt;'Calc_Mix'!$C$33,'Calc_Mix'!$X$33=0,COUNTIFS(Esc_Turno,'Calc_Mix'!$C$33,Esc_Circ,$B50)+COUNTIFS(Esc_Turno,'Calc_Mix'!$C$33,Esc_Instr,$B50)&gt;0),"",IF(SUMPRODUCT('Calc_Mix'!$D$33:$W$33,'Matriz_Habilidades'!$D50:$W50)=0,"",SUMPRODUCT('Calc_Mix'!$D$33:$W$33,'Matriz_Habilidades'!$D50:$W50)/'Calc_Mix'!$X$33+ROW()*0.000001))</f>
        <v/>
      </c>
      <c r="AK50" s="34">
        <f>IF(OR($B50="",$C50&lt;&gt;"Ativo",$D50&lt;&gt;'Calc_Mix'!$C$34,'Calc_Mix'!$X$34=0,COUNTIFS(Esc_Turno,'Calc_Mix'!$C$34,Esc_Circ,$B50)+COUNTIFS(Esc_Turno,'Calc_Mix'!$C$34,Esc_Instr,$B50)&gt;0),"",IF(SUMPRODUCT('Calc_Mix'!$D$34:$W$34,'Matriz_Habilidades'!$D50:$W50)=0,"",SUMPRODUCT('Calc_Mix'!$D$34:$W$34,'Matriz_Habilidades'!$D50:$W50)/'Calc_Mix'!$X$34+ROW()*0.000001))</f>
        <v/>
      </c>
      <c r="AL50" s="34">
        <f>IF(OR($B50="",$C50&lt;&gt;"Ativo",$D50&lt;&gt;'Calc_Mix'!$C$35,'Calc_Mix'!$X$35=0,COUNTIFS(Esc_Turno,'Calc_Mix'!$C$35,Esc_Circ,$B50)+COUNTIFS(Esc_Turno,'Calc_Mix'!$C$35,Esc_Instr,$B50)&gt;0),"",IF(SUMPRODUCT('Calc_Mix'!$D$35:$W$35,'Matriz_Habilidades'!$D50:$W50)=0,"",SUMPRODUCT('Calc_Mix'!$D$35:$W$35,'Matriz_Habilidades'!$D50:$W50)/'Calc_Mix'!$X$35+ROW()*0.000001))</f>
        <v/>
      </c>
      <c r="AM50" s="34">
        <f>IF(OR($B50="",$C50&lt;&gt;"Ativo",$D50&lt;&gt;'Calc_Mix'!$C$36,'Calc_Mix'!$X$36=0,COUNTIFS(Esc_Turno,'Calc_Mix'!$C$36,Esc_Circ,$B50)+COUNTIFS(Esc_Turno,'Calc_Mix'!$C$36,Esc_Instr,$B50)&gt;0),"",IF(SUMPRODUCT('Calc_Mix'!$D$36:$W$36,'Matriz_Habilidades'!$D50:$W50)=0,"",SUMPRODUCT('Calc_Mix'!$D$36:$W$36,'Matriz_Habilidades'!$D50:$W50)/'Calc_Mix'!$X$36+ROW()*0.000001))</f>
        <v/>
      </c>
      <c r="AN50" s="34">
        <f>IF(OR($B50="",$C50&lt;&gt;"Ativo",$D50&lt;&gt;'Calc_Mix'!$C$37,'Calc_Mix'!$X$37=0,COUNTIFS(Esc_Turno,'Calc_Mix'!$C$37,Esc_Circ,$B50)+COUNTIFS(Esc_Turno,'Calc_Mix'!$C$37,Esc_Instr,$B50)&gt;0),"",IF(SUMPRODUCT('Calc_Mix'!$D$37:$W$37,'Matriz_Habilidades'!$D50:$W50)=0,"",SUMPRODUCT('Calc_Mix'!$D$37:$W$37,'Matriz_Habilidades'!$D50:$W50)/'Calc_Mix'!$X$37+ROW()*0.000001))</f>
        <v/>
      </c>
    </row>
    <row r="51">
      <c r="A51" s="27">
        <f>IF('Matriz_Habilidades'!A51="","",'Matriz_Habilidades'!A51)</f>
        <v/>
      </c>
      <c r="B51" s="28">
        <f>IF('Matriz_Habilidades'!B51="","",'Matriz_Habilidades'!B51)</f>
        <v/>
      </c>
      <c r="C51" s="27">
        <f>IF($A51="","",IFERROR(INDEX(Equipe_Status,MATCH($B51,Equipe_Nome,0)),"?"))</f>
        <v/>
      </c>
      <c r="D51" s="27">
        <f>IF($A51="","",IFERROR(INDEX(Equipe_Turno,MATCH($B51,Equipe_Nome,0)),"?"))</f>
        <v/>
      </c>
      <c r="E51" s="34">
        <f>IF(OR($B51="",$C51&lt;&gt;"Ativo",$D51&lt;&gt;'Calc_Mix'!$C$2,'Calc_Mix'!$X$2=0,COUNTIFS(Esc_Turno,'Calc_Mix'!$C$2,Esc_Circ,$B51)+COUNTIFS(Esc_Turno,'Calc_Mix'!$C$2,Esc_Instr,$B51)&gt;0),"",IF(SUMPRODUCT('Calc_Mix'!$D$2:$W$2,'Matriz_Habilidades'!$D51:$W51)=0,"",SUMPRODUCT('Calc_Mix'!$D$2:$W$2,'Matriz_Habilidades'!$D51:$W51)/'Calc_Mix'!$X$2+ROW()*0.000001))</f>
        <v/>
      </c>
      <c r="F51" s="34">
        <f>IF(OR($B51="",$C51&lt;&gt;"Ativo",$D51&lt;&gt;'Calc_Mix'!$C$3,'Calc_Mix'!$X$3=0,COUNTIFS(Esc_Turno,'Calc_Mix'!$C$3,Esc_Circ,$B51)+COUNTIFS(Esc_Turno,'Calc_Mix'!$C$3,Esc_Instr,$B51)&gt;0),"",IF(SUMPRODUCT('Calc_Mix'!$D$3:$W$3,'Matriz_Habilidades'!$D51:$W51)=0,"",SUMPRODUCT('Calc_Mix'!$D$3:$W$3,'Matriz_Habilidades'!$D51:$W51)/'Calc_Mix'!$X$3+ROW()*0.000001))</f>
        <v/>
      </c>
      <c r="G51" s="34">
        <f>IF(OR($B51="",$C51&lt;&gt;"Ativo",$D51&lt;&gt;'Calc_Mix'!$C$4,'Calc_Mix'!$X$4=0,COUNTIFS(Esc_Turno,'Calc_Mix'!$C$4,Esc_Circ,$B51)+COUNTIFS(Esc_Turno,'Calc_Mix'!$C$4,Esc_Instr,$B51)&gt;0),"",IF(SUMPRODUCT('Calc_Mix'!$D$4:$W$4,'Matriz_Habilidades'!$D51:$W51)=0,"",SUMPRODUCT('Calc_Mix'!$D$4:$W$4,'Matriz_Habilidades'!$D51:$W51)/'Calc_Mix'!$X$4+ROW()*0.000001))</f>
        <v/>
      </c>
      <c r="H51" s="34">
        <f>IF(OR($B51="",$C51&lt;&gt;"Ativo",$D51&lt;&gt;'Calc_Mix'!$C$5,'Calc_Mix'!$X$5=0,COUNTIFS(Esc_Turno,'Calc_Mix'!$C$5,Esc_Circ,$B51)+COUNTIFS(Esc_Turno,'Calc_Mix'!$C$5,Esc_Instr,$B51)&gt;0),"",IF(SUMPRODUCT('Calc_Mix'!$D$5:$W$5,'Matriz_Habilidades'!$D51:$W51)=0,"",SUMPRODUCT('Calc_Mix'!$D$5:$W$5,'Matriz_Habilidades'!$D51:$W51)/'Calc_Mix'!$X$5+ROW()*0.000001))</f>
        <v/>
      </c>
      <c r="I51" s="34">
        <f>IF(OR($B51="",$C51&lt;&gt;"Ativo",$D51&lt;&gt;'Calc_Mix'!$C$6,'Calc_Mix'!$X$6=0,COUNTIFS(Esc_Turno,'Calc_Mix'!$C$6,Esc_Circ,$B51)+COUNTIFS(Esc_Turno,'Calc_Mix'!$C$6,Esc_Instr,$B51)&gt;0),"",IF(SUMPRODUCT('Calc_Mix'!$D$6:$W$6,'Matriz_Habilidades'!$D51:$W51)=0,"",SUMPRODUCT('Calc_Mix'!$D$6:$W$6,'Matriz_Habilidades'!$D51:$W51)/'Calc_Mix'!$X$6+ROW()*0.000001))</f>
        <v/>
      </c>
      <c r="J51" s="34">
        <f>IF(OR($B51="",$C51&lt;&gt;"Ativo",$D51&lt;&gt;'Calc_Mix'!$C$7,'Calc_Mix'!$X$7=0,COUNTIFS(Esc_Turno,'Calc_Mix'!$C$7,Esc_Circ,$B51)+COUNTIFS(Esc_Turno,'Calc_Mix'!$C$7,Esc_Instr,$B51)&gt;0),"",IF(SUMPRODUCT('Calc_Mix'!$D$7:$W$7,'Matriz_Habilidades'!$D51:$W51)=0,"",SUMPRODUCT('Calc_Mix'!$D$7:$W$7,'Matriz_Habilidades'!$D51:$W51)/'Calc_Mix'!$X$7+ROW()*0.000001))</f>
        <v/>
      </c>
      <c r="K51" s="34">
        <f>IF(OR($B51="",$C51&lt;&gt;"Ativo",$D51&lt;&gt;'Calc_Mix'!$C$8,'Calc_Mix'!$X$8=0,COUNTIFS(Esc_Turno,'Calc_Mix'!$C$8,Esc_Circ,$B51)+COUNTIFS(Esc_Turno,'Calc_Mix'!$C$8,Esc_Instr,$B51)&gt;0),"",IF(SUMPRODUCT('Calc_Mix'!$D$8:$W$8,'Matriz_Habilidades'!$D51:$W51)=0,"",SUMPRODUCT('Calc_Mix'!$D$8:$W$8,'Matriz_Habilidades'!$D51:$W51)/'Calc_Mix'!$X$8+ROW()*0.000001))</f>
        <v/>
      </c>
      <c r="L51" s="34">
        <f>IF(OR($B51="",$C51&lt;&gt;"Ativo",$D51&lt;&gt;'Calc_Mix'!$C$9,'Calc_Mix'!$X$9=0,COUNTIFS(Esc_Turno,'Calc_Mix'!$C$9,Esc_Circ,$B51)+COUNTIFS(Esc_Turno,'Calc_Mix'!$C$9,Esc_Instr,$B51)&gt;0),"",IF(SUMPRODUCT('Calc_Mix'!$D$9:$W$9,'Matriz_Habilidades'!$D51:$W51)=0,"",SUMPRODUCT('Calc_Mix'!$D$9:$W$9,'Matriz_Habilidades'!$D51:$W51)/'Calc_Mix'!$X$9+ROW()*0.000001))</f>
        <v/>
      </c>
      <c r="M51" s="34">
        <f>IF(OR($B51="",$C51&lt;&gt;"Ativo",$D51&lt;&gt;'Calc_Mix'!$C$10,'Calc_Mix'!$X$10=0,COUNTIFS(Esc_Turno,'Calc_Mix'!$C$10,Esc_Circ,$B51)+COUNTIFS(Esc_Turno,'Calc_Mix'!$C$10,Esc_Instr,$B51)&gt;0),"",IF(SUMPRODUCT('Calc_Mix'!$D$10:$W$10,'Matriz_Habilidades'!$D51:$W51)=0,"",SUMPRODUCT('Calc_Mix'!$D$10:$W$10,'Matriz_Habilidades'!$D51:$W51)/'Calc_Mix'!$X$10+ROW()*0.000001))</f>
        <v/>
      </c>
      <c r="N51" s="34">
        <f>IF(OR($B51="",$C51&lt;&gt;"Ativo",$D51&lt;&gt;'Calc_Mix'!$C$11,'Calc_Mix'!$X$11=0,COUNTIFS(Esc_Turno,'Calc_Mix'!$C$11,Esc_Circ,$B51)+COUNTIFS(Esc_Turno,'Calc_Mix'!$C$11,Esc_Instr,$B51)&gt;0),"",IF(SUMPRODUCT('Calc_Mix'!$D$11:$W$11,'Matriz_Habilidades'!$D51:$W51)=0,"",SUMPRODUCT('Calc_Mix'!$D$11:$W$11,'Matriz_Habilidades'!$D51:$W51)/'Calc_Mix'!$X$11+ROW()*0.000001))</f>
        <v/>
      </c>
      <c r="O51" s="34">
        <f>IF(OR($B51="",$C51&lt;&gt;"Ativo",$D51&lt;&gt;'Calc_Mix'!$C$12,'Calc_Mix'!$X$12=0,COUNTIFS(Esc_Turno,'Calc_Mix'!$C$12,Esc_Circ,$B51)+COUNTIFS(Esc_Turno,'Calc_Mix'!$C$12,Esc_Instr,$B51)&gt;0),"",IF(SUMPRODUCT('Calc_Mix'!$D$12:$W$12,'Matriz_Habilidades'!$D51:$W51)=0,"",SUMPRODUCT('Calc_Mix'!$D$12:$W$12,'Matriz_Habilidades'!$D51:$W51)/'Calc_Mix'!$X$12+ROW()*0.000001))</f>
        <v/>
      </c>
      <c r="P51" s="34">
        <f>IF(OR($B51="",$C51&lt;&gt;"Ativo",$D51&lt;&gt;'Calc_Mix'!$C$13,'Calc_Mix'!$X$13=0,COUNTIFS(Esc_Turno,'Calc_Mix'!$C$13,Esc_Circ,$B51)+COUNTIFS(Esc_Turno,'Calc_Mix'!$C$13,Esc_Instr,$B51)&gt;0),"",IF(SUMPRODUCT('Calc_Mix'!$D$13:$W$13,'Matriz_Habilidades'!$D51:$W51)=0,"",SUMPRODUCT('Calc_Mix'!$D$13:$W$13,'Matriz_Habilidades'!$D51:$W51)/'Calc_Mix'!$X$13+ROW()*0.000001))</f>
        <v/>
      </c>
      <c r="Q51" s="34">
        <f>IF(OR($B51="",$C51&lt;&gt;"Ativo",$D51&lt;&gt;'Calc_Mix'!$C$14,'Calc_Mix'!$X$14=0,COUNTIFS(Esc_Turno,'Calc_Mix'!$C$14,Esc_Circ,$B51)+COUNTIFS(Esc_Turno,'Calc_Mix'!$C$14,Esc_Instr,$B51)&gt;0),"",IF(SUMPRODUCT('Calc_Mix'!$D$14:$W$14,'Matriz_Habilidades'!$D51:$W51)=0,"",SUMPRODUCT('Calc_Mix'!$D$14:$W$14,'Matriz_Habilidades'!$D51:$W51)/'Calc_Mix'!$X$14+ROW()*0.000001))</f>
        <v/>
      </c>
      <c r="R51" s="34">
        <f>IF(OR($B51="",$C51&lt;&gt;"Ativo",$D51&lt;&gt;'Calc_Mix'!$C$15,'Calc_Mix'!$X$15=0,COUNTIFS(Esc_Turno,'Calc_Mix'!$C$15,Esc_Circ,$B51)+COUNTIFS(Esc_Turno,'Calc_Mix'!$C$15,Esc_Instr,$B51)&gt;0),"",IF(SUMPRODUCT('Calc_Mix'!$D$15:$W$15,'Matriz_Habilidades'!$D51:$W51)=0,"",SUMPRODUCT('Calc_Mix'!$D$15:$W$15,'Matriz_Habilidades'!$D51:$W51)/'Calc_Mix'!$X$15+ROW()*0.000001))</f>
        <v/>
      </c>
      <c r="S51" s="34">
        <f>IF(OR($B51="",$C51&lt;&gt;"Ativo",$D51&lt;&gt;'Calc_Mix'!$C$16,'Calc_Mix'!$X$16=0,COUNTIFS(Esc_Turno,'Calc_Mix'!$C$16,Esc_Circ,$B51)+COUNTIFS(Esc_Turno,'Calc_Mix'!$C$16,Esc_Instr,$B51)&gt;0),"",IF(SUMPRODUCT('Calc_Mix'!$D$16:$W$16,'Matriz_Habilidades'!$D51:$W51)=0,"",SUMPRODUCT('Calc_Mix'!$D$16:$W$16,'Matriz_Habilidades'!$D51:$W51)/'Calc_Mix'!$X$16+ROW()*0.000001))</f>
        <v/>
      </c>
      <c r="T51" s="34">
        <f>IF(OR($B51="",$C51&lt;&gt;"Ativo",$D51&lt;&gt;'Calc_Mix'!$C$17,'Calc_Mix'!$X$17=0,COUNTIFS(Esc_Turno,'Calc_Mix'!$C$17,Esc_Circ,$B51)+COUNTIFS(Esc_Turno,'Calc_Mix'!$C$17,Esc_Instr,$B51)&gt;0),"",IF(SUMPRODUCT('Calc_Mix'!$D$17:$W$17,'Matriz_Habilidades'!$D51:$W51)=0,"",SUMPRODUCT('Calc_Mix'!$D$17:$W$17,'Matriz_Habilidades'!$D51:$W51)/'Calc_Mix'!$X$17+ROW()*0.000001))</f>
        <v/>
      </c>
      <c r="U51" s="34">
        <f>IF(OR($B51="",$C51&lt;&gt;"Ativo",$D51&lt;&gt;'Calc_Mix'!$C$18,'Calc_Mix'!$X$18=0,COUNTIFS(Esc_Turno,'Calc_Mix'!$C$18,Esc_Circ,$B51)+COUNTIFS(Esc_Turno,'Calc_Mix'!$C$18,Esc_Instr,$B51)&gt;0),"",IF(SUMPRODUCT('Calc_Mix'!$D$18:$W$18,'Matriz_Habilidades'!$D51:$W51)=0,"",SUMPRODUCT('Calc_Mix'!$D$18:$W$18,'Matriz_Habilidades'!$D51:$W51)/'Calc_Mix'!$X$18+ROW()*0.000001))</f>
        <v/>
      </c>
      <c r="V51" s="34">
        <f>IF(OR($B51="",$C51&lt;&gt;"Ativo",$D51&lt;&gt;'Calc_Mix'!$C$19,'Calc_Mix'!$X$19=0,COUNTIFS(Esc_Turno,'Calc_Mix'!$C$19,Esc_Circ,$B51)+COUNTIFS(Esc_Turno,'Calc_Mix'!$C$19,Esc_Instr,$B51)&gt;0),"",IF(SUMPRODUCT('Calc_Mix'!$D$19:$W$19,'Matriz_Habilidades'!$D51:$W51)=0,"",SUMPRODUCT('Calc_Mix'!$D$19:$W$19,'Matriz_Habilidades'!$D51:$W51)/'Calc_Mix'!$X$19+ROW()*0.000001))</f>
        <v/>
      </c>
      <c r="W51" s="34">
        <f>IF(OR($B51="",$C51&lt;&gt;"Ativo",$D51&lt;&gt;'Calc_Mix'!$C$20,'Calc_Mix'!$X$20=0,COUNTIFS(Esc_Turno,'Calc_Mix'!$C$20,Esc_Circ,$B51)+COUNTIFS(Esc_Turno,'Calc_Mix'!$C$20,Esc_Instr,$B51)&gt;0),"",IF(SUMPRODUCT('Calc_Mix'!$D$20:$W$20,'Matriz_Habilidades'!$D51:$W51)=0,"",SUMPRODUCT('Calc_Mix'!$D$20:$W$20,'Matriz_Habilidades'!$D51:$W51)/'Calc_Mix'!$X$20+ROW()*0.000001))</f>
        <v/>
      </c>
      <c r="X51" s="34">
        <f>IF(OR($B51="",$C51&lt;&gt;"Ativo",$D51&lt;&gt;'Calc_Mix'!$C$21,'Calc_Mix'!$X$21=0,COUNTIFS(Esc_Turno,'Calc_Mix'!$C$21,Esc_Circ,$B51)+COUNTIFS(Esc_Turno,'Calc_Mix'!$C$21,Esc_Instr,$B51)&gt;0),"",IF(SUMPRODUCT('Calc_Mix'!$D$21:$W$21,'Matriz_Habilidades'!$D51:$W51)=0,"",SUMPRODUCT('Calc_Mix'!$D$21:$W$21,'Matriz_Habilidades'!$D51:$W51)/'Calc_Mix'!$X$21+ROW()*0.000001))</f>
        <v/>
      </c>
      <c r="Y51" s="34">
        <f>IF(OR($B51="",$C51&lt;&gt;"Ativo",$D51&lt;&gt;'Calc_Mix'!$C$22,'Calc_Mix'!$X$22=0,COUNTIFS(Esc_Turno,'Calc_Mix'!$C$22,Esc_Circ,$B51)+COUNTIFS(Esc_Turno,'Calc_Mix'!$C$22,Esc_Instr,$B51)&gt;0),"",IF(SUMPRODUCT('Calc_Mix'!$D$22:$W$22,'Matriz_Habilidades'!$D51:$W51)=0,"",SUMPRODUCT('Calc_Mix'!$D$22:$W$22,'Matriz_Habilidades'!$D51:$W51)/'Calc_Mix'!$X$22+ROW()*0.000001))</f>
        <v/>
      </c>
      <c r="Z51" s="34">
        <f>IF(OR($B51="",$C51&lt;&gt;"Ativo",$D51&lt;&gt;'Calc_Mix'!$C$23,'Calc_Mix'!$X$23=0,COUNTIFS(Esc_Turno,'Calc_Mix'!$C$23,Esc_Circ,$B51)+COUNTIFS(Esc_Turno,'Calc_Mix'!$C$23,Esc_Instr,$B51)&gt;0),"",IF(SUMPRODUCT('Calc_Mix'!$D$23:$W$23,'Matriz_Habilidades'!$D51:$W51)=0,"",SUMPRODUCT('Calc_Mix'!$D$23:$W$23,'Matriz_Habilidades'!$D51:$W51)/'Calc_Mix'!$X$23+ROW()*0.000001))</f>
        <v/>
      </c>
      <c r="AA51" s="34">
        <f>IF(OR($B51="",$C51&lt;&gt;"Ativo",$D51&lt;&gt;'Calc_Mix'!$C$24,'Calc_Mix'!$X$24=0,COUNTIFS(Esc_Turno,'Calc_Mix'!$C$24,Esc_Circ,$B51)+COUNTIFS(Esc_Turno,'Calc_Mix'!$C$24,Esc_Instr,$B51)&gt;0),"",IF(SUMPRODUCT('Calc_Mix'!$D$24:$W$24,'Matriz_Habilidades'!$D51:$W51)=0,"",SUMPRODUCT('Calc_Mix'!$D$24:$W$24,'Matriz_Habilidades'!$D51:$W51)/'Calc_Mix'!$X$24+ROW()*0.000001))</f>
        <v/>
      </c>
      <c r="AB51" s="34">
        <f>IF(OR($B51="",$C51&lt;&gt;"Ativo",$D51&lt;&gt;'Calc_Mix'!$C$25,'Calc_Mix'!$X$25=0,COUNTIFS(Esc_Turno,'Calc_Mix'!$C$25,Esc_Circ,$B51)+COUNTIFS(Esc_Turno,'Calc_Mix'!$C$25,Esc_Instr,$B51)&gt;0),"",IF(SUMPRODUCT('Calc_Mix'!$D$25:$W$25,'Matriz_Habilidades'!$D51:$W51)=0,"",SUMPRODUCT('Calc_Mix'!$D$25:$W$25,'Matriz_Habilidades'!$D51:$W51)/'Calc_Mix'!$X$25+ROW()*0.000001))</f>
        <v/>
      </c>
      <c r="AC51" s="34">
        <f>IF(OR($B51="",$C51&lt;&gt;"Ativo",$D51&lt;&gt;'Calc_Mix'!$C$26,'Calc_Mix'!$X$26=0,COUNTIFS(Esc_Turno,'Calc_Mix'!$C$26,Esc_Circ,$B51)+COUNTIFS(Esc_Turno,'Calc_Mix'!$C$26,Esc_Instr,$B51)&gt;0),"",IF(SUMPRODUCT('Calc_Mix'!$D$26:$W$26,'Matriz_Habilidades'!$D51:$W51)=0,"",SUMPRODUCT('Calc_Mix'!$D$26:$W$26,'Matriz_Habilidades'!$D51:$W51)/'Calc_Mix'!$X$26+ROW()*0.000001))</f>
        <v/>
      </c>
      <c r="AD51" s="34">
        <f>IF(OR($B51="",$C51&lt;&gt;"Ativo",$D51&lt;&gt;'Calc_Mix'!$C$27,'Calc_Mix'!$X$27=0,COUNTIFS(Esc_Turno,'Calc_Mix'!$C$27,Esc_Circ,$B51)+COUNTIFS(Esc_Turno,'Calc_Mix'!$C$27,Esc_Instr,$B51)&gt;0),"",IF(SUMPRODUCT('Calc_Mix'!$D$27:$W$27,'Matriz_Habilidades'!$D51:$W51)=0,"",SUMPRODUCT('Calc_Mix'!$D$27:$W$27,'Matriz_Habilidades'!$D51:$W51)/'Calc_Mix'!$X$27+ROW()*0.000001))</f>
        <v/>
      </c>
      <c r="AE51" s="34">
        <f>IF(OR($B51="",$C51&lt;&gt;"Ativo",$D51&lt;&gt;'Calc_Mix'!$C$28,'Calc_Mix'!$X$28=0,COUNTIFS(Esc_Turno,'Calc_Mix'!$C$28,Esc_Circ,$B51)+COUNTIFS(Esc_Turno,'Calc_Mix'!$C$28,Esc_Instr,$B51)&gt;0),"",IF(SUMPRODUCT('Calc_Mix'!$D$28:$W$28,'Matriz_Habilidades'!$D51:$W51)=0,"",SUMPRODUCT('Calc_Mix'!$D$28:$W$28,'Matriz_Habilidades'!$D51:$W51)/'Calc_Mix'!$X$28+ROW()*0.000001))</f>
        <v/>
      </c>
      <c r="AF51" s="34">
        <f>IF(OR($B51="",$C51&lt;&gt;"Ativo",$D51&lt;&gt;'Calc_Mix'!$C$29,'Calc_Mix'!$X$29=0,COUNTIFS(Esc_Turno,'Calc_Mix'!$C$29,Esc_Circ,$B51)+COUNTIFS(Esc_Turno,'Calc_Mix'!$C$29,Esc_Instr,$B51)&gt;0),"",IF(SUMPRODUCT('Calc_Mix'!$D$29:$W$29,'Matriz_Habilidades'!$D51:$W51)=0,"",SUMPRODUCT('Calc_Mix'!$D$29:$W$29,'Matriz_Habilidades'!$D51:$W51)/'Calc_Mix'!$X$29+ROW()*0.000001))</f>
        <v/>
      </c>
      <c r="AG51" s="34">
        <f>IF(OR($B51="",$C51&lt;&gt;"Ativo",$D51&lt;&gt;'Calc_Mix'!$C$30,'Calc_Mix'!$X$30=0,COUNTIFS(Esc_Turno,'Calc_Mix'!$C$30,Esc_Circ,$B51)+COUNTIFS(Esc_Turno,'Calc_Mix'!$C$30,Esc_Instr,$B51)&gt;0),"",IF(SUMPRODUCT('Calc_Mix'!$D$30:$W$30,'Matriz_Habilidades'!$D51:$W51)=0,"",SUMPRODUCT('Calc_Mix'!$D$30:$W$30,'Matriz_Habilidades'!$D51:$W51)/'Calc_Mix'!$X$30+ROW()*0.000001))</f>
        <v/>
      </c>
      <c r="AH51" s="34">
        <f>IF(OR($B51="",$C51&lt;&gt;"Ativo",$D51&lt;&gt;'Calc_Mix'!$C$31,'Calc_Mix'!$X$31=0,COUNTIFS(Esc_Turno,'Calc_Mix'!$C$31,Esc_Circ,$B51)+COUNTIFS(Esc_Turno,'Calc_Mix'!$C$31,Esc_Instr,$B51)&gt;0),"",IF(SUMPRODUCT('Calc_Mix'!$D$31:$W$31,'Matriz_Habilidades'!$D51:$W51)=0,"",SUMPRODUCT('Calc_Mix'!$D$31:$W$31,'Matriz_Habilidades'!$D51:$W51)/'Calc_Mix'!$X$31+ROW()*0.000001))</f>
        <v/>
      </c>
      <c r="AI51" s="34">
        <f>IF(OR($B51="",$C51&lt;&gt;"Ativo",$D51&lt;&gt;'Calc_Mix'!$C$32,'Calc_Mix'!$X$32=0,COUNTIFS(Esc_Turno,'Calc_Mix'!$C$32,Esc_Circ,$B51)+COUNTIFS(Esc_Turno,'Calc_Mix'!$C$32,Esc_Instr,$B51)&gt;0),"",IF(SUMPRODUCT('Calc_Mix'!$D$32:$W$32,'Matriz_Habilidades'!$D51:$W51)=0,"",SUMPRODUCT('Calc_Mix'!$D$32:$W$32,'Matriz_Habilidades'!$D51:$W51)/'Calc_Mix'!$X$32+ROW()*0.000001))</f>
        <v/>
      </c>
      <c r="AJ51" s="34">
        <f>IF(OR($B51="",$C51&lt;&gt;"Ativo",$D51&lt;&gt;'Calc_Mix'!$C$33,'Calc_Mix'!$X$33=0,COUNTIFS(Esc_Turno,'Calc_Mix'!$C$33,Esc_Circ,$B51)+COUNTIFS(Esc_Turno,'Calc_Mix'!$C$33,Esc_Instr,$B51)&gt;0),"",IF(SUMPRODUCT('Calc_Mix'!$D$33:$W$33,'Matriz_Habilidades'!$D51:$W51)=0,"",SUMPRODUCT('Calc_Mix'!$D$33:$W$33,'Matriz_Habilidades'!$D51:$W51)/'Calc_Mix'!$X$33+ROW()*0.000001))</f>
        <v/>
      </c>
      <c r="AK51" s="34">
        <f>IF(OR($B51="",$C51&lt;&gt;"Ativo",$D51&lt;&gt;'Calc_Mix'!$C$34,'Calc_Mix'!$X$34=0,COUNTIFS(Esc_Turno,'Calc_Mix'!$C$34,Esc_Circ,$B51)+COUNTIFS(Esc_Turno,'Calc_Mix'!$C$34,Esc_Instr,$B51)&gt;0),"",IF(SUMPRODUCT('Calc_Mix'!$D$34:$W$34,'Matriz_Habilidades'!$D51:$W51)=0,"",SUMPRODUCT('Calc_Mix'!$D$34:$W$34,'Matriz_Habilidades'!$D51:$W51)/'Calc_Mix'!$X$34+ROW()*0.000001))</f>
        <v/>
      </c>
      <c r="AL51" s="34">
        <f>IF(OR($B51="",$C51&lt;&gt;"Ativo",$D51&lt;&gt;'Calc_Mix'!$C$35,'Calc_Mix'!$X$35=0,COUNTIFS(Esc_Turno,'Calc_Mix'!$C$35,Esc_Circ,$B51)+COUNTIFS(Esc_Turno,'Calc_Mix'!$C$35,Esc_Instr,$B51)&gt;0),"",IF(SUMPRODUCT('Calc_Mix'!$D$35:$W$35,'Matriz_Habilidades'!$D51:$W51)=0,"",SUMPRODUCT('Calc_Mix'!$D$35:$W$35,'Matriz_Habilidades'!$D51:$W51)/'Calc_Mix'!$X$35+ROW()*0.000001))</f>
        <v/>
      </c>
      <c r="AM51" s="34">
        <f>IF(OR($B51="",$C51&lt;&gt;"Ativo",$D51&lt;&gt;'Calc_Mix'!$C$36,'Calc_Mix'!$X$36=0,COUNTIFS(Esc_Turno,'Calc_Mix'!$C$36,Esc_Circ,$B51)+COUNTIFS(Esc_Turno,'Calc_Mix'!$C$36,Esc_Instr,$B51)&gt;0),"",IF(SUMPRODUCT('Calc_Mix'!$D$36:$W$36,'Matriz_Habilidades'!$D51:$W51)=0,"",SUMPRODUCT('Calc_Mix'!$D$36:$W$36,'Matriz_Habilidades'!$D51:$W51)/'Calc_Mix'!$X$36+ROW()*0.000001))</f>
        <v/>
      </c>
      <c r="AN51" s="34">
        <f>IF(OR($B51="",$C51&lt;&gt;"Ativo",$D51&lt;&gt;'Calc_Mix'!$C$37,'Calc_Mix'!$X$37=0,COUNTIFS(Esc_Turno,'Calc_Mix'!$C$37,Esc_Circ,$B51)+COUNTIFS(Esc_Turno,'Calc_Mix'!$C$37,Esc_Instr,$B51)&gt;0),"",IF(SUMPRODUCT('Calc_Mix'!$D$37:$W$37,'Matriz_Habilidades'!$D51:$W51)=0,"",SUMPRODUCT('Calc_Mix'!$D$37:$W$37,'Matriz_Habilidades'!$D51:$W51)/'Calc_Mix'!$X$37+ROW()*0.000001))</f>
        <v/>
      </c>
    </row>
    <row r="52">
      <c r="A52" s="27">
        <f>IF('Matriz_Habilidades'!A52="","",'Matriz_Habilidades'!A52)</f>
        <v/>
      </c>
      <c r="B52" s="28">
        <f>IF('Matriz_Habilidades'!B52="","",'Matriz_Habilidades'!B52)</f>
        <v/>
      </c>
      <c r="C52" s="27">
        <f>IF($A52="","",IFERROR(INDEX(Equipe_Status,MATCH($B52,Equipe_Nome,0)),"?"))</f>
        <v/>
      </c>
      <c r="D52" s="27">
        <f>IF($A52="","",IFERROR(INDEX(Equipe_Turno,MATCH($B52,Equipe_Nome,0)),"?"))</f>
        <v/>
      </c>
      <c r="E52" s="34">
        <f>IF(OR($B52="",$C52&lt;&gt;"Ativo",$D52&lt;&gt;'Calc_Mix'!$C$2,'Calc_Mix'!$X$2=0,COUNTIFS(Esc_Turno,'Calc_Mix'!$C$2,Esc_Circ,$B52)+COUNTIFS(Esc_Turno,'Calc_Mix'!$C$2,Esc_Instr,$B52)&gt;0),"",IF(SUMPRODUCT('Calc_Mix'!$D$2:$W$2,'Matriz_Habilidades'!$D52:$W52)=0,"",SUMPRODUCT('Calc_Mix'!$D$2:$W$2,'Matriz_Habilidades'!$D52:$W52)/'Calc_Mix'!$X$2+ROW()*0.000001))</f>
        <v/>
      </c>
      <c r="F52" s="34">
        <f>IF(OR($B52="",$C52&lt;&gt;"Ativo",$D52&lt;&gt;'Calc_Mix'!$C$3,'Calc_Mix'!$X$3=0,COUNTIFS(Esc_Turno,'Calc_Mix'!$C$3,Esc_Circ,$B52)+COUNTIFS(Esc_Turno,'Calc_Mix'!$C$3,Esc_Instr,$B52)&gt;0),"",IF(SUMPRODUCT('Calc_Mix'!$D$3:$W$3,'Matriz_Habilidades'!$D52:$W52)=0,"",SUMPRODUCT('Calc_Mix'!$D$3:$W$3,'Matriz_Habilidades'!$D52:$W52)/'Calc_Mix'!$X$3+ROW()*0.000001))</f>
        <v/>
      </c>
      <c r="G52" s="34">
        <f>IF(OR($B52="",$C52&lt;&gt;"Ativo",$D52&lt;&gt;'Calc_Mix'!$C$4,'Calc_Mix'!$X$4=0,COUNTIFS(Esc_Turno,'Calc_Mix'!$C$4,Esc_Circ,$B52)+COUNTIFS(Esc_Turno,'Calc_Mix'!$C$4,Esc_Instr,$B52)&gt;0),"",IF(SUMPRODUCT('Calc_Mix'!$D$4:$W$4,'Matriz_Habilidades'!$D52:$W52)=0,"",SUMPRODUCT('Calc_Mix'!$D$4:$W$4,'Matriz_Habilidades'!$D52:$W52)/'Calc_Mix'!$X$4+ROW()*0.000001))</f>
        <v/>
      </c>
      <c r="H52" s="34">
        <f>IF(OR($B52="",$C52&lt;&gt;"Ativo",$D52&lt;&gt;'Calc_Mix'!$C$5,'Calc_Mix'!$X$5=0,COUNTIFS(Esc_Turno,'Calc_Mix'!$C$5,Esc_Circ,$B52)+COUNTIFS(Esc_Turno,'Calc_Mix'!$C$5,Esc_Instr,$B52)&gt;0),"",IF(SUMPRODUCT('Calc_Mix'!$D$5:$W$5,'Matriz_Habilidades'!$D52:$W52)=0,"",SUMPRODUCT('Calc_Mix'!$D$5:$W$5,'Matriz_Habilidades'!$D52:$W52)/'Calc_Mix'!$X$5+ROW()*0.000001))</f>
        <v/>
      </c>
      <c r="I52" s="34">
        <f>IF(OR($B52="",$C52&lt;&gt;"Ativo",$D52&lt;&gt;'Calc_Mix'!$C$6,'Calc_Mix'!$X$6=0,COUNTIFS(Esc_Turno,'Calc_Mix'!$C$6,Esc_Circ,$B52)+COUNTIFS(Esc_Turno,'Calc_Mix'!$C$6,Esc_Instr,$B52)&gt;0),"",IF(SUMPRODUCT('Calc_Mix'!$D$6:$W$6,'Matriz_Habilidades'!$D52:$W52)=0,"",SUMPRODUCT('Calc_Mix'!$D$6:$W$6,'Matriz_Habilidades'!$D52:$W52)/'Calc_Mix'!$X$6+ROW()*0.000001))</f>
        <v/>
      </c>
      <c r="J52" s="34">
        <f>IF(OR($B52="",$C52&lt;&gt;"Ativo",$D52&lt;&gt;'Calc_Mix'!$C$7,'Calc_Mix'!$X$7=0,COUNTIFS(Esc_Turno,'Calc_Mix'!$C$7,Esc_Circ,$B52)+COUNTIFS(Esc_Turno,'Calc_Mix'!$C$7,Esc_Instr,$B52)&gt;0),"",IF(SUMPRODUCT('Calc_Mix'!$D$7:$W$7,'Matriz_Habilidades'!$D52:$W52)=0,"",SUMPRODUCT('Calc_Mix'!$D$7:$W$7,'Matriz_Habilidades'!$D52:$W52)/'Calc_Mix'!$X$7+ROW()*0.000001))</f>
        <v/>
      </c>
      <c r="K52" s="34">
        <f>IF(OR($B52="",$C52&lt;&gt;"Ativo",$D52&lt;&gt;'Calc_Mix'!$C$8,'Calc_Mix'!$X$8=0,COUNTIFS(Esc_Turno,'Calc_Mix'!$C$8,Esc_Circ,$B52)+COUNTIFS(Esc_Turno,'Calc_Mix'!$C$8,Esc_Instr,$B52)&gt;0),"",IF(SUMPRODUCT('Calc_Mix'!$D$8:$W$8,'Matriz_Habilidades'!$D52:$W52)=0,"",SUMPRODUCT('Calc_Mix'!$D$8:$W$8,'Matriz_Habilidades'!$D52:$W52)/'Calc_Mix'!$X$8+ROW()*0.000001))</f>
        <v/>
      </c>
      <c r="L52" s="34">
        <f>IF(OR($B52="",$C52&lt;&gt;"Ativo",$D52&lt;&gt;'Calc_Mix'!$C$9,'Calc_Mix'!$X$9=0,COUNTIFS(Esc_Turno,'Calc_Mix'!$C$9,Esc_Circ,$B52)+COUNTIFS(Esc_Turno,'Calc_Mix'!$C$9,Esc_Instr,$B52)&gt;0),"",IF(SUMPRODUCT('Calc_Mix'!$D$9:$W$9,'Matriz_Habilidades'!$D52:$W52)=0,"",SUMPRODUCT('Calc_Mix'!$D$9:$W$9,'Matriz_Habilidades'!$D52:$W52)/'Calc_Mix'!$X$9+ROW()*0.000001))</f>
        <v/>
      </c>
      <c r="M52" s="34">
        <f>IF(OR($B52="",$C52&lt;&gt;"Ativo",$D52&lt;&gt;'Calc_Mix'!$C$10,'Calc_Mix'!$X$10=0,COUNTIFS(Esc_Turno,'Calc_Mix'!$C$10,Esc_Circ,$B52)+COUNTIFS(Esc_Turno,'Calc_Mix'!$C$10,Esc_Instr,$B52)&gt;0),"",IF(SUMPRODUCT('Calc_Mix'!$D$10:$W$10,'Matriz_Habilidades'!$D52:$W52)=0,"",SUMPRODUCT('Calc_Mix'!$D$10:$W$10,'Matriz_Habilidades'!$D52:$W52)/'Calc_Mix'!$X$10+ROW()*0.000001))</f>
        <v/>
      </c>
      <c r="N52" s="34">
        <f>IF(OR($B52="",$C52&lt;&gt;"Ativo",$D52&lt;&gt;'Calc_Mix'!$C$11,'Calc_Mix'!$X$11=0,COUNTIFS(Esc_Turno,'Calc_Mix'!$C$11,Esc_Circ,$B52)+COUNTIFS(Esc_Turno,'Calc_Mix'!$C$11,Esc_Instr,$B52)&gt;0),"",IF(SUMPRODUCT('Calc_Mix'!$D$11:$W$11,'Matriz_Habilidades'!$D52:$W52)=0,"",SUMPRODUCT('Calc_Mix'!$D$11:$W$11,'Matriz_Habilidades'!$D52:$W52)/'Calc_Mix'!$X$11+ROW()*0.000001))</f>
        <v/>
      </c>
      <c r="O52" s="34">
        <f>IF(OR($B52="",$C52&lt;&gt;"Ativo",$D52&lt;&gt;'Calc_Mix'!$C$12,'Calc_Mix'!$X$12=0,COUNTIFS(Esc_Turno,'Calc_Mix'!$C$12,Esc_Circ,$B52)+COUNTIFS(Esc_Turno,'Calc_Mix'!$C$12,Esc_Instr,$B52)&gt;0),"",IF(SUMPRODUCT('Calc_Mix'!$D$12:$W$12,'Matriz_Habilidades'!$D52:$W52)=0,"",SUMPRODUCT('Calc_Mix'!$D$12:$W$12,'Matriz_Habilidades'!$D52:$W52)/'Calc_Mix'!$X$12+ROW()*0.000001))</f>
        <v/>
      </c>
      <c r="P52" s="34">
        <f>IF(OR($B52="",$C52&lt;&gt;"Ativo",$D52&lt;&gt;'Calc_Mix'!$C$13,'Calc_Mix'!$X$13=0,COUNTIFS(Esc_Turno,'Calc_Mix'!$C$13,Esc_Circ,$B52)+COUNTIFS(Esc_Turno,'Calc_Mix'!$C$13,Esc_Instr,$B52)&gt;0),"",IF(SUMPRODUCT('Calc_Mix'!$D$13:$W$13,'Matriz_Habilidades'!$D52:$W52)=0,"",SUMPRODUCT('Calc_Mix'!$D$13:$W$13,'Matriz_Habilidades'!$D52:$W52)/'Calc_Mix'!$X$13+ROW()*0.000001))</f>
        <v/>
      </c>
      <c r="Q52" s="34">
        <f>IF(OR($B52="",$C52&lt;&gt;"Ativo",$D52&lt;&gt;'Calc_Mix'!$C$14,'Calc_Mix'!$X$14=0,COUNTIFS(Esc_Turno,'Calc_Mix'!$C$14,Esc_Circ,$B52)+COUNTIFS(Esc_Turno,'Calc_Mix'!$C$14,Esc_Instr,$B52)&gt;0),"",IF(SUMPRODUCT('Calc_Mix'!$D$14:$W$14,'Matriz_Habilidades'!$D52:$W52)=0,"",SUMPRODUCT('Calc_Mix'!$D$14:$W$14,'Matriz_Habilidades'!$D52:$W52)/'Calc_Mix'!$X$14+ROW()*0.000001))</f>
        <v/>
      </c>
      <c r="R52" s="34">
        <f>IF(OR($B52="",$C52&lt;&gt;"Ativo",$D52&lt;&gt;'Calc_Mix'!$C$15,'Calc_Mix'!$X$15=0,COUNTIFS(Esc_Turno,'Calc_Mix'!$C$15,Esc_Circ,$B52)+COUNTIFS(Esc_Turno,'Calc_Mix'!$C$15,Esc_Instr,$B52)&gt;0),"",IF(SUMPRODUCT('Calc_Mix'!$D$15:$W$15,'Matriz_Habilidades'!$D52:$W52)=0,"",SUMPRODUCT('Calc_Mix'!$D$15:$W$15,'Matriz_Habilidades'!$D52:$W52)/'Calc_Mix'!$X$15+ROW()*0.000001))</f>
        <v/>
      </c>
      <c r="S52" s="34">
        <f>IF(OR($B52="",$C52&lt;&gt;"Ativo",$D52&lt;&gt;'Calc_Mix'!$C$16,'Calc_Mix'!$X$16=0,COUNTIFS(Esc_Turno,'Calc_Mix'!$C$16,Esc_Circ,$B52)+COUNTIFS(Esc_Turno,'Calc_Mix'!$C$16,Esc_Instr,$B52)&gt;0),"",IF(SUMPRODUCT('Calc_Mix'!$D$16:$W$16,'Matriz_Habilidades'!$D52:$W52)=0,"",SUMPRODUCT('Calc_Mix'!$D$16:$W$16,'Matriz_Habilidades'!$D52:$W52)/'Calc_Mix'!$X$16+ROW()*0.000001))</f>
        <v/>
      </c>
      <c r="T52" s="34">
        <f>IF(OR($B52="",$C52&lt;&gt;"Ativo",$D52&lt;&gt;'Calc_Mix'!$C$17,'Calc_Mix'!$X$17=0,COUNTIFS(Esc_Turno,'Calc_Mix'!$C$17,Esc_Circ,$B52)+COUNTIFS(Esc_Turno,'Calc_Mix'!$C$17,Esc_Instr,$B52)&gt;0),"",IF(SUMPRODUCT('Calc_Mix'!$D$17:$W$17,'Matriz_Habilidades'!$D52:$W52)=0,"",SUMPRODUCT('Calc_Mix'!$D$17:$W$17,'Matriz_Habilidades'!$D52:$W52)/'Calc_Mix'!$X$17+ROW()*0.000001))</f>
        <v/>
      </c>
      <c r="U52" s="34">
        <f>IF(OR($B52="",$C52&lt;&gt;"Ativo",$D52&lt;&gt;'Calc_Mix'!$C$18,'Calc_Mix'!$X$18=0,COUNTIFS(Esc_Turno,'Calc_Mix'!$C$18,Esc_Circ,$B52)+COUNTIFS(Esc_Turno,'Calc_Mix'!$C$18,Esc_Instr,$B52)&gt;0),"",IF(SUMPRODUCT('Calc_Mix'!$D$18:$W$18,'Matriz_Habilidades'!$D52:$W52)=0,"",SUMPRODUCT('Calc_Mix'!$D$18:$W$18,'Matriz_Habilidades'!$D52:$W52)/'Calc_Mix'!$X$18+ROW()*0.000001))</f>
        <v/>
      </c>
      <c r="V52" s="34">
        <f>IF(OR($B52="",$C52&lt;&gt;"Ativo",$D52&lt;&gt;'Calc_Mix'!$C$19,'Calc_Mix'!$X$19=0,COUNTIFS(Esc_Turno,'Calc_Mix'!$C$19,Esc_Circ,$B52)+COUNTIFS(Esc_Turno,'Calc_Mix'!$C$19,Esc_Instr,$B52)&gt;0),"",IF(SUMPRODUCT('Calc_Mix'!$D$19:$W$19,'Matriz_Habilidades'!$D52:$W52)=0,"",SUMPRODUCT('Calc_Mix'!$D$19:$W$19,'Matriz_Habilidades'!$D52:$W52)/'Calc_Mix'!$X$19+ROW()*0.000001))</f>
        <v/>
      </c>
      <c r="W52" s="34">
        <f>IF(OR($B52="",$C52&lt;&gt;"Ativo",$D52&lt;&gt;'Calc_Mix'!$C$20,'Calc_Mix'!$X$20=0,COUNTIFS(Esc_Turno,'Calc_Mix'!$C$20,Esc_Circ,$B52)+COUNTIFS(Esc_Turno,'Calc_Mix'!$C$20,Esc_Instr,$B52)&gt;0),"",IF(SUMPRODUCT('Calc_Mix'!$D$20:$W$20,'Matriz_Habilidades'!$D52:$W52)=0,"",SUMPRODUCT('Calc_Mix'!$D$20:$W$20,'Matriz_Habilidades'!$D52:$W52)/'Calc_Mix'!$X$20+ROW()*0.000001))</f>
        <v/>
      </c>
      <c r="X52" s="34">
        <f>IF(OR($B52="",$C52&lt;&gt;"Ativo",$D52&lt;&gt;'Calc_Mix'!$C$21,'Calc_Mix'!$X$21=0,COUNTIFS(Esc_Turno,'Calc_Mix'!$C$21,Esc_Circ,$B52)+COUNTIFS(Esc_Turno,'Calc_Mix'!$C$21,Esc_Instr,$B52)&gt;0),"",IF(SUMPRODUCT('Calc_Mix'!$D$21:$W$21,'Matriz_Habilidades'!$D52:$W52)=0,"",SUMPRODUCT('Calc_Mix'!$D$21:$W$21,'Matriz_Habilidades'!$D52:$W52)/'Calc_Mix'!$X$21+ROW()*0.000001))</f>
        <v/>
      </c>
      <c r="Y52" s="34">
        <f>IF(OR($B52="",$C52&lt;&gt;"Ativo",$D52&lt;&gt;'Calc_Mix'!$C$22,'Calc_Mix'!$X$22=0,COUNTIFS(Esc_Turno,'Calc_Mix'!$C$22,Esc_Circ,$B52)+COUNTIFS(Esc_Turno,'Calc_Mix'!$C$22,Esc_Instr,$B52)&gt;0),"",IF(SUMPRODUCT('Calc_Mix'!$D$22:$W$22,'Matriz_Habilidades'!$D52:$W52)=0,"",SUMPRODUCT('Calc_Mix'!$D$22:$W$22,'Matriz_Habilidades'!$D52:$W52)/'Calc_Mix'!$X$22+ROW()*0.000001))</f>
        <v/>
      </c>
      <c r="Z52" s="34">
        <f>IF(OR($B52="",$C52&lt;&gt;"Ativo",$D52&lt;&gt;'Calc_Mix'!$C$23,'Calc_Mix'!$X$23=0,COUNTIFS(Esc_Turno,'Calc_Mix'!$C$23,Esc_Circ,$B52)+COUNTIFS(Esc_Turno,'Calc_Mix'!$C$23,Esc_Instr,$B52)&gt;0),"",IF(SUMPRODUCT('Calc_Mix'!$D$23:$W$23,'Matriz_Habilidades'!$D52:$W52)=0,"",SUMPRODUCT('Calc_Mix'!$D$23:$W$23,'Matriz_Habilidades'!$D52:$W52)/'Calc_Mix'!$X$23+ROW()*0.000001))</f>
        <v/>
      </c>
      <c r="AA52" s="34">
        <f>IF(OR($B52="",$C52&lt;&gt;"Ativo",$D52&lt;&gt;'Calc_Mix'!$C$24,'Calc_Mix'!$X$24=0,COUNTIFS(Esc_Turno,'Calc_Mix'!$C$24,Esc_Circ,$B52)+COUNTIFS(Esc_Turno,'Calc_Mix'!$C$24,Esc_Instr,$B52)&gt;0),"",IF(SUMPRODUCT('Calc_Mix'!$D$24:$W$24,'Matriz_Habilidades'!$D52:$W52)=0,"",SUMPRODUCT('Calc_Mix'!$D$24:$W$24,'Matriz_Habilidades'!$D52:$W52)/'Calc_Mix'!$X$24+ROW()*0.000001))</f>
        <v/>
      </c>
      <c r="AB52" s="34">
        <f>IF(OR($B52="",$C52&lt;&gt;"Ativo",$D52&lt;&gt;'Calc_Mix'!$C$25,'Calc_Mix'!$X$25=0,COUNTIFS(Esc_Turno,'Calc_Mix'!$C$25,Esc_Circ,$B52)+COUNTIFS(Esc_Turno,'Calc_Mix'!$C$25,Esc_Instr,$B52)&gt;0),"",IF(SUMPRODUCT('Calc_Mix'!$D$25:$W$25,'Matriz_Habilidades'!$D52:$W52)=0,"",SUMPRODUCT('Calc_Mix'!$D$25:$W$25,'Matriz_Habilidades'!$D52:$W52)/'Calc_Mix'!$X$25+ROW()*0.000001))</f>
        <v/>
      </c>
      <c r="AC52" s="34">
        <f>IF(OR($B52="",$C52&lt;&gt;"Ativo",$D52&lt;&gt;'Calc_Mix'!$C$26,'Calc_Mix'!$X$26=0,COUNTIFS(Esc_Turno,'Calc_Mix'!$C$26,Esc_Circ,$B52)+COUNTIFS(Esc_Turno,'Calc_Mix'!$C$26,Esc_Instr,$B52)&gt;0),"",IF(SUMPRODUCT('Calc_Mix'!$D$26:$W$26,'Matriz_Habilidades'!$D52:$W52)=0,"",SUMPRODUCT('Calc_Mix'!$D$26:$W$26,'Matriz_Habilidades'!$D52:$W52)/'Calc_Mix'!$X$26+ROW()*0.000001))</f>
        <v/>
      </c>
      <c r="AD52" s="34">
        <f>IF(OR($B52="",$C52&lt;&gt;"Ativo",$D52&lt;&gt;'Calc_Mix'!$C$27,'Calc_Mix'!$X$27=0,COUNTIFS(Esc_Turno,'Calc_Mix'!$C$27,Esc_Circ,$B52)+COUNTIFS(Esc_Turno,'Calc_Mix'!$C$27,Esc_Instr,$B52)&gt;0),"",IF(SUMPRODUCT('Calc_Mix'!$D$27:$W$27,'Matriz_Habilidades'!$D52:$W52)=0,"",SUMPRODUCT('Calc_Mix'!$D$27:$W$27,'Matriz_Habilidades'!$D52:$W52)/'Calc_Mix'!$X$27+ROW()*0.000001))</f>
        <v/>
      </c>
      <c r="AE52" s="34">
        <f>IF(OR($B52="",$C52&lt;&gt;"Ativo",$D52&lt;&gt;'Calc_Mix'!$C$28,'Calc_Mix'!$X$28=0,COUNTIFS(Esc_Turno,'Calc_Mix'!$C$28,Esc_Circ,$B52)+COUNTIFS(Esc_Turno,'Calc_Mix'!$C$28,Esc_Instr,$B52)&gt;0),"",IF(SUMPRODUCT('Calc_Mix'!$D$28:$W$28,'Matriz_Habilidades'!$D52:$W52)=0,"",SUMPRODUCT('Calc_Mix'!$D$28:$W$28,'Matriz_Habilidades'!$D52:$W52)/'Calc_Mix'!$X$28+ROW()*0.000001))</f>
        <v/>
      </c>
      <c r="AF52" s="34">
        <f>IF(OR($B52="",$C52&lt;&gt;"Ativo",$D52&lt;&gt;'Calc_Mix'!$C$29,'Calc_Mix'!$X$29=0,COUNTIFS(Esc_Turno,'Calc_Mix'!$C$29,Esc_Circ,$B52)+COUNTIFS(Esc_Turno,'Calc_Mix'!$C$29,Esc_Instr,$B52)&gt;0),"",IF(SUMPRODUCT('Calc_Mix'!$D$29:$W$29,'Matriz_Habilidades'!$D52:$W52)=0,"",SUMPRODUCT('Calc_Mix'!$D$29:$W$29,'Matriz_Habilidades'!$D52:$W52)/'Calc_Mix'!$X$29+ROW()*0.000001))</f>
        <v/>
      </c>
      <c r="AG52" s="34">
        <f>IF(OR($B52="",$C52&lt;&gt;"Ativo",$D52&lt;&gt;'Calc_Mix'!$C$30,'Calc_Mix'!$X$30=0,COUNTIFS(Esc_Turno,'Calc_Mix'!$C$30,Esc_Circ,$B52)+COUNTIFS(Esc_Turno,'Calc_Mix'!$C$30,Esc_Instr,$B52)&gt;0),"",IF(SUMPRODUCT('Calc_Mix'!$D$30:$W$30,'Matriz_Habilidades'!$D52:$W52)=0,"",SUMPRODUCT('Calc_Mix'!$D$30:$W$30,'Matriz_Habilidades'!$D52:$W52)/'Calc_Mix'!$X$30+ROW()*0.000001))</f>
        <v/>
      </c>
      <c r="AH52" s="34">
        <f>IF(OR($B52="",$C52&lt;&gt;"Ativo",$D52&lt;&gt;'Calc_Mix'!$C$31,'Calc_Mix'!$X$31=0,COUNTIFS(Esc_Turno,'Calc_Mix'!$C$31,Esc_Circ,$B52)+COUNTIFS(Esc_Turno,'Calc_Mix'!$C$31,Esc_Instr,$B52)&gt;0),"",IF(SUMPRODUCT('Calc_Mix'!$D$31:$W$31,'Matriz_Habilidades'!$D52:$W52)=0,"",SUMPRODUCT('Calc_Mix'!$D$31:$W$31,'Matriz_Habilidades'!$D52:$W52)/'Calc_Mix'!$X$31+ROW()*0.000001))</f>
        <v/>
      </c>
      <c r="AI52" s="34">
        <f>IF(OR($B52="",$C52&lt;&gt;"Ativo",$D52&lt;&gt;'Calc_Mix'!$C$32,'Calc_Mix'!$X$32=0,COUNTIFS(Esc_Turno,'Calc_Mix'!$C$32,Esc_Circ,$B52)+COUNTIFS(Esc_Turno,'Calc_Mix'!$C$32,Esc_Instr,$B52)&gt;0),"",IF(SUMPRODUCT('Calc_Mix'!$D$32:$W$32,'Matriz_Habilidades'!$D52:$W52)=0,"",SUMPRODUCT('Calc_Mix'!$D$32:$W$32,'Matriz_Habilidades'!$D52:$W52)/'Calc_Mix'!$X$32+ROW()*0.000001))</f>
        <v/>
      </c>
      <c r="AJ52" s="34">
        <f>IF(OR($B52="",$C52&lt;&gt;"Ativo",$D52&lt;&gt;'Calc_Mix'!$C$33,'Calc_Mix'!$X$33=0,COUNTIFS(Esc_Turno,'Calc_Mix'!$C$33,Esc_Circ,$B52)+COUNTIFS(Esc_Turno,'Calc_Mix'!$C$33,Esc_Instr,$B52)&gt;0),"",IF(SUMPRODUCT('Calc_Mix'!$D$33:$W$33,'Matriz_Habilidades'!$D52:$W52)=0,"",SUMPRODUCT('Calc_Mix'!$D$33:$W$33,'Matriz_Habilidades'!$D52:$W52)/'Calc_Mix'!$X$33+ROW()*0.000001))</f>
        <v/>
      </c>
      <c r="AK52" s="34">
        <f>IF(OR($B52="",$C52&lt;&gt;"Ativo",$D52&lt;&gt;'Calc_Mix'!$C$34,'Calc_Mix'!$X$34=0,COUNTIFS(Esc_Turno,'Calc_Mix'!$C$34,Esc_Circ,$B52)+COUNTIFS(Esc_Turno,'Calc_Mix'!$C$34,Esc_Instr,$B52)&gt;0),"",IF(SUMPRODUCT('Calc_Mix'!$D$34:$W$34,'Matriz_Habilidades'!$D52:$W52)=0,"",SUMPRODUCT('Calc_Mix'!$D$34:$W$34,'Matriz_Habilidades'!$D52:$W52)/'Calc_Mix'!$X$34+ROW()*0.000001))</f>
        <v/>
      </c>
      <c r="AL52" s="34">
        <f>IF(OR($B52="",$C52&lt;&gt;"Ativo",$D52&lt;&gt;'Calc_Mix'!$C$35,'Calc_Mix'!$X$35=0,COUNTIFS(Esc_Turno,'Calc_Mix'!$C$35,Esc_Circ,$B52)+COUNTIFS(Esc_Turno,'Calc_Mix'!$C$35,Esc_Instr,$B52)&gt;0),"",IF(SUMPRODUCT('Calc_Mix'!$D$35:$W$35,'Matriz_Habilidades'!$D52:$W52)=0,"",SUMPRODUCT('Calc_Mix'!$D$35:$W$35,'Matriz_Habilidades'!$D52:$W52)/'Calc_Mix'!$X$35+ROW()*0.000001))</f>
        <v/>
      </c>
      <c r="AM52" s="34">
        <f>IF(OR($B52="",$C52&lt;&gt;"Ativo",$D52&lt;&gt;'Calc_Mix'!$C$36,'Calc_Mix'!$X$36=0,COUNTIFS(Esc_Turno,'Calc_Mix'!$C$36,Esc_Circ,$B52)+COUNTIFS(Esc_Turno,'Calc_Mix'!$C$36,Esc_Instr,$B52)&gt;0),"",IF(SUMPRODUCT('Calc_Mix'!$D$36:$W$36,'Matriz_Habilidades'!$D52:$W52)=0,"",SUMPRODUCT('Calc_Mix'!$D$36:$W$36,'Matriz_Habilidades'!$D52:$W52)/'Calc_Mix'!$X$36+ROW()*0.000001))</f>
        <v/>
      </c>
      <c r="AN52" s="34">
        <f>IF(OR($B52="",$C52&lt;&gt;"Ativo",$D52&lt;&gt;'Calc_Mix'!$C$37,'Calc_Mix'!$X$37=0,COUNTIFS(Esc_Turno,'Calc_Mix'!$C$37,Esc_Circ,$B52)+COUNTIFS(Esc_Turno,'Calc_Mix'!$C$37,Esc_Instr,$B52)&gt;0),"",IF(SUMPRODUCT('Calc_Mix'!$D$37:$W$37,'Matriz_Habilidades'!$D52:$W52)=0,"",SUMPRODUCT('Calc_Mix'!$D$37:$W$37,'Matriz_Habilidades'!$D52:$W52)/'Calc_Mix'!$X$37+ROW()*0.000001))</f>
        <v/>
      </c>
    </row>
    <row r="53">
      <c r="A53" s="27">
        <f>IF('Matriz_Habilidades'!A53="","",'Matriz_Habilidades'!A53)</f>
        <v/>
      </c>
      <c r="B53" s="28">
        <f>IF('Matriz_Habilidades'!B53="","",'Matriz_Habilidades'!B53)</f>
        <v/>
      </c>
      <c r="C53" s="27">
        <f>IF($A53="","",IFERROR(INDEX(Equipe_Status,MATCH($B53,Equipe_Nome,0)),"?"))</f>
        <v/>
      </c>
      <c r="D53" s="27">
        <f>IF($A53="","",IFERROR(INDEX(Equipe_Turno,MATCH($B53,Equipe_Nome,0)),"?"))</f>
        <v/>
      </c>
      <c r="E53" s="34">
        <f>IF(OR($B53="",$C53&lt;&gt;"Ativo",$D53&lt;&gt;'Calc_Mix'!$C$2,'Calc_Mix'!$X$2=0,COUNTIFS(Esc_Turno,'Calc_Mix'!$C$2,Esc_Circ,$B53)+COUNTIFS(Esc_Turno,'Calc_Mix'!$C$2,Esc_Instr,$B53)&gt;0),"",IF(SUMPRODUCT('Calc_Mix'!$D$2:$W$2,'Matriz_Habilidades'!$D53:$W53)=0,"",SUMPRODUCT('Calc_Mix'!$D$2:$W$2,'Matriz_Habilidades'!$D53:$W53)/'Calc_Mix'!$X$2+ROW()*0.000001))</f>
        <v/>
      </c>
      <c r="F53" s="34">
        <f>IF(OR($B53="",$C53&lt;&gt;"Ativo",$D53&lt;&gt;'Calc_Mix'!$C$3,'Calc_Mix'!$X$3=0,COUNTIFS(Esc_Turno,'Calc_Mix'!$C$3,Esc_Circ,$B53)+COUNTIFS(Esc_Turno,'Calc_Mix'!$C$3,Esc_Instr,$B53)&gt;0),"",IF(SUMPRODUCT('Calc_Mix'!$D$3:$W$3,'Matriz_Habilidades'!$D53:$W53)=0,"",SUMPRODUCT('Calc_Mix'!$D$3:$W$3,'Matriz_Habilidades'!$D53:$W53)/'Calc_Mix'!$X$3+ROW()*0.000001))</f>
        <v/>
      </c>
      <c r="G53" s="34">
        <f>IF(OR($B53="",$C53&lt;&gt;"Ativo",$D53&lt;&gt;'Calc_Mix'!$C$4,'Calc_Mix'!$X$4=0,COUNTIFS(Esc_Turno,'Calc_Mix'!$C$4,Esc_Circ,$B53)+COUNTIFS(Esc_Turno,'Calc_Mix'!$C$4,Esc_Instr,$B53)&gt;0),"",IF(SUMPRODUCT('Calc_Mix'!$D$4:$W$4,'Matriz_Habilidades'!$D53:$W53)=0,"",SUMPRODUCT('Calc_Mix'!$D$4:$W$4,'Matriz_Habilidades'!$D53:$W53)/'Calc_Mix'!$X$4+ROW()*0.000001))</f>
        <v/>
      </c>
      <c r="H53" s="34">
        <f>IF(OR($B53="",$C53&lt;&gt;"Ativo",$D53&lt;&gt;'Calc_Mix'!$C$5,'Calc_Mix'!$X$5=0,COUNTIFS(Esc_Turno,'Calc_Mix'!$C$5,Esc_Circ,$B53)+COUNTIFS(Esc_Turno,'Calc_Mix'!$C$5,Esc_Instr,$B53)&gt;0),"",IF(SUMPRODUCT('Calc_Mix'!$D$5:$W$5,'Matriz_Habilidades'!$D53:$W53)=0,"",SUMPRODUCT('Calc_Mix'!$D$5:$W$5,'Matriz_Habilidades'!$D53:$W53)/'Calc_Mix'!$X$5+ROW()*0.000001))</f>
        <v/>
      </c>
      <c r="I53" s="34">
        <f>IF(OR($B53="",$C53&lt;&gt;"Ativo",$D53&lt;&gt;'Calc_Mix'!$C$6,'Calc_Mix'!$X$6=0,COUNTIFS(Esc_Turno,'Calc_Mix'!$C$6,Esc_Circ,$B53)+COUNTIFS(Esc_Turno,'Calc_Mix'!$C$6,Esc_Instr,$B53)&gt;0),"",IF(SUMPRODUCT('Calc_Mix'!$D$6:$W$6,'Matriz_Habilidades'!$D53:$W53)=0,"",SUMPRODUCT('Calc_Mix'!$D$6:$W$6,'Matriz_Habilidades'!$D53:$W53)/'Calc_Mix'!$X$6+ROW()*0.000001))</f>
        <v/>
      </c>
      <c r="J53" s="34">
        <f>IF(OR($B53="",$C53&lt;&gt;"Ativo",$D53&lt;&gt;'Calc_Mix'!$C$7,'Calc_Mix'!$X$7=0,COUNTIFS(Esc_Turno,'Calc_Mix'!$C$7,Esc_Circ,$B53)+COUNTIFS(Esc_Turno,'Calc_Mix'!$C$7,Esc_Instr,$B53)&gt;0),"",IF(SUMPRODUCT('Calc_Mix'!$D$7:$W$7,'Matriz_Habilidades'!$D53:$W53)=0,"",SUMPRODUCT('Calc_Mix'!$D$7:$W$7,'Matriz_Habilidades'!$D53:$W53)/'Calc_Mix'!$X$7+ROW()*0.000001))</f>
        <v/>
      </c>
      <c r="K53" s="34">
        <f>IF(OR($B53="",$C53&lt;&gt;"Ativo",$D53&lt;&gt;'Calc_Mix'!$C$8,'Calc_Mix'!$X$8=0,COUNTIFS(Esc_Turno,'Calc_Mix'!$C$8,Esc_Circ,$B53)+COUNTIFS(Esc_Turno,'Calc_Mix'!$C$8,Esc_Instr,$B53)&gt;0),"",IF(SUMPRODUCT('Calc_Mix'!$D$8:$W$8,'Matriz_Habilidades'!$D53:$W53)=0,"",SUMPRODUCT('Calc_Mix'!$D$8:$W$8,'Matriz_Habilidades'!$D53:$W53)/'Calc_Mix'!$X$8+ROW()*0.000001))</f>
        <v/>
      </c>
      <c r="L53" s="34">
        <f>IF(OR($B53="",$C53&lt;&gt;"Ativo",$D53&lt;&gt;'Calc_Mix'!$C$9,'Calc_Mix'!$X$9=0,COUNTIFS(Esc_Turno,'Calc_Mix'!$C$9,Esc_Circ,$B53)+COUNTIFS(Esc_Turno,'Calc_Mix'!$C$9,Esc_Instr,$B53)&gt;0),"",IF(SUMPRODUCT('Calc_Mix'!$D$9:$W$9,'Matriz_Habilidades'!$D53:$W53)=0,"",SUMPRODUCT('Calc_Mix'!$D$9:$W$9,'Matriz_Habilidades'!$D53:$W53)/'Calc_Mix'!$X$9+ROW()*0.000001))</f>
        <v/>
      </c>
      <c r="M53" s="34">
        <f>IF(OR($B53="",$C53&lt;&gt;"Ativo",$D53&lt;&gt;'Calc_Mix'!$C$10,'Calc_Mix'!$X$10=0,COUNTIFS(Esc_Turno,'Calc_Mix'!$C$10,Esc_Circ,$B53)+COUNTIFS(Esc_Turno,'Calc_Mix'!$C$10,Esc_Instr,$B53)&gt;0),"",IF(SUMPRODUCT('Calc_Mix'!$D$10:$W$10,'Matriz_Habilidades'!$D53:$W53)=0,"",SUMPRODUCT('Calc_Mix'!$D$10:$W$10,'Matriz_Habilidades'!$D53:$W53)/'Calc_Mix'!$X$10+ROW()*0.000001))</f>
        <v/>
      </c>
      <c r="N53" s="34">
        <f>IF(OR($B53="",$C53&lt;&gt;"Ativo",$D53&lt;&gt;'Calc_Mix'!$C$11,'Calc_Mix'!$X$11=0,COUNTIFS(Esc_Turno,'Calc_Mix'!$C$11,Esc_Circ,$B53)+COUNTIFS(Esc_Turno,'Calc_Mix'!$C$11,Esc_Instr,$B53)&gt;0),"",IF(SUMPRODUCT('Calc_Mix'!$D$11:$W$11,'Matriz_Habilidades'!$D53:$W53)=0,"",SUMPRODUCT('Calc_Mix'!$D$11:$W$11,'Matriz_Habilidades'!$D53:$W53)/'Calc_Mix'!$X$11+ROW()*0.000001))</f>
        <v/>
      </c>
      <c r="O53" s="34">
        <f>IF(OR($B53="",$C53&lt;&gt;"Ativo",$D53&lt;&gt;'Calc_Mix'!$C$12,'Calc_Mix'!$X$12=0,COUNTIFS(Esc_Turno,'Calc_Mix'!$C$12,Esc_Circ,$B53)+COUNTIFS(Esc_Turno,'Calc_Mix'!$C$12,Esc_Instr,$B53)&gt;0),"",IF(SUMPRODUCT('Calc_Mix'!$D$12:$W$12,'Matriz_Habilidades'!$D53:$W53)=0,"",SUMPRODUCT('Calc_Mix'!$D$12:$W$12,'Matriz_Habilidades'!$D53:$W53)/'Calc_Mix'!$X$12+ROW()*0.000001))</f>
        <v/>
      </c>
      <c r="P53" s="34">
        <f>IF(OR($B53="",$C53&lt;&gt;"Ativo",$D53&lt;&gt;'Calc_Mix'!$C$13,'Calc_Mix'!$X$13=0,COUNTIFS(Esc_Turno,'Calc_Mix'!$C$13,Esc_Circ,$B53)+COUNTIFS(Esc_Turno,'Calc_Mix'!$C$13,Esc_Instr,$B53)&gt;0),"",IF(SUMPRODUCT('Calc_Mix'!$D$13:$W$13,'Matriz_Habilidades'!$D53:$W53)=0,"",SUMPRODUCT('Calc_Mix'!$D$13:$W$13,'Matriz_Habilidades'!$D53:$W53)/'Calc_Mix'!$X$13+ROW()*0.000001))</f>
        <v/>
      </c>
      <c r="Q53" s="34">
        <f>IF(OR($B53="",$C53&lt;&gt;"Ativo",$D53&lt;&gt;'Calc_Mix'!$C$14,'Calc_Mix'!$X$14=0,COUNTIFS(Esc_Turno,'Calc_Mix'!$C$14,Esc_Circ,$B53)+COUNTIFS(Esc_Turno,'Calc_Mix'!$C$14,Esc_Instr,$B53)&gt;0),"",IF(SUMPRODUCT('Calc_Mix'!$D$14:$W$14,'Matriz_Habilidades'!$D53:$W53)=0,"",SUMPRODUCT('Calc_Mix'!$D$14:$W$14,'Matriz_Habilidades'!$D53:$W53)/'Calc_Mix'!$X$14+ROW()*0.000001))</f>
        <v/>
      </c>
      <c r="R53" s="34">
        <f>IF(OR($B53="",$C53&lt;&gt;"Ativo",$D53&lt;&gt;'Calc_Mix'!$C$15,'Calc_Mix'!$X$15=0,COUNTIFS(Esc_Turno,'Calc_Mix'!$C$15,Esc_Circ,$B53)+COUNTIFS(Esc_Turno,'Calc_Mix'!$C$15,Esc_Instr,$B53)&gt;0),"",IF(SUMPRODUCT('Calc_Mix'!$D$15:$W$15,'Matriz_Habilidades'!$D53:$W53)=0,"",SUMPRODUCT('Calc_Mix'!$D$15:$W$15,'Matriz_Habilidades'!$D53:$W53)/'Calc_Mix'!$X$15+ROW()*0.000001))</f>
        <v/>
      </c>
      <c r="S53" s="34">
        <f>IF(OR($B53="",$C53&lt;&gt;"Ativo",$D53&lt;&gt;'Calc_Mix'!$C$16,'Calc_Mix'!$X$16=0,COUNTIFS(Esc_Turno,'Calc_Mix'!$C$16,Esc_Circ,$B53)+COUNTIFS(Esc_Turno,'Calc_Mix'!$C$16,Esc_Instr,$B53)&gt;0),"",IF(SUMPRODUCT('Calc_Mix'!$D$16:$W$16,'Matriz_Habilidades'!$D53:$W53)=0,"",SUMPRODUCT('Calc_Mix'!$D$16:$W$16,'Matriz_Habilidades'!$D53:$W53)/'Calc_Mix'!$X$16+ROW()*0.000001))</f>
        <v/>
      </c>
      <c r="T53" s="34">
        <f>IF(OR($B53="",$C53&lt;&gt;"Ativo",$D53&lt;&gt;'Calc_Mix'!$C$17,'Calc_Mix'!$X$17=0,COUNTIFS(Esc_Turno,'Calc_Mix'!$C$17,Esc_Circ,$B53)+COUNTIFS(Esc_Turno,'Calc_Mix'!$C$17,Esc_Instr,$B53)&gt;0),"",IF(SUMPRODUCT('Calc_Mix'!$D$17:$W$17,'Matriz_Habilidades'!$D53:$W53)=0,"",SUMPRODUCT('Calc_Mix'!$D$17:$W$17,'Matriz_Habilidades'!$D53:$W53)/'Calc_Mix'!$X$17+ROW()*0.000001))</f>
        <v/>
      </c>
      <c r="U53" s="34">
        <f>IF(OR($B53="",$C53&lt;&gt;"Ativo",$D53&lt;&gt;'Calc_Mix'!$C$18,'Calc_Mix'!$X$18=0,COUNTIFS(Esc_Turno,'Calc_Mix'!$C$18,Esc_Circ,$B53)+COUNTIFS(Esc_Turno,'Calc_Mix'!$C$18,Esc_Instr,$B53)&gt;0),"",IF(SUMPRODUCT('Calc_Mix'!$D$18:$W$18,'Matriz_Habilidades'!$D53:$W53)=0,"",SUMPRODUCT('Calc_Mix'!$D$18:$W$18,'Matriz_Habilidades'!$D53:$W53)/'Calc_Mix'!$X$18+ROW()*0.000001))</f>
        <v/>
      </c>
      <c r="V53" s="34">
        <f>IF(OR($B53="",$C53&lt;&gt;"Ativo",$D53&lt;&gt;'Calc_Mix'!$C$19,'Calc_Mix'!$X$19=0,COUNTIFS(Esc_Turno,'Calc_Mix'!$C$19,Esc_Circ,$B53)+COUNTIFS(Esc_Turno,'Calc_Mix'!$C$19,Esc_Instr,$B53)&gt;0),"",IF(SUMPRODUCT('Calc_Mix'!$D$19:$W$19,'Matriz_Habilidades'!$D53:$W53)=0,"",SUMPRODUCT('Calc_Mix'!$D$19:$W$19,'Matriz_Habilidades'!$D53:$W53)/'Calc_Mix'!$X$19+ROW()*0.000001))</f>
        <v/>
      </c>
      <c r="W53" s="34">
        <f>IF(OR($B53="",$C53&lt;&gt;"Ativo",$D53&lt;&gt;'Calc_Mix'!$C$20,'Calc_Mix'!$X$20=0,COUNTIFS(Esc_Turno,'Calc_Mix'!$C$20,Esc_Circ,$B53)+COUNTIFS(Esc_Turno,'Calc_Mix'!$C$20,Esc_Instr,$B53)&gt;0),"",IF(SUMPRODUCT('Calc_Mix'!$D$20:$W$20,'Matriz_Habilidades'!$D53:$W53)=0,"",SUMPRODUCT('Calc_Mix'!$D$20:$W$20,'Matriz_Habilidades'!$D53:$W53)/'Calc_Mix'!$X$20+ROW()*0.000001))</f>
        <v/>
      </c>
      <c r="X53" s="34">
        <f>IF(OR($B53="",$C53&lt;&gt;"Ativo",$D53&lt;&gt;'Calc_Mix'!$C$21,'Calc_Mix'!$X$21=0,COUNTIFS(Esc_Turno,'Calc_Mix'!$C$21,Esc_Circ,$B53)+COUNTIFS(Esc_Turno,'Calc_Mix'!$C$21,Esc_Instr,$B53)&gt;0),"",IF(SUMPRODUCT('Calc_Mix'!$D$21:$W$21,'Matriz_Habilidades'!$D53:$W53)=0,"",SUMPRODUCT('Calc_Mix'!$D$21:$W$21,'Matriz_Habilidades'!$D53:$W53)/'Calc_Mix'!$X$21+ROW()*0.000001))</f>
        <v/>
      </c>
      <c r="Y53" s="34">
        <f>IF(OR($B53="",$C53&lt;&gt;"Ativo",$D53&lt;&gt;'Calc_Mix'!$C$22,'Calc_Mix'!$X$22=0,COUNTIFS(Esc_Turno,'Calc_Mix'!$C$22,Esc_Circ,$B53)+COUNTIFS(Esc_Turno,'Calc_Mix'!$C$22,Esc_Instr,$B53)&gt;0),"",IF(SUMPRODUCT('Calc_Mix'!$D$22:$W$22,'Matriz_Habilidades'!$D53:$W53)=0,"",SUMPRODUCT('Calc_Mix'!$D$22:$W$22,'Matriz_Habilidades'!$D53:$W53)/'Calc_Mix'!$X$22+ROW()*0.000001))</f>
        <v/>
      </c>
      <c r="Z53" s="34">
        <f>IF(OR($B53="",$C53&lt;&gt;"Ativo",$D53&lt;&gt;'Calc_Mix'!$C$23,'Calc_Mix'!$X$23=0,COUNTIFS(Esc_Turno,'Calc_Mix'!$C$23,Esc_Circ,$B53)+COUNTIFS(Esc_Turno,'Calc_Mix'!$C$23,Esc_Instr,$B53)&gt;0),"",IF(SUMPRODUCT('Calc_Mix'!$D$23:$W$23,'Matriz_Habilidades'!$D53:$W53)=0,"",SUMPRODUCT('Calc_Mix'!$D$23:$W$23,'Matriz_Habilidades'!$D53:$W53)/'Calc_Mix'!$X$23+ROW()*0.000001))</f>
        <v/>
      </c>
      <c r="AA53" s="34">
        <f>IF(OR($B53="",$C53&lt;&gt;"Ativo",$D53&lt;&gt;'Calc_Mix'!$C$24,'Calc_Mix'!$X$24=0,COUNTIFS(Esc_Turno,'Calc_Mix'!$C$24,Esc_Circ,$B53)+COUNTIFS(Esc_Turno,'Calc_Mix'!$C$24,Esc_Instr,$B53)&gt;0),"",IF(SUMPRODUCT('Calc_Mix'!$D$24:$W$24,'Matriz_Habilidades'!$D53:$W53)=0,"",SUMPRODUCT('Calc_Mix'!$D$24:$W$24,'Matriz_Habilidades'!$D53:$W53)/'Calc_Mix'!$X$24+ROW()*0.000001))</f>
        <v/>
      </c>
      <c r="AB53" s="34">
        <f>IF(OR($B53="",$C53&lt;&gt;"Ativo",$D53&lt;&gt;'Calc_Mix'!$C$25,'Calc_Mix'!$X$25=0,COUNTIFS(Esc_Turno,'Calc_Mix'!$C$25,Esc_Circ,$B53)+COUNTIFS(Esc_Turno,'Calc_Mix'!$C$25,Esc_Instr,$B53)&gt;0),"",IF(SUMPRODUCT('Calc_Mix'!$D$25:$W$25,'Matriz_Habilidades'!$D53:$W53)=0,"",SUMPRODUCT('Calc_Mix'!$D$25:$W$25,'Matriz_Habilidades'!$D53:$W53)/'Calc_Mix'!$X$25+ROW()*0.000001))</f>
        <v/>
      </c>
      <c r="AC53" s="34">
        <f>IF(OR($B53="",$C53&lt;&gt;"Ativo",$D53&lt;&gt;'Calc_Mix'!$C$26,'Calc_Mix'!$X$26=0,COUNTIFS(Esc_Turno,'Calc_Mix'!$C$26,Esc_Circ,$B53)+COUNTIFS(Esc_Turno,'Calc_Mix'!$C$26,Esc_Instr,$B53)&gt;0),"",IF(SUMPRODUCT('Calc_Mix'!$D$26:$W$26,'Matriz_Habilidades'!$D53:$W53)=0,"",SUMPRODUCT('Calc_Mix'!$D$26:$W$26,'Matriz_Habilidades'!$D53:$W53)/'Calc_Mix'!$X$26+ROW()*0.000001))</f>
        <v/>
      </c>
      <c r="AD53" s="34">
        <f>IF(OR($B53="",$C53&lt;&gt;"Ativo",$D53&lt;&gt;'Calc_Mix'!$C$27,'Calc_Mix'!$X$27=0,COUNTIFS(Esc_Turno,'Calc_Mix'!$C$27,Esc_Circ,$B53)+COUNTIFS(Esc_Turno,'Calc_Mix'!$C$27,Esc_Instr,$B53)&gt;0),"",IF(SUMPRODUCT('Calc_Mix'!$D$27:$W$27,'Matriz_Habilidades'!$D53:$W53)=0,"",SUMPRODUCT('Calc_Mix'!$D$27:$W$27,'Matriz_Habilidades'!$D53:$W53)/'Calc_Mix'!$X$27+ROW()*0.000001))</f>
        <v/>
      </c>
      <c r="AE53" s="34">
        <f>IF(OR($B53="",$C53&lt;&gt;"Ativo",$D53&lt;&gt;'Calc_Mix'!$C$28,'Calc_Mix'!$X$28=0,COUNTIFS(Esc_Turno,'Calc_Mix'!$C$28,Esc_Circ,$B53)+COUNTIFS(Esc_Turno,'Calc_Mix'!$C$28,Esc_Instr,$B53)&gt;0),"",IF(SUMPRODUCT('Calc_Mix'!$D$28:$W$28,'Matriz_Habilidades'!$D53:$W53)=0,"",SUMPRODUCT('Calc_Mix'!$D$28:$W$28,'Matriz_Habilidades'!$D53:$W53)/'Calc_Mix'!$X$28+ROW()*0.000001))</f>
        <v/>
      </c>
      <c r="AF53" s="34">
        <f>IF(OR($B53="",$C53&lt;&gt;"Ativo",$D53&lt;&gt;'Calc_Mix'!$C$29,'Calc_Mix'!$X$29=0,COUNTIFS(Esc_Turno,'Calc_Mix'!$C$29,Esc_Circ,$B53)+COUNTIFS(Esc_Turno,'Calc_Mix'!$C$29,Esc_Instr,$B53)&gt;0),"",IF(SUMPRODUCT('Calc_Mix'!$D$29:$W$29,'Matriz_Habilidades'!$D53:$W53)=0,"",SUMPRODUCT('Calc_Mix'!$D$29:$W$29,'Matriz_Habilidades'!$D53:$W53)/'Calc_Mix'!$X$29+ROW()*0.000001))</f>
        <v/>
      </c>
      <c r="AG53" s="34">
        <f>IF(OR($B53="",$C53&lt;&gt;"Ativo",$D53&lt;&gt;'Calc_Mix'!$C$30,'Calc_Mix'!$X$30=0,COUNTIFS(Esc_Turno,'Calc_Mix'!$C$30,Esc_Circ,$B53)+COUNTIFS(Esc_Turno,'Calc_Mix'!$C$30,Esc_Instr,$B53)&gt;0),"",IF(SUMPRODUCT('Calc_Mix'!$D$30:$W$30,'Matriz_Habilidades'!$D53:$W53)=0,"",SUMPRODUCT('Calc_Mix'!$D$30:$W$30,'Matriz_Habilidades'!$D53:$W53)/'Calc_Mix'!$X$30+ROW()*0.000001))</f>
        <v/>
      </c>
      <c r="AH53" s="34">
        <f>IF(OR($B53="",$C53&lt;&gt;"Ativo",$D53&lt;&gt;'Calc_Mix'!$C$31,'Calc_Mix'!$X$31=0,COUNTIFS(Esc_Turno,'Calc_Mix'!$C$31,Esc_Circ,$B53)+COUNTIFS(Esc_Turno,'Calc_Mix'!$C$31,Esc_Instr,$B53)&gt;0),"",IF(SUMPRODUCT('Calc_Mix'!$D$31:$W$31,'Matriz_Habilidades'!$D53:$W53)=0,"",SUMPRODUCT('Calc_Mix'!$D$31:$W$31,'Matriz_Habilidades'!$D53:$W53)/'Calc_Mix'!$X$31+ROW()*0.000001))</f>
        <v/>
      </c>
      <c r="AI53" s="34">
        <f>IF(OR($B53="",$C53&lt;&gt;"Ativo",$D53&lt;&gt;'Calc_Mix'!$C$32,'Calc_Mix'!$X$32=0,COUNTIFS(Esc_Turno,'Calc_Mix'!$C$32,Esc_Circ,$B53)+COUNTIFS(Esc_Turno,'Calc_Mix'!$C$32,Esc_Instr,$B53)&gt;0),"",IF(SUMPRODUCT('Calc_Mix'!$D$32:$W$32,'Matriz_Habilidades'!$D53:$W53)=0,"",SUMPRODUCT('Calc_Mix'!$D$32:$W$32,'Matriz_Habilidades'!$D53:$W53)/'Calc_Mix'!$X$32+ROW()*0.000001))</f>
        <v/>
      </c>
      <c r="AJ53" s="34">
        <f>IF(OR($B53="",$C53&lt;&gt;"Ativo",$D53&lt;&gt;'Calc_Mix'!$C$33,'Calc_Mix'!$X$33=0,COUNTIFS(Esc_Turno,'Calc_Mix'!$C$33,Esc_Circ,$B53)+COUNTIFS(Esc_Turno,'Calc_Mix'!$C$33,Esc_Instr,$B53)&gt;0),"",IF(SUMPRODUCT('Calc_Mix'!$D$33:$W$33,'Matriz_Habilidades'!$D53:$W53)=0,"",SUMPRODUCT('Calc_Mix'!$D$33:$W$33,'Matriz_Habilidades'!$D53:$W53)/'Calc_Mix'!$X$33+ROW()*0.000001))</f>
        <v/>
      </c>
      <c r="AK53" s="34">
        <f>IF(OR($B53="",$C53&lt;&gt;"Ativo",$D53&lt;&gt;'Calc_Mix'!$C$34,'Calc_Mix'!$X$34=0,COUNTIFS(Esc_Turno,'Calc_Mix'!$C$34,Esc_Circ,$B53)+COUNTIFS(Esc_Turno,'Calc_Mix'!$C$34,Esc_Instr,$B53)&gt;0),"",IF(SUMPRODUCT('Calc_Mix'!$D$34:$W$34,'Matriz_Habilidades'!$D53:$W53)=0,"",SUMPRODUCT('Calc_Mix'!$D$34:$W$34,'Matriz_Habilidades'!$D53:$W53)/'Calc_Mix'!$X$34+ROW()*0.000001))</f>
        <v/>
      </c>
      <c r="AL53" s="34">
        <f>IF(OR($B53="",$C53&lt;&gt;"Ativo",$D53&lt;&gt;'Calc_Mix'!$C$35,'Calc_Mix'!$X$35=0,COUNTIFS(Esc_Turno,'Calc_Mix'!$C$35,Esc_Circ,$B53)+COUNTIFS(Esc_Turno,'Calc_Mix'!$C$35,Esc_Instr,$B53)&gt;0),"",IF(SUMPRODUCT('Calc_Mix'!$D$35:$W$35,'Matriz_Habilidades'!$D53:$W53)=0,"",SUMPRODUCT('Calc_Mix'!$D$35:$W$35,'Matriz_Habilidades'!$D53:$W53)/'Calc_Mix'!$X$35+ROW()*0.000001))</f>
        <v/>
      </c>
      <c r="AM53" s="34">
        <f>IF(OR($B53="",$C53&lt;&gt;"Ativo",$D53&lt;&gt;'Calc_Mix'!$C$36,'Calc_Mix'!$X$36=0,COUNTIFS(Esc_Turno,'Calc_Mix'!$C$36,Esc_Circ,$B53)+COUNTIFS(Esc_Turno,'Calc_Mix'!$C$36,Esc_Instr,$B53)&gt;0),"",IF(SUMPRODUCT('Calc_Mix'!$D$36:$W$36,'Matriz_Habilidades'!$D53:$W53)=0,"",SUMPRODUCT('Calc_Mix'!$D$36:$W$36,'Matriz_Habilidades'!$D53:$W53)/'Calc_Mix'!$X$36+ROW()*0.000001))</f>
        <v/>
      </c>
      <c r="AN53" s="34">
        <f>IF(OR($B53="",$C53&lt;&gt;"Ativo",$D53&lt;&gt;'Calc_Mix'!$C$37,'Calc_Mix'!$X$37=0,COUNTIFS(Esc_Turno,'Calc_Mix'!$C$37,Esc_Circ,$B53)+COUNTIFS(Esc_Turno,'Calc_Mix'!$C$37,Esc_Instr,$B53)&gt;0),"",IF(SUMPRODUCT('Calc_Mix'!$D$37:$W$37,'Matriz_Habilidades'!$D53:$W53)=0,"",SUMPRODUCT('Calc_Mix'!$D$37:$W$37,'Matriz_Habilidades'!$D53:$W53)/'Calc_Mix'!$X$37+ROW()*0.000001))</f>
        <v/>
      </c>
    </row>
    <row r="54">
      <c r="A54" s="27">
        <f>IF('Matriz_Habilidades'!A54="","",'Matriz_Habilidades'!A54)</f>
        <v/>
      </c>
      <c r="B54" s="28">
        <f>IF('Matriz_Habilidades'!B54="","",'Matriz_Habilidades'!B54)</f>
        <v/>
      </c>
      <c r="C54" s="27">
        <f>IF($A54="","",IFERROR(INDEX(Equipe_Status,MATCH($B54,Equipe_Nome,0)),"?"))</f>
        <v/>
      </c>
      <c r="D54" s="27">
        <f>IF($A54="","",IFERROR(INDEX(Equipe_Turno,MATCH($B54,Equipe_Nome,0)),"?"))</f>
        <v/>
      </c>
      <c r="E54" s="34">
        <f>IF(OR($B54="",$C54&lt;&gt;"Ativo",$D54&lt;&gt;'Calc_Mix'!$C$2,'Calc_Mix'!$X$2=0,COUNTIFS(Esc_Turno,'Calc_Mix'!$C$2,Esc_Circ,$B54)+COUNTIFS(Esc_Turno,'Calc_Mix'!$C$2,Esc_Instr,$B54)&gt;0),"",IF(SUMPRODUCT('Calc_Mix'!$D$2:$W$2,'Matriz_Habilidades'!$D54:$W54)=0,"",SUMPRODUCT('Calc_Mix'!$D$2:$W$2,'Matriz_Habilidades'!$D54:$W54)/'Calc_Mix'!$X$2+ROW()*0.000001))</f>
        <v/>
      </c>
      <c r="F54" s="34">
        <f>IF(OR($B54="",$C54&lt;&gt;"Ativo",$D54&lt;&gt;'Calc_Mix'!$C$3,'Calc_Mix'!$X$3=0,COUNTIFS(Esc_Turno,'Calc_Mix'!$C$3,Esc_Circ,$B54)+COUNTIFS(Esc_Turno,'Calc_Mix'!$C$3,Esc_Instr,$B54)&gt;0),"",IF(SUMPRODUCT('Calc_Mix'!$D$3:$W$3,'Matriz_Habilidades'!$D54:$W54)=0,"",SUMPRODUCT('Calc_Mix'!$D$3:$W$3,'Matriz_Habilidades'!$D54:$W54)/'Calc_Mix'!$X$3+ROW()*0.000001))</f>
        <v/>
      </c>
      <c r="G54" s="34">
        <f>IF(OR($B54="",$C54&lt;&gt;"Ativo",$D54&lt;&gt;'Calc_Mix'!$C$4,'Calc_Mix'!$X$4=0,COUNTIFS(Esc_Turno,'Calc_Mix'!$C$4,Esc_Circ,$B54)+COUNTIFS(Esc_Turno,'Calc_Mix'!$C$4,Esc_Instr,$B54)&gt;0),"",IF(SUMPRODUCT('Calc_Mix'!$D$4:$W$4,'Matriz_Habilidades'!$D54:$W54)=0,"",SUMPRODUCT('Calc_Mix'!$D$4:$W$4,'Matriz_Habilidades'!$D54:$W54)/'Calc_Mix'!$X$4+ROW()*0.000001))</f>
        <v/>
      </c>
      <c r="H54" s="34">
        <f>IF(OR($B54="",$C54&lt;&gt;"Ativo",$D54&lt;&gt;'Calc_Mix'!$C$5,'Calc_Mix'!$X$5=0,COUNTIFS(Esc_Turno,'Calc_Mix'!$C$5,Esc_Circ,$B54)+COUNTIFS(Esc_Turno,'Calc_Mix'!$C$5,Esc_Instr,$B54)&gt;0),"",IF(SUMPRODUCT('Calc_Mix'!$D$5:$W$5,'Matriz_Habilidades'!$D54:$W54)=0,"",SUMPRODUCT('Calc_Mix'!$D$5:$W$5,'Matriz_Habilidades'!$D54:$W54)/'Calc_Mix'!$X$5+ROW()*0.000001))</f>
        <v/>
      </c>
      <c r="I54" s="34">
        <f>IF(OR($B54="",$C54&lt;&gt;"Ativo",$D54&lt;&gt;'Calc_Mix'!$C$6,'Calc_Mix'!$X$6=0,COUNTIFS(Esc_Turno,'Calc_Mix'!$C$6,Esc_Circ,$B54)+COUNTIFS(Esc_Turno,'Calc_Mix'!$C$6,Esc_Instr,$B54)&gt;0),"",IF(SUMPRODUCT('Calc_Mix'!$D$6:$W$6,'Matriz_Habilidades'!$D54:$W54)=0,"",SUMPRODUCT('Calc_Mix'!$D$6:$W$6,'Matriz_Habilidades'!$D54:$W54)/'Calc_Mix'!$X$6+ROW()*0.000001))</f>
        <v/>
      </c>
      <c r="J54" s="34">
        <f>IF(OR($B54="",$C54&lt;&gt;"Ativo",$D54&lt;&gt;'Calc_Mix'!$C$7,'Calc_Mix'!$X$7=0,COUNTIFS(Esc_Turno,'Calc_Mix'!$C$7,Esc_Circ,$B54)+COUNTIFS(Esc_Turno,'Calc_Mix'!$C$7,Esc_Instr,$B54)&gt;0),"",IF(SUMPRODUCT('Calc_Mix'!$D$7:$W$7,'Matriz_Habilidades'!$D54:$W54)=0,"",SUMPRODUCT('Calc_Mix'!$D$7:$W$7,'Matriz_Habilidades'!$D54:$W54)/'Calc_Mix'!$X$7+ROW()*0.000001))</f>
        <v/>
      </c>
      <c r="K54" s="34">
        <f>IF(OR($B54="",$C54&lt;&gt;"Ativo",$D54&lt;&gt;'Calc_Mix'!$C$8,'Calc_Mix'!$X$8=0,COUNTIFS(Esc_Turno,'Calc_Mix'!$C$8,Esc_Circ,$B54)+COUNTIFS(Esc_Turno,'Calc_Mix'!$C$8,Esc_Instr,$B54)&gt;0),"",IF(SUMPRODUCT('Calc_Mix'!$D$8:$W$8,'Matriz_Habilidades'!$D54:$W54)=0,"",SUMPRODUCT('Calc_Mix'!$D$8:$W$8,'Matriz_Habilidades'!$D54:$W54)/'Calc_Mix'!$X$8+ROW()*0.000001))</f>
        <v/>
      </c>
      <c r="L54" s="34">
        <f>IF(OR($B54="",$C54&lt;&gt;"Ativo",$D54&lt;&gt;'Calc_Mix'!$C$9,'Calc_Mix'!$X$9=0,COUNTIFS(Esc_Turno,'Calc_Mix'!$C$9,Esc_Circ,$B54)+COUNTIFS(Esc_Turno,'Calc_Mix'!$C$9,Esc_Instr,$B54)&gt;0),"",IF(SUMPRODUCT('Calc_Mix'!$D$9:$W$9,'Matriz_Habilidades'!$D54:$W54)=0,"",SUMPRODUCT('Calc_Mix'!$D$9:$W$9,'Matriz_Habilidades'!$D54:$W54)/'Calc_Mix'!$X$9+ROW()*0.000001))</f>
        <v/>
      </c>
      <c r="M54" s="34">
        <f>IF(OR($B54="",$C54&lt;&gt;"Ativo",$D54&lt;&gt;'Calc_Mix'!$C$10,'Calc_Mix'!$X$10=0,COUNTIFS(Esc_Turno,'Calc_Mix'!$C$10,Esc_Circ,$B54)+COUNTIFS(Esc_Turno,'Calc_Mix'!$C$10,Esc_Instr,$B54)&gt;0),"",IF(SUMPRODUCT('Calc_Mix'!$D$10:$W$10,'Matriz_Habilidades'!$D54:$W54)=0,"",SUMPRODUCT('Calc_Mix'!$D$10:$W$10,'Matriz_Habilidades'!$D54:$W54)/'Calc_Mix'!$X$10+ROW()*0.000001))</f>
        <v/>
      </c>
      <c r="N54" s="34">
        <f>IF(OR($B54="",$C54&lt;&gt;"Ativo",$D54&lt;&gt;'Calc_Mix'!$C$11,'Calc_Mix'!$X$11=0,COUNTIFS(Esc_Turno,'Calc_Mix'!$C$11,Esc_Circ,$B54)+COUNTIFS(Esc_Turno,'Calc_Mix'!$C$11,Esc_Instr,$B54)&gt;0),"",IF(SUMPRODUCT('Calc_Mix'!$D$11:$W$11,'Matriz_Habilidades'!$D54:$W54)=0,"",SUMPRODUCT('Calc_Mix'!$D$11:$W$11,'Matriz_Habilidades'!$D54:$W54)/'Calc_Mix'!$X$11+ROW()*0.000001))</f>
        <v/>
      </c>
      <c r="O54" s="34">
        <f>IF(OR($B54="",$C54&lt;&gt;"Ativo",$D54&lt;&gt;'Calc_Mix'!$C$12,'Calc_Mix'!$X$12=0,COUNTIFS(Esc_Turno,'Calc_Mix'!$C$12,Esc_Circ,$B54)+COUNTIFS(Esc_Turno,'Calc_Mix'!$C$12,Esc_Instr,$B54)&gt;0),"",IF(SUMPRODUCT('Calc_Mix'!$D$12:$W$12,'Matriz_Habilidades'!$D54:$W54)=0,"",SUMPRODUCT('Calc_Mix'!$D$12:$W$12,'Matriz_Habilidades'!$D54:$W54)/'Calc_Mix'!$X$12+ROW()*0.000001))</f>
        <v/>
      </c>
      <c r="P54" s="34">
        <f>IF(OR($B54="",$C54&lt;&gt;"Ativo",$D54&lt;&gt;'Calc_Mix'!$C$13,'Calc_Mix'!$X$13=0,COUNTIFS(Esc_Turno,'Calc_Mix'!$C$13,Esc_Circ,$B54)+COUNTIFS(Esc_Turno,'Calc_Mix'!$C$13,Esc_Instr,$B54)&gt;0),"",IF(SUMPRODUCT('Calc_Mix'!$D$13:$W$13,'Matriz_Habilidades'!$D54:$W54)=0,"",SUMPRODUCT('Calc_Mix'!$D$13:$W$13,'Matriz_Habilidades'!$D54:$W54)/'Calc_Mix'!$X$13+ROW()*0.000001))</f>
        <v/>
      </c>
      <c r="Q54" s="34">
        <f>IF(OR($B54="",$C54&lt;&gt;"Ativo",$D54&lt;&gt;'Calc_Mix'!$C$14,'Calc_Mix'!$X$14=0,COUNTIFS(Esc_Turno,'Calc_Mix'!$C$14,Esc_Circ,$B54)+COUNTIFS(Esc_Turno,'Calc_Mix'!$C$14,Esc_Instr,$B54)&gt;0),"",IF(SUMPRODUCT('Calc_Mix'!$D$14:$W$14,'Matriz_Habilidades'!$D54:$W54)=0,"",SUMPRODUCT('Calc_Mix'!$D$14:$W$14,'Matriz_Habilidades'!$D54:$W54)/'Calc_Mix'!$X$14+ROW()*0.000001))</f>
        <v/>
      </c>
      <c r="R54" s="34">
        <f>IF(OR($B54="",$C54&lt;&gt;"Ativo",$D54&lt;&gt;'Calc_Mix'!$C$15,'Calc_Mix'!$X$15=0,COUNTIFS(Esc_Turno,'Calc_Mix'!$C$15,Esc_Circ,$B54)+COUNTIFS(Esc_Turno,'Calc_Mix'!$C$15,Esc_Instr,$B54)&gt;0),"",IF(SUMPRODUCT('Calc_Mix'!$D$15:$W$15,'Matriz_Habilidades'!$D54:$W54)=0,"",SUMPRODUCT('Calc_Mix'!$D$15:$W$15,'Matriz_Habilidades'!$D54:$W54)/'Calc_Mix'!$X$15+ROW()*0.000001))</f>
        <v/>
      </c>
      <c r="S54" s="34">
        <f>IF(OR($B54="",$C54&lt;&gt;"Ativo",$D54&lt;&gt;'Calc_Mix'!$C$16,'Calc_Mix'!$X$16=0,COUNTIFS(Esc_Turno,'Calc_Mix'!$C$16,Esc_Circ,$B54)+COUNTIFS(Esc_Turno,'Calc_Mix'!$C$16,Esc_Instr,$B54)&gt;0),"",IF(SUMPRODUCT('Calc_Mix'!$D$16:$W$16,'Matriz_Habilidades'!$D54:$W54)=0,"",SUMPRODUCT('Calc_Mix'!$D$16:$W$16,'Matriz_Habilidades'!$D54:$W54)/'Calc_Mix'!$X$16+ROW()*0.000001))</f>
        <v/>
      </c>
      <c r="T54" s="34">
        <f>IF(OR($B54="",$C54&lt;&gt;"Ativo",$D54&lt;&gt;'Calc_Mix'!$C$17,'Calc_Mix'!$X$17=0,COUNTIFS(Esc_Turno,'Calc_Mix'!$C$17,Esc_Circ,$B54)+COUNTIFS(Esc_Turno,'Calc_Mix'!$C$17,Esc_Instr,$B54)&gt;0),"",IF(SUMPRODUCT('Calc_Mix'!$D$17:$W$17,'Matriz_Habilidades'!$D54:$W54)=0,"",SUMPRODUCT('Calc_Mix'!$D$17:$W$17,'Matriz_Habilidades'!$D54:$W54)/'Calc_Mix'!$X$17+ROW()*0.000001))</f>
        <v/>
      </c>
      <c r="U54" s="34">
        <f>IF(OR($B54="",$C54&lt;&gt;"Ativo",$D54&lt;&gt;'Calc_Mix'!$C$18,'Calc_Mix'!$X$18=0,COUNTIFS(Esc_Turno,'Calc_Mix'!$C$18,Esc_Circ,$B54)+COUNTIFS(Esc_Turno,'Calc_Mix'!$C$18,Esc_Instr,$B54)&gt;0),"",IF(SUMPRODUCT('Calc_Mix'!$D$18:$W$18,'Matriz_Habilidades'!$D54:$W54)=0,"",SUMPRODUCT('Calc_Mix'!$D$18:$W$18,'Matriz_Habilidades'!$D54:$W54)/'Calc_Mix'!$X$18+ROW()*0.000001))</f>
        <v/>
      </c>
      <c r="V54" s="34">
        <f>IF(OR($B54="",$C54&lt;&gt;"Ativo",$D54&lt;&gt;'Calc_Mix'!$C$19,'Calc_Mix'!$X$19=0,COUNTIFS(Esc_Turno,'Calc_Mix'!$C$19,Esc_Circ,$B54)+COUNTIFS(Esc_Turno,'Calc_Mix'!$C$19,Esc_Instr,$B54)&gt;0),"",IF(SUMPRODUCT('Calc_Mix'!$D$19:$W$19,'Matriz_Habilidades'!$D54:$W54)=0,"",SUMPRODUCT('Calc_Mix'!$D$19:$W$19,'Matriz_Habilidades'!$D54:$W54)/'Calc_Mix'!$X$19+ROW()*0.000001))</f>
        <v/>
      </c>
      <c r="W54" s="34">
        <f>IF(OR($B54="",$C54&lt;&gt;"Ativo",$D54&lt;&gt;'Calc_Mix'!$C$20,'Calc_Mix'!$X$20=0,COUNTIFS(Esc_Turno,'Calc_Mix'!$C$20,Esc_Circ,$B54)+COUNTIFS(Esc_Turno,'Calc_Mix'!$C$20,Esc_Instr,$B54)&gt;0),"",IF(SUMPRODUCT('Calc_Mix'!$D$20:$W$20,'Matriz_Habilidades'!$D54:$W54)=0,"",SUMPRODUCT('Calc_Mix'!$D$20:$W$20,'Matriz_Habilidades'!$D54:$W54)/'Calc_Mix'!$X$20+ROW()*0.000001))</f>
        <v/>
      </c>
      <c r="X54" s="34">
        <f>IF(OR($B54="",$C54&lt;&gt;"Ativo",$D54&lt;&gt;'Calc_Mix'!$C$21,'Calc_Mix'!$X$21=0,COUNTIFS(Esc_Turno,'Calc_Mix'!$C$21,Esc_Circ,$B54)+COUNTIFS(Esc_Turno,'Calc_Mix'!$C$21,Esc_Instr,$B54)&gt;0),"",IF(SUMPRODUCT('Calc_Mix'!$D$21:$W$21,'Matriz_Habilidades'!$D54:$W54)=0,"",SUMPRODUCT('Calc_Mix'!$D$21:$W$21,'Matriz_Habilidades'!$D54:$W54)/'Calc_Mix'!$X$21+ROW()*0.000001))</f>
        <v/>
      </c>
      <c r="Y54" s="34">
        <f>IF(OR($B54="",$C54&lt;&gt;"Ativo",$D54&lt;&gt;'Calc_Mix'!$C$22,'Calc_Mix'!$X$22=0,COUNTIFS(Esc_Turno,'Calc_Mix'!$C$22,Esc_Circ,$B54)+COUNTIFS(Esc_Turno,'Calc_Mix'!$C$22,Esc_Instr,$B54)&gt;0),"",IF(SUMPRODUCT('Calc_Mix'!$D$22:$W$22,'Matriz_Habilidades'!$D54:$W54)=0,"",SUMPRODUCT('Calc_Mix'!$D$22:$W$22,'Matriz_Habilidades'!$D54:$W54)/'Calc_Mix'!$X$22+ROW()*0.000001))</f>
        <v/>
      </c>
      <c r="Z54" s="34">
        <f>IF(OR($B54="",$C54&lt;&gt;"Ativo",$D54&lt;&gt;'Calc_Mix'!$C$23,'Calc_Mix'!$X$23=0,COUNTIFS(Esc_Turno,'Calc_Mix'!$C$23,Esc_Circ,$B54)+COUNTIFS(Esc_Turno,'Calc_Mix'!$C$23,Esc_Instr,$B54)&gt;0),"",IF(SUMPRODUCT('Calc_Mix'!$D$23:$W$23,'Matriz_Habilidades'!$D54:$W54)=0,"",SUMPRODUCT('Calc_Mix'!$D$23:$W$23,'Matriz_Habilidades'!$D54:$W54)/'Calc_Mix'!$X$23+ROW()*0.000001))</f>
        <v/>
      </c>
      <c r="AA54" s="34">
        <f>IF(OR($B54="",$C54&lt;&gt;"Ativo",$D54&lt;&gt;'Calc_Mix'!$C$24,'Calc_Mix'!$X$24=0,COUNTIFS(Esc_Turno,'Calc_Mix'!$C$24,Esc_Circ,$B54)+COUNTIFS(Esc_Turno,'Calc_Mix'!$C$24,Esc_Instr,$B54)&gt;0),"",IF(SUMPRODUCT('Calc_Mix'!$D$24:$W$24,'Matriz_Habilidades'!$D54:$W54)=0,"",SUMPRODUCT('Calc_Mix'!$D$24:$W$24,'Matriz_Habilidades'!$D54:$W54)/'Calc_Mix'!$X$24+ROW()*0.000001))</f>
        <v/>
      </c>
      <c r="AB54" s="34">
        <f>IF(OR($B54="",$C54&lt;&gt;"Ativo",$D54&lt;&gt;'Calc_Mix'!$C$25,'Calc_Mix'!$X$25=0,COUNTIFS(Esc_Turno,'Calc_Mix'!$C$25,Esc_Circ,$B54)+COUNTIFS(Esc_Turno,'Calc_Mix'!$C$25,Esc_Instr,$B54)&gt;0),"",IF(SUMPRODUCT('Calc_Mix'!$D$25:$W$25,'Matriz_Habilidades'!$D54:$W54)=0,"",SUMPRODUCT('Calc_Mix'!$D$25:$W$25,'Matriz_Habilidades'!$D54:$W54)/'Calc_Mix'!$X$25+ROW()*0.000001))</f>
        <v/>
      </c>
      <c r="AC54" s="34">
        <f>IF(OR($B54="",$C54&lt;&gt;"Ativo",$D54&lt;&gt;'Calc_Mix'!$C$26,'Calc_Mix'!$X$26=0,COUNTIFS(Esc_Turno,'Calc_Mix'!$C$26,Esc_Circ,$B54)+COUNTIFS(Esc_Turno,'Calc_Mix'!$C$26,Esc_Instr,$B54)&gt;0),"",IF(SUMPRODUCT('Calc_Mix'!$D$26:$W$26,'Matriz_Habilidades'!$D54:$W54)=0,"",SUMPRODUCT('Calc_Mix'!$D$26:$W$26,'Matriz_Habilidades'!$D54:$W54)/'Calc_Mix'!$X$26+ROW()*0.000001))</f>
        <v/>
      </c>
      <c r="AD54" s="34">
        <f>IF(OR($B54="",$C54&lt;&gt;"Ativo",$D54&lt;&gt;'Calc_Mix'!$C$27,'Calc_Mix'!$X$27=0,COUNTIFS(Esc_Turno,'Calc_Mix'!$C$27,Esc_Circ,$B54)+COUNTIFS(Esc_Turno,'Calc_Mix'!$C$27,Esc_Instr,$B54)&gt;0),"",IF(SUMPRODUCT('Calc_Mix'!$D$27:$W$27,'Matriz_Habilidades'!$D54:$W54)=0,"",SUMPRODUCT('Calc_Mix'!$D$27:$W$27,'Matriz_Habilidades'!$D54:$W54)/'Calc_Mix'!$X$27+ROW()*0.000001))</f>
        <v/>
      </c>
      <c r="AE54" s="34">
        <f>IF(OR($B54="",$C54&lt;&gt;"Ativo",$D54&lt;&gt;'Calc_Mix'!$C$28,'Calc_Mix'!$X$28=0,COUNTIFS(Esc_Turno,'Calc_Mix'!$C$28,Esc_Circ,$B54)+COUNTIFS(Esc_Turno,'Calc_Mix'!$C$28,Esc_Instr,$B54)&gt;0),"",IF(SUMPRODUCT('Calc_Mix'!$D$28:$W$28,'Matriz_Habilidades'!$D54:$W54)=0,"",SUMPRODUCT('Calc_Mix'!$D$28:$W$28,'Matriz_Habilidades'!$D54:$W54)/'Calc_Mix'!$X$28+ROW()*0.000001))</f>
        <v/>
      </c>
      <c r="AF54" s="34">
        <f>IF(OR($B54="",$C54&lt;&gt;"Ativo",$D54&lt;&gt;'Calc_Mix'!$C$29,'Calc_Mix'!$X$29=0,COUNTIFS(Esc_Turno,'Calc_Mix'!$C$29,Esc_Circ,$B54)+COUNTIFS(Esc_Turno,'Calc_Mix'!$C$29,Esc_Instr,$B54)&gt;0),"",IF(SUMPRODUCT('Calc_Mix'!$D$29:$W$29,'Matriz_Habilidades'!$D54:$W54)=0,"",SUMPRODUCT('Calc_Mix'!$D$29:$W$29,'Matriz_Habilidades'!$D54:$W54)/'Calc_Mix'!$X$29+ROW()*0.000001))</f>
        <v/>
      </c>
      <c r="AG54" s="34">
        <f>IF(OR($B54="",$C54&lt;&gt;"Ativo",$D54&lt;&gt;'Calc_Mix'!$C$30,'Calc_Mix'!$X$30=0,COUNTIFS(Esc_Turno,'Calc_Mix'!$C$30,Esc_Circ,$B54)+COUNTIFS(Esc_Turno,'Calc_Mix'!$C$30,Esc_Instr,$B54)&gt;0),"",IF(SUMPRODUCT('Calc_Mix'!$D$30:$W$30,'Matriz_Habilidades'!$D54:$W54)=0,"",SUMPRODUCT('Calc_Mix'!$D$30:$W$30,'Matriz_Habilidades'!$D54:$W54)/'Calc_Mix'!$X$30+ROW()*0.000001))</f>
        <v/>
      </c>
      <c r="AH54" s="34">
        <f>IF(OR($B54="",$C54&lt;&gt;"Ativo",$D54&lt;&gt;'Calc_Mix'!$C$31,'Calc_Mix'!$X$31=0,COUNTIFS(Esc_Turno,'Calc_Mix'!$C$31,Esc_Circ,$B54)+COUNTIFS(Esc_Turno,'Calc_Mix'!$C$31,Esc_Instr,$B54)&gt;0),"",IF(SUMPRODUCT('Calc_Mix'!$D$31:$W$31,'Matriz_Habilidades'!$D54:$W54)=0,"",SUMPRODUCT('Calc_Mix'!$D$31:$W$31,'Matriz_Habilidades'!$D54:$W54)/'Calc_Mix'!$X$31+ROW()*0.000001))</f>
        <v/>
      </c>
      <c r="AI54" s="34">
        <f>IF(OR($B54="",$C54&lt;&gt;"Ativo",$D54&lt;&gt;'Calc_Mix'!$C$32,'Calc_Mix'!$X$32=0,COUNTIFS(Esc_Turno,'Calc_Mix'!$C$32,Esc_Circ,$B54)+COUNTIFS(Esc_Turno,'Calc_Mix'!$C$32,Esc_Instr,$B54)&gt;0),"",IF(SUMPRODUCT('Calc_Mix'!$D$32:$W$32,'Matriz_Habilidades'!$D54:$W54)=0,"",SUMPRODUCT('Calc_Mix'!$D$32:$W$32,'Matriz_Habilidades'!$D54:$W54)/'Calc_Mix'!$X$32+ROW()*0.000001))</f>
        <v/>
      </c>
      <c r="AJ54" s="34">
        <f>IF(OR($B54="",$C54&lt;&gt;"Ativo",$D54&lt;&gt;'Calc_Mix'!$C$33,'Calc_Mix'!$X$33=0,COUNTIFS(Esc_Turno,'Calc_Mix'!$C$33,Esc_Circ,$B54)+COUNTIFS(Esc_Turno,'Calc_Mix'!$C$33,Esc_Instr,$B54)&gt;0),"",IF(SUMPRODUCT('Calc_Mix'!$D$33:$W$33,'Matriz_Habilidades'!$D54:$W54)=0,"",SUMPRODUCT('Calc_Mix'!$D$33:$W$33,'Matriz_Habilidades'!$D54:$W54)/'Calc_Mix'!$X$33+ROW()*0.000001))</f>
        <v/>
      </c>
      <c r="AK54" s="34">
        <f>IF(OR($B54="",$C54&lt;&gt;"Ativo",$D54&lt;&gt;'Calc_Mix'!$C$34,'Calc_Mix'!$X$34=0,COUNTIFS(Esc_Turno,'Calc_Mix'!$C$34,Esc_Circ,$B54)+COUNTIFS(Esc_Turno,'Calc_Mix'!$C$34,Esc_Instr,$B54)&gt;0),"",IF(SUMPRODUCT('Calc_Mix'!$D$34:$W$34,'Matriz_Habilidades'!$D54:$W54)=0,"",SUMPRODUCT('Calc_Mix'!$D$34:$W$34,'Matriz_Habilidades'!$D54:$W54)/'Calc_Mix'!$X$34+ROW()*0.000001))</f>
        <v/>
      </c>
      <c r="AL54" s="34">
        <f>IF(OR($B54="",$C54&lt;&gt;"Ativo",$D54&lt;&gt;'Calc_Mix'!$C$35,'Calc_Mix'!$X$35=0,COUNTIFS(Esc_Turno,'Calc_Mix'!$C$35,Esc_Circ,$B54)+COUNTIFS(Esc_Turno,'Calc_Mix'!$C$35,Esc_Instr,$B54)&gt;0),"",IF(SUMPRODUCT('Calc_Mix'!$D$35:$W$35,'Matriz_Habilidades'!$D54:$W54)=0,"",SUMPRODUCT('Calc_Mix'!$D$35:$W$35,'Matriz_Habilidades'!$D54:$W54)/'Calc_Mix'!$X$35+ROW()*0.000001))</f>
        <v/>
      </c>
      <c r="AM54" s="34">
        <f>IF(OR($B54="",$C54&lt;&gt;"Ativo",$D54&lt;&gt;'Calc_Mix'!$C$36,'Calc_Mix'!$X$36=0,COUNTIFS(Esc_Turno,'Calc_Mix'!$C$36,Esc_Circ,$B54)+COUNTIFS(Esc_Turno,'Calc_Mix'!$C$36,Esc_Instr,$B54)&gt;0),"",IF(SUMPRODUCT('Calc_Mix'!$D$36:$W$36,'Matriz_Habilidades'!$D54:$W54)=0,"",SUMPRODUCT('Calc_Mix'!$D$36:$W$36,'Matriz_Habilidades'!$D54:$W54)/'Calc_Mix'!$X$36+ROW()*0.000001))</f>
        <v/>
      </c>
      <c r="AN54" s="34">
        <f>IF(OR($B54="",$C54&lt;&gt;"Ativo",$D54&lt;&gt;'Calc_Mix'!$C$37,'Calc_Mix'!$X$37=0,COUNTIFS(Esc_Turno,'Calc_Mix'!$C$37,Esc_Circ,$B54)+COUNTIFS(Esc_Turno,'Calc_Mix'!$C$37,Esc_Instr,$B54)&gt;0),"",IF(SUMPRODUCT('Calc_Mix'!$D$37:$W$37,'Matriz_Habilidades'!$D54:$W54)=0,"",SUMPRODUCT('Calc_Mix'!$D$37:$W$37,'Matriz_Habilidades'!$D54:$W54)/'Calc_Mix'!$X$37+ROW()*0.000001))</f>
        <v/>
      </c>
    </row>
    <row r="55">
      <c r="A55" s="27">
        <f>IF('Matriz_Habilidades'!A55="","",'Matriz_Habilidades'!A55)</f>
        <v/>
      </c>
      <c r="B55" s="28">
        <f>IF('Matriz_Habilidades'!B55="","",'Matriz_Habilidades'!B55)</f>
        <v/>
      </c>
      <c r="C55" s="27">
        <f>IF($A55="","",IFERROR(INDEX(Equipe_Status,MATCH($B55,Equipe_Nome,0)),"?"))</f>
        <v/>
      </c>
      <c r="D55" s="27">
        <f>IF($A55="","",IFERROR(INDEX(Equipe_Turno,MATCH($B55,Equipe_Nome,0)),"?"))</f>
        <v/>
      </c>
      <c r="E55" s="34">
        <f>IF(OR($B55="",$C55&lt;&gt;"Ativo",$D55&lt;&gt;'Calc_Mix'!$C$2,'Calc_Mix'!$X$2=0,COUNTIFS(Esc_Turno,'Calc_Mix'!$C$2,Esc_Circ,$B55)+COUNTIFS(Esc_Turno,'Calc_Mix'!$C$2,Esc_Instr,$B55)&gt;0),"",IF(SUMPRODUCT('Calc_Mix'!$D$2:$W$2,'Matriz_Habilidades'!$D55:$W55)=0,"",SUMPRODUCT('Calc_Mix'!$D$2:$W$2,'Matriz_Habilidades'!$D55:$W55)/'Calc_Mix'!$X$2+ROW()*0.000001))</f>
        <v/>
      </c>
      <c r="F55" s="34">
        <f>IF(OR($B55="",$C55&lt;&gt;"Ativo",$D55&lt;&gt;'Calc_Mix'!$C$3,'Calc_Mix'!$X$3=0,COUNTIFS(Esc_Turno,'Calc_Mix'!$C$3,Esc_Circ,$B55)+COUNTIFS(Esc_Turno,'Calc_Mix'!$C$3,Esc_Instr,$B55)&gt;0),"",IF(SUMPRODUCT('Calc_Mix'!$D$3:$W$3,'Matriz_Habilidades'!$D55:$W55)=0,"",SUMPRODUCT('Calc_Mix'!$D$3:$W$3,'Matriz_Habilidades'!$D55:$W55)/'Calc_Mix'!$X$3+ROW()*0.000001))</f>
        <v/>
      </c>
      <c r="G55" s="34">
        <f>IF(OR($B55="",$C55&lt;&gt;"Ativo",$D55&lt;&gt;'Calc_Mix'!$C$4,'Calc_Mix'!$X$4=0,COUNTIFS(Esc_Turno,'Calc_Mix'!$C$4,Esc_Circ,$B55)+COUNTIFS(Esc_Turno,'Calc_Mix'!$C$4,Esc_Instr,$B55)&gt;0),"",IF(SUMPRODUCT('Calc_Mix'!$D$4:$W$4,'Matriz_Habilidades'!$D55:$W55)=0,"",SUMPRODUCT('Calc_Mix'!$D$4:$W$4,'Matriz_Habilidades'!$D55:$W55)/'Calc_Mix'!$X$4+ROW()*0.000001))</f>
        <v/>
      </c>
      <c r="H55" s="34">
        <f>IF(OR($B55="",$C55&lt;&gt;"Ativo",$D55&lt;&gt;'Calc_Mix'!$C$5,'Calc_Mix'!$X$5=0,COUNTIFS(Esc_Turno,'Calc_Mix'!$C$5,Esc_Circ,$B55)+COUNTIFS(Esc_Turno,'Calc_Mix'!$C$5,Esc_Instr,$B55)&gt;0),"",IF(SUMPRODUCT('Calc_Mix'!$D$5:$W$5,'Matriz_Habilidades'!$D55:$W55)=0,"",SUMPRODUCT('Calc_Mix'!$D$5:$W$5,'Matriz_Habilidades'!$D55:$W55)/'Calc_Mix'!$X$5+ROW()*0.000001))</f>
        <v/>
      </c>
      <c r="I55" s="34">
        <f>IF(OR($B55="",$C55&lt;&gt;"Ativo",$D55&lt;&gt;'Calc_Mix'!$C$6,'Calc_Mix'!$X$6=0,COUNTIFS(Esc_Turno,'Calc_Mix'!$C$6,Esc_Circ,$B55)+COUNTIFS(Esc_Turno,'Calc_Mix'!$C$6,Esc_Instr,$B55)&gt;0),"",IF(SUMPRODUCT('Calc_Mix'!$D$6:$W$6,'Matriz_Habilidades'!$D55:$W55)=0,"",SUMPRODUCT('Calc_Mix'!$D$6:$W$6,'Matriz_Habilidades'!$D55:$W55)/'Calc_Mix'!$X$6+ROW()*0.000001))</f>
        <v/>
      </c>
      <c r="J55" s="34">
        <f>IF(OR($B55="",$C55&lt;&gt;"Ativo",$D55&lt;&gt;'Calc_Mix'!$C$7,'Calc_Mix'!$X$7=0,COUNTIFS(Esc_Turno,'Calc_Mix'!$C$7,Esc_Circ,$B55)+COUNTIFS(Esc_Turno,'Calc_Mix'!$C$7,Esc_Instr,$B55)&gt;0),"",IF(SUMPRODUCT('Calc_Mix'!$D$7:$W$7,'Matriz_Habilidades'!$D55:$W55)=0,"",SUMPRODUCT('Calc_Mix'!$D$7:$W$7,'Matriz_Habilidades'!$D55:$W55)/'Calc_Mix'!$X$7+ROW()*0.000001))</f>
        <v/>
      </c>
      <c r="K55" s="34">
        <f>IF(OR($B55="",$C55&lt;&gt;"Ativo",$D55&lt;&gt;'Calc_Mix'!$C$8,'Calc_Mix'!$X$8=0,COUNTIFS(Esc_Turno,'Calc_Mix'!$C$8,Esc_Circ,$B55)+COUNTIFS(Esc_Turno,'Calc_Mix'!$C$8,Esc_Instr,$B55)&gt;0),"",IF(SUMPRODUCT('Calc_Mix'!$D$8:$W$8,'Matriz_Habilidades'!$D55:$W55)=0,"",SUMPRODUCT('Calc_Mix'!$D$8:$W$8,'Matriz_Habilidades'!$D55:$W55)/'Calc_Mix'!$X$8+ROW()*0.000001))</f>
        <v/>
      </c>
      <c r="L55" s="34">
        <f>IF(OR($B55="",$C55&lt;&gt;"Ativo",$D55&lt;&gt;'Calc_Mix'!$C$9,'Calc_Mix'!$X$9=0,COUNTIFS(Esc_Turno,'Calc_Mix'!$C$9,Esc_Circ,$B55)+COUNTIFS(Esc_Turno,'Calc_Mix'!$C$9,Esc_Instr,$B55)&gt;0),"",IF(SUMPRODUCT('Calc_Mix'!$D$9:$W$9,'Matriz_Habilidades'!$D55:$W55)=0,"",SUMPRODUCT('Calc_Mix'!$D$9:$W$9,'Matriz_Habilidades'!$D55:$W55)/'Calc_Mix'!$X$9+ROW()*0.000001))</f>
        <v/>
      </c>
      <c r="M55" s="34">
        <f>IF(OR($B55="",$C55&lt;&gt;"Ativo",$D55&lt;&gt;'Calc_Mix'!$C$10,'Calc_Mix'!$X$10=0,COUNTIFS(Esc_Turno,'Calc_Mix'!$C$10,Esc_Circ,$B55)+COUNTIFS(Esc_Turno,'Calc_Mix'!$C$10,Esc_Instr,$B55)&gt;0),"",IF(SUMPRODUCT('Calc_Mix'!$D$10:$W$10,'Matriz_Habilidades'!$D55:$W55)=0,"",SUMPRODUCT('Calc_Mix'!$D$10:$W$10,'Matriz_Habilidades'!$D55:$W55)/'Calc_Mix'!$X$10+ROW()*0.000001))</f>
        <v/>
      </c>
      <c r="N55" s="34">
        <f>IF(OR($B55="",$C55&lt;&gt;"Ativo",$D55&lt;&gt;'Calc_Mix'!$C$11,'Calc_Mix'!$X$11=0,COUNTIFS(Esc_Turno,'Calc_Mix'!$C$11,Esc_Circ,$B55)+COUNTIFS(Esc_Turno,'Calc_Mix'!$C$11,Esc_Instr,$B55)&gt;0),"",IF(SUMPRODUCT('Calc_Mix'!$D$11:$W$11,'Matriz_Habilidades'!$D55:$W55)=0,"",SUMPRODUCT('Calc_Mix'!$D$11:$W$11,'Matriz_Habilidades'!$D55:$W55)/'Calc_Mix'!$X$11+ROW()*0.000001))</f>
        <v/>
      </c>
      <c r="O55" s="34">
        <f>IF(OR($B55="",$C55&lt;&gt;"Ativo",$D55&lt;&gt;'Calc_Mix'!$C$12,'Calc_Mix'!$X$12=0,COUNTIFS(Esc_Turno,'Calc_Mix'!$C$12,Esc_Circ,$B55)+COUNTIFS(Esc_Turno,'Calc_Mix'!$C$12,Esc_Instr,$B55)&gt;0),"",IF(SUMPRODUCT('Calc_Mix'!$D$12:$W$12,'Matriz_Habilidades'!$D55:$W55)=0,"",SUMPRODUCT('Calc_Mix'!$D$12:$W$12,'Matriz_Habilidades'!$D55:$W55)/'Calc_Mix'!$X$12+ROW()*0.000001))</f>
        <v/>
      </c>
      <c r="P55" s="34">
        <f>IF(OR($B55="",$C55&lt;&gt;"Ativo",$D55&lt;&gt;'Calc_Mix'!$C$13,'Calc_Mix'!$X$13=0,COUNTIFS(Esc_Turno,'Calc_Mix'!$C$13,Esc_Circ,$B55)+COUNTIFS(Esc_Turno,'Calc_Mix'!$C$13,Esc_Instr,$B55)&gt;0),"",IF(SUMPRODUCT('Calc_Mix'!$D$13:$W$13,'Matriz_Habilidades'!$D55:$W55)=0,"",SUMPRODUCT('Calc_Mix'!$D$13:$W$13,'Matriz_Habilidades'!$D55:$W55)/'Calc_Mix'!$X$13+ROW()*0.000001))</f>
        <v/>
      </c>
      <c r="Q55" s="34">
        <f>IF(OR($B55="",$C55&lt;&gt;"Ativo",$D55&lt;&gt;'Calc_Mix'!$C$14,'Calc_Mix'!$X$14=0,COUNTIFS(Esc_Turno,'Calc_Mix'!$C$14,Esc_Circ,$B55)+COUNTIFS(Esc_Turno,'Calc_Mix'!$C$14,Esc_Instr,$B55)&gt;0),"",IF(SUMPRODUCT('Calc_Mix'!$D$14:$W$14,'Matriz_Habilidades'!$D55:$W55)=0,"",SUMPRODUCT('Calc_Mix'!$D$14:$W$14,'Matriz_Habilidades'!$D55:$W55)/'Calc_Mix'!$X$14+ROW()*0.000001))</f>
        <v/>
      </c>
      <c r="R55" s="34">
        <f>IF(OR($B55="",$C55&lt;&gt;"Ativo",$D55&lt;&gt;'Calc_Mix'!$C$15,'Calc_Mix'!$X$15=0,COUNTIFS(Esc_Turno,'Calc_Mix'!$C$15,Esc_Circ,$B55)+COUNTIFS(Esc_Turno,'Calc_Mix'!$C$15,Esc_Instr,$B55)&gt;0),"",IF(SUMPRODUCT('Calc_Mix'!$D$15:$W$15,'Matriz_Habilidades'!$D55:$W55)=0,"",SUMPRODUCT('Calc_Mix'!$D$15:$W$15,'Matriz_Habilidades'!$D55:$W55)/'Calc_Mix'!$X$15+ROW()*0.000001))</f>
        <v/>
      </c>
      <c r="S55" s="34">
        <f>IF(OR($B55="",$C55&lt;&gt;"Ativo",$D55&lt;&gt;'Calc_Mix'!$C$16,'Calc_Mix'!$X$16=0,COUNTIFS(Esc_Turno,'Calc_Mix'!$C$16,Esc_Circ,$B55)+COUNTIFS(Esc_Turno,'Calc_Mix'!$C$16,Esc_Instr,$B55)&gt;0),"",IF(SUMPRODUCT('Calc_Mix'!$D$16:$W$16,'Matriz_Habilidades'!$D55:$W55)=0,"",SUMPRODUCT('Calc_Mix'!$D$16:$W$16,'Matriz_Habilidades'!$D55:$W55)/'Calc_Mix'!$X$16+ROW()*0.000001))</f>
        <v/>
      </c>
      <c r="T55" s="34">
        <f>IF(OR($B55="",$C55&lt;&gt;"Ativo",$D55&lt;&gt;'Calc_Mix'!$C$17,'Calc_Mix'!$X$17=0,COUNTIFS(Esc_Turno,'Calc_Mix'!$C$17,Esc_Circ,$B55)+COUNTIFS(Esc_Turno,'Calc_Mix'!$C$17,Esc_Instr,$B55)&gt;0),"",IF(SUMPRODUCT('Calc_Mix'!$D$17:$W$17,'Matriz_Habilidades'!$D55:$W55)=0,"",SUMPRODUCT('Calc_Mix'!$D$17:$W$17,'Matriz_Habilidades'!$D55:$W55)/'Calc_Mix'!$X$17+ROW()*0.000001))</f>
        <v/>
      </c>
      <c r="U55" s="34">
        <f>IF(OR($B55="",$C55&lt;&gt;"Ativo",$D55&lt;&gt;'Calc_Mix'!$C$18,'Calc_Mix'!$X$18=0,COUNTIFS(Esc_Turno,'Calc_Mix'!$C$18,Esc_Circ,$B55)+COUNTIFS(Esc_Turno,'Calc_Mix'!$C$18,Esc_Instr,$B55)&gt;0),"",IF(SUMPRODUCT('Calc_Mix'!$D$18:$W$18,'Matriz_Habilidades'!$D55:$W55)=0,"",SUMPRODUCT('Calc_Mix'!$D$18:$W$18,'Matriz_Habilidades'!$D55:$W55)/'Calc_Mix'!$X$18+ROW()*0.000001))</f>
        <v/>
      </c>
      <c r="V55" s="34">
        <f>IF(OR($B55="",$C55&lt;&gt;"Ativo",$D55&lt;&gt;'Calc_Mix'!$C$19,'Calc_Mix'!$X$19=0,COUNTIFS(Esc_Turno,'Calc_Mix'!$C$19,Esc_Circ,$B55)+COUNTIFS(Esc_Turno,'Calc_Mix'!$C$19,Esc_Instr,$B55)&gt;0),"",IF(SUMPRODUCT('Calc_Mix'!$D$19:$W$19,'Matriz_Habilidades'!$D55:$W55)=0,"",SUMPRODUCT('Calc_Mix'!$D$19:$W$19,'Matriz_Habilidades'!$D55:$W55)/'Calc_Mix'!$X$19+ROW()*0.000001))</f>
        <v/>
      </c>
      <c r="W55" s="34">
        <f>IF(OR($B55="",$C55&lt;&gt;"Ativo",$D55&lt;&gt;'Calc_Mix'!$C$20,'Calc_Mix'!$X$20=0,COUNTIFS(Esc_Turno,'Calc_Mix'!$C$20,Esc_Circ,$B55)+COUNTIFS(Esc_Turno,'Calc_Mix'!$C$20,Esc_Instr,$B55)&gt;0),"",IF(SUMPRODUCT('Calc_Mix'!$D$20:$W$20,'Matriz_Habilidades'!$D55:$W55)=0,"",SUMPRODUCT('Calc_Mix'!$D$20:$W$20,'Matriz_Habilidades'!$D55:$W55)/'Calc_Mix'!$X$20+ROW()*0.000001))</f>
        <v/>
      </c>
      <c r="X55" s="34">
        <f>IF(OR($B55="",$C55&lt;&gt;"Ativo",$D55&lt;&gt;'Calc_Mix'!$C$21,'Calc_Mix'!$X$21=0,COUNTIFS(Esc_Turno,'Calc_Mix'!$C$21,Esc_Circ,$B55)+COUNTIFS(Esc_Turno,'Calc_Mix'!$C$21,Esc_Instr,$B55)&gt;0),"",IF(SUMPRODUCT('Calc_Mix'!$D$21:$W$21,'Matriz_Habilidades'!$D55:$W55)=0,"",SUMPRODUCT('Calc_Mix'!$D$21:$W$21,'Matriz_Habilidades'!$D55:$W55)/'Calc_Mix'!$X$21+ROW()*0.000001))</f>
        <v/>
      </c>
      <c r="Y55" s="34">
        <f>IF(OR($B55="",$C55&lt;&gt;"Ativo",$D55&lt;&gt;'Calc_Mix'!$C$22,'Calc_Mix'!$X$22=0,COUNTIFS(Esc_Turno,'Calc_Mix'!$C$22,Esc_Circ,$B55)+COUNTIFS(Esc_Turno,'Calc_Mix'!$C$22,Esc_Instr,$B55)&gt;0),"",IF(SUMPRODUCT('Calc_Mix'!$D$22:$W$22,'Matriz_Habilidades'!$D55:$W55)=0,"",SUMPRODUCT('Calc_Mix'!$D$22:$W$22,'Matriz_Habilidades'!$D55:$W55)/'Calc_Mix'!$X$22+ROW()*0.000001))</f>
        <v/>
      </c>
      <c r="Z55" s="34">
        <f>IF(OR($B55="",$C55&lt;&gt;"Ativo",$D55&lt;&gt;'Calc_Mix'!$C$23,'Calc_Mix'!$X$23=0,COUNTIFS(Esc_Turno,'Calc_Mix'!$C$23,Esc_Circ,$B55)+COUNTIFS(Esc_Turno,'Calc_Mix'!$C$23,Esc_Instr,$B55)&gt;0),"",IF(SUMPRODUCT('Calc_Mix'!$D$23:$W$23,'Matriz_Habilidades'!$D55:$W55)=0,"",SUMPRODUCT('Calc_Mix'!$D$23:$W$23,'Matriz_Habilidades'!$D55:$W55)/'Calc_Mix'!$X$23+ROW()*0.000001))</f>
        <v/>
      </c>
      <c r="AA55" s="34">
        <f>IF(OR($B55="",$C55&lt;&gt;"Ativo",$D55&lt;&gt;'Calc_Mix'!$C$24,'Calc_Mix'!$X$24=0,COUNTIFS(Esc_Turno,'Calc_Mix'!$C$24,Esc_Circ,$B55)+COUNTIFS(Esc_Turno,'Calc_Mix'!$C$24,Esc_Instr,$B55)&gt;0),"",IF(SUMPRODUCT('Calc_Mix'!$D$24:$W$24,'Matriz_Habilidades'!$D55:$W55)=0,"",SUMPRODUCT('Calc_Mix'!$D$24:$W$24,'Matriz_Habilidades'!$D55:$W55)/'Calc_Mix'!$X$24+ROW()*0.000001))</f>
        <v/>
      </c>
      <c r="AB55" s="34">
        <f>IF(OR($B55="",$C55&lt;&gt;"Ativo",$D55&lt;&gt;'Calc_Mix'!$C$25,'Calc_Mix'!$X$25=0,COUNTIFS(Esc_Turno,'Calc_Mix'!$C$25,Esc_Circ,$B55)+COUNTIFS(Esc_Turno,'Calc_Mix'!$C$25,Esc_Instr,$B55)&gt;0),"",IF(SUMPRODUCT('Calc_Mix'!$D$25:$W$25,'Matriz_Habilidades'!$D55:$W55)=0,"",SUMPRODUCT('Calc_Mix'!$D$25:$W$25,'Matriz_Habilidades'!$D55:$W55)/'Calc_Mix'!$X$25+ROW()*0.000001))</f>
        <v/>
      </c>
      <c r="AC55" s="34">
        <f>IF(OR($B55="",$C55&lt;&gt;"Ativo",$D55&lt;&gt;'Calc_Mix'!$C$26,'Calc_Mix'!$X$26=0,COUNTIFS(Esc_Turno,'Calc_Mix'!$C$26,Esc_Circ,$B55)+COUNTIFS(Esc_Turno,'Calc_Mix'!$C$26,Esc_Instr,$B55)&gt;0),"",IF(SUMPRODUCT('Calc_Mix'!$D$26:$W$26,'Matriz_Habilidades'!$D55:$W55)=0,"",SUMPRODUCT('Calc_Mix'!$D$26:$W$26,'Matriz_Habilidades'!$D55:$W55)/'Calc_Mix'!$X$26+ROW()*0.000001))</f>
        <v/>
      </c>
      <c r="AD55" s="34">
        <f>IF(OR($B55="",$C55&lt;&gt;"Ativo",$D55&lt;&gt;'Calc_Mix'!$C$27,'Calc_Mix'!$X$27=0,COUNTIFS(Esc_Turno,'Calc_Mix'!$C$27,Esc_Circ,$B55)+COUNTIFS(Esc_Turno,'Calc_Mix'!$C$27,Esc_Instr,$B55)&gt;0),"",IF(SUMPRODUCT('Calc_Mix'!$D$27:$W$27,'Matriz_Habilidades'!$D55:$W55)=0,"",SUMPRODUCT('Calc_Mix'!$D$27:$W$27,'Matriz_Habilidades'!$D55:$W55)/'Calc_Mix'!$X$27+ROW()*0.000001))</f>
        <v/>
      </c>
      <c r="AE55" s="34">
        <f>IF(OR($B55="",$C55&lt;&gt;"Ativo",$D55&lt;&gt;'Calc_Mix'!$C$28,'Calc_Mix'!$X$28=0,COUNTIFS(Esc_Turno,'Calc_Mix'!$C$28,Esc_Circ,$B55)+COUNTIFS(Esc_Turno,'Calc_Mix'!$C$28,Esc_Instr,$B55)&gt;0),"",IF(SUMPRODUCT('Calc_Mix'!$D$28:$W$28,'Matriz_Habilidades'!$D55:$W55)=0,"",SUMPRODUCT('Calc_Mix'!$D$28:$W$28,'Matriz_Habilidades'!$D55:$W55)/'Calc_Mix'!$X$28+ROW()*0.000001))</f>
        <v/>
      </c>
      <c r="AF55" s="34">
        <f>IF(OR($B55="",$C55&lt;&gt;"Ativo",$D55&lt;&gt;'Calc_Mix'!$C$29,'Calc_Mix'!$X$29=0,COUNTIFS(Esc_Turno,'Calc_Mix'!$C$29,Esc_Circ,$B55)+COUNTIFS(Esc_Turno,'Calc_Mix'!$C$29,Esc_Instr,$B55)&gt;0),"",IF(SUMPRODUCT('Calc_Mix'!$D$29:$W$29,'Matriz_Habilidades'!$D55:$W55)=0,"",SUMPRODUCT('Calc_Mix'!$D$29:$W$29,'Matriz_Habilidades'!$D55:$W55)/'Calc_Mix'!$X$29+ROW()*0.000001))</f>
        <v/>
      </c>
      <c r="AG55" s="34">
        <f>IF(OR($B55="",$C55&lt;&gt;"Ativo",$D55&lt;&gt;'Calc_Mix'!$C$30,'Calc_Mix'!$X$30=0,COUNTIFS(Esc_Turno,'Calc_Mix'!$C$30,Esc_Circ,$B55)+COUNTIFS(Esc_Turno,'Calc_Mix'!$C$30,Esc_Instr,$B55)&gt;0),"",IF(SUMPRODUCT('Calc_Mix'!$D$30:$W$30,'Matriz_Habilidades'!$D55:$W55)=0,"",SUMPRODUCT('Calc_Mix'!$D$30:$W$30,'Matriz_Habilidades'!$D55:$W55)/'Calc_Mix'!$X$30+ROW()*0.000001))</f>
        <v/>
      </c>
      <c r="AH55" s="34">
        <f>IF(OR($B55="",$C55&lt;&gt;"Ativo",$D55&lt;&gt;'Calc_Mix'!$C$31,'Calc_Mix'!$X$31=0,COUNTIFS(Esc_Turno,'Calc_Mix'!$C$31,Esc_Circ,$B55)+COUNTIFS(Esc_Turno,'Calc_Mix'!$C$31,Esc_Instr,$B55)&gt;0),"",IF(SUMPRODUCT('Calc_Mix'!$D$31:$W$31,'Matriz_Habilidades'!$D55:$W55)=0,"",SUMPRODUCT('Calc_Mix'!$D$31:$W$31,'Matriz_Habilidades'!$D55:$W55)/'Calc_Mix'!$X$31+ROW()*0.000001))</f>
        <v/>
      </c>
      <c r="AI55" s="34">
        <f>IF(OR($B55="",$C55&lt;&gt;"Ativo",$D55&lt;&gt;'Calc_Mix'!$C$32,'Calc_Mix'!$X$32=0,COUNTIFS(Esc_Turno,'Calc_Mix'!$C$32,Esc_Circ,$B55)+COUNTIFS(Esc_Turno,'Calc_Mix'!$C$32,Esc_Instr,$B55)&gt;0),"",IF(SUMPRODUCT('Calc_Mix'!$D$32:$W$32,'Matriz_Habilidades'!$D55:$W55)=0,"",SUMPRODUCT('Calc_Mix'!$D$32:$W$32,'Matriz_Habilidades'!$D55:$W55)/'Calc_Mix'!$X$32+ROW()*0.000001))</f>
        <v/>
      </c>
      <c r="AJ55" s="34">
        <f>IF(OR($B55="",$C55&lt;&gt;"Ativo",$D55&lt;&gt;'Calc_Mix'!$C$33,'Calc_Mix'!$X$33=0,COUNTIFS(Esc_Turno,'Calc_Mix'!$C$33,Esc_Circ,$B55)+COUNTIFS(Esc_Turno,'Calc_Mix'!$C$33,Esc_Instr,$B55)&gt;0),"",IF(SUMPRODUCT('Calc_Mix'!$D$33:$W$33,'Matriz_Habilidades'!$D55:$W55)=0,"",SUMPRODUCT('Calc_Mix'!$D$33:$W$33,'Matriz_Habilidades'!$D55:$W55)/'Calc_Mix'!$X$33+ROW()*0.000001))</f>
        <v/>
      </c>
      <c r="AK55" s="34">
        <f>IF(OR($B55="",$C55&lt;&gt;"Ativo",$D55&lt;&gt;'Calc_Mix'!$C$34,'Calc_Mix'!$X$34=0,COUNTIFS(Esc_Turno,'Calc_Mix'!$C$34,Esc_Circ,$B55)+COUNTIFS(Esc_Turno,'Calc_Mix'!$C$34,Esc_Instr,$B55)&gt;0),"",IF(SUMPRODUCT('Calc_Mix'!$D$34:$W$34,'Matriz_Habilidades'!$D55:$W55)=0,"",SUMPRODUCT('Calc_Mix'!$D$34:$W$34,'Matriz_Habilidades'!$D55:$W55)/'Calc_Mix'!$X$34+ROW()*0.000001))</f>
        <v/>
      </c>
      <c r="AL55" s="34">
        <f>IF(OR($B55="",$C55&lt;&gt;"Ativo",$D55&lt;&gt;'Calc_Mix'!$C$35,'Calc_Mix'!$X$35=0,COUNTIFS(Esc_Turno,'Calc_Mix'!$C$35,Esc_Circ,$B55)+COUNTIFS(Esc_Turno,'Calc_Mix'!$C$35,Esc_Instr,$B55)&gt;0),"",IF(SUMPRODUCT('Calc_Mix'!$D$35:$W$35,'Matriz_Habilidades'!$D55:$W55)=0,"",SUMPRODUCT('Calc_Mix'!$D$35:$W$35,'Matriz_Habilidades'!$D55:$W55)/'Calc_Mix'!$X$35+ROW()*0.000001))</f>
        <v/>
      </c>
      <c r="AM55" s="34">
        <f>IF(OR($B55="",$C55&lt;&gt;"Ativo",$D55&lt;&gt;'Calc_Mix'!$C$36,'Calc_Mix'!$X$36=0,COUNTIFS(Esc_Turno,'Calc_Mix'!$C$36,Esc_Circ,$B55)+COUNTIFS(Esc_Turno,'Calc_Mix'!$C$36,Esc_Instr,$B55)&gt;0),"",IF(SUMPRODUCT('Calc_Mix'!$D$36:$W$36,'Matriz_Habilidades'!$D55:$W55)=0,"",SUMPRODUCT('Calc_Mix'!$D$36:$W$36,'Matriz_Habilidades'!$D55:$W55)/'Calc_Mix'!$X$36+ROW()*0.000001))</f>
        <v/>
      </c>
      <c r="AN55" s="34">
        <f>IF(OR($B55="",$C55&lt;&gt;"Ativo",$D55&lt;&gt;'Calc_Mix'!$C$37,'Calc_Mix'!$X$37=0,COUNTIFS(Esc_Turno,'Calc_Mix'!$C$37,Esc_Circ,$B55)+COUNTIFS(Esc_Turno,'Calc_Mix'!$C$37,Esc_Instr,$B55)&gt;0),"",IF(SUMPRODUCT('Calc_Mix'!$D$37:$W$37,'Matriz_Habilidades'!$D55:$W55)=0,"",SUMPRODUCT('Calc_Mix'!$D$37:$W$37,'Matriz_Habilidades'!$D55:$W55)/'Calc_Mix'!$X$37+ROW()*0.000001))</f>
        <v/>
      </c>
    </row>
    <row r="56">
      <c r="A56" s="27">
        <f>IF('Matriz_Habilidades'!A56="","",'Matriz_Habilidades'!A56)</f>
        <v/>
      </c>
      <c r="B56" s="28">
        <f>IF('Matriz_Habilidades'!B56="","",'Matriz_Habilidades'!B56)</f>
        <v/>
      </c>
      <c r="C56" s="27">
        <f>IF($A56="","",IFERROR(INDEX(Equipe_Status,MATCH($B56,Equipe_Nome,0)),"?"))</f>
        <v/>
      </c>
      <c r="D56" s="27">
        <f>IF($A56="","",IFERROR(INDEX(Equipe_Turno,MATCH($B56,Equipe_Nome,0)),"?"))</f>
        <v/>
      </c>
      <c r="E56" s="34">
        <f>IF(OR($B56="",$C56&lt;&gt;"Ativo",$D56&lt;&gt;'Calc_Mix'!$C$2,'Calc_Mix'!$X$2=0,COUNTIFS(Esc_Turno,'Calc_Mix'!$C$2,Esc_Circ,$B56)+COUNTIFS(Esc_Turno,'Calc_Mix'!$C$2,Esc_Instr,$B56)&gt;0),"",IF(SUMPRODUCT('Calc_Mix'!$D$2:$W$2,'Matriz_Habilidades'!$D56:$W56)=0,"",SUMPRODUCT('Calc_Mix'!$D$2:$W$2,'Matriz_Habilidades'!$D56:$W56)/'Calc_Mix'!$X$2+ROW()*0.000001))</f>
        <v/>
      </c>
      <c r="F56" s="34">
        <f>IF(OR($B56="",$C56&lt;&gt;"Ativo",$D56&lt;&gt;'Calc_Mix'!$C$3,'Calc_Mix'!$X$3=0,COUNTIFS(Esc_Turno,'Calc_Mix'!$C$3,Esc_Circ,$B56)+COUNTIFS(Esc_Turno,'Calc_Mix'!$C$3,Esc_Instr,$B56)&gt;0),"",IF(SUMPRODUCT('Calc_Mix'!$D$3:$W$3,'Matriz_Habilidades'!$D56:$W56)=0,"",SUMPRODUCT('Calc_Mix'!$D$3:$W$3,'Matriz_Habilidades'!$D56:$W56)/'Calc_Mix'!$X$3+ROW()*0.000001))</f>
        <v/>
      </c>
      <c r="G56" s="34">
        <f>IF(OR($B56="",$C56&lt;&gt;"Ativo",$D56&lt;&gt;'Calc_Mix'!$C$4,'Calc_Mix'!$X$4=0,COUNTIFS(Esc_Turno,'Calc_Mix'!$C$4,Esc_Circ,$B56)+COUNTIFS(Esc_Turno,'Calc_Mix'!$C$4,Esc_Instr,$B56)&gt;0),"",IF(SUMPRODUCT('Calc_Mix'!$D$4:$W$4,'Matriz_Habilidades'!$D56:$W56)=0,"",SUMPRODUCT('Calc_Mix'!$D$4:$W$4,'Matriz_Habilidades'!$D56:$W56)/'Calc_Mix'!$X$4+ROW()*0.000001))</f>
        <v/>
      </c>
      <c r="H56" s="34">
        <f>IF(OR($B56="",$C56&lt;&gt;"Ativo",$D56&lt;&gt;'Calc_Mix'!$C$5,'Calc_Mix'!$X$5=0,COUNTIFS(Esc_Turno,'Calc_Mix'!$C$5,Esc_Circ,$B56)+COUNTIFS(Esc_Turno,'Calc_Mix'!$C$5,Esc_Instr,$B56)&gt;0),"",IF(SUMPRODUCT('Calc_Mix'!$D$5:$W$5,'Matriz_Habilidades'!$D56:$W56)=0,"",SUMPRODUCT('Calc_Mix'!$D$5:$W$5,'Matriz_Habilidades'!$D56:$W56)/'Calc_Mix'!$X$5+ROW()*0.000001))</f>
        <v/>
      </c>
      <c r="I56" s="34">
        <f>IF(OR($B56="",$C56&lt;&gt;"Ativo",$D56&lt;&gt;'Calc_Mix'!$C$6,'Calc_Mix'!$X$6=0,COUNTIFS(Esc_Turno,'Calc_Mix'!$C$6,Esc_Circ,$B56)+COUNTIFS(Esc_Turno,'Calc_Mix'!$C$6,Esc_Instr,$B56)&gt;0),"",IF(SUMPRODUCT('Calc_Mix'!$D$6:$W$6,'Matriz_Habilidades'!$D56:$W56)=0,"",SUMPRODUCT('Calc_Mix'!$D$6:$W$6,'Matriz_Habilidades'!$D56:$W56)/'Calc_Mix'!$X$6+ROW()*0.000001))</f>
        <v/>
      </c>
      <c r="J56" s="34">
        <f>IF(OR($B56="",$C56&lt;&gt;"Ativo",$D56&lt;&gt;'Calc_Mix'!$C$7,'Calc_Mix'!$X$7=0,COUNTIFS(Esc_Turno,'Calc_Mix'!$C$7,Esc_Circ,$B56)+COUNTIFS(Esc_Turno,'Calc_Mix'!$C$7,Esc_Instr,$B56)&gt;0),"",IF(SUMPRODUCT('Calc_Mix'!$D$7:$W$7,'Matriz_Habilidades'!$D56:$W56)=0,"",SUMPRODUCT('Calc_Mix'!$D$7:$W$7,'Matriz_Habilidades'!$D56:$W56)/'Calc_Mix'!$X$7+ROW()*0.000001))</f>
        <v/>
      </c>
      <c r="K56" s="34">
        <f>IF(OR($B56="",$C56&lt;&gt;"Ativo",$D56&lt;&gt;'Calc_Mix'!$C$8,'Calc_Mix'!$X$8=0,COUNTIFS(Esc_Turno,'Calc_Mix'!$C$8,Esc_Circ,$B56)+COUNTIFS(Esc_Turno,'Calc_Mix'!$C$8,Esc_Instr,$B56)&gt;0),"",IF(SUMPRODUCT('Calc_Mix'!$D$8:$W$8,'Matriz_Habilidades'!$D56:$W56)=0,"",SUMPRODUCT('Calc_Mix'!$D$8:$W$8,'Matriz_Habilidades'!$D56:$W56)/'Calc_Mix'!$X$8+ROW()*0.000001))</f>
        <v/>
      </c>
      <c r="L56" s="34">
        <f>IF(OR($B56="",$C56&lt;&gt;"Ativo",$D56&lt;&gt;'Calc_Mix'!$C$9,'Calc_Mix'!$X$9=0,COUNTIFS(Esc_Turno,'Calc_Mix'!$C$9,Esc_Circ,$B56)+COUNTIFS(Esc_Turno,'Calc_Mix'!$C$9,Esc_Instr,$B56)&gt;0),"",IF(SUMPRODUCT('Calc_Mix'!$D$9:$W$9,'Matriz_Habilidades'!$D56:$W56)=0,"",SUMPRODUCT('Calc_Mix'!$D$9:$W$9,'Matriz_Habilidades'!$D56:$W56)/'Calc_Mix'!$X$9+ROW()*0.000001))</f>
        <v/>
      </c>
      <c r="M56" s="34">
        <f>IF(OR($B56="",$C56&lt;&gt;"Ativo",$D56&lt;&gt;'Calc_Mix'!$C$10,'Calc_Mix'!$X$10=0,COUNTIFS(Esc_Turno,'Calc_Mix'!$C$10,Esc_Circ,$B56)+COUNTIFS(Esc_Turno,'Calc_Mix'!$C$10,Esc_Instr,$B56)&gt;0),"",IF(SUMPRODUCT('Calc_Mix'!$D$10:$W$10,'Matriz_Habilidades'!$D56:$W56)=0,"",SUMPRODUCT('Calc_Mix'!$D$10:$W$10,'Matriz_Habilidades'!$D56:$W56)/'Calc_Mix'!$X$10+ROW()*0.000001))</f>
        <v/>
      </c>
      <c r="N56" s="34">
        <f>IF(OR($B56="",$C56&lt;&gt;"Ativo",$D56&lt;&gt;'Calc_Mix'!$C$11,'Calc_Mix'!$X$11=0,COUNTIFS(Esc_Turno,'Calc_Mix'!$C$11,Esc_Circ,$B56)+COUNTIFS(Esc_Turno,'Calc_Mix'!$C$11,Esc_Instr,$B56)&gt;0),"",IF(SUMPRODUCT('Calc_Mix'!$D$11:$W$11,'Matriz_Habilidades'!$D56:$W56)=0,"",SUMPRODUCT('Calc_Mix'!$D$11:$W$11,'Matriz_Habilidades'!$D56:$W56)/'Calc_Mix'!$X$11+ROW()*0.000001))</f>
        <v/>
      </c>
      <c r="O56" s="34">
        <f>IF(OR($B56="",$C56&lt;&gt;"Ativo",$D56&lt;&gt;'Calc_Mix'!$C$12,'Calc_Mix'!$X$12=0,COUNTIFS(Esc_Turno,'Calc_Mix'!$C$12,Esc_Circ,$B56)+COUNTIFS(Esc_Turno,'Calc_Mix'!$C$12,Esc_Instr,$B56)&gt;0),"",IF(SUMPRODUCT('Calc_Mix'!$D$12:$W$12,'Matriz_Habilidades'!$D56:$W56)=0,"",SUMPRODUCT('Calc_Mix'!$D$12:$W$12,'Matriz_Habilidades'!$D56:$W56)/'Calc_Mix'!$X$12+ROW()*0.000001))</f>
        <v/>
      </c>
      <c r="P56" s="34">
        <f>IF(OR($B56="",$C56&lt;&gt;"Ativo",$D56&lt;&gt;'Calc_Mix'!$C$13,'Calc_Mix'!$X$13=0,COUNTIFS(Esc_Turno,'Calc_Mix'!$C$13,Esc_Circ,$B56)+COUNTIFS(Esc_Turno,'Calc_Mix'!$C$13,Esc_Instr,$B56)&gt;0),"",IF(SUMPRODUCT('Calc_Mix'!$D$13:$W$13,'Matriz_Habilidades'!$D56:$W56)=0,"",SUMPRODUCT('Calc_Mix'!$D$13:$W$13,'Matriz_Habilidades'!$D56:$W56)/'Calc_Mix'!$X$13+ROW()*0.000001))</f>
        <v/>
      </c>
      <c r="Q56" s="34">
        <f>IF(OR($B56="",$C56&lt;&gt;"Ativo",$D56&lt;&gt;'Calc_Mix'!$C$14,'Calc_Mix'!$X$14=0,COUNTIFS(Esc_Turno,'Calc_Mix'!$C$14,Esc_Circ,$B56)+COUNTIFS(Esc_Turno,'Calc_Mix'!$C$14,Esc_Instr,$B56)&gt;0),"",IF(SUMPRODUCT('Calc_Mix'!$D$14:$W$14,'Matriz_Habilidades'!$D56:$W56)=0,"",SUMPRODUCT('Calc_Mix'!$D$14:$W$14,'Matriz_Habilidades'!$D56:$W56)/'Calc_Mix'!$X$14+ROW()*0.000001))</f>
        <v/>
      </c>
      <c r="R56" s="34">
        <f>IF(OR($B56="",$C56&lt;&gt;"Ativo",$D56&lt;&gt;'Calc_Mix'!$C$15,'Calc_Mix'!$X$15=0,COUNTIFS(Esc_Turno,'Calc_Mix'!$C$15,Esc_Circ,$B56)+COUNTIFS(Esc_Turno,'Calc_Mix'!$C$15,Esc_Instr,$B56)&gt;0),"",IF(SUMPRODUCT('Calc_Mix'!$D$15:$W$15,'Matriz_Habilidades'!$D56:$W56)=0,"",SUMPRODUCT('Calc_Mix'!$D$15:$W$15,'Matriz_Habilidades'!$D56:$W56)/'Calc_Mix'!$X$15+ROW()*0.000001))</f>
        <v/>
      </c>
      <c r="S56" s="34">
        <f>IF(OR($B56="",$C56&lt;&gt;"Ativo",$D56&lt;&gt;'Calc_Mix'!$C$16,'Calc_Mix'!$X$16=0,COUNTIFS(Esc_Turno,'Calc_Mix'!$C$16,Esc_Circ,$B56)+COUNTIFS(Esc_Turno,'Calc_Mix'!$C$16,Esc_Instr,$B56)&gt;0),"",IF(SUMPRODUCT('Calc_Mix'!$D$16:$W$16,'Matriz_Habilidades'!$D56:$W56)=0,"",SUMPRODUCT('Calc_Mix'!$D$16:$W$16,'Matriz_Habilidades'!$D56:$W56)/'Calc_Mix'!$X$16+ROW()*0.000001))</f>
        <v/>
      </c>
      <c r="T56" s="34">
        <f>IF(OR($B56="",$C56&lt;&gt;"Ativo",$D56&lt;&gt;'Calc_Mix'!$C$17,'Calc_Mix'!$X$17=0,COUNTIFS(Esc_Turno,'Calc_Mix'!$C$17,Esc_Circ,$B56)+COUNTIFS(Esc_Turno,'Calc_Mix'!$C$17,Esc_Instr,$B56)&gt;0),"",IF(SUMPRODUCT('Calc_Mix'!$D$17:$W$17,'Matriz_Habilidades'!$D56:$W56)=0,"",SUMPRODUCT('Calc_Mix'!$D$17:$W$17,'Matriz_Habilidades'!$D56:$W56)/'Calc_Mix'!$X$17+ROW()*0.000001))</f>
        <v/>
      </c>
      <c r="U56" s="34">
        <f>IF(OR($B56="",$C56&lt;&gt;"Ativo",$D56&lt;&gt;'Calc_Mix'!$C$18,'Calc_Mix'!$X$18=0,COUNTIFS(Esc_Turno,'Calc_Mix'!$C$18,Esc_Circ,$B56)+COUNTIFS(Esc_Turno,'Calc_Mix'!$C$18,Esc_Instr,$B56)&gt;0),"",IF(SUMPRODUCT('Calc_Mix'!$D$18:$W$18,'Matriz_Habilidades'!$D56:$W56)=0,"",SUMPRODUCT('Calc_Mix'!$D$18:$W$18,'Matriz_Habilidades'!$D56:$W56)/'Calc_Mix'!$X$18+ROW()*0.000001))</f>
        <v/>
      </c>
      <c r="V56" s="34">
        <f>IF(OR($B56="",$C56&lt;&gt;"Ativo",$D56&lt;&gt;'Calc_Mix'!$C$19,'Calc_Mix'!$X$19=0,COUNTIFS(Esc_Turno,'Calc_Mix'!$C$19,Esc_Circ,$B56)+COUNTIFS(Esc_Turno,'Calc_Mix'!$C$19,Esc_Instr,$B56)&gt;0),"",IF(SUMPRODUCT('Calc_Mix'!$D$19:$W$19,'Matriz_Habilidades'!$D56:$W56)=0,"",SUMPRODUCT('Calc_Mix'!$D$19:$W$19,'Matriz_Habilidades'!$D56:$W56)/'Calc_Mix'!$X$19+ROW()*0.000001))</f>
        <v/>
      </c>
      <c r="W56" s="34">
        <f>IF(OR($B56="",$C56&lt;&gt;"Ativo",$D56&lt;&gt;'Calc_Mix'!$C$20,'Calc_Mix'!$X$20=0,COUNTIFS(Esc_Turno,'Calc_Mix'!$C$20,Esc_Circ,$B56)+COUNTIFS(Esc_Turno,'Calc_Mix'!$C$20,Esc_Instr,$B56)&gt;0),"",IF(SUMPRODUCT('Calc_Mix'!$D$20:$W$20,'Matriz_Habilidades'!$D56:$W56)=0,"",SUMPRODUCT('Calc_Mix'!$D$20:$W$20,'Matriz_Habilidades'!$D56:$W56)/'Calc_Mix'!$X$20+ROW()*0.000001))</f>
        <v/>
      </c>
      <c r="X56" s="34">
        <f>IF(OR($B56="",$C56&lt;&gt;"Ativo",$D56&lt;&gt;'Calc_Mix'!$C$21,'Calc_Mix'!$X$21=0,COUNTIFS(Esc_Turno,'Calc_Mix'!$C$21,Esc_Circ,$B56)+COUNTIFS(Esc_Turno,'Calc_Mix'!$C$21,Esc_Instr,$B56)&gt;0),"",IF(SUMPRODUCT('Calc_Mix'!$D$21:$W$21,'Matriz_Habilidades'!$D56:$W56)=0,"",SUMPRODUCT('Calc_Mix'!$D$21:$W$21,'Matriz_Habilidades'!$D56:$W56)/'Calc_Mix'!$X$21+ROW()*0.000001))</f>
        <v/>
      </c>
      <c r="Y56" s="34">
        <f>IF(OR($B56="",$C56&lt;&gt;"Ativo",$D56&lt;&gt;'Calc_Mix'!$C$22,'Calc_Mix'!$X$22=0,COUNTIFS(Esc_Turno,'Calc_Mix'!$C$22,Esc_Circ,$B56)+COUNTIFS(Esc_Turno,'Calc_Mix'!$C$22,Esc_Instr,$B56)&gt;0),"",IF(SUMPRODUCT('Calc_Mix'!$D$22:$W$22,'Matriz_Habilidades'!$D56:$W56)=0,"",SUMPRODUCT('Calc_Mix'!$D$22:$W$22,'Matriz_Habilidades'!$D56:$W56)/'Calc_Mix'!$X$22+ROW()*0.000001))</f>
        <v/>
      </c>
      <c r="Z56" s="34">
        <f>IF(OR($B56="",$C56&lt;&gt;"Ativo",$D56&lt;&gt;'Calc_Mix'!$C$23,'Calc_Mix'!$X$23=0,COUNTIFS(Esc_Turno,'Calc_Mix'!$C$23,Esc_Circ,$B56)+COUNTIFS(Esc_Turno,'Calc_Mix'!$C$23,Esc_Instr,$B56)&gt;0),"",IF(SUMPRODUCT('Calc_Mix'!$D$23:$W$23,'Matriz_Habilidades'!$D56:$W56)=0,"",SUMPRODUCT('Calc_Mix'!$D$23:$W$23,'Matriz_Habilidades'!$D56:$W56)/'Calc_Mix'!$X$23+ROW()*0.000001))</f>
        <v/>
      </c>
      <c r="AA56" s="34">
        <f>IF(OR($B56="",$C56&lt;&gt;"Ativo",$D56&lt;&gt;'Calc_Mix'!$C$24,'Calc_Mix'!$X$24=0,COUNTIFS(Esc_Turno,'Calc_Mix'!$C$24,Esc_Circ,$B56)+COUNTIFS(Esc_Turno,'Calc_Mix'!$C$24,Esc_Instr,$B56)&gt;0),"",IF(SUMPRODUCT('Calc_Mix'!$D$24:$W$24,'Matriz_Habilidades'!$D56:$W56)=0,"",SUMPRODUCT('Calc_Mix'!$D$24:$W$24,'Matriz_Habilidades'!$D56:$W56)/'Calc_Mix'!$X$24+ROW()*0.000001))</f>
        <v/>
      </c>
      <c r="AB56" s="34">
        <f>IF(OR($B56="",$C56&lt;&gt;"Ativo",$D56&lt;&gt;'Calc_Mix'!$C$25,'Calc_Mix'!$X$25=0,COUNTIFS(Esc_Turno,'Calc_Mix'!$C$25,Esc_Circ,$B56)+COUNTIFS(Esc_Turno,'Calc_Mix'!$C$25,Esc_Instr,$B56)&gt;0),"",IF(SUMPRODUCT('Calc_Mix'!$D$25:$W$25,'Matriz_Habilidades'!$D56:$W56)=0,"",SUMPRODUCT('Calc_Mix'!$D$25:$W$25,'Matriz_Habilidades'!$D56:$W56)/'Calc_Mix'!$X$25+ROW()*0.000001))</f>
        <v/>
      </c>
      <c r="AC56" s="34">
        <f>IF(OR($B56="",$C56&lt;&gt;"Ativo",$D56&lt;&gt;'Calc_Mix'!$C$26,'Calc_Mix'!$X$26=0,COUNTIFS(Esc_Turno,'Calc_Mix'!$C$26,Esc_Circ,$B56)+COUNTIFS(Esc_Turno,'Calc_Mix'!$C$26,Esc_Instr,$B56)&gt;0),"",IF(SUMPRODUCT('Calc_Mix'!$D$26:$W$26,'Matriz_Habilidades'!$D56:$W56)=0,"",SUMPRODUCT('Calc_Mix'!$D$26:$W$26,'Matriz_Habilidades'!$D56:$W56)/'Calc_Mix'!$X$26+ROW()*0.000001))</f>
        <v/>
      </c>
      <c r="AD56" s="34">
        <f>IF(OR($B56="",$C56&lt;&gt;"Ativo",$D56&lt;&gt;'Calc_Mix'!$C$27,'Calc_Mix'!$X$27=0,COUNTIFS(Esc_Turno,'Calc_Mix'!$C$27,Esc_Circ,$B56)+COUNTIFS(Esc_Turno,'Calc_Mix'!$C$27,Esc_Instr,$B56)&gt;0),"",IF(SUMPRODUCT('Calc_Mix'!$D$27:$W$27,'Matriz_Habilidades'!$D56:$W56)=0,"",SUMPRODUCT('Calc_Mix'!$D$27:$W$27,'Matriz_Habilidades'!$D56:$W56)/'Calc_Mix'!$X$27+ROW()*0.000001))</f>
        <v/>
      </c>
      <c r="AE56" s="34">
        <f>IF(OR($B56="",$C56&lt;&gt;"Ativo",$D56&lt;&gt;'Calc_Mix'!$C$28,'Calc_Mix'!$X$28=0,COUNTIFS(Esc_Turno,'Calc_Mix'!$C$28,Esc_Circ,$B56)+COUNTIFS(Esc_Turno,'Calc_Mix'!$C$28,Esc_Instr,$B56)&gt;0),"",IF(SUMPRODUCT('Calc_Mix'!$D$28:$W$28,'Matriz_Habilidades'!$D56:$W56)=0,"",SUMPRODUCT('Calc_Mix'!$D$28:$W$28,'Matriz_Habilidades'!$D56:$W56)/'Calc_Mix'!$X$28+ROW()*0.000001))</f>
        <v/>
      </c>
      <c r="AF56" s="34">
        <f>IF(OR($B56="",$C56&lt;&gt;"Ativo",$D56&lt;&gt;'Calc_Mix'!$C$29,'Calc_Mix'!$X$29=0,COUNTIFS(Esc_Turno,'Calc_Mix'!$C$29,Esc_Circ,$B56)+COUNTIFS(Esc_Turno,'Calc_Mix'!$C$29,Esc_Instr,$B56)&gt;0),"",IF(SUMPRODUCT('Calc_Mix'!$D$29:$W$29,'Matriz_Habilidades'!$D56:$W56)=0,"",SUMPRODUCT('Calc_Mix'!$D$29:$W$29,'Matriz_Habilidades'!$D56:$W56)/'Calc_Mix'!$X$29+ROW()*0.000001))</f>
        <v/>
      </c>
      <c r="AG56" s="34">
        <f>IF(OR($B56="",$C56&lt;&gt;"Ativo",$D56&lt;&gt;'Calc_Mix'!$C$30,'Calc_Mix'!$X$30=0,COUNTIFS(Esc_Turno,'Calc_Mix'!$C$30,Esc_Circ,$B56)+COUNTIFS(Esc_Turno,'Calc_Mix'!$C$30,Esc_Instr,$B56)&gt;0),"",IF(SUMPRODUCT('Calc_Mix'!$D$30:$W$30,'Matriz_Habilidades'!$D56:$W56)=0,"",SUMPRODUCT('Calc_Mix'!$D$30:$W$30,'Matriz_Habilidades'!$D56:$W56)/'Calc_Mix'!$X$30+ROW()*0.000001))</f>
        <v/>
      </c>
      <c r="AH56" s="34">
        <f>IF(OR($B56="",$C56&lt;&gt;"Ativo",$D56&lt;&gt;'Calc_Mix'!$C$31,'Calc_Mix'!$X$31=0,COUNTIFS(Esc_Turno,'Calc_Mix'!$C$31,Esc_Circ,$B56)+COUNTIFS(Esc_Turno,'Calc_Mix'!$C$31,Esc_Instr,$B56)&gt;0),"",IF(SUMPRODUCT('Calc_Mix'!$D$31:$W$31,'Matriz_Habilidades'!$D56:$W56)=0,"",SUMPRODUCT('Calc_Mix'!$D$31:$W$31,'Matriz_Habilidades'!$D56:$W56)/'Calc_Mix'!$X$31+ROW()*0.000001))</f>
        <v/>
      </c>
      <c r="AI56" s="34">
        <f>IF(OR($B56="",$C56&lt;&gt;"Ativo",$D56&lt;&gt;'Calc_Mix'!$C$32,'Calc_Mix'!$X$32=0,COUNTIFS(Esc_Turno,'Calc_Mix'!$C$32,Esc_Circ,$B56)+COUNTIFS(Esc_Turno,'Calc_Mix'!$C$32,Esc_Instr,$B56)&gt;0),"",IF(SUMPRODUCT('Calc_Mix'!$D$32:$W$32,'Matriz_Habilidades'!$D56:$W56)=0,"",SUMPRODUCT('Calc_Mix'!$D$32:$W$32,'Matriz_Habilidades'!$D56:$W56)/'Calc_Mix'!$X$32+ROW()*0.000001))</f>
        <v/>
      </c>
      <c r="AJ56" s="34">
        <f>IF(OR($B56="",$C56&lt;&gt;"Ativo",$D56&lt;&gt;'Calc_Mix'!$C$33,'Calc_Mix'!$X$33=0,COUNTIFS(Esc_Turno,'Calc_Mix'!$C$33,Esc_Circ,$B56)+COUNTIFS(Esc_Turno,'Calc_Mix'!$C$33,Esc_Instr,$B56)&gt;0),"",IF(SUMPRODUCT('Calc_Mix'!$D$33:$W$33,'Matriz_Habilidades'!$D56:$W56)=0,"",SUMPRODUCT('Calc_Mix'!$D$33:$W$33,'Matriz_Habilidades'!$D56:$W56)/'Calc_Mix'!$X$33+ROW()*0.000001))</f>
        <v/>
      </c>
      <c r="AK56" s="34">
        <f>IF(OR($B56="",$C56&lt;&gt;"Ativo",$D56&lt;&gt;'Calc_Mix'!$C$34,'Calc_Mix'!$X$34=0,COUNTIFS(Esc_Turno,'Calc_Mix'!$C$34,Esc_Circ,$B56)+COUNTIFS(Esc_Turno,'Calc_Mix'!$C$34,Esc_Instr,$B56)&gt;0),"",IF(SUMPRODUCT('Calc_Mix'!$D$34:$W$34,'Matriz_Habilidades'!$D56:$W56)=0,"",SUMPRODUCT('Calc_Mix'!$D$34:$W$34,'Matriz_Habilidades'!$D56:$W56)/'Calc_Mix'!$X$34+ROW()*0.000001))</f>
        <v/>
      </c>
      <c r="AL56" s="34">
        <f>IF(OR($B56="",$C56&lt;&gt;"Ativo",$D56&lt;&gt;'Calc_Mix'!$C$35,'Calc_Mix'!$X$35=0,COUNTIFS(Esc_Turno,'Calc_Mix'!$C$35,Esc_Circ,$B56)+COUNTIFS(Esc_Turno,'Calc_Mix'!$C$35,Esc_Instr,$B56)&gt;0),"",IF(SUMPRODUCT('Calc_Mix'!$D$35:$W$35,'Matriz_Habilidades'!$D56:$W56)=0,"",SUMPRODUCT('Calc_Mix'!$D$35:$W$35,'Matriz_Habilidades'!$D56:$W56)/'Calc_Mix'!$X$35+ROW()*0.000001))</f>
        <v/>
      </c>
      <c r="AM56" s="34">
        <f>IF(OR($B56="",$C56&lt;&gt;"Ativo",$D56&lt;&gt;'Calc_Mix'!$C$36,'Calc_Mix'!$X$36=0,COUNTIFS(Esc_Turno,'Calc_Mix'!$C$36,Esc_Circ,$B56)+COUNTIFS(Esc_Turno,'Calc_Mix'!$C$36,Esc_Instr,$B56)&gt;0),"",IF(SUMPRODUCT('Calc_Mix'!$D$36:$W$36,'Matriz_Habilidades'!$D56:$W56)=0,"",SUMPRODUCT('Calc_Mix'!$D$36:$W$36,'Matriz_Habilidades'!$D56:$W56)/'Calc_Mix'!$X$36+ROW()*0.000001))</f>
        <v/>
      </c>
      <c r="AN56" s="34">
        <f>IF(OR($B56="",$C56&lt;&gt;"Ativo",$D56&lt;&gt;'Calc_Mix'!$C$37,'Calc_Mix'!$X$37=0,COUNTIFS(Esc_Turno,'Calc_Mix'!$C$37,Esc_Circ,$B56)+COUNTIFS(Esc_Turno,'Calc_Mix'!$C$37,Esc_Instr,$B56)&gt;0),"",IF(SUMPRODUCT('Calc_Mix'!$D$37:$W$37,'Matriz_Habilidades'!$D56:$W56)=0,"",SUMPRODUCT('Calc_Mix'!$D$37:$W$37,'Matriz_Habilidades'!$D56:$W56)/'Calc_Mix'!$X$37+ROW()*0.000001))</f>
        <v/>
      </c>
    </row>
    <row r="57">
      <c r="A57" s="27">
        <f>IF('Matriz_Habilidades'!A57="","",'Matriz_Habilidades'!A57)</f>
        <v/>
      </c>
      <c r="B57" s="28">
        <f>IF('Matriz_Habilidades'!B57="","",'Matriz_Habilidades'!B57)</f>
        <v/>
      </c>
      <c r="C57" s="27">
        <f>IF($A57="","",IFERROR(INDEX(Equipe_Status,MATCH($B57,Equipe_Nome,0)),"?"))</f>
        <v/>
      </c>
      <c r="D57" s="27">
        <f>IF($A57="","",IFERROR(INDEX(Equipe_Turno,MATCH($B57,Equipe_Nome,0)),"?"))</f>
        <v/>
      </c>
      <c r="E57" s="34">
        <f>IF(OR($B57="",$C57&lt;&gt;"Ativo",$D57&lt;&gt;'Calc_Mix'!$C$2,'Calc_Mix'!$X$2=0,COUNTIFS(Esc_Turno,'Calc_Mix'!$C$2,Esc_Circ,$B57)+COUNTIFS(Esc_Turno,'Calc_Mix'!$C$2,Esc_Instr,$B57)&gt;0),"",IF(SUMPRODUCT('Calc_Mix'!$D$2:$W$2,'Matriz_Habilidades'!$D57:$W57)=0,"",SUMPRODUCT('Calc_Mix'!$D$2:$W$2,'Matriz_Habilidades'!$D57:$W57)/'Calc_Mix'!$X$2+ROW()*0.000001))</f>
        <v/>
      </c>
      <c r="F57" s="34">
        <f>IF(OR($B57="",$C57&lt;&gt;"Ativo",$D57&lt;&gt;'Calc_Mix'!$C$3,'Calc_Mix'!$X$3=0,COUNTIFS(Esc_Turno,'Calc_Mix'!$C$3,Esc_Circ,$B57)+COUNTIFS(Esc_Turno,'Calc_Mix'!$C$3,Esc_Instr,$B57)&gt;0),"",IF(SUMPRODUCT('Calc_Mix'!$D$3:$W$3,'Matriz_Habilidades'!$D57:$W57)=0,"",SUMPRODUCT('Calc_Mix'!$D$3:$W$3,'Matriz_Habilidades'!$D57:$W57)/'Calc_Mix'!$X$3+ROW()*0.000001))</f>
        <v/>
      </c>
      <c r="G57" s="34">
        <f>IF(OR($B57="",$C57&lt;&gt;"Ativo",$D57&lt;&gt;'Calc_Mix'!$C$4,'Calc_Mix'!$X$4=0,COUNTIFS(Esc_Turno,'Calc_Mix'!$C$4,Esc_Circ,$B57)+COUNTIFS(Esc_Turno,'Calc_Mix'!$C$4,Esc_Instr,$B57)&gt;0),"",IF(SUMPRODUCT('Calc_Mix'!$D$4:$W$4,'Matriz_Habilidades'!$D57:$W57)=0,"",SUMPRODUCT('Calc_Mix'!$D$4:$W$4,'Matriz_Habilidades'!$D57:$W57)/'Calc_Mix'!$X$4+ROW()*0.000001))</f>
        <v/>
      </c>
      <c r="H57" s="34">
        <f>IF(OR($B57="",$C57&lt;&gt;"Ativo",$D57&lt;&gt;'Calc_Mix'!$C$5,'Calc_Mix'!$X$5=0,COUNTIFS(Esc_Turno,'Calc_Mix'!$C$5,Esc_Circ,$B57)+COUNTIFS(Esc_Turno,'Calc_Mix'!$C$5,Esc_Instr,$B57)&gt;0),"",IF(SUMPRODUCT('Calc_Mix'!$D$5:$W$5,'Matriz_Habilidades'!$D57:$W57)=0,"",SUMPRODUCT('Calc_Mix'!$D$5:$W$5,'Matriz_Habilidades'!$D57:$W57)/'Calc_Mix'!$X$5+ROW()*0.000001))</f>
        <v/>
      </c>
      <c r="I57" s="34">
        <f>IF(OR($B57="",$C57&lt;&gt;"Ativo",$D57&lt;&gt;'Calc_Mix'!$C$6,'Calc_Mix'!$X$6=0,COUNTIFS(Esc_Turno,'Calc_Mix'!$C$6,Esc_Circ,$B57)+COUNTIFS(Esc_Turno,'Calc_Mix'!$C$6,Esc_Instr,$B57)&gt;0),"",IF(SUMPRODUCT('Calc_Mix'!$D$6:$W$6,'Matriz_Habilidades'!$D57:$W57)=0,"",SUMPRODUCT('Calc_Mix'!$D$6:$W$6,'Matriz_Habilidades'!$D57:$W57)/'Calc_Mix'!$X$6+ROW()*0.000001))</f>
        <v/>
      </c>
      <c r="J57" s="34">
        <f>IF(OR($B57="",$C57&lt;&gt;"Ativo",$D57&lt;&gt;'Calc_Mix'!$C$7,'Calc_Mix'!$X$7=0,COUNTIFS(Esc_Turno,'Calc_Mix'!$C$7,Esc_Circ,$B57)+COUNTIFS(Esc_Turno,'Calc_Mix'!$C$7,Esc_Instr,$B57)&gt;0),"",IF(SUMPRODUCT('Calc_Mix'!$D$7:$W$7,'Matriz_Habilidades'!$D57:$W57)=0,"",SUMPRODUCT('Calc_Mix'!$D$7:$W$7,'Matriz_Habilidades'!$D57:$W57)/'Calc_Mix'!$X$7+ROW()*0.000001))</f>
        <v/>
      </c>
      <c r="K57" s="34">
        <f>IF(OR($B57="",$C57&lt;&gt;"Ativo",$D57&lt;&gt;'Calc_Mix'!$C$8,'Calc_Mix'!$X$8=0,COUNTIFS(Esc_Turno,'Calc_Mix'!$C$8,Esc_Circ,$B57)+COUNTIFS(Esc_Turno,'Calc_Mix'!$C$8,Esc_Instr,$B57)&gt;0),"",IF(SUMPRODUCT('Calc_Mix'!$D$8:$W$8,'Matriz_Habilidades'!$D57:$W57)=0,"",SUMPRODUCT('Calc_Mix'!$D$8:$W$8,'Matriz_Habilidades'!$D57:$W57)/'Calc_Mix'!$X$8+ROW()*0.000001))</f>
        <v/>
      </c>
      <c r="L57" s="34">
        <f>IF(OR($B57="",$C57&lt;&gt;"Ativo",$D57&lt;&gt;'Calc_Mix'!$C$9,'Calc_Mix'!$X$9=0,COUNTIFS(Esc_Turno,'Calc_Mix'!$C$9,Esc_Circ,$B57)+COUNTIFS(Esc_Turno,'Calc_Mix'!$C$9,Esc_Instr,$B57)&gt;0),"",IF(SUMPRODUCT('Calc_Mix'!$D$9:$W$9,'Matriz_Habilidades'!$D57:$W57)=0,"",SUMPRODUCT('Calc_Mix'!$D$9:$W$9,'Matriz_Habilidades'!$D57:$W57)/'Calc_Mix'!$X$9+ROW()*0.000001))</f>
        <v/>
      </c>
      <c r="M57" s="34">
        <f>IF(OR($B57="",$C57&lt;&gt;"Ativo",$D57&lt;&gt;'Calc_Mix'!$C$10,'Calc_Mix'!$X$10=0,COUNTIFS(Esc_Turno,'Calc_Mix'!$C$10,Esc_Circ,$B57)+COUNTIFS(Esc_Turno,'Calc_Mix'!$C$10,Esc_Instr,$B57)&gt;0),"",IF(SUMPRODUCT('Calc_Mix'!$D$10:$W$10,'Matriz_Habilidades'!$D57:$W57)=0,"",SUMPRODUCT('Calc_Mix'!$D$10:$W$10,'Matriz_Habilidades'!$D57:$W57)/'Calc_Mix'!$X$10+ROW()*0.000001))</f>
        <v/>
      </c>
      <c r="N57" s="34">
        <f>IF(OR($B57="",$C57&lt;&gt;"Ativo",$D57&lt;&gt;'Calc_Mix'!$C$11,'Calc_Mix'!$X$11=0,COUNTIFS(Esc_Turno,'Calc_Mix'!$C$11,Esc_Circ,$B57)+COUNTIFS(Esc_Turno,'Calc_Mix'!$C$11,Esc_Instr,$B57)&gt;0),"",IF(SUMPRODUCT('Calc_Mix'!$D$11:$W$11,'Matriz_Habilidades'!$D57:$W57)=0,"",SUMPRODUCT('Calc_Mix'!$D$11:$W$11,'Matriz_Habilidades'!$D57:$W57)/'Calc_Mix'!$X$11+ROW()*0.000001))</f>
        <v/>
      </c>
      <c r="O57" s="34">
        <f>IF(OR($B57="",$C57&lt;&gt;"Ativo",$D57&lt;&gt;'Calc_Mix'!$C$12,'Calc_Mix'!$X$12=0,COUNTIFS(Esc_Turno,'Calc_Mix'!$C$12,Esc_Circ,$B57)+COUNTIFS(Esc_Turno,'Calc_Mix'!$C$12,Esc_Instr,$B57)&gt;0),"",IF(SUMPRODUCT('Calc_Mix'!$D$12:$W$12,'Matriz_Habilidades'!$D57:$W57)=0,"",SUMPRODUCT('Calc_Mix'!$D$12:$W$12,'Matriz_Habilidades'!$D57:$W57)/'Calc_Mix'!$X$12+ROW()*0.000001))</f>
        <v/>
      </c>
      <c r="P57" s="34">
        <f>IF(OR($B57="",$C57&lt;&gt;"Ativo",$D57&lt;&gt;'Calc_Mix'!$C$13,'Calc_Mix'!$X$13=0,COUNTIFS(Esc_Turno,'Calc_Mix'!$C$13,Esc_Circ,$B57)+COUNTIFS(Esc_Turno,'Calc_Mix'!$C$13,Esc_Instr,$B57)&gt;0),"",IF(SUMPRODUCT('Calc_Mix'!$D$13:$W$13,'Matriz_Habilidades'!$D57:$W57)=0,"",SUMPRODUCT('Calc_Mix'!$D$13:$W$13,'Matriz_Habilidades'!$D57:$W57)/'Calc_Mix'!$X$13+ROW()*0.000001))</f>
        <v/>
      </c>
      <c r="Q57" s="34">
        <f>IF(OR($B57="",$C57&lt;&gt;"Ativo",$D57&lt;&gt;'Calc_Mix'!$C$14,'Calc_Mix'!$X$14=0,COUNTIFS(Esc_Turno,'Calc_Mix'!$C$14,Esc_Circ,$B57)+COUNTIFS(Esc_Turno,'Calc_Mix'!$C$14,Esc_Instr,$B57)&gt;0),"",IF(SUMPRODUCT('Calc_Mix'!$D$14:$W$14,'Matriz_Habilidades'!$D57:$W57)=0,"",SUMPRODUCT('Calc_Mix'!$D$14:$W$14,'Matriz_Habilidades'!$D57:$W57)/'Calc_Mix'!$X$14+ROW()*0.000001))</f>
        <v/>
      </c>
      <c r="R57" s="34">
        <f>IF(OR($B57="",$C57&lt;&gt;"Ativo",$D57&lt;&gt;'Calc_Mix'!$C$15,'Calc_Mix'!$X$15=0,COUNTIFS(Esc_Turno,'Calc_Mix'!$C$15,Esc_Circ,$B57)+COUNTIFS(Esc_Turno,'Calc_Mix'!$C$15,Esc_Instr,$B57)&gt;0),"",IF(SUMPRODUCT('Calc_Mix'!$D$15:$W$15,'Matriz_Habilidades'!$D57:$W57)=0,"",SUMPRODUCT('Calc_Mix'!$D$15:$W$15,'Matriz_Habilidades'!$D57:$W57)/'Calc_Mix'!$X$15+ROW()*0.000001))</f>
        <v/>
      </c>
      <c r="S57" s="34">
        <f>IF(OR($B57="",$C57&lt;&gt;"Ativo",$D57&lt;&gt;'Calc_Mix'!$C$16,'Calc_Mix'!$X$16=0,COUNTIFS(Esc_Turno,'Calc_Mix'!$C$16,Esc_Circ,$B57)+COUNTIFS(Esc_Turno,'Calc_Mix'!$C$16,Esc_Instr,$B57)&gt;0),"",IF(SUMPRODUCT('Calc_Mix'!$D$16:$W$16,'Matriz_Habilidades'!$D57:$W57)=0,"",SUMPRODUCT('Calc_Mix'!$D$16:$W$16,'Matriz_Habilidades'!$D57:$W57)/'Calc_Mix'!$X$16+ROW()*0.000001))</f>
        <v/>
      </c>
      <c r="T57" s="34">
        <f>IF(OR($B57="",$C57&lt;&gt;"Ativo",$D57&lt;&gt;'Calc_Mix'!$C$17,'Calc_Mix'!$X$17=0,COUNTIFS(Esc_Turno,'Calc_Mix'!$C$17,Esc_Circ,$B57)+COUNTIFS(Esc_Turno,'Calc_Mix'!$C$17,Esc_Instr,$B57)&gt;0),"",IF(SUMPRODUCT('Calc_Mix'!$D$17:$W$17,'Matriz_Habilidades'!$D57:$W57)=0,"",SUMPRODUCT('Calc_Mix'!$D$17:$W$17,'Matriz_Habilidades'!$D57:$W57)/'Calc_Mix'!$X$17+ROW()*0.000001))</f>
        <v/>
      </c>
      <c r="U57" s="34">
        <f>IF(OR($B57="",$C57&lt;&gt;"Ativo",$D57&lt;&gt;'Calc_Mix'!$C$18,'Calc_Mix'!$X$18=0,COUNTIFS(Esc_Turno,'Calc_Mix'!$C$18,Esc_Circ,$B57)+COUNTIFS(Esc_Turno,'Calc_Mix'!$C$18,Esc_Instr,$B57)&gt;0),"",IF(SUMPRODUCT('Calc_Mix'!$D$18:$W$18,'Matriz_Habilidades'!$D57:$W57)=0,"",SUMPRODUCT('Calc_Mix'!$D$18:$W$18,'Matriz_Habilidades'!$D57:$W57)/'Calc_Mix'!$X$18+ROW()*0.000001))</f>
        <v/>
      </c>
      <c r="V57" s="34">
        <f>IF(OR($B57="",$C57&lt;&gt;"Ativo",$D57&lt;&gt;'Calc_Mix'!$C$19,'Calc_Mix'!$X$19=0,COUNTIFS(Esc_Turno,'Calc_Mix'!$C$19,Esc_Circ,$B57)+COUNTIFS(Esc_Turno,'Calc_Mix'!$C$19,Esc_Instr,$B57)&gt;0),"",IF(SUMPRODUCT('Calc_Mix'!$D$19:$W$19,'Matriz_Habilidades'!$D57:$W57)=0,"",SUMPRODUCT('Calc_Mix'!$D$19:$W$19,'Matriz_Habilidades'!$D57:$W57)/'Calc_Mix'!$X$19+ROW()*0.000001))</f>
        <v/>
      </c>
      <c r="W57" s="34">
        <f>IF(OR($B57="",$C57&lt;&gt;"Ativo",$D57&lt;&gt;'Calc_Mix'!$C$20,'Calc_Mix'!$X$20=0,COUNTIFS(Esc_Turno,'Calc_Mix'!$C$20,Esc_Circ,$B57)+COUNTIFS(Esc_Turno,'Calc_Mix'!$C$20,Esc_Instr,$B57)&gt;0),"",IF(SUMPRODUCT('Calc_Mix'!$D$20:$W$20,'Matriz_Habilidades'!$D57:$W57)=0,"",SUMPRODUCT('Calc_Mix'!$D$20:$W$20,'Matriz_Habilidades'!$D57:$W57)/'Calc_Mix'!$X$20+ROW()*0.000001))</f>
        <v/>
      </c>
      <c r="X57" s="34">
        <f>IF(OR($B57="",$C57&lt;&gt;"Ativo",$D57&lt;&gt;'Calc_Mix'!$C$21,'Calc_Mix'!$X$21=0,COUNTIFS(Esc_Turno,'Calc_Mix'!$C$21,Esc_Circ,$B57)+COUNTIFS(Esc_Turno,'Calc_Mix'!$C$21,Esc_Instr,$B57)&gt;0),"",IF(SUMPRODUCT('Calc_Mix'!$D$21:$W$21,'Matriz_Habilidades'!$D57:$W57)=0,"",SUMPRODUCT('Calc_Mix'!$D$21:$W$21,'Matriz_Habilidades'!$D57:$W57)/'Calc_Mix'!$X$21+ROW()*0.000001))</f>
        <v/>
      </c>
      <c r="Y57" s="34">
        <f>IF(OR($B57="",$C57&lt;&gt;"Ativo",$D57&lt;&gt;'Calc_Mix'!$C$22,'Calc_Mix'!$X$22=0,COUNTIFS(Esc_Turno,'Calc_Mix'!$C$22,Esc_Circ,$B57)+COUNTIFS(Esc_Turno,'Calc_Mix'!$C$22,Esc_Instr,$B57)&gt;0),"",IF(SUMPRODUCT('Calc_Mix'!$D$22:$W$22,'Matriz_Habilidades'!$D57:$W57)=0,"",SUMPRODUCT('Calc_Mix'!$D$22:$W$22,'Matriz_Habilidades'!$D57:$W57)/'Calc_Mix'!$X$22+ROW()*0.000001))</f>
        <v/>
      </c>
      <c r="Z57" s="34">
        <f>IF(OR($B57="",$C57&lt;&gt;"Ativo",$D57&lt;&gt;'Calc_Mix'!$C$23,'Calc_Mix'!$X$23=0,COUNTIFS(Esc_Turno,'Calc_Mix'!$C$23,Esc_Circ,$B57)+COUNTIFS(Esc_Turno,'Calc_Mix'!$C$23,Esc_Instr,$B57)&gt;0),"",IF(SUMPRODUCT('Calc_Mix'!$D$23:$W$23,'Matriz_Habilidades'!$D57:$W57)=0,"",SUMPRODUCT('Calc_Mix'!$D$23:$W$23,'Matriz_Habilidades'!$D57:$W57)/'Calc_Mix'!$X$23+ROW()*0.000001))</f>
        <v/>
      </c>
      <c r="AA57" s="34">
        <f>IF(OR($B57="",$C57&lt;&gt;"Ativo",$D57&lt;&gt;'Calc_Mix'!$C$24,'Calc_Mix'!$X$24=0,COUNTIFS(Esc_Turno,'Calc_Mix'!$C$24,Esc_Circ,$B57)+COUNTIFS(Esc_Turno,'Calc_Mix'!$C$24,Esc_Instr,$B57)&gt;0),"",IF(SUMPRODUCT('Calc_Mix'!$D$24:$W$24,'Matriz_Habilidades'!$D57:$W57)=0,"",SUMPRODUCT('Calc_Mix'!$D$24:$W$24,'Matriz_Habilidades'!$D57:$W57)/'Calc_Mix'!$X$24+ROW()*0.000001))</f>
        <v/>
      </c>
      <c r="AB57" s="34">
        <f>IF(OR($B57="",$C57&lt;&gt;"Ativo",$D57&lt;&gt;'Calc_Mix'!$C$25,'Calc_Mix'!$X$25=0,COUNTIFS(Esc_Turno,'Calc_Mix'!$C$25,Esc_Circ,$B57)+COUNTIFS(Esc_Turno,'Calc_Mix'!$C$25,Esc_Instr,$B57)&gt;0),"",IF(SUMPRODUCT('Calc_Mix'!$D$25:$W$25,'Matriz_Habilidades'!$D57:$W57)=0,"",SUMPRODUCT('Calc_Mix'!$D$25:$W$25,'Matriz_Habilidades'!$D57:$W57)/'Calc_Mix'!$X$25+ROW()*0.000001))</f>
        <v/>
      </c>
      <c r="AC57" s="34">
        <f>IF(OR($B57="",$C57&lt;&gt;"Ativo",$D57&lt;&gt;'Calc_Mix'!$C$26,'Calc_Mix'!$X$26=0,COUNTIFS(Esc_Turno,'Calc_Mix'!$C$26,Esc_Circ,$B57)+COUNTIFS(Esc_Turno,'Calc_Mix'!$C$26,Esc_Instr,$B57)&gt;0),"",IF(SUMPRODUCT('Calc_Mix'!$D$26:$W$26,'Matriz_Habilidades'!$D57:$W57)=0,"",SUMPRODUCT('Calc_Mix'!$D$26:$W$26,'Matriz_Habilidades'!$D57:$W57)/'Calc_Mix'!$X$26+ROW()*0.000001))</f>
        <v/>
      </c>
      <c r="AD57" s="34">
        <f>IF(OR($B57="",$C57&lt;&gt;"Ativo",$D57&lt;&gt;'Calc_Mix'!$C$27,'Calc_Mix'!$X$27=0,COUNTIFS(Esc_Turno,'Calc_Mix'!$C$27,Esc_Circ,$B57)+COUNTIFS(Esc_Turno,'Calc_Mix'!$C$27,Esc_Instr,$B57)&gt;0),"",IF(SUMPRODUCT('Calc_Mix'!$D$27:$W$27,'Matriz_Habilidades'!$D57:$W57)=0,"",SUMPRODUCT('Calc_Mix'!$D$27:$W$27,'Matriz_Habilidades'!$D57:$W57)/'Calc_Mix'!$X$27+ROW()*0.000001))</f>
        <v/>
      </c>
      <c r="AE57" s="34">
        <f>IF(OR($B57="",$C57&lt;&gt;"Ativo",$D57&lt;&gt;'Calc_Mix'!$C$28,'Calc_Mix'!$X$28=0,COUNTIFS(Esc_Turno,'Calc_Mix'!$C$28,Esc_Circ,$B57)+COUNTIFS(Esc_Turno,'Calc_Mix'!$C$28,Esc_Instr,$B57)&gt;0),"",IF(SUMPRODUCT('Calc_Mix'!$D$28:$W$28,'Matriz_Habilidades'!$D57:$W57)=0,"",SUMPRODUCT('Calc_Mix'!$D$28:$W$28,'Matriz_Habilidades'!$D57:$W57)/'Calc_Mix'!$X$28+ROW()*0.000001))</f>
        <v/>
      </c>
      <c r="AF57" s="34">
        <f>IF(OR($B57="",$C57&lt;&gt;"Ativo",$D57&lt;&gt;'Calc_Mix'!$C$29,'Calc_Mix'!$X$29=0,COUNTIFS(Esc_Turno,'Calc_Mix'!$C$29,Esc_Circ,$B57)+COUNTIFS(Esc_Turno,'Calc_Mix'!$C$29,Esc_Instr,$B57)&gt;0),"",IF(SUMPRODUCT('Calc_Mix'!$D$29:$W$29,'Matriz_Habilidades'!$D57:$W57)=0,"",SUMPRODUCT('Calc_Mix'!$D$29:$W$29,'Matriz_Habilidades'!$D57:$W57)/'Calc_Mix'!$X$29+ROW()*0.000001))</f>
        <v/>
      </c>
      <c r="AG57" s="34">
        <f>IF(OR($B57="",$C57&lt;&gt;"Ativo",$D57&lt;&gt;'Calc_Mix'!$C$30,'Calc_Mix'!$X$30=0,COUNTIFS(Esc_Turno,'Calc_Mix'!$C$30,Esc_Circ,$B57)+COUNTIFS(Esc_Turno,'Calc_Mix'!$C$30,Esc_Instr,$B57)&gt;0),"",IF(SUMPRODUCT('Calc_Mix'!$D$30:$W$30,'Matriz_Habilidades'!$D57:$W57)=0,"",SUMPRODUCT('Calc_Mix'!$D$30:$W$30,'Matriz_Habilidades'!$D57:$W57)/'Calc_Mix'!$X$30+ROW()*0.000001))</f>
        <v/>
      </c>
      <c r="AH57" s="34">
        <f>IF(OR($B57="",$C57&lt;&gt;"Ativo",$D57&lt;&gt;'Calc_Mix'!$C$31,'Calc_Mix'!$X$31=0,COUNTIFS(Esc_Turno,'Calc_Mix'!$C$31,Esc_Circ,$B57)+COUNTIFS(Esc_Turno,'Calc_Mix'!$C$31,Esc_Instr,$B57)&gt;0),"",IF(SUMPRODUCT('Calc_Mix'!$D$31:$W$31,'Matriz_Habilidades'!$D57:$W57)=0,"",SUMPRODUCT('Calc_Mix'!$D$31:$W$31,'Matriz_Habilidades'!$D57:$W57)/'Calc_Mix'!$X$31+ROW()*0.000001))</f>
        <v/>
      </c>
      <c r="AI57" s="34">
        <f>IF(OR($B57="",$C57&lt;&gt;"Ativo",$D57&lt;&gt;'Calc_Mix'!$C$32,'Calc_Mix'!$X$32=0,COUNTIFS(Esc_Turno,'Calc_Mix'!$C$32,Esc_Circ,$B57)+COUNTIFS(Esc_Turno,'Calc_Mix'!$C$32,Esc_Instr,$B57)&gt;0),"",IF(SUMPRODUCT('Calc_Mix'!$D$32:$W$32,'Matriz_Habilidades'!$D57:$W57)=0,"",SUMPRODUCT('Calc_Mix'!$D$32:$W$32,'Matriz_Habilidades'!$D57:$W57)/'Calc_Mix'!$X$32+ROW()*0.000001))</f>
        <v/>
      </c>
      <c r="AJ57" s="34">
        <f>IF(OR($B57="",$C57&lt;&gt;"Ativo",$D57&lt;&gt;'Calc_Mix'!$C$33,'Calc_Mix'!$X$33=0,COUNTIFS(Esc_Turno,'Calc_Mix'!$C$33,Esc_Circ,$B57)+COUNTIFS(Esc_Turno,'Calc_Mix'!$C$33,Esc_Instr,$B57)&gt;0),"",IF(SUMPRODUCT('Calc_Mix'!$D$33:$W$33,'Matriz_Habilidades'!$D57:$W57)=0,"",SUMPRODUCT('Calc_Mix'!$D$33:$W$33,'Matriz_Habilidades'!$D57:$W57)/'Calc_Mix'!$X$33+ROW()*0.000001))</f>
        <v/>
      </c>
      <c r="AK57" s="34">
        <f>IF(OR($B57="",$C57&lt;&gt;"Ativo",$D57&lt;&gt;'Calc_Mix'!$C$34,'Calc_Mix'!$X$34=0,COUNTIFS(Esc_Turno,'Calc_Mix'!$C$34,Esc_Circ,$B57)+COUNTIFS(Esc_Turno,'Calc_Mix'!$C$34,Esc_Instr,$B57)&gt;0),"",IF(SUMPRODUCT('Calc_Mix'!$D$34:$W$34,'Matriz_Habilidades'!$D57:$W57)=0,"",SUMPRODUCT('Calc_Mix'!$D$34:$W$34,'Matriz_Habilidades'!$D57:$W57)/'Calc_Mix'!$X$34+ROW()*0.000001))</f>
        <v/>
      </c>
      <c r="AL57" s="34">
        <f>IF(OR($B57="",$C57&lt;&gt;"Ativo",$D57&lt;&gt;'Calc_Mix'!$C$35,'Calc_Mix'!$X$35=0,COUNTIFS(Esc_Turno,'Calc_Mix'!$C$35,Esc_Circ,$B57)+COUNTIFS(Esc_Turno,'Calc_Mix'!$C$35,Esc_Instr,$B57)&gt;0),"",IF(SUMPRODUCT('Calc_Mix'!$D$35:$W$35,'Matriz_Habilidades'!$D57:$W57)=0,"",SUMPRODUCT('Calc_Mix'!$D$35:$W$35,'Matriz_Habilidades'!$D57:$W57)/'Calc_Mix'!$X$35+ROW()*0.000001))</f>
        <v/>
      </c>
      <c r="AM57" s="34">
        <f>IF(OR($B57="",$C57&lt;&gt;"Ativo",$D57&lt;&gt;'Calc_Mix'!$C$36,'Calc_Mix'!$X$36=0,COUNTIFS(Esc_Turno,'Calc_Mix'!$C$36,Esc_Circ,$B57)+COUNTIFS(Esc_Turno,'Calc_Mix'!$C$36,Esc_Instr,$B57)&gt;0),"",IF(SUMPRODUCT('Calc_Mix'!$D$36:$W$36,'Matriz_Habilidades'!$D57:$W57)=0,"",SUMPRODUCT('Calc_Mix'!$D$36:$W$36,'Matriz_Habilidades'!$D57:$W57)/'Calc_Mix'!$X$36+ROW()*0.000001))</f>
        <v/>
      </c>
      <c r="AN57" s="34">
        <f>IF(OR($B57="",$C57&lt;&gt;"Ativo",$D57&lt;&gt;'Calc_Mix'!$C$37,'Calc_Mix'!$X$37=0,COUNTIFS(Esc_Turno,'Calc_Mix'!$C$37,Esc_Circ,$B57)+COUNTIFS(Esc_Turno,'Calc_Mix'!$C$37,Esc_Instr,$B57)&gt;0),"",IF(SUMPRODUCT('Calc_Mix'!$D$37:$W$37,'Matriz_Habilidades'!$D57:$W57)=0,"",SUMPRODUCT('Calc_Mix'!$D$37:$W$37,'Matriz_Habilidades'!$D57:$W57)/'Calc_Mix'!$X$37+ROW()*0.000001))</f>
        <v/>
      </c>
    </row>
    <row r="58">
      <c r="A58" s="27">
        <f>IF('Matriz_Habilidades'!A58="","",'Matriz_Habilidades'!A58)</f>
        <v/>
      </c>
      <c r="B58" s="28">
        <f>IF('Matriz_Habilidades'!B58="","",'Matriz_Habilidades'!B58)</f>
        <v/>
      </c>
      <c r="C58" s="27">
        <f>IF($A58="","",IFERROR(INDEX(Equipe_Status,MATCH($B58,Equipe_Nome,0)),"?"))</f>
        <v/>
      </c>
      <c r="D58" s="27">
        <f>IF($A58="","",IFERROR(INDEX(Equipe_Turno,MATCH($B58,Equipe_Nome,0)),"?"))</f>
        <v/>
      </c>
      <c r="E58" s="34">
        <f>IF(OR($B58="",$C58&lt;&gt;"Ativo",$D58&lt;&gt;'Calc_Mix'!$C$2,'Calc_Mix'!$X$2=0,COUNTIFS(Esc_Turno,'Calc_Mix'!$C$2,Esc_Circ,$B58)+COUNTIFS(Esc_Turno,'Calc_Mix'!$C$2,Esc_Instr,$B58)&gt;0),"",IF(SUMPRODUCT('Calc_Mix'!$D$2:$W$2,'Matriz_Habilidades'!$D58:$W58)=0,"",SUMPRODUCT('Calc_Mix'!$D$2:$W$2,'Matriz_Habilidades'!$D58:$W58)/'Calc_Mix'!$X$2+ROW()*0.000001))</f>
        <v/>
      </c>
      <c r="F58" s="34">
        <f>IF(OR($B58="",$C58&lt;&gt;"Ativo",$D58&lt;&gt;'Calc_Mix'!$C$3,'Calc_Mix'!$X$3=0,COUNTIFS(Esc_Turno,'Calc_Mix'!$C$3,Esc_Circ,$B58)+COUNTIFS(Esc_Turno,'Calc_Mix'!$C$3,Esc_Instr,$B58)&gt;0),"",IF(SUMPRODUCT('Calc_Mix'!$D$3:$W$3,'Matriz_Habilidades'!$D58:$W58)=0,"",SUMPRODUCT('Calc_Mix'!$D$3:$W$3,'Matriz_Habilidades'!$D58:$W58)/'Calc_Mix'!$X$3+ROW()*0.000001))</f>
        <v/>
      </c>
      <c r="G58" s="34">
        <f>IF(OR($B58="",$C58&lt;&gt;"Ativo",$D58&lt;&gt;'Calc_Mix'!$C$4,'Calc_Mix'!$X$4=0,COUNTIFS(Esc_Turno,'Calc_Mix'!$C$4,Esc_Circ,$B58)+COUNTIFS(Esc_Turno,'Calc_Mix'!$C$4,Esc_Instr,$B58)&gt;0),"",IF(SUMPRODUCT('Calc_Mix'!$D$4:$W$4,'Matriz_Habilidades'!$D58:$W58)=0,"",SUMPRODUCT('Calc_Mix'!$D$4:$W$4,'Matriz_Habilidades'!$D58:$W58)/'Calc_Mix'!$X$4+ROW()*0.000001))</f>
        <v/>
      </c>
      <c r="H58" s="34">
        <f>IF(OR($B58="",$C58&lt;&gt;"Ativo",$D58&lt;&gt;'Calc_Mix'!$C$5,'Calc_Mix'!$X$5=0,COUNTIFS(Esc_Turno,'Calc_Mix'!$C$5,Esc_Circ,$B58)+COUNTIFS(Esc_Turno,'Calc_Mix'!$C$5,Esc_Instr,$B58)&gt;0),"",IF(SUMPRODUCT('Calc_Mix'!$D$5:$W$5,'Matriz_Habilidades'!$D58:$W58)=0,"",SUMPRODUCT('Calc_Mix'!$D$5:$W$5,'Matriz_Habilidades'!$D58:$W58)/'Calc_Mix'!$X$5+ROW()*0.000001))</f>
        <v/>
      </c>
      <c r="I58" s="34">
        <f>IF(OR($B58="",$C58&lt;&gt;"Ativo",$D58&lt;&gt;'Calc_Mix'!$C$6,'Calc_Mix'!$X$6=0,COUNTIFS(Esc_Turno,'Calc_Mix'!$C$6,Esc_Circ,$B58)+COUNTIFS(Esc_Turno,'Calc_Mix'!$C$6,Esc_Instr,$B58)&gt;0),"",IF(SUMPRODUCT('Calc_Mix'!$D$6:$W$6,'Matriz_Habilidades'!$D58:$W58)=0,"",SUMPRODUCT('Calc_Mix'!$D$6:$W$6,'Matriz_Habilidades'!$D58:$W58)/'Calc_Mix'!$X$6+ROW()*0.000001))</f>
        <v/>
      </c>
      <c r="J58" s="34">
        <f>IF(OR($B58="",$C58&lt;&gt;"Ativo",$D58&lt;&gt;'Calc_Mix'!$C$7,'Calc_Mix'!$X$7=0,COUNTIFS(Esc_Turno,'Calc_Mix'!$C$7,Esc_Circ,$B58)+COUNTIFS(Esc_Turno,'Calc_Mix'!$C$7,Esc_Instr,$B58)&gt;0),"",IF(SUMPRODUCT('Calc_Mix'!$D$7:$W$7,'Matriz_Habilidades'!$D58:$W58)=0,"",SUMPRODUCT('Calc_Mix'!$D$7:$W$7,'Matriz_Habilidades'!$D58:$W58)/'Calc_Mix'!$X$7+ROW()*0.000001))</f>
        <v/>
      </c>
      <c r="K58" s="34">
        <f>IF(OR($B58="",$C58&lt;&gt;"Ativo",$D58&lt;&gt;'Calc_Mix'!$C$8,'Calc_Mix'!$X$8=0,COUNTIFS(Esc_Turno,'Calc_Mix'!$C$8,Esc_Circ,$B58)+COUNTIFS(Esc_Turno,'Calc_Mix'!$C$8,Esc_Instr,$B58)&gt;0),"",IF(SUMPRODUCT('Calc_Mix'!$D$8:$W$8,'Matriz_Habilidades'!$D58:$W58)=0,"",SUMPRODUCT('Calc_Mix'!$D$8:$W$8,'Matriz_Habilidades'!$D58:$W58)/'Calc_Mix'!$X$8+ROW()*0.000001))</f>
        <v/>
      </c>
      <c r="L58" s="34">
        <f>IF(OR($B58="",$C58&lt;&gt;"Ativo",$D58&lt;&gt;'Calc_Mix'!$C$9,'Calc_Mix'!$X$9=0,COUNTIFS(Esc_Turno,'Calc_Mix'!$C$9,Esc_Circ,$B58)+COUNTIFS(Esc_Turno,'Calc_Mix'!$C$9,Esc_Instr,$B58)&gt;0),"",IF(SUMPRODUCT('Calc_Mix'!$D$9:$W$9,'Matriz_Habilidades'!$D58:$W58)=0,"",SUMPRODUCT('Calc_Mix'!$D$9:$W$9,'Matriz_Habilidades'!$D58:$W58)/'Calc_Mix'!$X$9+ROW()*0.000001))</f>
        <v/>
      </c>
      <c r="M58" s="34">
        <f>IF(OR($B58="",$C58&lt;&gt;"Ativo",$D58&lt;&gt;'Calc_Mix'!$C$10,'Calc_Mix'!$X$10=0,COUNTIFS(Esc_Turno,'Calc_Mix'!$C$10,Esc_Circ,$B58)+COUNTIFS(Esc_Turno,'Calc_Mix'!$C$10,Esc_Instr,$B58)&gt;0),"",IF(SUMPRODUCT('Calc_Mix'!$D$10:$W$10,'Matriz_Habilidades'!$D58:$W58)=0,"",SUMPRODUCT('Calc_Mix'!$D$10:$W$10,'Matriz_Habilidades'!$D58:$W58)/'Calc_Mix'!$X$10+ROW()*0.000001))</f>
        <v/>
      </c>
      <c r="N58" s="34">
        <f>IF(OR($B58="",$C58&lt;&gt;"Ativo",$D58&lt;&gt;'Calc_Mix'!$C$11,'Calc_Mix'!$X$11=0,COUNTIFS(Esc_Turno,'Calc_Mix'!$C$11,Esc_Circ,$B58)+COUNTIFS(Esc_Turno,'Calc_Mix'!$C$11,Esc_Instr,$B58)&gt;0),"",IF(SUMPRODUCT('Calc_Mix'!$D$11:$W$11,'Matriz_Habilidades'!$D58:$W58)=0,"",SUMPRODUCT('Calc_Mix'!$D$11:$W$11,'Matriz_Habilidades'!$D58:$W58)/'Calc_Mix'!$X$11+ROW()*0.000001))</f>
        <v/>
      </c>
      <c r="O58" s="34">
        <f>IF(OR($B58="",$C58&lt;&gt;"Ativo",$D58&lt;&gt;'Calc_Mix'!$C$12,'Calc_Mix'!$X$12=0,COUNTIFS(Esc_Turno,'Calc_Mix'!$C$12,Esc_Circ,$B58)+COUNTIFS(Esc_Turno,'Calc_Mix'!$C$12,Esc_Instr,$B58)&gt;0),"",IF(SUMPRODUCT('Calc_Mix'!$D$12:$W$12,'Matriz_Habilidades'!$D58:$W58)=0,"",SUMPRODUCT('Calc_Mix'!$D$12:$W$12,'Matriz_Habilidades'!$D58:$W58)/'Calc_Mix'!$X$12+ROW()*0.000001))</f>
        <v/>
      </c>
      <c r="P58" s="34">
        <f>IF(OR($B58="",$C58&lt;&gt;"Ativo",$D58&lt;&gt;'Calc_Mix'!$C$13,'Calc_Mix'!$X$13=0,COUNTIFS(Esc_Turno,'Calc_Mix'!$C$13,Esc_Circ,$B58)+COUNTIFS(Esc_Turno,'Calc_Mix'!$C$13,Esc_Instr,$B58)&gt;0),"",IF(SUMPRODUCT('Calc_Mix'!$D$13:$W$13,'Matriz_Habilidades'!$D58:$W58)=0,"",SUMPRODUCT('Calc_Mix'!$D$13:$W$13,'Matriz_Habilidades'!$D58:$W58)/'Calc_Mix'!$X$13+ROW()*0.000001))</f>
        <v/>
      </c>
      <c r="Q58" s="34">
        <f>IF(OR($B58="",$C58&lt;&gt;"Ativo",$D58&lt;&gt;'Calc_Mix'!$C$14,'Calc_Mix'!$X$14=0,COUNTIFS(Esc_Turno,'Calc_Mix'!$C$14,Esc_Circ,$B58)+COUNTIFS(Esc_Turno,'Calc_Mix'!$C$14,Esc_Instr,$B58)&gt;0),"",IF(SUMPRODUCT('Calc_Mix'!$D$14:$W$14,'Matriz_Habilidades'!$D58:$W58)=0,"",SUMPRODUCT('Calc_Mix'!$D$14:$W$14,'Matriz_Habilidades'!$D58:$W58)/'Calc_Mix'!$X$14+ROW()*0.000001))</f>
        <v/>
      </c>
      <c r="R58" s="34">
        <f>IF(OR($B58="",$C58&lt;&gt;"Ativo",$D58&lt;&gt;'Calc_Mix'!$C$15,'Calc_Mix'!$X$15=0,COUNTIFS(Esc_Turno,'Calc_Mix'!$C$15,Esc_Circ,$B58)+COUNTIFS(Esc_Turno,'Calc_Mix'!$C$15,Esc_Instr,$B58)&gt;0),"",IF(SUMPRODUCT('Calc_Mix'!$D$15:$W$15,'Matriz_Habilidades'!$D58:$W58)=0,"",SUMPRODUCT('Calc_Mix'!$D$15:$W$15,'Matriz_Habilidades'!$D58:$W58)/'Calc_Mix'!$X$15+ROW()*0.000001))</f>
        <v/>
      </c>
      <c r="S58" s="34">
        <f>IF(OR($B58="",$C58&lt;&gt;"Ativo",$D58&lt;&gt;'Calc_Mix'!$C$16,'Calc_Mix'!$X$16=0,COUNTIFS(Esc_Turno,'Calc_Mix'!$C$16,Esc_Circ,$B58)+COUNTIFS(Esc_Turno,'Calc_Mix'!$C$16,Esc_Instr,$B58)&gt;0),"",IF(SUMPRODUCT('Calc_Mix'!$D$16:$W$16,'Matriz_Habilidades'!$D58:$W58)=0,"",SUMPRODUCT('Calc_Mix'!$D$16:$W$16,'Matriz_Habilidades'!$D58:$W58)/'Calc_Mix'!$X$16+ROW()*0.000001))</f>
        <v/>
      </c>
      <c r="T58" s="34">
        <f>IF(OR($B58="",$C58&lt;&gt;"Ativo",$D58&lt;&gt;'Calc_Mix'!$C$17,'Calc_Mix'!$X$17=0,COUNTIFS(Esc_Turno,'Calc_Mix'!$C$17,Esc_Circ,$B58)+COUNTIFS(Esc_Turno,'Calc_Mix'!$C$17,Esc_Instr,$B58)&gt;0),"",IF(SUMPRODUCT('Calc_Mix'!$D$17:$W$17,'Matriz_Habilidades'!$D58:$W58)=0,"",SUMPRODUCT('Calc_Mix'!$D$17:$W$17,'Matriz_Habilidades'!$D58:$W58)/'Calc_Mix'!$X$17+ROW()*0.000001))</f>
        <v/>
      </c>
      <c r="U58" s="34">
        <f>IF(OR($B58="",$C58&lt;&gt;"Ativo",$D58&lt;&gt;'Calc_Mix'!$C$18,'Calc_Mix'!$X$18=0,COUNTIFS(Esc_Turno,'Calc_Mix'!$C$18,Esc_Circ,$B58)+COUNTIFS(Esc_Turno,'Calc_Mix'!$C$18,Esc_Instr,$B58)&gt;0),"",IF(SUMPRODUCT('Calc_Mix'!$D$18:$W$18,'Matriz_Habilidades'!$D58:$W58)=0,"",SUMPRODUCT('Calc_Mix'!$D$18:$W$18,'Matriz_Habilidades'!$D58:$W58)/'Calc_Mix'!$X$18+ROW()*0.000001))</f>
        <v/>
      </c>
      <c r="V58" s="34">
        <f>IF(OR($B58="",$C58&lt;&gt;"Ativo",$D58&lt;&gt;'Calc_Mix'!$C$19,'Calc_Mix'!$X$19=0,COUNTIFS(Esc_Turno,'Calc_Mix'!$C$19,Esc_Circ,$B58)+COUNTIFS(Esc_Turno,'Calc_Mix'!$C$19,Esc_Instr,$B58)&gt;0),"",IF(SUMPRODUCT('Calc_Mix'!$D$19:$W$19,'Matriz_Habilidades'!$D58:$W58)=0,"",SUMPRODUCT('Calc_Mix'!$D$19:$W$19,'Matriz_Habilidades'!$D58:$W58)/'Calc_Mix'!$X$19+ROW()*0.000001))</f>
        <v/>
      </c>
      <c r="W58" s="34">
        <f>IF(OR($B58="",$C58&lt;&gt;"Ativo",$D58&lt;&gt;'Calc_Mix'!$C$20,'Calc_Mix'!$X$20=0,COUNTIFS(Esc_Turno,'Calc_Mix'!$C$20,Esc_Circ,$B58)+COUNTIFS(Esc_Turno,'Calc_Mix'!$C$20,Esc_Instr,$B58)&gt;0),"",IF(SUMPRODUCT('Calc_Mix'!$D$20:$W$20,'Matriz_Habilidades'!$D58:$W58)=0,"",SUMPRODUCT('Calc_Mix'!$D$20:$W$20,'Matriz_Habilidades'!$D58:$W58)/'Calc_Mix'!$X$20+ROW()*0.000001))</f>
        <v/>
      </c>
      <c r="X58" s="34">
        <f>IF(OR($B58="",$C58&lt;&gt;"Ativo",$D58&lt;&gt;'Calc_Mix'!$C$21,'Calc_Mix'!$X$21=0,COUNTIFS(Esc_Turno,'Calc_Mix'!$C$21,Esc_Circ,$B58)+COUNTIFS(Esc_Turno,'Calc_Mix'!$C$21,Esc_Instr,$B58)&gt;0),"",IF(SUMPRODUCT('Calc_Mix'!$D$21:$W$21,'Matriz_Habilidades'!$D58:$W58)=0,"",SUMPRODUCT('Calc_Mix'!$D$21:$W$21,'Matriz_Habilidades'!$D58:$W58)/'Calc_Mix'!$X$21+ROW()*0.000001))</f>
        <v/>
      </c>
      <c r="Y58" s="34">
        <f>IF(OR($B58="",$C58&lt;&gt;"Ativo",$D58&lt;&gt;'Calc_Mix'!$C$22,'Calc_Mix'!$X$22=0,COUNTIFS(Esc_Turno,'Calc_Mix'!$C$22,Esc_Circ,$B58)+COUNTIFS(Esc_Turno,'Calc_Mix'!$C$22,Esc_Instr,$B58)&gt;0),"",IF(SUMPRODUCT('Calc_Mix'!$D$22:$W$22,'Matriz_Habilidades'!$D58:$W58)=0,"",SUMPRODUCT('Calc_Mix'!$D$22:$W$22,'Matriz_Habilidades'!$D58:$W58)/'Calc_Mix'!$X$22+ROW()*0.000001))</f>
        <v/>
      </c>
      <c r="Z58" s="34">
        <f>IF(OR($B58="",$C58&lt;&gt;"Ativo",$D58&lt;&gt;'Calc_Mix'!$C$23,'Calc_Mix'!$X$23=0,COUNTIFS(Esc_Turno,'Calc_Mix'!$C$23,Esc_Circ,$B58)+COUNTIFS(Esc_Turno,'Calc_Mix'!$C$23,Esc_Instr,$B58)&gt;0),"",IF(SUMPRODUCT('Calc_Mix'!$D$23:$W$23,'Matriz_Habilidades'!$D58:$W58)=0,"",SUMPRODUCT('Calc_Mix'!$D$23:$W$23,'Matriz_Habilidades'!$D58:$W58)/'Calc_Mix'!$X$23+ROW()*0.000001))</f>
        <v/>
      </c>
      <c r="AA58" s="34">
        <f>IF(OR($B58="",$C58&lt;&gt;"Ativo",$D58&lt;&gt;'Calc_Mix'!$C$24,'Calc_Mix'!$X$24=0,COUNTIFS(Esc_Turno,'Calc_Mix'!$C$24,Esc_Circ,$B58)+COUNTIFS(Esc_Turno,'Calc_Mix'!$C$24,Esc_Instr,$B58)&gt;0),"",IF(SUMPRODUCT('Calc_Mix'!$D$24:$W$24,'Matriz_Habilidades'!$D58:$W58)=0,"",SUMPRODUCT('Calc_Mix'!$D$24:$W$24,'Matriz_Habilidades'!$D58:$W58)/'Calc_Mix'!$X$24+ROW()*0.000001))</f>
        <v/>
      </c>
      <c r="AB58" s="34">
        <f>IF(OR($B58="",$C58&lt;&gt;"Ativo",$D58&lt;&gt;'Calc_Mix'!$C$25,'Calc_Mix'!$X$25=0,COUNTIFS(Esc_Turno,'Calc_Mix'!$C$25,Esc_Circ,$B58)+COUNTIFS(Esc_Turno,'Calc_Mix'!$C$25,Esc_Instr,$B58)&gt;0),"",IF(SUMPRODUCT('Calc_Mix'!$D$25:$W$25,'Matriz_Habilidades'!$D58:$W58)=0,"",SUMPRODUCT('Calc_Mix'!$D$25:$W$25,'Matriz_Habilidades'!$D58:$W58)/'Calc_Mix'!$X$25+ROW()*0.000001))</f>
        <v/>
      </c>
      <c r="AC58" s="34">
        <f>IF(OR($B58="",$C58&lt;&gt;"Ativo",$D58&lt;&gt;'Calc_Mix'!$C$26,'Calc_Mix'!$X$26=0,COUNTIFS(Esc_Turno,'Calc_Mix'!$C$26,Esc_Circ,$B58)+COUNTIFS(Esc_Turno,'Calc_Mix'!$C$26,Esc_Instr,$B58)&gt;0),"",IF(SUMPRODUCT('Calc_Mix'!$D$26:$W$26,'Matriz_Habilidades'!$D58:$W58)=0,"",SUMPRODUCT('Calc_Mix'!$D$26:$W$26,'Matriz_Habilidades'!$D58:$W58)/'Calc_Mix'!$X$26+ROW()*0.000001))</f>
        <v/>
      </c>
      <c r="AD58" s="34">
        <f>IF(OR($B58="",$C58&lt;&gt;"Ativo",$D58&lt;&gt;'Calc_Mix'!$C$27,'Calc_Mix'!$X$27=0,COUNTIFS(Esc_Turno,'Calc_Mix'!$C$27,Esc_Circ,$B58)+COUNTIFS(Esc_Turno,'Calc_Mix'!$C$27,Esc_Instr,$B58)&gt;0),"",IF(SUMPRODUCT('Calc_Mix'!$D$27:$W$27,'Matriz_Habilidades'!$D58:$W58)=0,"",SUMPRODUCT('Calc_Mix'!$D$27:$W$27,'Matriz_Habilidades'!$D58:$W58)/'Calc_Mix'!$X$27+ROW()*0.000001))</f>
        <v/>
      </c>
      <c r="AE58" s="34">
        <f>IF(OR($B58="",$C58&lt;&gt;"Ativo",$D58&lt;&gt;'Calc_Mix'!$C$28,'Calc_Mix'!$X$28=0,COUNTIFS(Esc_Turno,'Calc_Mix'!$C$28,Esc_Circ,$B58)+COUNTIFS(Esc_Turno,'Calc_Mix'!$C$28,Esc_Instr,$B58)&gt;0),"",IF(SUMPRODUCT('Calc_Mix'!$D$28:$W$28,'Matriz_Habilidades'!$D58:$W58)=0,"",SUMPRODUCT('Calc_Mix'!$D$28:$W$28,'Matriz_Habilidades'!$D58:$W58)/'Calc_Mix'!$X$28+ROW()*0.000001))</f>
        <v/>
      </c>
      <c r="AF58" s="34">
        <f>IF(OR($B58="",$C58&lt;&gt;"Ativo",$D58&lt;&gt;'Calc_Mix'!$C$29,'Calc_Mix'!$X$29=0,COUNTIFS(Esc_Turno,'Calc_Mix'!$C$29,Esc_Circ,$B58)+COUNTIFS(Esc_Turno,'Calc_Mix'!$C$29,Esc_Instr,$B58)&gt;0),"",IF(SUMPRODUCT('Calc_Mix'!$D$29:$W$29,'Matriz_Habilidades'!$D58:$W58)=0,"",SUMPRODUCT('Calc_Mix'!$D$29:$W$29,'Matriz_Habilidades'!$D58:$W58)/'Calc_Mix'!$X$29+ROW()*0.000001))</f>
        <v/>
      </c>
      <c r="AG58" s="34">
        <f>IF(OR($B58="",$C58&lt;&gt;"Ativo",$D58&lt;&gt;'Calc_Mix'!$C$30,'Calc_Mix'!$X$30=0,COUNTIFS(Esc_Turno,'Calc_Mix'!$C$30,Esc_Circ,$B58)+COUNTIFS(Esc_Turno,'Calc_Mix'!$C$30,Esc_Instr,$B58)&gt;0),"",IF(SUMPRODUCT('Calc_Mix'!$D$30:$W$30,'Matriz_Habilidades'!$D58:$W58)=0,"",SUMPRODUCT('Calc_Mix'!$D$30:$W$30,'Matriz_Habilidades'!$D58:$W58)/'Calc_Mix'!$X$30+ROW()*0.000001))</f>
        <v/>
      </c>
      <c r="AH58" s="34">
        <f>IF(OR($B58="",$C58&lt;&gt;"Ativo",$D58&lt;&gt;'Calc_Mix'!$C$31,'Calc_Mix'!$X$31=0,COUNTIFS(Esc_Turno,'Calc_Mix'!$C$31,Esc_Circ,$B58)+COUNTIFS(Esc_Turno,'Calc_Mix'!$C$31,Esc_Instr,$B58)&gt;0),"",IF(SUMPRODUCT('Calc_Mix'!$D$31:$W$31,'Matriz_Habilidades'!$D58:$W58)=0,"",SUMPRODUCT('Calc_Mix'!$D$31:$W$31,'Matriz_Habilidades'!$D58:$W58)/'Calc_Mix'!$X$31+ROW()*0.000001))</f>
        <v/>
      </c>
      <c r="AI58" s="34">
        <f>IF(OR($B58="",$C58&lt;&gt;"Ativo",$D58&lt;&gt;'Calc_Mix'!$C$32,'Calc_Mix'!$X$32=0,COUNTIFS(Esc_Turno,'Calc_Mix'!$C$32,Esc_Circ,$B58)+COUNTIFS(Esc_Turno,'Calc_Mix'!$C$32,Esc_Instr,$B58)&gt;0),"",IF(SUMPRODUCT('Calc_Mix'!$D$32:$W$32,'Matriz_Habilidades'!$D58:$W58)=0,"",SUMPRODUCT('Calc_Mix'!$D$32:$W$32,'Matriz_Habilidades'!$D58:$W58)/'Calc_Mix'!$X$32+ROW()*0.000001))</f>
        <v/>
      </c>
      <c r="AJ58" s="34">
        <f>IF(OR($B58="",$C58&lt;&gt;"Ativo",$D58&lt;&gt;'Calc_Mix'!$C$33,'Calc_Mix'!$X$33=0,COUNTIFS(Esc_Turno,'Calc_Mix'!$C$33,Esc_Circ,$B58)+COUNTIFS(Esc_Turno,'Calc_Mix'!$C$33,Esc_Instr,$B58)&gt;0),"",IF(SUMPRODUCT('Calc_Mix'!$D$33:$W$33,'Matriz_Habilidades'!$D58:$W58)=0,"",SUMPRODUCT('Calc_Mix'!$D$33:$W$33,'Matriz_Habilidades'!$D58:$W58)/'Calc_Mix'!$X$33+ROW()*0.000001))</f>
        <v/>
      </c>
      <c r="AK58" s="34">
        <f>IF(OR($B58="",$C58&lt;&gt;"Ativo",$D58&lt;&gt;'Calc_Mix'!$C$34,'Calc_Mix'!$X$34=0,COUNTIFS(Esc_Turno,'Calc_Mix'!$C$34,Esc_Circ,$B58)+COUNTIFS(Esc_Turno,'Calc_Mix'!$C$34,Esc_Instr,$B58)&gt;0),"",IF(SUMPRODUCT('Calc_Mix'!$D$34:$W$34,'Matriz_Habilidades'!$D58:$W58)=0,"",SUMPRODUCT('Calc_Mix'!$D$34:$W$34,'Matriz_Habilidades'!$D58:$W58)/'Calc_Mix'!$X$34+ROW()*0.000001))</f>
        <v/>
      </c>
      <c r="AL58" s="34">
        <f>IF(OR($B58="",$C58&lt;&gt;"Ativo",$D58&lt;&gt;'Calc_Mix'!$C$35,'Calc_Mix'!$X$35=0,COUNTIFS(Esc_Turno,'Calc_Mix'!$C$35,Esc_Circ,$B58)+COUNTIFS(Esc_Turno,'Calc_Mix'!$C$35,Esc_Instr,$B58)&gt;0),"",IF(SUMPRODUCT('Calc_Mix'!$D$35:$W$35,'Matriz_Habilidades'!$D58:$W58)=0,"",SUMPRODUCT('Calc_Mix'!$D$35:$W$35,'Matriz_Habilidades'!$D58:$W58)/'Calc_Mix'!$X$35+ROW()*0.000001))</f>
        <v/>
      </c>
      <c r="AM58" s="34">
        <f>IF(OR($B58="",$C58&lt;&gt;"Ativo",$D58&lt;&gt;'Calc_Mix'!$C$36,'Calc_Mix'!$X$36=0,COUNTIFS(Esc_Turno,'Calc_Mix'!$C$36,Esc_Circ,$B58)+COUNTIFS(Esc_Turno,'Calc_Mix'!$C$36,Esc_Instr,$B58)&gt;0),"",IF(SUMPRODUCT('Calc_Mix'!$D$36:$W$36,'Matriz_Habilidades'!$D58:$W58)=0,"",SUMPRODUCT('Calc_Mix'!$D$36:$W$36,'Matriz_Habilidades'!$D58:$W58)/'Calc_Mix'!$X$36+ROW()*0.000001))</f>
        <v/>
      </c>
      <c r="AN58" s="34">
        <f>IF(OR($B58="",$C58&lt;&gt;"Ativo",$D58&lt;&gt;'Calc_Mix'!$C$37,'Calc_Mix'!$X$37=0,COUNTIFS(Esc_Turno,'Calc_Mix'!$C$37,Esc_Circ,$B58)+COUNTIFS(Esc_Turno,'Calc_Mix'!$C$37,Esc_Instr,$B58)&gt;0),"",IF(SUMPRODUCT('Calc_Mix'!$D$37:$W$37,'Matriz_Habilidades'!$D58:$W58)=0,"",SUMPRODUCT('Calc_Mix'!$D$37:$W$37,'Matriz_Habilidades'!$D58:$W58)/'Calc_Mix'!$X$37+ROW()*0.000001))</f>
        <v/>
      </c>
    </row>
    <row r="59">
      <c r="A59" s="27">
        <f>IF('Matriz_Habilidades'!A59="","",'Matriz_Habilidades'!A59)</f>
        <v/>
      </c>
      <c r="B59" s="28">
        <f>IF('Matriz_Habilidades'!B59="","",'Matriz_Habilidades'!B59)</f>
        <v/>
      </c>
      <c r="C59" s="27">
        <f>IF($A59="","",IFERROR(INDEX(Equipe_Status,MATCH($B59,Equipe_Nome,0)),"?"))</f>
        <v/>
      </c>
      <c r="D59" s="27">
        <f>IF($A59="","",IFERROR(INDEX(Equipe_Turno,MATCH($B59,Equipe_Nome,0)),"?"))</f>
        <v/>
      </c>
      <c r="E59" s="34">
        <f>IF(OR($B59="",$C59&lt;&gt;"Ativo",$D59&lt;&gt;'Calc_Mix'!$C$2,'Calc_Mix'!$X$2=0,COUNTIFS(Esc_Turno,'Calc_Mix'!$C$2,Esc_Circ,$B59)+COUNTIFS(Esc_Turno,'Calc_Mix'!$C$2,Esc_Instr,$B59)&gt;0),"",IF(SUMPRODUCT('Calc_Mix'!$D$2:$W$2,'Matriz_Habilidades'!$D59:$W59)=0,"",SUMPRODUCT('Calc_Mix'!$D$2:$W$2,'Matriz_Habilidades'!$D59:$W59)/'Calc_Mix'!$X$2+ROW()*0.000001))</f>
        <v/>
      </c>
      <c r="F59" s="34">
        <f>IF(OR($B59="",$C59&lt;&gt;"Ativo",$D59&lt;&gt;'Calc_Mix'!$C$3,'Calc_Mix'!$X$3=0,COUNTIFS(Esc_Turno,'Calc_Mix'!$C$3,Esc_Circ,$B59)+COUNTIFS(Esc_Turno,'Calc_Mix'!$C$3,Esc_Instr,$B59)&gt;0),"",IF(SUMPRODUCT('Calc_Mix'!$D$3:$W$3,'Matriz_Habilidades'!$D59:$W59)=0,"",SUMPRODUCT('Calc_Mix'!$D$3:$W$3,'Matriz_Habilidades'!$D59:$W59)/'Calc_Mix'!$X$3+ROW()*0.000001))</f>
        <v/>
      </c>
      <c r="G59" s="34">
        <f>IF(OR($B59="",$C59&lt;&gt;"Ativo",$D59&lt;&gt;'Calc_Mix'!$C$4,'Calc_Mix'!$X$4=0,COUNTIFS(Esc_Turno,'Calc_Mix'!$C$4,Esc_Circ,$B59)+COUNTIFS(Esc_Turno,'Calc_Mix'!$C$4,Esc_Instr,$B59)&gt;0),"",IF(SUMPRODUCT('Calc_Mix'!$D$4:$W$4,'Matriz_Habilidades'!$D59:$W59)=0,"",SUMPRODUCT('Calc_Mix'!$D$4:$W$4,'Matriz_Habilidades'!$D59:$W59)/'Calc_Mix'!$X$4+ROW()*0.000001))</f>
        <v/>
      </c>
      <c r="H59" s="34">
        <f>IF(OR($B59="",$C59&lt;&gt;"Ativo",$D59&lt;&gt;'Calc_Mix'!$C$5,'Calc_Mix'!$X$5=0,COUNTIFS(Esc_Turno,'Calc_Mix'!$C$5,Esc_Circ,$B59)+COUNTIFS(Esc_Turno,'Calc_Mix'!$C$5,Esc_Instr,$B59)&gt;0),"",IF(SUMPRODUCT('Calc_Mix'!$D$5:$W$5,'Matriz_Habilidades'!$D59:$W59)=0,"",SUMPRODUCT('Calc_Mix'!$D$5:$W$5,'Matriz_Habilidades'!$D59:$W59)/'Calc_Mix'!$X$5+ROW()*0.000001))</f>
        <v/>
      </c>
      <c r="I59" s="34">
        <f>IF(OR($B59="",$C59&lt;&gt;"Ativo",$D59&lt;&gt;'Calc_Mix'!$C$6,'Calc_Mix'!$X$6=0,COUNTIFS(Esc_Turno,'Calc_Mix'!$C$6,Esc_Circ,$B59)+COUNTIFS(Esc_Turno,'Calc_Mix'!$C$6,Esc_Instr,$B59)&gt;0),"",IF(SUMPRODUCT('Calc_Mix'!$D$6:$W$6,'Matriz_Habilidades'!$D59:$W59)=0,"",SUMPRODUCT('Calc_Mix'!$D$6:$W$6,'Matriz_Habilidades'!$D59:$W59)/'Calc_Mix'!$X$6+ROW()*0.000001))</f>
        <v/>
      </c>
      <c r="J59" s="34">
        <f>IF(OR($B59="",$C59&lt;&gt;"Ativo",$D59&lt;&gt;'Calc_Mix'!$C$7,'Calc_Mix'!$X$7=0,COUNTIFS(Esc_Turno,'Calc_Mix'!$C$7,Esc_Circ,$B59)+COUNTIFS(Esc_Turno,'Calc_Mix'!$C$7,Esc_Instr,$B59)&gt;0),"",IF(SUMPRODUCT('Calc_Mix'!$D$7:$W$7,'Matriz_Habilidades'!$D59:$W59)=0,"",SUMPRODUCT('Calc_Mix'!$D$7:$W$7,'Matriz_Habilidades'!$D59:$W59)/'Calc_Mix'!$X$7+ROW()*0.000001))</f>
        <v/>
      </c>
      <c r="K59" s="34">
        <f>IF(OR($B59="",$C59&lt;&gt;"Ativo",$D59&lt;&gt;'Calc_Mix'!$C$8,'Calc_Mix'!$X$8=0,COUNTIFS(Esc_Turno,'Calc_Mix'!$C$8,Esc_Circ,$B59)+COUNTIFS(Esc_Turno,'Calc_Mix'!$C$8,Esc_Instr,$B59)&gt;0),"",IF(SUMPRODUCT('Calc_Mix'!$D$8:$W$8,'Matriz_Habilidades'!$D59:$W59)=0,"",SUMPRODUCT('Calc_Mix'!$D$8:$W$8,'Matriz_Habilidades'!$D59:$W59)/'Calc_Mix'!$X$8+ROW()*0.000001))</f>
        <v/>
      </c>
      <c r="L59" s="34">
        <f>IF(OR($B59="",$C59&lt;&gt;"Ativo",$D59&lt;&gt;'Calc_Mix'!$C$9,'Calc_Mix'!$X$9=0,COUNTIFS(Esc_Turno,'Calc_Mix'!$C$9,Esc_Circ,$B59)+COUNTIFS(Esc_Turno,'Calc_Mix'!$C$9,Esc_Instr,$B59)&gt;0),"",IF(SUMPRODUCT('Calc_Mix'!$D$9:$W$9,'Matriz_Habilidades'!$D59:$W59)=0,"",SUMPRODUCT('Calc_Mix'!$D$9:$W$9,'Matriz_Habilidades'!$D59:$W59)/'Calc_Mix'!$X$9+ROW()*0.000001))</f>
        <v/>
      </c>
      <c r="M59" s="34">
        <f>IF(OR($B59="",$C59&lt;&gt;"Ativo",$D59&lt;&gt;'Calc_Mix'!$C$10,'Calc_Mix'!$X$10=0,COUNTIFS(Esc_Turno,'Calc_Mix'!$C$10,Esc_Circ,$B59)+COUNTIFS(Esc_Turno,'Calc_Mix'!$C$10,Esc_Instr,$B59)&gt;0),"",IF(SUMPRODUCT('Calc_Mix'!$D$10:$W$10,'Matriz_Habilidades'!$D59:$W59)=0,"",SUMPRODUCT('Calc_Mix'!$D$10:$W$10,'Matriz_Habilidades'!$D59:$W59)/'Calc_Mix'!$X$10+ROW()*0.000001))</f>
        <v/>
      </c>
      <c r="N59" s="34">
        <f>IF(OR($B59="",$C59&lt;&gt;"Ativo",$D59&lt;&gt;'Calc_Mix'!$C$11,'Calc_Mix'!$X$11=0,COUNTIFS(Esc_Turno,'Calc_Mix'!$C$11,Esc_Circ,$B59)+COUNTIFS(Esc_Turno,'Calc_Mix'!$C$11,Esc_Instr,$B59)&gt;0),"",IF(SUMPRODUCT('Calc_Mix'!$D$11:$W$11,'Matriz_Habilidades'!$D59:$W59)=0,"",SUMPRODUCT('Calc_Mix'!$D$11:$W$11,'Matriz_Habilidades'!$D59:$W59)/'Calc_Mix'!$X$11+ROW()*0.000001))</f>
        <v/>
      </c>
      <c r="O59" s="34">
        <f>IF(OR($B59="",$C59&lt;&gt;"Ativo",$D59&lt;&gt;'Calc_Mix'!$C$12,'Calc_Mix'!$X$12=0,COUNTIFS(Esc_Turno,'Calc_Mix'!$C$12,Esc_Circ,$B59)+COUNTIFS(Esc_Turno,'Calc_Mix'!$C$12,Esc_Instr,$B59)&gt;0),"",IF(SUMPRODUCT('Calc_Mix'!$D$12:$W$12,'Matriz_Habilidades'!$D59:$W59)=0,"",SUMPRODUCT('Calc_Mix'!$D$12:$W$12,'Matriz_Habilidades'!$D59:$W59)/'Calc_Mix'!$X$12+ROW()*0.000001))</f>
        <v/>
      </c>
      <c r="P59" s="34">
        <f>IF(OR($B59="",$C59&lt;&gt;"Ativo",$D59&lt;&gt;'Calc_Mix'!$C$13,'Calc_Mix'!$X$13=0,COUNTIFS(Esc_Turno,'Calc_Mix'!$C$13,Esc_Circ,$B59)+COUNTIFS(Esc_Turno,'Calc_Mix'!$C$13,Esc_Instr,$B59)&gt;0),"",IF(SUMPRODUCT('Calc_Mix'!$D$13:$W$13,'Matriz_Habilidades'!$D59:$W59)=0,"",SUMPRODUCT('Calc_Mix'!$D$13:$W$13,'Matriz_Habilidades'!$D59:$W59)/'Calc_Mix'!$X$13+ROW()*0.000001))</f>
        <v/>
      </c>
      <c r="Q59" s="34">
        <f>IF(OR($B59="",$C59&lt;&gt;"Ativo",$D59&lt;&gt;'Calc_Mix'!$C$14,'Calc_Mix'!$X$14=0,COUNTIFS(Esc_Turno,'Calc_Mix'!$C$14,Esc_Circ,$B59)+COUNTIFS(Esc_Turno,'Calc_Mix'!$C$14,Esc_Instr,$B59)&gt;0),"",IF(SUMPRODUCT('Calc_Mix'!$D$14:$W$14,'Matriz_Habilidades'!$D59:$W59)=0,"",SUMPRODUCT('Calc_Mix'!$D$14:$W$14,'Matriz_Habilidades'!$D59:$W59)/'Calc_Mix'!$X$14+ROW()*0.000001))</f>
        <v/>
      </c>
      <c r="R59" s="34">
        <f>IF(OR($B59="",$C59&lt;&gt;"Ativo",$D59&lt;&gt;'Calc_Mix'!$C$15,'Calc_Mix'!$X$15=0,COUNTIFS(Esc_Turno,'Calc_Mix'!$C$15,Esc_Circ,$B59)+COUNTIFS(Esc_Turno,'Calc_Mix'!$C$15,Esc_Instr,$B59)&gt;0),"",IF(SUMPRODUCT('Calc_Mix'!$D$15:$W$15,'Matriz_Habilidades'!$D59:$W59)=0,"",SUMPRODUCT('Calc_Mix'!$D$15:$W$15,'Matriz_Habilidades'!$D59:$W59)/'Calc_Mix'!$X$15+ROW()*0.000001))</f>
        <v/>
      </c>
      <c r="S59" s="34">
        <f>IF(OR($B59="",$C59&lt;&gt;"Ativo",$D59&lt;&gt;'Calc_Mix'!$C$16,'Calc_Mix'!$X$16=0,COUNTIFS(Esc_Turno,'Calc_Mix'!$C$16,Esc_Circ,$B59)+COUNTIFS(Esc_Turno,'Calc_Mix'!$C$16,Esc_Instr,$B59)&gt;0),"",IF(SUMPRODUCT('Calc_Mix'!$D$16:$W$16,'Matriz_Habilidades'!$D59:$W59)=0,"",SUMPRODUCT('Calc_Mix'!$D$16:$W$16,'Matriz_Habilidades'!$D59:$W59)/'Calc_Mix'!$X$16+ROW()*0.000001))</f>
        <v/>
      </c>
      <c r="T59" s="34">
        <f>IF(OR($B59="",$C59&lt;&gt;"Ativo",$D59&lt;&gt;'Calc_Mix'!$C$17,'Calc_Mix'!$X$17=0,COUNTIFS(Esc_Turno,'Calc_Mix'!$C$17,Esc_Circ,$B59)+COUNTIFS(Esc_Turno,'Calc_Mix'!$C$17,Esc_Instr,$B59)&gt;0),"",IF(SUMPRODUCT('Calc_Mix'!$D$17:$W$17,'Matriz_Habilidades'!$D59:$W59)=0,"",SUMPRODUCT('Calc_Mix'!$D$17:$W$17,'Matriz_Habilidades'!$D59:$W59)/'Calc_Mix'!$X$17+ROW()*0.000001))</f>
        <v/>
      </c>
      <c r="U59" s="34">
        <f>IF(OR($B59="",$C59&lt;&gt;"Ativo",$D59&lt;&gt;'Calc_Mix'!$C$18,'Calc_Mix'!$X$18=0,COUNTIFS(Esc_Turno,'Calc_Mix'!$C$18,Esc_Circ,$B59)+COUNTIFS(Esc_Turno,'Calc_Mix'!$C$18,Esc_Instr,$B59)&gt;0),"",IF(SUMPRODUCT('Calc_Mix'!$D$18:$W$18,'Matriz_Habilidades'!$D59:$W59)=0,"",SUMPRODUCT('Calc_Mix'!$D$18:$W$18,'Matriz_Habilidades'!$D59:$W59)/'Calc_Mix'!$X$18+ROW()*0.000001))</f>
        <v/>
      </c>
      <c r="V59" s="34">
        <f>IF(OR($B59="",$C59&lt;&gt;"Ativo",$D59&lt;&gt;'Calc_Mix'!$C$19,'Calc_Mix'!$X$19=0,COUNTIFS(Esc_Turno,'Calc_Mix'!$C$19,Esc_Circ,$B59)+COUNTIFS(Esc_Turno,'Calc_Mix'!$C$19,Esc_Instr,$B59)&gt;0),"",IF(SUMPRODUCT('Calc_Mix'!$D$19:$W$19,'Matriz_Habilidades'!$D59:$W59)=0,"",SUMPRODUCT('Calc_Mix'!$D$19:$W$19,'Matriz_Habilidades'!$D59:$W59)/'Calc_Mix'!$X$19+ROW()*0.000001))</f>
        <v/>
      </c>
      <c r="W59" s="34">
        <f>IF(OR($B59="",$C59&lt;&gt;"Ativo",$D59&lt;&gt;'Calc_Mix'!$C$20,'Calc_Mix'!$X$20=0,COUNTIFS(Esc_Turno,'Calc_Mix'!$C$20,Esc_Circ,$B59)+COUNTIFS(Esc_Turno,'Calc_Mix'!$C$20,Esc_Instr,$B59)&gt;0),"",IF(SUMPRODUCT('Calc_Mix'!$D$20:$W$20,'Matriz_Habilidades'!$D59:$W59)=0,"",SUMPRODUCT('Calc_Mix'!$D$20:$W$20,'Matriz_Habilidades'!$D59:$W59)/'Calc_Mix'!$X$20+ROW()*0.000001))</f>
        <v/>
      </c>
      <c r="X59" s="34">
        <f>IF(OR($B59="",$C59&lt;&gt;"Ativo",$D59&lt;&gt;'Calc_Mix'!$C$21,'Calc_Mix'!$X$21=0,COUNTIFS(Esc_Turno,'Calc_Mix'!$C$21,Esc_Circ,$B59)+COUNTIFS(Esc_Turno,'Calc_Mix'!$C$21,Esc_Instr,$B59)&gt;0),"",IF(SUMPRODUCT('Calc_Mix'!$D$21:$W$21,'Matriz_Habilidades'!$D59:$W59)=0,"",SUMPRODUCT('Calc_Mix'!$D$21:$W$21,'Matriz_Habilidades'!$D59:$W59)/'Calc_Mix'!$X$21+ROW()*0.000001))</f>
        <v/>
      </c>
      <c r="Y59" s="34">
        <f>IF(OR($B59="",$C59&lt;&gt;"Ativo",$D59&lt;&gt;'Calc_Mix'!$C$22,'Calc_Mix'!$X$22=0,COUNTIFS(Esc_Turno,'Calc_Mix'!$C$22,Esc_Circ,$B59)+COUNTIFS(Esc_Turno,'Calc_Mix'!$C$22,Esc_Instr,$B59)&gt;0),"",IF(SUMPRODUCT('Calc_Mix'!$D$22:$W$22,'Matriz_Habilidades'!$D59:$W59)=0,"",SUMPRODUCT('Calc_Mix'!$D$22:$W$22,'Matriz_Habilidades'!$D59:$W59)/'Calc_Mix'!$X$22+ROW()*0.000001))</f>
        <v/>
      </c>
      <c r="Z59" s="34">
        <f>IF(OR($B59="",$C59&lt;&gt;"Ativo",$D59&lt;&gt;'Calc_Mix'!$C$23,'Calc_Mix'!$X$23=0,COUNTIFS(Esc_Turno,'Calc_Mix'!$C$23,Esc_Circ,$B59)+COUNTIFS(Esc_Turno,'Calc_Mix'!$C$23,Esc_Instr,$B59)&gt;0),"",IF(SUMPRODUCT('Calc_Mix'!$D$23:$W$23,'Matriz_Habilidades'!$D59:$W59)=0,"",SUMPRODUCT('Calc_Mix'!$D$23:$W$23,'Matriz_Habilidades'!$D59:$W59)/'Calc_Mix'!$X$23+ROW()*0.000001))</f>
        <v/>
      </c>
      <c r="AA59" s="34">
        <f>IF(OR($B59="",$C59&lt;&gt;"Ativo",$D59&lt;&gt;'Calc_Mix'!$C$24,'Calc_Mix'!$X$24=0,COUNTIFS(Esc_Turno,'Calc_Mix'!$C$24,Esc_Circ,$B59)+COUNTIFS(Esc_Turno,'Calc_Mix'!$C$24,Esc_Instr,$B59)&gt;0),"",IF(SUMPRODUCT('Calc_Mix'!$D$24:$W$24,'Matriz_Habilidades'!$D59:$W59)=0,"",SUMPRODUCT('Calc_Mix'!$D$24:$W$24,'Matriz_Habilidades'!$D59:$W59)/'Calc_Mix'!$X$24+ROW()*0.000001))</f>
        <v/>
      </c>
      <c r="AB59" s="34">
        <f>IF(OR($B59="",$C59&lt;&gt;"Ativo",$D59&lt;&gt;'Calc_Mix'!$C$25,'Calc_Mix'!$X$25=0,COUNTIFS(Esc_Turno,'Calc_Mix'!$C$25,Esc_Circ,$B59)+COUNTIFS(Esc_Turno,'Calc_Mix'!$C$25,Esc_Instr,$B59)&gt;0),"",IF(SUMPRODUCT('Calc_Mix'!$D$25:$W$25,'Matriz_Habilidades'!$D59:$W59)=0,"",SUMPRODUCT('Calc_Mix'!$D$25:$W$25,'Matriz_Habilidades'!$D59:$W59)/'Calc_Mix'!$X$25+ROW()*0.000001))</f>
        <v/>
      </c>
      <c r="AC59" s="34">
        <f>IF(OR($B59="",$C59&lt;&gt;"Ativo",$D59&lt;&gt;'Calc_Mix'!$C$26,'Calc_Mix'!$X$26=0,COUNTIFS(Esc_Turno,'Calc_Mix'!$C$26,Esc_Circ,$B59)+COUNTIFS(Esc_Turno,'Calc_Mix'!$C$26,Esc_Instr,$B59)&gt;0),"",IF(SUMPRODUCT('Calc_Mix'!$D$26:$W$26,'Matriz_Habilidades'!$D59:$W59)=0,"",SUMPRODUCT('Calc_Mix'!$D$26:$W$26,'Matriz_Habilidades'!$D59:$W59)/'Calc_Mix'!$X$26+ROW()*0.000001))</f>
        <v/>
      </c>
      <c r="AD59" s="34">
        <f>IF(OR($B59="",$C59&lt;&gt;"Ativo",$D59&lt;&gt;'Calc_Mix'!$C$27,'Calc_Mix'!$X$27=0,COUNTIFS(Esc_Turno,'Calc_Mix'!$C$27,Esc_Circ,$B59)+COUNTIFS(Esc_Turno,'Calc_Mix'!$C$27,Esc_Instr,$B59)&gt;0),"",IF(SUMPRODUCT('Calc_Mix'!$D$27:$W$27,'Matriz_Habilidades'!$D59:$W59)=0,"",SUMPRODUCT('Calc_Mix'!$D$27:$W$27,'Matriz_Habilidades'!$D59:$W59)/'Calc_Mix'!$X$27+ROW()*0.000001))</f>
        <v/>
      </c>
      <c r="AE59" s="34">
        <f>IF(OR($B59="",$C59&lt;&gt;"Ativo",$D59&lt;&gt;'Calc_Mix'!$C$28,'Calc_Mix'!$X$28=0,COUNTIFS(Esc_Turno,'Calc_Mix'!$C$28,Esc_Circ,$B59)+COUNTIFS(Esc_Turno,'Calc_Mix'!$C$28,Esc_Instr,$B59)&gt;0),"",IF(SUMPRODUCT('Calc_Mix'!$D$28:$W$28,'Matriz_Habilidades'!$D59:$W59)=0,"",SUMPRODUCT('Calc_Mix'!$D$28:$W$28,'Matriz_Habilidades'!$D59:$W59)/'Calc_Mix'!$X$28+ROW()*0.000001))</f>
        <v/>
      </c>
      <c r="AF59" s="34">
        <f>IF(OR($B59="",$C59&lt;&gt;"Ativo",$D59&lt;&gt;'Calc_Mix'!$C$29,'Calc_Mix'!$X$29=0,COUNTIFS(Esc_Turno,'Calc_Mix'!$C$29,Esc_Circ,$B59)+COUNTIFS(Esc_Turno,'Calc_Mix'!$C$29,Esc_Instr,$B59)&gt;0),"",IF(SUMPRODUCT('Calc_Mix'!$D$29:$W$29,'Matriz_Habilidades'!$D59:$W59)=0,"",SUMPRODUCT('Calc_Mix'!$D$29:$W$29,'Matriz_Habilidades'!$D59:$W59)/'Calc_Mix'!$X$29+ROW()*0.000001))</f>
        <v/>
      </c>
      <c r="AG59" s="34">
        <f>IF(OR($B59="",$C59&lt;&gt;"Ativo",$D59&lt;&gt;'Calc_Mix'!$C$30,'Calc_Mix'!$X$30=0,COUNTIFS(Esc_Turno,'Calc_Mix'!$C$30,Esc_Circ,$B59)+COUNTIFS(Esc_Turno,'Calc_Mix'!$C$30,Esc_Instr,$B59)&gt;0),"",IF(SUMPRODUCT('Calc_Mix'!$D$30:$W$30,'Matriz_Habilidades'!$D59:$W59)=0,"",SUMPRODUCT('Calc_Mix'!$D$30:$W$30,'Matriz_Habilidades'!$D59:$W59)/'Calc_Mix'!$X$30+ROW()*0.000001))</f>
        <v/>
      </c>
      <c r="AH59" s="34">
        <f>IF(OR($B59="",$C59&lt;&gt;"Ativo",$D59&lt;&gt;'Calc_Mix'!$C$31,'Calc_Mix'!$X$31=0,COUNTIFS(Esc_Turno,'Calc_Mix'!$C$31,Esc_Circ,$B59)+COUNTIFS(Esc_Turno,'Calc_Mix'!$C$31,Esc_Instr,$B59)&gt;0),"",IF(SUMPRODUCT('Calc_Mix'!$D$31:$W$31,'Matriz_Habilidades'!$D59:$W59)=0,"",SUMPRODUCT('Calc_Mix'!$D$31:$W$31,'Matriz_Habilidades'!$D59:$W59)/'Calc_Mix'!$X$31+ROW()*0.000001))</f>
        <v/>
      </c>
      <c r="AI59" s="34">
        <f>IF(OR($B59="",$C59&lt;&gt;"Ativo",$D59&lt;&gt;'Calc_Mix'!$C$32,'Calc_Mix'!$X$32=0,COUNTIFS(Esc_Turno,'Calc_Mix'!$C$32,Esc_Circ,$B59)+COUNTIFS(Esc_Turno,'Calc_Mix'!$C$32,Esc_Instr,$B59)&gt;0),"",IF(SUMPRODUCT('Calc_Mix'!$D$32:$W$32,'Matriz_Habilidades'!$D59:$W59)=0,"",SUMPRODUCT('Calc_Mix'!$D$32:$W$32,'Matriz_Habilidades'!$D59:$W59)/'Calc_Mix'!$X$32+ROW()*0.000001))</f>
        <v/>
      </c>
      <c r="AJ59" s="34">
        <f>IF(OR($B59="",$C59&lt;&gt;"Ativo",$D59&lt;&gt;'Calc_Mix'!$C$33,'Calc_Mix'!$X$33=0,COUNTIFS(Esc_Turno,'Calc_Mix'!$C$33,Esc_Circ,$B59)+COUNTIFS(Esc_Turno,'Calc_Mix'!$C$33,Esc_Instr,$B59)&gt;0),"",IF(SUMPRODUCT('Calc_Mix'!$D$33:$W$33,'Matriz_Habilidades'!$D59:$W59)=0,"",SUMPRODUCT('Calc_Mix'!$D$33:$W$33,'Matriz_Habilidades'!$D59:$W59)/'Calc_Mix'!$X$33+ROW()*0.000001))</f>
        <v/>
      </c>
      <c r="AK59" s="34">
        <f>IF(OR($B59="",$C59&lt;&gt;"Ativo",$D59&lt;&gt;'Calc_Mix'!$C$34,'Calc_Mix'!$X$34=0,COUNTIFS(Esc_Turno,'Calc_Mix'!$C$34,Esc_Circ,$B59)+COUNTIFS(Esc_Turno,'Calc_Mix'!$C$34,Esc_Instr,$B59)&gt;0),"",IF(SUMPRODUCT('Calc_Mix'!$D$34:$W$34,'Matriz_Habilidades'!$D59:$W59)=0,"",SUMPRODUCT('Calc_Mix'!$D$34:$W$34,'Matriz_Habilidades'!$D59:$W59)/'Calc_Mix'!$X$34+ROW()*0.000001))</f>
        <v/>
      </c>
      <c r="AL59" s="34">
        <f>IF(OR($B59="",$C59&lt;&gt;"Ativo",$D59&lt;&gt;'Calc_Mix'!$C$35,'Calc_Mix'!$X$35=0,COUNTIFS(Esc_Turno,'Calc_Mix'!$C$35,Esc_Circ,$B59)+COUNTIFS(Esc_Turno,'Calc_Mix'!$C$35,Esc_Instr,$B59)&gt;0),"",IF(SUMPRODUCT('Calc_Mix'!$D$35:$W$35,'Matriz_Habilidades'!$D59:$W59)=0,"",SUMPRODUCT('Calc_Mix'!$D$35:$W$35,'Matriz_Habilidades'!$D59:$W59)/'Calc_Mix'!$X$35+ROW()*0.000001))</f>
        <v/>
      </c>
      <c r="AM59" s="34">
        <f>IF(OR($B59="",$C59&lt;&gt;"Ativo",$D59&lt;&gt;'Calc_Mix'!$C$36,'Calc_Mix'!$X$36=0,COUNTIFS(Esc_Turno,'Calc_Mix'!$C$36,Esc_Circ,$B59)+COUNTIFS(Esc_Turno,'Calc_Mix'!$C$36,Esc_Instr,$B59)&gt;0),"",IF(SUMPRODUCT('Calc_Mix'!$D$36:$W$36,'Matriz_Habilidades'!$D59:$W59)=0,"",SUMPRODUCT('Calc_Mix'!$D$36:$W$36,'Matriz_Habilidades'!$D59:$W59)/'Calc_Mix'!$X$36+ROW()*0.000001))</f>
        <v/>
      </c>
      <c r="AN59" s="34">
        <f>IF(OR($B59="",$C59&lt;&gt;"Ativo",$D59&lt;&gt;'Calc_Mix'!$C$37,'Calc_Mix'!$X$37=0,COUNTIFS(Esc_Turno,'Calc_Mix'!$C$37,Esc_Circ,$B59)+COUNTIFS(Esc_Turno,'Calc_Mix'!$C$37,Esc_Instr,$B59)&gt;0),"",IF(SUMPRODUCT('Calc_Mix'!$D$37:$W$37,'Matriz_Habilidades'!$D59:$W59)=0,"",SUMPRODUCT('Calc_Mix'!$D$37:$W$37,'Matriz_Habilidades'!$D59:$W59)/'Calc_Mix'!$X$37+ROW()*0.000001))</f>
        <v/>
      </c>
    </row>
    <row r="60">
      <c r="A60" s="27">
        <f>IF('Matriz_Habilidades'!A60="","",'Matriz_Habilidades'!A60)</f>
        <v/>
      </c>
      <c r="B60" s="28">
        <f>IF('Matriz_Habilidades'!B60="","",'Matriz_Habilidades'!B60)</f>
        <v/>
      </c>
      <c r="C60" s="27">
        <f>IF($A60="","",IFERROR(INDEX(Equipe_Status,MATCH($B60,Equipe_Nome,0)),"?"))</f>
        <v/>
      </c>
      <c r="D60" s="27">
        <f>IF($A60="","",IFERROR(INDEX(Equipe_Turno,MATCH($B60,Equipe_Nome,0)),"?"))</f>
        <v/>
      </c>
      <c r="E60" s="34">
        <f>IF(OR($B60="",$C60&lt;&gt;"Ativo",$D60&lt;&gt;'Calc_Mix'!$C$2,'Calc_Mix'!$X$2=0,COUNTIFS(Esc_Turno,'Calc_Mix'!$C$2,Esc_Circ,$B60)+COUNTIFS(Esc_Turno,'Calc_Mix'!$C$2,Esc_Instr,$B60)&gt;0),"",IF(SUMPRODUCT('Calc_Mix'!$D$2:$W$2,'Matriz_Habilidades'!$D60:$W60)=0,"",SUMPRODUCT('Calc_Mix'!$D$2:$W$2,'Matriz_Habilidades'!$D60:$W60)/'Calc_Mix'!$X$2+ROW()*0.000001))</f>
        <v/>
      </c>
      <c r="F60" s="34">
        <f>IF(OR($B60="",$C60&lt;&gt;"Ativo",$D60&lt;&gt;'Calc_Mix'!$C$3,'Calc_Mix'!$X$3=0,COUNTIFS(Esc_Turno,'Calc_Mix'!$C$3,Esc_Circ,$B60)+COUNTIFS(Esc_Turno,'Calc_Mix'!$C$3,Esc_Instr,$B60)&gt;0),"",IF(SUMPRODUCT('Calc_Mix'!$D$3:$W$3,'Matriz_Habilidades'!$D60:$W60)=0,"",SUMPRODUCT('Calc_Mix'!$D$3:$W$3,'Matriz_Habilidades'!$D60:$W60)/'Calc_Mix'!$X$3+ROW()*0.000001))</f>
        <v/>
      </c>
      <c r="G60" s="34">
        <f>IF(OR($B60="",$C60&lt;&gt;"Ativo",$D60&lt;&gt;'Calc_Mix'!$C$4,'Calc_Mix'!$X$4=0,COUNTIFS(Esc_Turno,'Calc_Mix'!$C$4,Esc_Circ,$B60)+COUNTIFS(Esc_Turno,'Calc_Mix'!$C$4,Esc_Instr,$B60)&gt;0),"",IF(SUMPRODUCT('Calc_Mix'!$D$4:$W$4,'Matriz_Habilidades'!$D60:$W60)=0,"",SUMPRODUCT('Calc_Mix'!$D$4:$W$4,'Matriz_Habilidades'!$D60:$W60)/'Calc_Mix'!$X$4+ROW()*0.000001))</f>
        <v/>
      </c>
      <c r="H60" s="34">
        <f>IF(OR($B60="",$C60&lt;&gt;"Ativo",$D60&lt;&gt;'Calc_Mix'!$C$5,'Calc_Mix'!$X$5=0,COUNTIFS(Esc_Turno,'Calc_Mix'!$C$5,Esc_Circ,$B60)+COUNTIFS(Esc_Turno,'Calc_Mix'!$C$5,Esc_Instr,$B60)&gt;0),"",IF(SUMPRODUCT('Calc_Mix'!$D$5:$W$5,'Matriz_Habilidades'!$D60:$W60)=0,"",SUMPRODUCT('Calc_Mix'!$D$5:$W$5,'Matriz_Habilidades'!$D60:$W60)/'Calc_Mix'!$X$5+ROW()*0.000001))</f>
        <v/>
      </c>
      <c r="I60" s="34">
        <f>IF(OR($B60="",$C60&lt;&gt;"Ativo",$D60&lt;&gt;'Calc_Mix'!$C$6,'Calc_Mix'!$X$6=0,COUNTIFS(Esc_Turno,'Calc_Mix'!$C$6,Esc_Circ,$B60)+COUNTIFS(Esc_Turno,'Calc_Mix'!$C$6,Esc_Instr,$B60)&gt;0),"",IF(SUMPRODUCT('Calc_Mix'!$D$6:$W$6,'Matriz_Habilidades'!$D60:$W60)=0,"",SUMPRODUCT('Calc_Mix'!$D$6:$W$6,'Matriz_Habilidades'!$D60:$W60)/'Calc_Mix'!$X$6+ROW()*0.000001))</f>
        <v/>
      </c>
      <c r="J60" s="34">
        <f>IF(OR($B60="",$C60&lt;&gt;"Ativo",$D60&lt;&gt;'Calc_Mix'!$C$7,'Calc_Mix'!$X$7=0,COUNTIFS(Esc_Turno,'Calc_Mix'!$C$7,Esc_Circ,$B60)+COUNTIFS(Esc_Turno,'Calc_Mix'!$C$7,Esc_Instr,$B60)&gt;0),"",IF(SUMPRODUCT('Calc_Mix'!$D$7:$W$7,'Matriz_Habilidades'!$D60:$W60)=0,"",SUMPRODUCT('Calc_Mix'!$D$7:$W$7,'Matriz_Habilidades'!$D60:$W60)/'Calc_Mix'!$X$7+ROW()*0.000001))</f>
        <v/>
      </c>
      <c r="K60" s="34">
        <f>IF(OR($B60="",$C60&lt;&gt;"Ativo",$D60&lt;&gt;'Calc_Mix'!$C$8,'Calc_Mix'!$X$8=0,COUNTIFS(Esc_Turno,'Calc_Mix'!$C$8,Esc_Circ,$B60)+COUNTIFS(Esc_Turno,'Calc_Mix'!$C$8,Esc_Instr,$B60)&gt;0),"",IF(SUMPRODUCT('Calc_Mix'!$D$8:$W$8,'Matriz_Habilidades'!$D60:$W60)=0,"",SUMPRODUCT('Calc_Mix'!$D$8:$W$8,'Matriz_Habilidades'!$D60:$W60)/'Calc_Mix'!$X$8+ROW()*0.000001))</f>
        <v/>
      </c>
      <c r="L60" s="34">
        <f>IF(OR($B60="",$C60&lt;&gt;"Ativo",$D60&lt;&gt;'Calc_Mix'!$C$9,'Calc_Mix'!$X$9=0,COUNTIFS(Esc_Turno,'Calc_Mix'!$C$9,Esc_Circ,$B60)+COUNTIFS(Esc_Turno,'Calc_Mix'!$C$9,Esc_Instr,$B60)&gt;0),"",IF(SUMPRODUCT('Calc_Mix'!$D$9:$W$9,'Matriz_Habilidades'!$D60:$W60)=0,"",SUMPRODUCT('Calc_Mix'!$D$9:$W$9,'Matriz_Habilidades'!$D60:$W60)/'Calc_Mix'!$X$9+ROW()*0.000001))</f>
        <v/>
      </c>
      <c r="M60" s="34">
        <f>IF(OR($B60="",$C60&lt;&gt;"Ativo",$D60&lt;&gt;'Calc_Mix'!$C$10,'Calc_Mix'!$X$10=0,COUNTIFS(Esc_Turno,'Calc_Mix'!$C$10,Esc_Circ,$B60)+COUNTIFS(Esc_Turno,'Calc_Mix'!$C$10,Esc_Instr,$B60)&gt;0),"",IF(SUMPRODUCT('Calc_Mix'!$D$10:$W$10,'Matriz_Habilidades'!$D60:$W60)=0,"",SUMPRODUCT('Calc_Mix'!$D$10:$W$10,'Matriz_Habilidades'!$D60:$W60)/'Calc_Mix'!$X$10+ROW()*0.000001))</f>
        <v/>
      </c>
      <c r="N60" s="34">
        <f>IF(OR($B60="",$C60&lt;&gt;"Ativo",$D60&lt;&gt;'Calc_Mix'!$C$11,'Calc_Mix'!$X$11=0,COUNTIFS(Esc_Turno,'Calc_Mix'!$C$11,Esc_Circ,$B60)+COUNTIFS(Esc_Turno,'Calc_Mix'!$C$11,Esc_Instr,$B60)&gt;0),"",IF(SUMPRODUCT('Calc_Mix'!$D$11:$W$11,'Matriz_Habilidades'!$D60:$W60)=0,"",SUMPRODUCT('Calc_Mix'!$D$11:$W$11,'Matriz_Habilidades'!$D60:$W60)/'Calc_Mix'!$X$11+ROW()*0.000001))</f>
        <v/>
      </c>
      <c r="O60" s="34">
        <f>IF(OR($B60="",$C60&lt;&gt;"Ativo",$D60&lt;&gt;'Calc_Mix'!$C$12,'Calc_Mix'!$X$12=0,COUNTIFS(Esc_Turno,'Calc_Mix'!$C$12,Esc_Circ,$B60)+COUNTIFS(Esc_Turno,'Calc_Mix'!$C$12,Esc_Instr,$B60)&gt;0),"",IF(SUMPRODUCT('Calc_Mix'!$D$12:$W$12,'Matriz_Habilidades'!$D60:$W60)=0,"",SUMPRODUCT('Calc_Mix'!$D$12:$W$12,'Matriz_Habilidades'!$D60:$W60)/'Calc_Mix'!$X$12+ROW()*0.000001))</f>
        <v/>
      </c>
      <c r="P60" s="34">
        <f>IF(OR($B60="",$C60&lt;&gt;"Ativo",$D60&lt;&gt;'Calc_Mix'!$C$13,'Calc_Mix'!$X$13=0,COUNTIFS(Esc_Turno,'Calc_Mix'!$C$13,Esc_Circ,$B60)+COUNTIFS(Esc_Turno,'Calc_Mix'!$C$13,Esc_Instr,$B60)&gt;0),"",IF(SUMPRODUCT('Calc_Mix'!$D$13:$W$13,'Matriz_Habilidades'!$D60:$W60)=0,"",SUMPRODUCT('Calc_Mix'!$D$13:$W$13,'Matriz_Habilidades'!$D60:$W60)/'Calc_Mix'!$X$13+ROW()*0.000001))</f>
        <v/>
      </c>
      <c r="Q60" s="34">
        <f>IF(OR($B60="",$C60&lt;&gt;"Ativo",$D60&lt;&gt;'Calc_Mix'!$C$14,'Calc_Mix'!$X$14=0,COUNTIFS(Esc_Turno,'Calc_Mix'!$C$14,Esc_Circ,$B60)+COUNTIFS(Esc_Turno,'Calc_Mix'!$C$14,Esc_Instr,$B60)&gt;0),"",IF(SUMPRODUCT('Calc_Mix'!$D$14:$W$14,'Matriz_Habilidades'!$D60:$W60)=0,"",SUMPRODUCT('Calc_Mix'!$D$14:$W$14,'Matriz_Habilidades'!$D60:$W60)/'Calc_Mix'!$X$14+ROW()*0.000001))</f>
        <v/>
      </c>
      <c r="R60" s="34">
        <f>IF(OR($B60="",$C60&lt;&gt;"Ativo",$D60&lt;&gt;'Calc_Mix'!$C$15,'Calc_Mix'!$X$15=0,COUNTIFS(Esc_Turno,'Calc_Mix'!$C$15,Esc_Circ,$B60)+COUNTIFS(Esc_Turno,'Calc_Mix'!$C$15,Esc_Instr,$B60)&gt;0),"",IF(SUMPRODUCT('Calc_Mix'!$D$15:$W$15,'Matriz_Habilidades'!$D60:$W60)=0,"",SUMPRODUCT('Calc_Mix'!$D$15:$W$15,'Matriz_Habilidades'!$D60:$W60)/'Calc_Mix'!$X$15+ROW()*0.000001))</f>
        <v/>
      </c>
      <c r="S60" s="34">
        <f>IF(OR($B60="",$C60&lt;&gt;"Ativo",$D60&lt;&gt;'Calc_Mix'!$C$16,'Calc_Mix'!$X$16=0,COUNTIFS(Esc_Turno,'Calc_Mix'!$C$16,Esc_Circ,$B60)+COUNTIFS(Esc_Turno,'Calc_Mix'!$C$16,Esc_Instr,$B60)&gt;0),"",IF(SUMPRODUCT('Calc_Mix'!$D$16:$W$16,'Matriz_Habilidades'!$D60:$W60)=0,"",SUMPRODUCT('Calc_Mix'!$D$16:$W$16,'Matriz_Habilidades'!$D60:$W60)/'Calc_Mix'!$X$16+ROW()*0.000001))</f>
        <v/>
      </c>
      <c r="T60" s="34">
        <f>IF(OR($B60="",$C60&lt;&gt;"Ativo",$D60&lt;&gt;'Calc_Mix'!$C$17,'Calc_Mix'!$X$17=0,COUNTIFS(Esc_Turno,'Calc_Mix'!$C$17,Esc_Circ,$B60)+COUNTIFS(Esc_Turno,'Calc_Mix'!$C$17,Esc_Instr,$B60)&gt;0),"",IF(SUMPRODUCT('Calc_Mix'!$D$17:$W$17,'Matriz_Habilidades'!$D60:$W60)=0,"",SUMPRODUCT('Calc_Mix'!$D$17:$W$17,'Matriz_Habilidades'!$D60:$W60)/'Calc_Mix'!$X$17+ROW()*0.000001))</f>
        <v/>
      </c>
      <c r="U60" s="34">
        <f>IF(OR($B60="",$C60&lt;&gt;"Ativo",$D60&lt;&gt;'Calc_Mix'!$C$18,'Calc_Mix'!$X$18=0,COUNTIFS(Esc_Turno,'Calc_Mix'!$C$18,Esc_Circ,$B60)+COUNTIFS(Esc_Turno,'Calc_Mix'!$C$18,Esc_Instr,$B60)&gt;0),"",IF(SUMPRODUCT('Calc_Mix'!$D$18:$W$18,'Matriz_Habilidades'!$D60:$W60)=0,"",SUMPRODUCT('Calc_Mix'!$D$18:$W$18,'Matriz_Habilidades'!$D60:$W60)/'Calc_Mix'!$X$18+ROW()*0.000001))</f>
        <v/>
      </c>
      <c r="V60" s="34">
        <f>IF(OR($B60="",$C60&lt;&gt;"Ativo",$D60&lt;&gt;'Calc_Mix'!$C$19,'Calc_Mix'!$X$19=0,COUNTIFS(Esc_Turno,'Calc_Mix'!$C$19,Esc_Circ,$B60)+COUNTIFS(Esc_Turno,'Calc_Mix'!$C$19,Esc_Instr,$B60)&gt;0),"",IF(SUMPRODUCT('Calc_Mix'!$D$19:$W$19,'Matriz_Habilidades'!$D60:$W60)=0,"",SUMPRODUCT('Calc_Mix'!$D$19:$W$19,'Matriz_Habilidades'!$D60:$W60)/'Calc_Mix'!$X$19+ROW()*0.000001))</f>
        <v/>
      </c>
      <c r="W60" s="34">
        <f>IF(OR($B60="",$C60&lt;&gt;"Ativo",$D60&lt;&gt;'Calc_Mix'!$C$20,'Calc_Mix'!$X$20=0,COUNTIFS(Esc_Turno,'Calc_Mix'!$C$20,Esc_Circ,$B60)+COUNTIFS(Esc_Turno,'Calc_Mix'!$C$20,Esc_Instr,$B60)&gt;0),"",IF(SUMPRODUCT('Calc_Mix'!$D$20:$W$20,'Matriz_Habilidades'!$D60:$W60)=0,"",SUMPRODUCT('Calc_Mix'!$D$20:$W$20,'Matriz_Habilidades'!$D60:$W60)/'Calc_Mix'!$X$20+ROW()*0.000001))</f>
        <v/>
      </c>
      <c r="X60" s="34">
        <f>IF(OR($B60="",$C60&lt;&gt;"Ativo",$D60&lt;&gt;'Calc_Mix'!$C$21,'Calc_Mix'!$X$21=0,COUNTIFS(Esc_Turno,'Calc_Mix'!$C$21,Esc_Circ,$B60)+COUNTIFS(Esc_Turno,'Calc_Mix'!$C$21,Esc_Instr,$B60)&gt;0),"",IF(SUMPRODUCT('Calc_Mix'!$D$21:$W$21,'Matriz_Habilidades'!$D60:$W60)=0,"",SUMPRODUCT('Calc_Mix'!$D$21:$W$21,'Matriz_Habilidades'!$D60:$W60)/'Calc_Mix'!$X$21+ROW()*0.000001))</f>
        <v/>
      </c>
      <c r="Y60" s="34">
        <f>IF(OR($B60="",$C60&lt;&gt;"Ativo",$D60&lt;&gt;'Calc_Mix'!$C$22,'Calc_Mix'!$X$22=0,COUNTIFS(Esc_Turno,'Calc_Mix'!$C$22,Esc_Circ,$B60)+COUNTIFS(Esc_Turno,'Calc_Mix'!$C$22,Esc_Instr,$B60)&gt;0),"",IF(SUMPRODUCT('Calc_Mix'!$D$22:$W$22,'Matriz_Habilidades'!$D60:$W60)=0,"",SUMPRODUCT('Calc_Mix'!$D$22:$W$22,'Matriz_Habilidades'!$D60:$W60)/'Calc_Mix'!$X$22+ROW()*0.000001))</f>
        <v/>
      </c>
      <c r="Z60" s="34">
        <f>IF(OR($B60="",$C60&lt;&gt;"Ativo",$D60&lt;&gt;'Calc_Mix'!$C$23,'Calc_Mix'!$X$23=0,COUNTIFS(Esc_Turno,'Calc_Mix'!$C$23,Esc_Circ,$B60)+COUNTIFS(Esc_Turno,'Calc_Mix'!$C$23,Esc_Instr,$B60)&gt;0),"",IF(SUMPRODUCT('Calc_Mix'!$D$23:$W$23,'Matriz_Habilidades'!$D60:$W60)=0,"",SUMPRODUCT('Calc_Mix'!$D$23:$W$23,'Matriz_Habilidades'!$D60:$W60)/'Calc_Mix'!$X$23+ROW()*0.000001))</f>
        <v/>
      </c>
      <c r="AA60" s="34">
        <f>IF(OR($B60="",$C60&lt;&gt;"Ativo",$D60&lt;&gt;'Calc_Mix'!$C$24,'Calc_Mix'!$X$24=0,COUNTIFS(Esc_Turno,'Calc_Mix'!$C$24,Esc_Circ,$B60)+COUNTIFS(Esc_Turno,'Calc_Mix'!$C$24,Esc_Instr,$B60)&gt;0),"",IF(SUMPRODUCT('Calc_Mix'!$D$24:$W$24,'Matriz_Habilidades'!$D60:$W60)=0,"",SUMPRODUCT('Calc_Mix'!$D$24:$W$24,'Matriz_Habilidades'!$D60:$W60)/'Calc_Mix'!$X$24+ROW()*0.000001))</f>
        <v/>
      </c>
      <c r="AB60" s="34">
        <f>IF(OR($B60="",$C60&lt;&gt;"Ativo",$D60&lt;&gt;'Calc_Mix'!$C$25,'Calc_Mix'!$X$25=0,COUNTIFS(Esc_Turno,'Calc_Mix'!$C$25,Esc_Circ,$B60)+COUNTIFS(Esc_Turno,'Calc_Mix'!$C$25,Esc_Instr,$B60)&gt;0),"",IF(SUMPRODUCT('Calc_Mix'!$D$25:$W$25,'Matriz_Habilidades'!$D60:$W60)=0,"",SUMPRODUCT('Calc_Mix'!$D$25:$W$25,'Matriz_Habilidades'!$D60:$W60)/'Calc_Mix'!$X$25+ROW()*0.000001))</f>
        <v/>
      </c>
      <c r="AC60" s="34">
        <f>IF(OR($B60="",$C60&lt;&gt;"Ativo",$D60&lt;&gt;'Calc_Mix'!$C$26,'Calc_Mix'!$X$26=0,COUNTIFS(Esc_Turno,'Calc_Mix'!$C$26,Esc_Circ,$B60)+COUNTIFS(Esc_Turno,'Calc_Mix'!$C$26,Esc_Instr,$B60)&gt;0),"",IF(SUMPRODUCT('Calc_Mix'!$D$26:$W$26,'Matriz_Habilidades'!$D60:$W60)=0,"",SUMPRODUCT('Calc_Mix'!$D$26:$W$26,'Matriz_Habilidades'!$D60:$W60)/'Calc_Mix'!$X$26+ROW()*0.000001))</f>
        <v/>
      </c>
      <c r="AD60" s="34">
        <f>IF(OR($B60="",$C60&lt;&gt;"Ativo",$D60&lt;&gt;'Calc_Mix'!$C$27,'Calc_Mix'!$X$27=0,COUNTIFS(Esc_Turno,'Calc_Mix'!$C$27,Esc_Circ,$B60)+COUNTIFS(Esc_Turno,'Calc_Mix'!$C$27,Esc_Instr,$B60)&gt;0),"",IF(SUMPRODUCT('Calc_Mix'!$D$27:$W$27,'Matriz_Habilidades'!$D60:$W60)=0,"",SUMPRODUCT('Calc_Mix'!$D$27:$W$27,'Matriz_Habilidades'!$D60:$W60)/'Calc_Mix'!$X$27+ROW()*0.000001))</f>
        <v/>
      </c>
      <c r="AE60" s="34">
        <f>IF(OR($B60="",$C60&lt;&gt;"Ativo",$D60&lt;&gt;'Calc_Mix'!$C$28,'Calc_Mix'!$X$28=0,COUNTIFS(Esc_Turno,'Calc_Mix'!$C$28,Esc_Circ,$B60)+COUNTIFS(Esc_Turno,'Calc_Mix'!$C$28,Esc_Instr,$B60)&gt;0),"",IF(SUMPRODUCT('Calc_Mix'!$D$28:$W$28,'Matriz_Habilidades'!$D60:$W60)=0,"",SUMPRODUCT('Calc_Mix'!$D$28:$W$28,'Matriz_Habilidades'!$D60:$W60)/'Calc_Mix'!$X$28+ROW()*0.000001))</f>
        <v/>
      </c>
      <c r="AF60" s="34">
        <f>IF(OR($B60="",$C60&lt;&gt;"Ativo",$D60&lt;&gt;'Calc_Mix'!$C$29,'Calc_Mix'!$X$29=0,COUNTIFS(Esc_Turno,'Calc_Mix'!$C$29,Esc_Circ,$B60)+COUNTIFS(Esc_Turno,'Calc_Mix'!$C$29,Esc_Instr,$B60)&gt;0),"",IF(SUMPRODUCT('Calc_Mix'!$D$29:$W$29,'Matriz_Habilidades'!$D60:$W60)=0,"",SUMPRODUCT('Calc_Mix'!$D$29:$W$29,'Matriz_Habilidades'!$D60:$W60)/'Calc_Mix'!$X$29+ROW()*0.000001))</f>
        <v/>
      </c>
      <c r="AG60" s="34">
        <f>IF(OR($B60="",$C60&lt;&gt;"Ativo",$D60&lt;&gt;'Calc_Mix'!$C$30,'Calc_Mix'!$X$30=0,COUNTIFS(Esc_Turno,'Calc_Mix'!$C$30,Esc_Circ,$B60)+COUNTIFS(Esc_Turno,'Calc_Mix'!$C$30,Esc_Instr,$B60)&gt;0),"",IF(SUMPRODUCT('Calc_Mix'!$D$30:$W$30,'Matriz_Habilidades'!$D60:$W60)=0,"",SUMPRODUCT('Calc_Mix'!$D$30:$W$30,'Matriz_Habilidades'!$D60:$W60)/'Calc_Mix'!$X$30+ROW()*0.000001))</f>
        <v/>
      </c>
      <c r="AH60" s="34">
        <f>IF(OR($B60="",$C60&lt;&gt;"Ativo",$D60&lt;&gt;'Calc_Mix'!$C$31,'Calc_Mix'!$X$31=0,COUNTIFS(Esc_Turno,'Calc_Mix'!$C$31,Esc_Circ,$B60)+COUNTIFS(Esc_Turno,'Calc_Mix'!$C$31,Esc_Instr,$B60)&gt;0),"",IF(SUMPRODUCT('Calc_Mix'!$D$31:$W$31,'Matriz_Habilidades'!$D60:$W60)=0,"",SUMPRODUCT('Calc_Mix'!$D$31:$W$31,'Matriz_Habilidades'!$D60:$W60)/'Calc_Mix'!$X$31+ROW()*0.000001))</f>
        <v/>
      </c>
      <c r="AI60" s="34">
        <f>IF(OR($B60="",$C60&lt;&gt;"Ativo",$D60&lt;&gt;'Calc_Mix'!$C$32,'Calc_Mix'!$X$32=0,COUNTIFS(Esc_Turno,'Calc_Mix'!$C$32,Esc_Circ,$B60)+COUNTIFS(Esc_Turno,'Calc_Mix'!$C$32,Esc_Instr,$B60)&gt;0),"",IF(SUMPRODUCT('Calc_Mix'!$D$32:$W$32,'Matriz_Habilidades'!$D60:$W60)=0,"",SUMPRODUCT('Calc_Mix'!$D$32:$W$32,'Matriz_Habilidades'!$D60:$W60)/'Calc_Mix'!$X$32+ROW()*0.000001))</f>
        <v/>
      </c>
      <c r="AJ60" s="34">
        <f>IF(OR($B60="",$C60&lt;&gt;"Ativo",$D60&lt;&gt;'Calc_Mix'!$C$33,'Calc_Mix'!$X$33=0,COUNTIFS(Esc_Turno,'Calc_Mix'!$C$33,Esc_Circ,$B60)+COUNTIFS(Esc_Turno,'Calc_Mix'!$C$33,Esc_Instr,$B60)&gt;0),"",IF(SUMPRODUCT('Calc_Mix'!$D$33:$W$33,'Matriz_Habilidades'!$D60:$W60)=0,"",SUMPRODUCT('Calc_Mix'!$D$33:$W$33,'Matriz_Habilidades'!$D60:$W60)/'Calc_Mix'!$X$33+ROW()*0.000001))</f>
        <v/>
      </c>
      <c r="AK60" s="34">
        <f>IF(OR($B60="",$C60&lt;&gt;"Ativo",$D60&lt;&gt;'Calc_Mix'!$C$34,'Calc_Mix'!$X$34=0,COUNTIFS(Esc_Turno,'Calc_Mix'!$C$34,Esc_Circ,$B60)+COUNTIFS(Esc_Turno,'Calc_Mix'!$C$34,Esc_Instr,$B60)&gt;0),"",IF(SUMPRODUCT('Calc_Mix'!$D$34:$W$34,'Matriz_Habilidades'!$D60:$W60)=0,"",SUMPRODUCT('Calc_Mix'!$D$34:$W$34,'Matriz_Habilidades'!$D60:$W60)/'Calc_Mix'!$X$34+ROW()*0.000001))</f>
        <v/>
      </c>
      <c r="AL60" s="34">
        <f>IF(OR($B60="",$C60&lt;&gt;"Ativo",$D60&lt;&gt;'Calc_Mix'!$C$35,'Calc_Mix'!$X$35=0,COUNTIFS(Esc_Turno,'Calc_Mix'!$C$35,Esc_Circ,$B60)+COUNTIFS(Esc_Turno,'Calc_Mix'!$C$35,Esc_Instr,$B60)&gt;0),"",IF(SUMPRODUCT('Calc_Mix'!$D$35:$W$35,'Matriz_Habilidades'!$D60:$W60)=0,"",SUMPRODUCT('Calc_Mix'!$D$35:$W$35,'Matriz_Habilidades'!$D60:$W60)/'Calc_Mix'!$X$35+ROW()*0.000001))</f>
        <v/>
      </c>
      <c r="AM60" s="34">
        <f>IF(OR($B60="",$C60&lt;&gt;"Ativo",$D60&lt;&gt;'Calc_Mix'!$C$36,'Calc_Mix'!$X$36=0,COUNTIFS(Esc_Turno,'Calc_Mix'!$C$36,Esc_Circ,$B60)+COUNTIFS(Esc_Turno,'Calc_Mix'!$C$36,Esc_Instr,$B60)&gt;0),"",IF(SUMPRODUCT('Calc_Mix'!$D$36:$W$36,'Matriz_Habilidades'!$D60:$W60)=0,"",SUMPRODUCT('Calc_Mix'!$D$36:$W$36,'Matriz_Habilidades'!$D60:$W60)/'Calc_Mix'!$X$36+ROW()*0.000001))</f>
        <v/>
      </c>
      <c r="AN60" s="34">
        <f>IF(OR($B60="",$C60&lt;&gt;"Ativo",$D60&lt;&gt;'Calc_Mix'!$C$37,'Calc_Mix'!$X$37=0,COUNTIFS(Esc_Turno,'Calc_Mix'!$C$37,Esc_Circ,$B60)+COUNTIFS(Esc_Turno,'Calc_Mix'!$C$37,Esc_Instr,$B60)&gt;0),"",IF(SUMPRODUCT('Calc_Mix'!$D$37:$W$37,'Matriz_Habilidades'!$D60:$W60)=0,"",SUMPRODUCT('Calc_Mix'!$D$37:$W$37,'Matriz_Habilidades'!$D60:$W60)/'Calc_Mix'!$X$37+ROW()*0.000001))</f>
        <v/>
      </c>
    </row>
    <row r="61">
      <c r="A61" s="27">
        <f>IF('Matriz_Habilidades'!A61="","",'Matriz_Habilidades'!A61)</f>
        <v/>
      </c>
      <c r="B61" s="28">
        <f>IF('Matriz_Habilidades'!B61="","",'Matriz_Habilidades'!B61)</f>
        <v/>
      </c>
      <c r="C61" s="27">
        <f>IF($A61="","",IFERROR(INDEX(Equipe_Status,MATCH($B61,Equipe_Nome,0)),"?"))</f>
        <v/>
      </c>
      <c r="D61" s="27">
        <f>IF($A61="","",IFERROR(INDEX(Equipe_Turno,MATCH($B61,Equipe_Nome,0)),"?"))</f>
        <v/>
      </c>
      <c r="E61" s="34">
        <f>IF(OR($B61="",$C61&lt;&gt;"Ativo",$D61&lt;&gt;'Calc_Mix'!$C$2,'Calc_Mix'!$X$2=0,COUNTIFS(Esc_Turno,'Calc_Mix'!$C$2,Esc_Circ,$B61)+COUNTIFS(Esc_Turno,'Calc_Mix'!$C$2,Esc_Instr,$B61)&gt;0),"",IF(SUMPRODUCT('Calc_Mix'!$D$2:$W$2,'Matriz_Habilidades'!$D61:$W61)=0,"",SUMPRODUCT('Calc_Mix'!$D$2:$W$2,'Matriz_Habilidades'!$D61:$W61)/'Calc_Mix'!$X$2+ROW()*0.000001))</f>
        <v/>
      </c>
      <c r="F61" s="34">
        <f>IF(OR($B61="",$C61&lt;&gt;"Ativo",$D61&lt;&gt;'Calc_Mix'!$C$3,'Calc_Mix'!$X$3=0,COUNTIFS(Esc_Turno,'Calc_Mix'!$C$3,Esc_Circ,$B61)+COUNTIFS(Esc_Turno,'Calc_Mix'!$C$3,Esc_Instr,$B61)&gt;0),"",IF(SUMPRODUCT('Calc_Mix'!$D$3:$W$3,'Matriz_Habilidades'!$D61:$W61)=0,"",SUMPRODUCT('Calc_Mix'!$D$3:$W$3,'Matriz_Habilidades'!$D61:$W61)/'Calc_Mix'!$X$3+ROW()*0.000001))</f>
        <v/>
      </c>
      <c r="G61" s="34">
        <f>IF(OR($B61="",$C61&lt;&gt;"Ativo",$D61&lt;&gt;'Calc_Mix'!$C$4,'Calc_Mix'!$X$4=0,COUNTIFS(Esc_Turno,'Calc_Mix'!$C$4,Esc_Circ,$B61)+COUNTIFS(Esc_Turno,'Calc_Mix'!$C$4,Esc_Instr,$B61)&gt;0),"",IF(SUMPRODUCT('Calc_Mix'!$D$4:$W$4,'Matriz_Habilidades'!$D61:$W61)=0,"",SUMPRODUCT('Calc_Mix'!$D$4:$W$4,'Matriz_Habilidades'!$D61:$W61)/'Calc_Mix'!$X$4+ROW()*0.000001))</f>
        <v/>
      </c>
      <c r="H61" s="34">
        <f>IF(OR($B61="",$C61&lt;&gt;"Ativo",$D61&lt;&gt;'Calc_Mix'!$C$5,'Calc_Mix'!$X$5=0,COUNTIFS(Esc_Turno,'Calc_Mix'!$C$5,Esc_Circ,$B61)+COUNTIFS(Esc_Turno,'Calc_Mix'!$C$5,Esc_Instr,$B61)&gt;0),"",IF(SUMPRODUCT('Calc_Mix'!$D$5:$W$5,'Matriz_Habilidades'!$D61:$W61)=0,"",SUMPRODUCT('Calc_Mix'!$D$5:$W$5,'Matriz_Habilidades'!$D61:$W61)/'Calc_Mix'!$X$5+ROW()*0.000001))</f>
        <v/>
      </c>
      <c r="I61" s="34">
        <f>IF(OR($B61="",$C61&lt;&gt;"Ativo",$D61&lt;&gt;'Calc_Mix'!$C$6,'Calc_Mix'!$X$6=0,COUNTIFS(Esc_Turno,'Calc_Mix'!$C$6,Esc_Circ,$B61)+COUNTIFS(Esc_Turno,'Calc_Mix'!$C$6,Esc_Instr,$B61)&gt;0),"",IF(SUMPRODUCT('Calc_Mix'!$D$6:$W$6,'Matriz_Habilidades'!$D61:$W61)=0,"",SUMPRODUCT('Calc_Mix'!$D$6:$W$6,'Matriz_Habilidades'!$D61:$W61)/'Calc_Mix'!$X$6+ROW()*0.000001))</f>
        <v/>
      </c>
      <c r="J61" s="34">
        <f>IF(OR($B61="",$C61&lt;&gt;"Ativo",$D61&lt;&gt;'Calc_Mix'!$C$7,'Calc_Mix'!$X$7=0,COUNTIFS(Esc_Turno,'Calc_Mix'!$C$7,Esc_Circ,$B61)+COUNTIFS(Esc_Turno,'Calc_Mix'!$C$7,Esc_Instr,$B61)&gt;0),"",IF(SUMPRODUCT('Calc_Mix'!$D$7:$W$7,'Matriz_Habilidades'!$D61:$W61)=0,"",SUMPRODUCT('Calc_Mix'!$D$7:$W$7,'Matriz_Habilidades'!$D61:$W61)/'Calc_Mix'!$X$7+ROW()*0.000001))</f>
        <v/>
      </c>
      <c r="K61" s="34">
        <f>IF(OR($B61="",$C61&lt;&gt;"Ativo",$D61&lt;&gt;'Calc_Mix'!$C$8,'Calc_Mix'!$X$8=0,COUNTIFS(Esc_Turno,'Calc_Mix'!$C$8,Esc_Circ,$B61)+COUNTIFS(Esc_Turno,'Calc_Mix'!$C$8,Esc_Instr,$B61)&gt;0),"",IF(SUMPRODUCT('Calc_Mix'!$D$8:$W$8,'Matriz_Habilidades'!$D61:$W61)=0,"",SUMPRODUCT('Calc_Mix'!$D$8:$W$8,'Matriz_Habilidades'!$D61:$W61)/'Calc_Mix'!$X$8+ROW()*0.000001))</f>
        <v/>
      </c>
      <c r="L61" s="34">
        <f>IF(OR($B61="",$C61&lt;&gt;"Ativo",$D61&lt;&gt;'Calc_Mix'!$C$9,'Calc_Mix'!$X$9=0,COUNTIFS(Esc_Turno,'Calc_Mix'!$C$9,Esc_Circ,$B61)+COUNTIFS(Esc_Turno,'Calc_Mix'!$C$9,Esc_Instr,$B61)&gt;0),"",IF(SUMPRODUCT('Calc_Mix'!$D$9:$W$9,'Matriz_Habilidades'!$D61:$W61)=0,"",SUMPRODUCT('Calc_Mix'!$D$9:$W$9,'Matriz_Habilidades'!$D61:$W61)/'Calc_Mix'!$X$9+ROW()*0.000001))</f>
        <v/>
      </c>
      <c r="M61" s="34">
        <f>IF(OR($B61="",$C61&lt;&gt;"Ativo",$D61&lt;&gt;'Calc_Mix'!$C$10,'Calc_Mix'!$X$10=0,COUNTIFS(Esc_Turno,'Calc_Mix'!$C$10,Esc_Circ,$B61)+COUNTIFS(Esc_Turno,'Calc_Mix'!$C$10,Esc_Instr,$B61)&gt;0),"",IF(SUMPRODUCT('Calc_Mix'!$D$10:$W$10,'Matriz_Habilidades'!$D61:$W61)=0,"",SUMPRODUCT('Calc_Mix'!$D$10:$W$10,'Matriz_Habilidades'!$D61:$W61)/'Calc_Mix'!$X$10+ROW()*0.000001))</f>
        <v/>
      </c>
      <c r="N61" s="34">
        <f>IF(OR($B61="",$C61&lt;&gt;"Ativo",$D61&lt;&gt;'Calc_Mix'!$C$11,'Calc_Mix'!$X$11=0,COUNTIFS(Esc_Turno,'Calc_Mix'!$C$11,Esc_Circ,$B61)+COUNTIFS(Esc_Turno,'Calc_Mix'!$C$11,Esc_Instr,$B61)&gt;0),"",IF(SUMPRODUCT('Calc_Mix'!$D$11:$W$11,'Matriz_Habilidades'!$D61:$W61)=0,"",SUMPRODUCT('Calc_Mix'!$D$11:$W$11,'Matriz_Habilidades'!$D61:$W61)/'Calc_Mix'!$X$11+ROW()*0.000001))</f>
        <v/>
      </c>
      <c r="O61" s="34">
        <f>IF(OR($B61="",$C61&lt;&gt;"Ativo",$D61&lt;&gt;'Calc_Mix'!$C$12,'Calc_Mix'!$X$12=0,COUNTIFS(Esc_Turno,'Calc_Mix'!$C$12,Esc_Circ,$B61)+COUNTIFS(Esc_Turno,'Calc_Mix'!$C$12,Esc_Instr,$B61)&gt;0),"",IF(SUMPRODUCT('Calc_Mix'!$D$12:$W$12,'Matriz_Habilidades'!$D61:$W61)=0,"",SUMPRODUCT('Calc_Mix'!$D$12:$W$12,'Matriz_Habilidades'!$D61:$W61)/'Calc_Mix'!$X$12+ROW()*0.000001))</f>
        <v/>
      </c>
      <c r="P61" s="34">
        <f>IF(OR($B61="",$C61&lt;&gt;"Ativo",$D61&lt;&gt;'Calc_Mix'!$C$13,'Calc_Mix'!$X$13=0,COUNTIFS(Esc_Turno,'Calc_Mix'!$C$13,Esc_Circ,$B61)+COUNTIFS(Esc_Turno,'Calc_Mix'!$C$13,Esc_Instr,$B61)&gt;0),"",IF(SUMPRODUCT('Calc_Mix'!$D$13:$W$13,'Matriz_Habilidades'!$D61:$W61)=0,"",SUMPRODUCT('Calc_Mix'!$D$13:$W$13,'Matriz_Habilidades'!$D61:$W61)/'Calc_Mix'!$X$13+ROW()*0.000001))</f>
        <v/>
      </c>
      <c r="Q61" s="34">
        <f>IF(OR($B61="",$C61&lt;&gt;"Ativo",$D61&lt;&gt;'Calc_Mix'!$C$14,'Calc_Mix'!$X$14=0,COUNTIFS(Esc_Turno,'Calc_Mix'!$C$14,Esc_Circ,$B61)+COUNTIFS(Esc_Turno,'Calc_Mix'!$C$14,Esc_Instr,$B61)&gt;0),"",IF(SUMPRODUCT('Calc_Mix'!$D$14:$W$14,'Matriz_Habilidades'!$D61:$W61)=0,"",SUMPRODUCT('Calc_Mix'!$D$14:$W$14,'Matriz_Habilidades'!$D61:$W61)/'Calc_Mix'!$X$14+ROW()*0.000001))</f>
        <v/>
      </c>
      <c r="R61" s="34">
        <f>IF(OR($B61="",$C61&lt;&gt;"Ativo",$D61&lt;&gt;'Calc_Mix'!$C$15,'Calc_Mix'!$X$15=0,COUNTIFS(Esc_Turno,'Calc_Mix'!$C$15,Esc_Circ,$B61)+COUNTIFS(Esc_Turno,'Calc_Mix'!$C$15,Esc_Instr,$B61)&gt;0),"",IF(SUMPRODUCT('Calc_Mix'!$D$15:$W$15,'Matriz_Habilidades'!$D61:$W61)=0,"",SUMPRODUCT('Calc_Mix'!$D$15:$W$15,'Matriz_Habilidades'!$D61:$W61)/'Calc_Mix'!$X$15+ROW()*0.000001))</f>
        <v/>
      </c>
      <c r="S61" s="34">
        <f>IF(OR($B61="",$C61&lt;&gt;"Ativo",$D61&lt;&gt;'Calc_Mix'!$C$16,'Calc_Mix'!$X$16=0,COUNTIFS(Esc_Turno,'Calc_Mix'!$C$16,Esc_Circ,$B61)+COUNTIFS(Esc_Turno,'Calc_Mix'!$C$16,Esc_Instr,$B61)&gt;0),"",IF(SUMPRODUCT('Calc_Mix'!$D$16:$W$16,'Matriz_Habilidades'!$D61:$W61)=0,"",SUMPRODUCT('Calc_Mix'!$D$16:$W$16,'Matriz_Habilidades'!$D61:$W61)/'Calc_Mix'!$X$16+ROW()*0.000001))</f>
        <v/>
      </c>
      <c r="T61" s="34">
        <f>IF(OR($B61="",$C61&lt;&gt;"Ativo",$D61&lt;&gt;'Calc_Mix'!$C$17,'Calc_Mix'!$X$17=0,COUNTIFS(Esc_Turno,'Calc_Mix'!$C$17,Esc_Circ,$B61)+COUNTIFS(Esc_Turno,'Calc_Mix'!$C$17,Esc_Instr,$B61)&gt;0),"",IF(SUMPRODUCT('Calc_Mix'!$D$17:$W$17,'Matriz_Habilidades'!$D61:$W61)=0,"",SUMPRODUCT('Calc_Mix'!$D$17:$W$17,'Matriz_Habilidades'!$D61:$W61)/'Calc_Mix'!$X$17+ROW()*0.000001))</f>
        <v/>
      </c>
      <c r="U61" s="34">
        <f>IF(OR($B61="",$C61&lt;&gt;"Ativo",$D61&lt;&gt;'Calc_Mix'!$C$18,'Calc_Mix'!$X$18=0,COUNTIFS(Esc_Turno,'Calc_Mix'!$C$18,Esc_Circ,$B61)+COUNTIFS(Esc_Turno,'Calc_Mix'!$C$18,Esc_Instr,$B61)&gt;0),"",IF(SUMPRODUCT('Calc_Mix'!$D$18:$W$18,'Matriz_Habilidades'!$D61:$W61)=0,"",SUMPRODUCT('Calc_Mix'!$D$18:$W$18,'Matriz_Habilidades'!$D61:$W61)/'Calc_Mix'!$X$18+ROW()*0.000001))</f>
        <v/>
      </c>
      <c r="V61" s="34">
        <f>IF(OR($B61="",$C61&lt;&gt;"Ativo",$D61&lt;&gt;'Calc_Mix'!$C$19,'Calc_Mix'!$X$19=0,COUNTIFS(Esc_Turno,'Calc_Mix'!$C$19,Esc_Circ,$B61)+COUNTIFS(Esc_Turno,'Calc_Mix'!$C$19,Esc_Instr,$B61)&gt;0),"",IF(SUMPRODUCT('Calc_Mix'!$D$19:$W$19,'Matriz_Habilidades'!$D61:$W61)=0,"",SUMPRODUCT('Calc_Mix'!$D$19:$W$19,'Matriz_Habilidades'!$D61:$W61)/'Calc_Mix'!$X$19+ROW()*0.000001))</f>
        <v/>
      </c>
      <c r="W61" s="34">
        <f>IF(OR($B61="",$C61&lt;&gt;"Ativo",$D61&lt;&gt;'Calc_Mix'!$C$20,'Calc_Mix'!$X$20=0,COUNTIFS(Esc_Turno,'Calc_Mix'!$C$20,Esc_Circ,$B61)+COUNTIFS(Esc_Turno,'Calc_Mix'!$C$20,Esc_Instr,$B61)&gt;0),"",IF(SUMPRODUCT('Calc_Mix'!$D$20:$W$20,'Matriz_Habilidades'!$D61:$W61)=0,"",SUMPRODUCT('Calc_Mix'!$D$20:$W$20,'Matriz_Habilidades'!$D61:$W61)/'Calc_Mix'!$X$20+ROW()*0.000001))</f>
        <v/>
      </c>
      <c r="X61" s="34">
        <f>IF(OR($B61="",$C61&lt;&gt;"Ativo",$D61&lt;&gt;'Calc_Mix'!$C$21,'Calc_Mix'!$X$21=0,COUNTIFS(Esc_Turno,'Calc_Mix'!$C$21,Esc_Circ,$B61)+COUNTIFS(Esc_Turno,'Calc_Mix'!$C$21,Esc_Instr,$B61)&gt;0),"",IF(SUMPRODUCT('Calc_Mix'!$D$21:$W$21,'Matriz_Habilidades'!$D61:$W61)=0,"",SUMPRODUCT('Calc_Mix'!$D$21:$W$21,'Matriz_Habilidades'!$D61:$W61)/'Calc_Mix'!$X$21+ROW()*0.000001))</f>
        <v/>
      </c>
      <c r="Y61" s="34">
        <f>IF(OR($B61="",$C61&lt;&gt;"Ativo",$D61&lt;&gt;'Calc_Mix'!$C$22,'Calc_Mix'!$X$22=0,COUNTIFS(Esc_Turno,'Calc_Mix'!$C$22,Esc_Circ,$B61)+COUNTIFS(Esc_Turno,'Calc_Mix'!$C$22,Esc_Instr,$B61)&gt;0),"",IF(SUMPRODUCT('Calc_Mix'!$D$22:$W$22,'Matriz_Habilidades'!$D61:$W61)=0,"",SUMPRODUCT('Calc_Mix'!$D$22:$W$22,'Matriz_Habilidades'!$D61:$W61)/'Calc_Mix'!$X$22+ROW()*0.000001))</f>
        <v/>
      </c>
      <c r="Z61" s="34">
        <f>IF(OR($B61="",$C61&lt;&gt;"Ativo",$D61&lt;&gt;'Calc_Mix'!$C$23,'Calc_Mix'!$X$23=0,COUNTIFS(Esc_Turno,'Calc_Mix'!$C$23,Esc_Circ,$B61)+COUNTIFS(Esc_Turno,'Calc_Mix'!$C$23,Esc_Instr,$B61)&gt;0),"",IF(SUMPRODUCT('Calc_Mix'!$D$23:$W$23,'Matriz_Habilidades'!$D61:$W61)=0,"",SUMPRODUCT('Calc_Mix'!$D$23:$W$23,'Matriz_Habilidades'!$D61:$W61)/'Calc_Mix'!$X$23+ROW()*0.000001))</f>
        <v/>
      </c>
      <c r="AA61" s="34">
        <f>IF(OR($B61="",$C61&lt;&gt;"Ativo",$D61&lt;&gt;'Calc_Mix'!$C$24,'Calc_Mix'!$X$24=0,COUNTIFS(Esc_Turno,'Calc_Mix'!$C$24,Esc_Circ,$B61)+COUNTIFS(Esc_Turno,'Calc_Mix'!$C$24,Esc_Instr,$B61)&gt;0),"",IF(SUMPRODUCT('Calc_Mix'!$D$24:$W$24,'Matriz_Habilidades'!$D61:$W61)=0,"",SUMPRODUCT('Calc_Mix'!$D$24:$W$24,'Matriz_Habilidades'!$D61:$W61)/'Calc_Mix'!$X$24+ROW()*0.000001))</f>
        <v/>
      </c>
      <c r="AB61" s="34">
        <f>IF(OR($B61="",$C61&lt;&gt;"Ativo",$D61&lt;&gt;'Calc_Mix'!$C$25,'Calc_Mix'!$X$25=0,COUNTIFS(Esc_Turno,'Calc_Mix'!$C$25,Esc_Circ,$B61)+COUNTIFS(Esc_Turno,'Calc_Mix'!$C$25,Esc_Instr,$B61)&gt;0),"",IF(SUMPRODUCT('Calc_Mix'!$D$25:$W$25,'Matriz_Habilidades'!$D61:$W61)=0,"",SUMPRODUCT('Calc_Mix'!$D$25:$W$25,'Matriz_Habilidades'!$D61:$W61)/'Calc_Mix'!$X$25+ROW()*0.000001))</f>
        <v/>
      </c>
      <c r="AC61" s="34">
        <f>IF(OR($B61="",$C61&lt;&gt;"Ativo",$D61&lt;&gt;'Calc_Mix'!$C$26,'Calc_Mix'!$X$26=0,COUNTIFS(Esc_Turno,'Calc_Mix'!$C$26,Esc_Circ,$B61)+COUNTIFS(Esc_Turno,'Calc_Mix'!$C$26,Esc_Instr,$B61)&gt;0),"",IF(SUMPRODUCT('Calc_Mix'!$D$26:$W$26,'Matriz_Habilidades'!$D61:$W61)=0,"",SUMPRODUCT('Calc_Mix'!$D$26:$W$26,'Matriz_Habilidades'!$D61:$W61)/'Calc_Mix'!$X$26+ROW()*0.000001))</f>
        <v/>
      </c>
      <c r="AD61" s="34">
        <f>IF(OR($B61="",$C61&lt;&gt;"Ativo",$D61&lt;&gt;'Calc_Mix'!$C$27,'Calc_Mix'!$X$27=0,COUNTIFS(Esc_Turno,'Calc_Mix'!$C$27,Esc_Circ,$B61)+COUNTIFS(Esc_Turno,'Calc_Mix'!$C$27,Esc_Instr,$B61)&gt;0),"",IF(SUMPRODUCT('Calc_Mix'!$D$27:$W$27,'Matriz_Habilidades'!$D61:$W61)=0,"",SUMPRODUCT('Calc_Mix'!$D$27:$W$27,'Matriz_Habilidades'!$D61:$W61)/'Calc_Mix'!$X$27+ROW()*0.000001))</f>
        <v/>
      </c>
      <c r="AE61" s="34">
        <f>IF(OR($B61="",$C61&lt;&gt;"Ativo",$D61&lt;&gt;'Calc_Mix'!$C$28,'Calc_Mix'!$X$28=0,COUNTIFS(Esc_Turno,'Calc_Mix'!$C$28,Esc_Circ,$B61)+COUNTIFS(Esc_Turno,'Calc_Mix'!$C$28,Esc_Instr,$B61)&gt;0),"",IF(SUMPRODUCT('Calc_Mix'!$D$28:$W$28,'Matriz_Habilidades'!$D61:$W61)=0,"",SUMPRODUCT('Calc_Mix'!$D$28:$W$28,'Matriz_Habilidades'!$D61:$W61)/'Calc_Mix'!$X$28+ROW()*0.000001))</f>
        <v/>
      </c>
      <c r="AF61" s="34">
        <f>IF(OR($B61="",$C61&lt;&gt;"Ativo",$D61&lt;&gt;'Calc_Mix'!$C$29,'Calc_Mix'!$X$29=0,COUNTIFS(Esc_Turno,'Calc_Mix'!$C$29,Esc_Circ,$B61)+COUNTIFS(Esc_Turno,'Calc_Mix'!$C$29,Esc_Instr,$B61)&gt;0),"",IF(SUMPRODUCT('Calc_Mix'!$D$29:$W$29,'Matriz_Habilidades'!$D61:$W61)=0,"",SUMPRODUCT('Calc_Mix'!$D$29:$W$29,'Matriz_Habilidades'!$D61:$W61)/'Calc_Mix'!$X$29+ROW()*0.000001))</f>
        <v/>
      </c>
      <c r="AG61" s="34">
        <f>IF(OR($B61="",$C61&lt;&gt;"Ativo",$D61&lt;&gt;'Calc_Mix'!$C$30,'Calc_Mix'!$X$30=0,COUNTIFS(Esc_Turno,'Calc_Mix'!$C$30,Esc_Circ,$B61)+COUNTIFS(Esc_Turno,'Calc_Mix'!$C$30,Esc_Instr,$B61)&gt;0),"",IF(SUMPRODUCT('Calc_Mix'!$D$30:$W$30,'Matriz_Habilidades'!$D61:$W61)=0,"",SUMPRODUCT('Calc_Mix'!$D$30:$W$30,'Matriz_Habilidades'!$D61:$W61)/'Calc_Mix'!$X$30+ROW()*0.000001))</f>
        <v/>
      </c>
      <c r="AH61" s="34">
        <f>IF(OR($B61="",$C61&lt;&gt;"Ativo",$D61&lt;&gt;'Calc_Mix'!$C$31,'Calc_Mix'!$X$31=0,COUNTIFS(Esc_Turno,'Calc_Mix'!$C$31,Esc_Circ,$B61)+COUNTIFS(Esc_Turno,'Calc_Mix'!$C$31,Esc_Instr,$B61)&gt;0),"",IF(SUMPRODUCT('Calc_Mix'!$D$31:$W$31,'Matriz_Habilidades'!$D61:$W61)=0,"",SUMPRODUCT('Calc_Mix'!$D$31:$W$31,'Matriz_Habilidades'!$D61:$W61)/'Calc_Mix'!$X$31+ROW()*0.000001))</f>
        <v/>
      </c>
      <c r="AI61" s="34">
        <f>IF(OR($B61="",$C61&lt;&gt;"Ativo",$D61&lt;&gt;'Calc_Mix'!$C$32,'Calc_Mix'!$X$32=0,COUNTIFS(Esc_Turno,'Calc_Mix'!$C$32,Esc_Circ,$B61)+COUNTIFS(Esc_Turno,'Calc_Mix'!$C$32,Esc_Instr,$B61)&gt;0),"",IF(SUMPRODUCT('Calc_Mix'!$D$32:$W$32,'Matriz_Habilidades'!$D61:$W61)=0,"",SUMPRODUCT('Calc_Mix'!$D$32:$W$32,'Matriz_Habilidades'!$D61:$W61)/'Calc_Mix'!$X$32+ROW()*0.000001))</f>
        <v/>
      </c>
      <c r="AJ61" s="34">
        <f>IF(OR($B61="",$C61&lt;&gt;"Ativo",$D61&lt;&gt;'Calc_Mix'!$C$33,'Calc_Mix'!$X$33=0,COUNTIFS(Esc_Turno,'Calc_Mix'!$C$33,Esc_Circ,$B61)+COUNTIFS(Esc_Turno,'Calc_Mix'!$C$33,Esc_Instr,$B61)&gt;0),"",IF(SUMPRODUCT('Calc_Mix'!$D$33:$W$33,'Matriz_Habilidades'!$D61:$W61)=0,"",SUMPRODUCT('Calc_Mix'!$D$33:$W$33,'Matriz_Habilidades'!$D61:$W61)/'Calc_Mix'!$X$33+ROW()*0.000001))</f>
        <v/>
      </c>
      <c r="AK61" s="34">
        <f>IF(OR($B61="",$C61&lt;&gt;"Ativo",$D61&lt;&gt;'Calc_Mix'!$C$34,'Calc_Mix'!$X$34=0,COUNTIFS(Esc_Turno,'Calc_Mix'!$C$34,Esc_Circ,$B61)+COUNTIFS(Esc_Turno,'Calc_Mix'!$C$34,Esc_Instr,$B61)&gt;0),"",IF(SUMPRODUCT('Calc_Mix'!$D$34:$W$34,'Matriz_Habilidades'!$D61:$W61)=0,"",SUMPRODUCT('Calc_Mix'!$D$34:$W$34,'Matriz_Habilidades'!$D61:$W61)/'Calc_Mix'!$X$34+ROW()*0.000001))</f>
        <v/>
      </c>
      <c r="AL61" s="34">
        <f>IF(OR($B61="",$C61&lt;&gt;"Ativo",$D61&lt;&gt;'Calc_Mix'!$C$35,'Calc_Mix'!$X$35=0,COUNTIFS(Esc_Turno,'Calc_Mix'!$C$35,Esc_Circ,$B61)+COUNTIFS(Esc_Turno,'Calc_Mix'!$C$35,Esc_Instr,$B61)&gt;0),"",IF(SUMPRODUCT('Calc_Mix'!$D$35:$W$35,'Matriz_Habilidades'!$D61:$W61)=0,"",SUMPRODUCT('Calc_Mix'!$D$35:$W$35,'Matriz_Habilidades'!$D61:$W61)/'Calc_Mix'!$X$35+ROW()*0.000001))</f>
        <v/>
      </c>
      <c r="AM61" s="34">
        <f>IF(OR($B61="",$C61&lt;&gt;"Ativo",$D61&lt;&gt;'Calc_Mix'!$C$36,'Calc_Mix'!$X$36=0,COUNTIFS(Esc_Turno,'Calc_Mix'!$C$36,Esc_Circ,$B61)+COUNTIFS(Esc_Turno,'Calc_Mix'!$C$36,Esc_Instr,$B61)&gt;0),"",IF(SUMPRODUCT('Calc_Mix'!$D$36:$W$36,'Matriz_Habilidades'!$D61:$W61)=0,"",SUMPRODUCT('Calc_Mix'!$D$36:$W$36,'Matriz_Habilidades'!$D61:$W61)/'Calc_Mix'!$X$36+ROW()*0.000001))</f>
        <v/>
      </c>
      <c r="AN61" s="34">
        <f>IF(OR($B61="",$C61&lt;&gt;"Ativo",$D61&lt;&gt;'Calc_Mix'!$C$37,'Calc_Mix'!$X$37=0,COUNTIFS(Esc_Turno,'Calc_Mix'!$C$37,Esc_Circ,$B61)+COUNTIFS(Esc_Turno,'Calc_Mix'!$C$37,Esc_Instr,$B61)&gt;0),"",IF(SUMPRODUCT('Calc_Mix'!$D$37:$W$37,'Matriz_Habilidades'!$D61:$W61)=0,"",SUMPRODUCT('Calc_Mix'!$D$37:$W$37,'Matriz_Habilidades'!$D61:$W61)/'Calc_Mix'!$X$37+ROW()*0.000001))</f>
        <v/>
      </c>
    </row>
    <row r="62">
      <c r="A62" s="27">
        <f>IF('Matriz_Habilidades'!A62="","",'Matriz_Habilidades'!A62)</f>
        <v/>
      </c>
      <c r="B62" s="28">
        <f>IF('Matriz_Habilidades'!B62="","",'Matriz_Habilidades'!B62)</f>
        <v/>
      </c>
      <c r="C62" s="27">
        <f>IF($A62="","",IFERROR(INDEX(Equipe_Status,MATCH($B62,Equipe_Nome,0)),"?"))</f>
        <v/>
      </c>
      <c r="D62" s="27">
        <f>IF($A62="","",IFERROR(INDEX(Equipe_Turno,MATCH($B62,Equipe_Nome,0)),"?"))</f>
        <v/>
      </c>
      <c r="E62" s="34">
        <f>IF(OR($B62="",$C62&lt;&gt;"Ativo",$D62&lt;&gt;'Calc_Mix'!$C$2,'Calc_Mix'!$X$2=0,COUNTIFS(Esc_Turno,'Calc_Mix'!$C$2,Esc_Circ,$B62)+COUNTIFS(Esc_Turno,'Calc_Mix'!$C$2,Esc_Instr,$B62)&gt;0),"",IF(SUMPRODUCT('Calc_Mix'!$D$2:$W$2,'Matriz_Habilidades'!$D62:$W62)=0,"",SUMPRODUCT('Calc_Mix'!$D$2:$W$2,'Matriz_Habilidades'!$D62:$W62)/'Calc_Mix'!$X$2+ROW()*0.000001))</f>
        <v/>
      </c>
      <c r="F62" s="34">
        <f>IF(OR($B62="",$C62&lt;&gt;"Ativo",$D62&lt;&gt;'Calc_Mix'!$C$3,'Calc_Mix'!$X$3=0,COUNTIFS(Esc_Turno,'Calc_Mix'!$C$3,Esc_Circ,$B62)+COUNTIFS(Esc_Turno,'Calc_Mix'!$C$3,Esc_Instr,$B62)&gt;0),"",IF(SUMPRODUCT('Calc_Mix'!$D$3:$W$3,'Matriz_Habilidades'!$D62:$W62)=0,"",SUMPRODUCT('Calc_Mix'!$D$3:$W$3,'Matriz_Habilidades'!$D62:$W62)/'Calc_Mix'!$X$3+ROW()*0.000001))</f>
        <v/>
      </c>
      <c r="G62" s="34">
        <f>IF(OR($B62="",$C62&lt;&gt;"Ativo",$D62&lt;&gt;'Calc_Mix'!$C$4,'Calc_Mix'!$X$4=0,COUNTIFS(Esc_Turno,'Calc_Mix'!$C$4,Esc_Circ,$B62)+COUNTIFS(Esc_Turno,'Calc_Mix'!$C$4,Esc_Instr,$B62)&gt;0),"",IF(SUMPRODUCT('Calc_Mix'!$D$4:$W$4,'Matriz_Habilidades'!$D62:$W62)=0,"",SUMPRODUCT('Calc_Mix'!$D$4:$W$4,'Matriz_Habilidades'!$D62:$W62)/'Calc_Mix'!$X$4+ROW()*0.000001))</f>
        <v/>
      </c>
      <c r="H62" s="34">
        <f>IF(OR($B62="",$C62&lt;&gt;"Ativo",$D62&lt;&gt;'Calc_Mix'!$C$5,'Calc_Mix'!$X$5=0,COUNTIFS(Esc_Turno,'Calc_Mix'!$C$5,Esc_Circ,$B62)+COUNTIFS(Esc_Turno,'Calc_Mix'!$C$5,Esc_Instr,$B62)&gt;0),"",IF(SUMPRODUCT('Calc_Mix'!$D$5:$W$5,'Matriz_Habilidades'!$D62:$W62)=0,"",SUMPRODUCT('Calc_Mix'!$D$5:$W$5,'Matriz_Habilidades'!$D62:$W62)/'Calc_Mix'!$X$5+ROW()*0.000001))</f>
        <v/>
      </c>
      <c r="I62" s="34">
        <f>IF(OR($B62="",$C62&lt;&gt;"Ativo",$D62&lt;&gt;'Calc_Mix'!$C$6,'Calc_Mix'!$X$6=0,COUNTIFS(Esc_Turno,'Calc_Mix'!$C$6,Esc_Circ,$B62)+COUNTIFS(Esc_Turno,'Calc_Mix'!$C$6,Esc_Instr,$B62)&gt;0),"",IF(SUMPRODUCT('Calc_Mix'!$D$6:$W$6,'Matriz_Habilidades'!$D62:$W62)=0,"",SUMPRODUCT('Calc_Mix'!$D$6:$W$6,'Matriz_Habilidades'!$D62:$W62)/'Calc_Mix'!$X$6+ROW()*0.000001))</f>
        <v/>
      </c>
      <c r="J62" s="34">
        <f>IF(OR($B62="",$C62&lt;&gt;"Ativo",$D62&lt;&gt;'Calc_Mix'!$C$7,'Calc_Mix'!$X$7=0,COUNTIFS(Esc_Turno,'Calc_Mix'!$C$7,Esc_Circ,$B62)+COUNTIFS(Esc_Turno,'Calc_Mix'!$C$7,Esc_Instr,$B62)&gt;0),"",IF(SUMPRODUCT('Calc_Mix'!$D$7:$W$7,'Matriz_Habilidades'!$D62:$W62)=0,"",SUMPRODUCT('Calc_Mix'!$D$7:$W$7,'Matriz_Habilidades'!$D62:$W62)/'Calc_Mix'!$X$7+ROW()*0.000001))</f>
        <v/>
      </c>
      <c r="K62" s="34">
        <f>IF(OR($B62="",$C62&lt;&gt;"Ativo",$D62&lt;&gt;'Calc_Mix'!$C$8,'Calc_Mix'!$X$8=0,COUNTIFS(Esc_Turno,'Calc_Mix'!$C$8,Esc_Circ,$B62)+COUNTIFS(Esc_Turno,'Calc_Mix'!$C$8,Esc_Instr,$B62)&gt;0),"",IF(SUMPRODUCT('Calc_Mix'!$D$8:$W$8,'Matriz_Habilidades'!$D62:$W62)=0,"",SUMPRODUCT('Calc_Mix'!$D$8:$W$8,'Matriz_Habilidades'!$D62:$W62)/'Calc_Mix'!$X$8+ROW()*0.000001))</f>
        <v/>
      </c>
      <c r="L62" s="34">
        <f>IF(OR($B62="",$C62&lt;&gt;"Ativo",$D62&lt;&gt;'Calc_Mix'!$C$9,'Calc_Mix'!$X$9=0,COUNTIFS(Esc_Turno,'Calc_Mix'!$C$9,Esc_Circ,$B62)+COUNTIFS(Esc_Turno,'Calc_Mix'!$C$9,Esc_Instr,$B62)&gt;0),"",IF(SUMPRODUCT('Calc_Mix'!$D$9:$W$9,'Matriz_Habilidades'!$D62:$W62)=0,"",SUMPRODUCT('Calc_Mix'!$D$9:$W$9,'Matriz_Habilidades'!$D62:$W62)/'Calc_Mix'!$X$9+ROW()*0.000001))</f>
        <v/>
      </c>
      <c r="M62" s="34">
        <f>IF(OR($B62="",$C62&lt;&gt;"Ativo",$D62&lt;&gt;'Calc_Mix'!$C$10,'Calc_Mix'!$X$10=0,COUNTIFS(Esc_Turno,'Calc_Mix'!$C$10,Esc_Circ,$B62)+COUNTIFS(Esc_Turno,'Calc_Mix'!$C$10,Esc_Instr,$B62)&gt;0),"",IF(SUMPRODUCT('Calc_Mix'!$D$10:$W$10,'Matriz_Habilidades'!$D62:$W62)=0,"",SUMPRODUCT('Calc_Mix'!$D$10:$W$10,'Matriz_Habilidades'!$D62:$W62)/'Calc_Mix'!$X$10+ROW()*0.000001))</f>
        <v/>
      </c>
      <c r="N62" s="34">
        <f>IF(OR($B62="",$C62&lt;&gt;"Ativo",$D62&lt;&gt;'Calc_Mix'!$C$11,'Calc_Mix'!$X$11=0,COUNTIFS(Esc_Turno,'Calc_Mix'!$C$11,Esc_Circ,$B62)+COUNTIFS(Esc_Turno,'Calc_Mix'!$C$11,Esc_Instr,$B62)&gt;0),"",IF(SUMPRODUCT('Calc_Mix'!$D$11:$W$11,'Matriz_Habilidades'!$D62:$W62)=0,"",SUMPRODUCT('Calc_Mix'!$D$11:$W$11,'Matriz_Habilidades'!$D62:$W62)/'Calc_Mix'!$X$11+ROW()*0.000001))</f>
        <v/>
      </c>
      <c r="O62" s="34">
        <f>IF(OR($B62="",$C62&lt;&gt;"Ativo",$D62&lt;&gt;'Calc_Mix'!$C$12,'Calc_Mix'!$X$12=0,COUNTIFS(Esc_Turno,'Calc_Mix'!$C$12,Esc_Circ,$B62)+COUNTIFS(Esc_Turno,'Calc_Mix'!$C$12,Esc_Instr,$B62)&gt;0),"",IF(SUMPRODUCT('Calc_Mix'!$D$12:$W$12,'Matriz_Habilidades'!$D62:$W62)=0,"",SUMPRODUCT('Calc_Mix'!$D$12:$W$12,'Matriz_Habilidades'!$D62:$W62)/'Calc_Mix'!$X$12+ROW()*0.000001))</f>
        <v/>
      </c>
      <c r="P62" s="34">
        <f>IF(OR($B62="",$C62&lt;&gt;"Ativo",$D62&lt;&gt;'Calc_Mix'!$C$13,'Calc_Mix'!$X$13=0,COUNTIFS(Esc_Turno,'Calc_Mix'!$C$13,Esc_Circ,$B62)+COUNTIFS(Esc_Turno,'Calc_Mix'!$C$13,Esc_Instr,$B62)&gt;0),"",IF(SUMPRODUCT('Calc_Mix'!$D$13:$W$13,'Matriz_Habilidades'!$D62:$W62)=0,"",SUMPRODUCT('Calc_Mix'!$D$13:$W$13,'Matriz_Habilidades'!$D62:$W62)/'Calc_Mix'!$X$13+ROW()*0.000001))</f>
        <v/>
      </c>
      <c r="Q62" s="34">
        <f>IF(OR($B62="",$C62&lt;&gt;"Ativo",$D62&lt;&gt;'Calc_Mix'!$C$14,'Calc_Mix'!$X$14=0,COUNTIFS(Esc_Turno,'Calc_Mix'!$C$14,Esc_Circ,$B62)+COUNTIFS(Esc_Turno,'Calc_Mix'!$C$14,Esc_Instr,$B62)&gt;0),"",IF(SUMPRODUCT('Calc_Mix'!$D$14:$W$14,'Matriz_Habilidades'!$D62:$W62)=0,"",SUMPRODUCT('Calc_Mix'!$D$14:$W$14,'Matriz_Habilidades'!$D62:$W62)/'Calc_Mix'!$X$14+ROW()*0.000001))</f>
        <v/>
      </c>
      <c r="R62" s="34">
        <f>IF(OR($B62="",$C62&lt;&gt;"Ativo",$D62&lt;&gt;'Calc_Mix'!$C$15,'Calc_Mix'!$X$15=0,COUNTIFS(Esc_Turno,'Calc_Mix'!$C$15,Esc_Circ,$B62)+COUNTIFS(Esc_Turno,'Calc_Mix'!$C$15,Esc_Instr,$B62)&gt;0),"",IF(SUMPRODUCT('Calc_Mix'!$D$15:$W$15,'Matriz_Habilidades'!$D62:$W62)=0,"",SUMPRODUCT('Calc_Mix'!$D$15:$W$15,'Matriz_Habilidades'!$D62:$W62)/'Calc_Mix'!$X$15+ROW()*0.000001))</f>
        <v/>
      </c>
      <c r="S62" s="34">
        <f>IF(OR($B62="",$C62&lt;&gt;"Ativo",$D62&lt;&gt;'Calc_Mix'!$C$16,'Calc_Mix'!$X$16=0,COUNTIFS(Esc_Turno,'Calc_Mix'!$C$16,Esc_Circ,$B62)+COUNTIFS(Esc_Turno,'Calc_Mix'!$C$16,Esc_Instr,$B62)&gt;0),"",IF(SUMPRODUCT('Calc_Mix'!$D$16:$W$16,'Matriz_Habilidades'!$D62:$W62)=0,"",SUMPRODUCT('Calc_Mix'!$D$16:$W$16,'Matriz_Habilidades'!$D62:$W62)/'Calc_Mix'!$X$16+ROW()*0.000001))</f>
        <v/>
      </c>
      <c r="T62" s="34">
        <f>IF(OR($B62="",$C62&lt;&gt;"Ativo",$D62&lt;&gt;'Calc_Mix'!$C$17,'Calc_Mix'!$X$17=0,COUNTIFS(Esc_Turno,'Calc_Mix'!$C$17,Esc_Circ,$B62)+COUNTIFS(Esc_Turno,'Calc_Mix'!$C$17,Esc_Instr,$B62)&gt;0),"",IF(SUMPRODUCT('Calc_Mix'!$D$17:$W$17,'Matriz_Habilidades'!$D62:$W62)=0,"",SUMPRODUCT('Calc_Mix'!$D$17:$W$17,'Matriz_Habilidades'!$D62:$W62)/'Calc_Mix'!$X$17+ROW()*0.000001))</f>
        <v/>
      </c>
      <c r="U62" s="34">
        <f>IF(OR($B62="",$C62&lt;&gt;"Ativo",$D62&lt;&gt;'Calc_Mix'!$C$18,'Calc_Mix'!$X$18=0,COUNTIFS(Esc_Turno,'Calc_Mix'!$C$18,Esc_Circ,$B62)+COUNTIFS(Esc_Turno,'Calc_Mix'!$C$18,Esc_Instr,$B62)&gt;0),"",IF(SUMPRODUCT('Calc_Mix'!$D$18:$W$18,'Matriz_Habilidades'!$D62:$W62)=0,"",SUMPRODUCT('Calc_Mix'!$D$18:$W$18,'Matriz_Habilidades'!$D62:$W62)/'Calc_Mix'!$X$18+ROW()*0.000001))</f>
        <v/>
      </c>
      <c r="V62" s="34">
        <f>IF(OR($B62="",$C62&lt;&gt;"Ativo",$D62&lt;&gt;'Calc_Mix'!$C$19,'Calc_Mix'!$X$19=0,COUNTIFS(Esc_Turno,'Calc_Mix'!$C$19,Esc_Circ,$B62)+COUNTIFS(Esc_Turno,'Calc_Mix'!$C$19,Esc_Instr,$B62)&gt;0),"",IF(SUMPRODUCT('Calc_Mix'!$D$19:$W$19,'Matriz_Habilidades'!$D62:$W62)=0,"",SUMPRODUCT('Calc_Mix'!$D$19:$W$19,'Matriz_Habilidades'!$D62:$W62)/'Calc_Mix'!$X$19+ROW()*0.000001))</f>
        <v/>
      </c>
      <c r="W62" s="34">
        <f>IF(OR($B62="",$C62&lt;&gt;"Ativo",$D62&lt;&gt;'Calc_Mix'!$C$20,'Calc_Mix'!$X$20=0,COUNTIFS(Esc_Turno,'Calc_Mix'!$C$20,Esc_Circ,$B62)+COUNTIFS(Esc_Turno,'Calc_Mix'!$C$20,Esc_Instr,$B62)&gt;0),"",IF(SUMPRODUCT('Calc_Mix'!$D$20:$W$20,'Matriz_Habilidades'!$D62:$W62)=0,"",SUMPRODUCT('Calc_Mix'!$D$20:$W$20,'Matriz_Habilidades'!$D62:$W62)/'Calc_Mix'!$X$20+ROW()*0.000001))</f>
        <v/>
      </c>
      <c r="X62" s="34">
        <f>IF(OR($B62="",$C62&lt;&gt;"Ativo",$D62&lt;&gt;'Calc_Mix'!$C$21,'Calc_Mix'!$X$21=0,COUNTIFS(Esc_Turno,'Calc_Mix'!$C$21,Esc_Circ,$B62)+COUNTIFS(Esc_Turno,'Calc_Mix'!$C$21,Esc_Instr,$B62)&gt;0),"",IF(SUMPRODUCT('Calc_Mix'!$D$21:$W$21,'Matriz_Habilidades'!$D62:$W62)=0,"",SUMPRODUCT('Calc_Mix'!$D$21:$W$21,'Matriz_Habilidades'!$D62:$W62)/'Calc_Mix'!$X$21+ROW()*0.000001))</f>
        <v/>
      </c>
      <c r="Y62" s="34">
        <f>IF(OR($B62="",$C62&lt;&gt;"Ativo",$D62&lt;&gt;'Calc_Mix'!$C$22,'Calc_Mix'!$X$22=0,COUNTIFS(Esc_Turno,'Calc_Mix'!$C$22,Esc_Circ,$B62)+COUNTIFS(Esc_Turno,'Calc_Mix'!$C$22,Esc_Instr,$B62)&gt;0),"",IF(SUMPRODUCT('Calc_Mix'!$D$22:$W$22,'Matriz_Habilidades'!$D62:$W62)=0,"",SUMPRODUCT('Calc_Mix'!$D$22:$W$22,'Matriz_Habilidades'!$D62:$W62)/'Calc_Mix'!$X$22+ROW()*0.000001))</f>
        <v/>
      </c>
      <c r="Z62" s="34">
        <f>IF(OR($B62="",$C62&lt;&gt;"Ativo",$D62&lt;&gt;'Calc_Mix'!$C$23,'Calc_Mix'!$X$23=0,COUNTIFS(Esc_Turno,'Calc_Mix'!$C$23,Esc_Circ,$B62)+COUNTIFS(Esc_Turno,'Calc_Mix'!$C$23,Esc_Instr,$B62)&gt;0),"",IF(SUMPRODUCT('Calc_Mix'!$D$23:$W$23,'Matriz_Habilidades'!$D62:$W62)=0,"",SUMPRODUCT('Calc_Mix'!$D$23:$W$23,'Matriz_Habilidades'!$D62:$W62)/'Calc_Mix'!$X$23+ROW()*0.000001))</f>
        <v/>
      </c>
      <c r="AA62" s="34">
        <f>IF(OR($B62="",$C62&lt;&gt;"Ativo",$D62&lt;&gt;'Calc_Mix'!$C$24,'Calc_Mix'!$X$24=0,COUNTIFS(Esc_Turno,'Calc_Mix'!$C$24,Esc_Circ,$B62)+COUNTIFS(Esc_Turno,'Calc_Mix'!$C$24,Esc_Instr,$B62)&gt;0),"",IF(SUMPRODUCT('Calc_Mix'!$D$24:$W$24,'Matriz_Habilidades'!$D62:$W62)=0,"",SUMPRODUCT('Calc_Mix'!$D$24:$W$24,'Matriz_Habilidades'!$D62:$W62)/'Calc_Mix'!$X$24+ROW()*0.000001))</f>
        <v/>
      </c>
      <c r="AB62" s="34">
        <f>IF(OR($B62="",$C62&lt;&gt;"Ativo",$D62&lt;&gt;'Calc_Mix'!$C$25,'Calc_Mix'!$X$25=0,COUNTIFS(Esc_Turno,'Calc_Mix'!$C$25,Esc_Circ,$B62)+COUNTIFS(Esc_Turno,'Calc_Mix'!$C$25,Esc_Instr,$B62)&gt;0),"",IF(SUMPRODUCT('Calc_Mix'!$D$25:$W$25,'Matriz_Habilidades'!$D62:$W62)=0,"",SUMPRODUCT('Calc_Mix'!$D$25:$W$25,'Matriz_Habilidades'!$D62:$W62)/'Calc_Mix'!$X$25+ROW()*0.000001))</f>
        <v/>
      </c>
      <c r="AC62" s="34">
        <f>IF(OR($B62="",$C62&lt;&gt;"Ativo",$D62&lt;&gt;'Calc_Mix'!$C$26,'Calc_Mix'!$X$26=0,COUNTIFS(Esc_Turno,'Calc_Mix'!$C$26,Esc_Circ,$B62)+COUNTIFS(Esc_Turno,'Calc_Mix'!$C$26,Esc_Instr,$B62)&gt;0),"",IF(SUMPRODUCT('Calc_Mix'!$D$26:$W$26,'Matriz_Habilidades'!$D62:$W62)=0,"",SUMPRODUCT('Calc_Mix'!$D$26:$W$26,'Matriz_Habilidades'!$D62:$W62)/'Calc_Mix'!$X$26+ROW()*0.000001))</f>
        <v/>
      </c>
      <c r="AD62" s="34">
        <f>IF(OR($B62="",$C62&lt;&gt;"Ativo",$D62&lt;&gt;'Calc_Mix'!$C$27,'Calc_Mix'!$X$27=0,COUNTIFS(Esc_Turno,'Calc_Mix'!$C$27,Esc_Circ,$B62)+COUNTIFS(Esc_Turno,'Calc_Mix'!$C$27,Esc_Instr,$B62)&gt;0),"",IF(SUMPRODUCT('Calc_Mix'!$D$27:$W$27,'Matriz_Habilidades'!$D62:$W62)=0,"",SUMPRODUCT('Calc_Mix'!$D$27:$W$27,'Matriz_Habilidades'!$D62:$W62)/'Calc_Mix'!$X$27+ROW()*0.000001))</f>
        <v/>
      </c>
      <c r="AE62" s="34">
        <f>IF(OR($B62="",$C62&lt;&gt;"Ativo",$D62&lt;&gt;'Calc_Mix'!$C$28,'Calc_Mix'!$X$28=0,COUNTIFS(Esc_Turno,'Calc_Mix'!$C$28,Esc_Circ,$B62)+COUNTIFS(Esc_Turno,'Calc_Mix'!$C$28,Esc_Instr,$B62)&gt;0),"",IF(SUMPRODUCT('Calc_Mix'!$D$28:$W$28,'Matriz_Habilidades'!$D62:$W62)=0,"",SUMPRODUCT('Calc_Mix'!$D$28:$W$28,'Matriz_Habilidades'!$D62:$W62)/'Calc_Mix'!$X$28+ROW()*0.000001))</f>
        <v/>
      </c>
      <c r="AF62" s="34">
        <f>IF(OR($B62="",$C62&lt;&gt;"Ativo",$D62&lt;&gt;'Calc_Mix'!$C$29,'Calc_Mix'!$X$29=0,COUNTIFS(Esc_Turno,'Calc_Mix'!$C$29,Esc_Circ,$B62)+COUNTIFS(Esc_Turno,'Calc_Mix'!$C$29,Esc_Instr,$B62)&gt;0),"",IF(SUMPRODUCT('Calc_Mix'!$D$29:$W$29,'Matriz_Habilidades'!$D62:$W62)=0,"",SUMPRODUCT('Calc_Mix'!$D$29:$W$29,'Matriz_Habilidades'!$D62:$W62)/'Calc_Mix'!$X$29+ROW()*0.000001))</f>
        <v/>
      </c>
      <c r="AG62" s="34">
        <f>IF(OR($B62="",$C62&lt;&gt;"Ativo",$D62&lt;&gt;'Calc_Mix'!$C$30,'Calc_Mix'!$X$30=0,COUNTIFS(Esc_Turno,'Calc_Mix'!$C$30,Esc_Circ,$B62)+COUNTIFS(Esc_Turno,'Calc_Mix'!$C$30,Esc_Instr,$B62)&gt;0),"",IF(SUMPRODUCT('Calc_Mix'!$D$30:$W$30,'Matriz_Habilidades'!$D62:$W62)=0,"",SUMPRODUCT('Calc_Mix'!$D$30:$W$30,'Matriz_Habilidades'!$D62:$W62)/'Calc_Mix'!$X$30+ROW()*0.000001))</f>
        <v/>
      </c>
      <c r="AH62" s="34">
        <f>IF(OR($B62="",$C62&lt;&gt;"Ativo",$D62&lt;&gt;'Calc_Mix'!$C$31,'Calc_Mix'!$X$31=0,COUNTIFS(Esc_Turno,'Calc_Mix'!$C$31,Esc_Circ,$B62)+COUNTIFS(Esc_Turno,'Calc_Mix'!$C$31,Esc_Instr,$B62)&gt;0),"",IF(SUMPRODUCT('Calc_Mix'!$D$31:$W$31,'Matriz_Habilidades'!$D62:$W62)=0,"",SUMPRODUCT('Calc_Mix'!$D$31:$W$31,'Matriz_Habilidades'!$D62:$W62)/'Calc_Mix'!$X$31+ROW()*0.000001))</f>
        <v/>
      </c>
      <c r="AI62" s="34">
        <f>IF(OR($B62="",$C62&lt;&gt;"Ativo",$D62&lt;&gt;'Calc_Mix'!$C$32,'Calc_Mix'!$X$32=0,COUNTIFS(Esc_Turno,'Calc_Mix'!$C$32,Esc_Circ,$B62)+COUNTIFS(Esc_Turno,'Calc_Mix'!$C$32,Esc_Instr,$B62)&gt;0),"",IF(SUMPRODUCT('Calc_Mix'!$D$32:$W$32,'Matriz_Habilidades'!$D62:$W62)=0,"",SUMPRODUCT('Calc_Mix'!$D$32:$W$32,'Matriz_Habilidades'!$D62:$W62)/'Calc_Mix'!$X$32+ROW()*0.000001))</f>
        <v/>
      </c>
      <c r="AJ62" s="34">
        <f>IF(OR($B62="",$C62&lt;&gt;"Ativo",$D62&lt;&gt;'Calc_Mix'!$C$33,'Calc_Mix'!$X$33=0,COUNTIFS(Esc_Turno,'Calc_Mix'!$C$33,Esc_Circ,$B62)+COUNTIFS(Esc_Turno,'Calc_Mix'!$C$33,Esc_Instr,$B62)&gt;0),"",IF(SUMPRODUCT('Calc_Mix'!$D$33:$W$33,'Matriz_Habilidades'!$D62:$W62)=0,"",SUMPRODUCT('Calc_Mix'!$D$33:$W$33,'Matriz_Habilidades'!$D62:$W62)/'Calc_Mix'!$X$33+ROW()*0.000001))</f>
        <v/>
      </c>
      <c r="AK62" s="34">
        <f>IF(OR($B62="",$C62&lt;&gt;"Ativo",$D62&lt;&gt;'Calc_Mix'!$C$34,'Calc_Mix'!$X$34=0,COUNTIFS(Esc_Turno,'Calc_Mix'!$C$34,Esc_Circ,$B62)+COUNTIFS(Esc_Turno,'Calc_Mix'!$C$34,Esc_Instr,$B62)&gt;0),"",IF(SUMPRODUCT('Calc_Mix'!$D$34:$W$34,'Matriz_Habilidades'!$D62:$W62)=0,"",SUMPRODUCT('Calc_Mix'!$D$34:$W$34,'Matriz_Habilidades'!$D62:$W62)/'Calc_Mix'!$X$34+ROW()*0.000001))</f>
        <v/>
      </c>
      <c r="AL62" s="34">
        <f>IF(OR($B62="",$C62&lt;&gt;"Ativo",$D62&lt;&gt;'Calc_Mix'!$C$35,'Calc_Mix'!$X$35=0,COUNTIFS(Esc_Turno,'Calc_Mix'!$C$35,Esc_Circ,$B62)+COUNTIFS(Esc_Turno,'Calc_Mix'!$C$35,Esc_Instr,$B62)&gt;0),"",IF(SUMPRODUCT('Calc_Mix'!$D$35:$W$35,'Matriz_Habilidades'!$D62:$W62)=0,"",SUMPRODUCT('Calc_Mix'!$D$35:$W$35,'Matriz_Habilidades'!$D62:$W62)/'Calc_Mix'!$X$35+ROW()*0.000001))</f>
        <v/>
      </c>
      <c r="AM62" s="34">
        <f>IF(OR($B62="",$C62&lt;&gt;"Ativo",$D62&lt;&gt;'Calc_Mix'!$C$36,'Calc_Mix'!$X$36=0,COUNTIFS(Esc_Turno,'Calc_Mix'!$C$36,Esc_Circ,$B62)+COUNTIFS(Esc_Turno,'Calc_Mix'!$C$36,Esc_Instr,$B62)&gt;0),"",IF(SUMPRODUCT('Calc_Mix'!$D$36:$W$36,'Matriz_Habilidades'!$D62:$W62)=0,"",SUMPRODUCT('Calc_Mix'!$D$36:$W$36,'Matriz_Habilidades'!$D62:$W62)/'Calc_Mix'!$X$36+ROW()*0.000001))</f>
        <v/>
      </c>
      <c r="AN62" s="34">
        <f>IF(OR($B62="",$C62&lt;&gt;"Ativo",$D62&lt;&gt;'Calc_Mix'!$C$37,'Calc_Mix'!$X$37=0,COUNTIFS(Esc_Turno,'Calc_Mix'!$C$37,Esc_Circ,$B62)+COUNTIFS(Esc_Turno,'Calc_Mix'!$C$37,Esc_Instr,$B62)&gt;0),"",IF(SUMPRODUCT('Calc_Mix'!$D$37:$W$37,'Matriz_Habilidades'!$D62:$W62)=0,"",SUMPRODUCT('Calc_Mix'!$D$37:$W$37,'Matriz_Habilidades'!$D62:$W62)/'Calc_Mix'!$X$37+ROW()*0.000001))</f>
        <v/>
      </c>
    </row>
    <row r="63">
      <c r="A63" s="27">
        <f>IF('Matriz_Habilidades'!A63="","",'Matriz_Habilidades'!A63)</f>
        <v/>
      </c>
      <c r="B63" s="28">
        <f>IF('Matriz_Habilidades'!B63="","",'Matriz_Habilidades'!B63)</f>
        <v/>
      </c>
      <c r="C63" s="27">
        <f>IF($A63="","",IFERROR(INDEX(Equipe_Status,MATCH($B63,Equipe_Nome,0)),"?"))</f>
        <v/>
      </c>
      <c r="D63" s="27">
        <f>IF($A63="","",IFERROR(INDEX(Equipe_Turno,MATCH($B63,Equipe_Nome,0)),"?"))</f>
        <v/>
      </c>
      <c r="E63" s="34">
        <f>IF(OR($B63="",$C63&lt;&gt;"Ativo",$D63&lt;&gt;'Calc_Mix'!$C$2,'Calc_Mix'!$X$2=0,COUNTIFS(Esc_Turno,'Calc_Mix'!$C$2,Esc_Circ,$B63)+COUNTIFS(Esc_Turno,'Calc_Mix'!$C$2,Esc_Instr,$B63)&gt;0),"",IF(SUMPRODUCT('Calc_Mix'!$D$2:$W$2,'Matriz_Habilidades'!$D63:$W63)=0,"",SUMPRODUCT('Calc_Mix'!$D$2:$W$2,'Matriz_Habilidades'!$D63:$W63)/'Calc_Mix'!$X$2+ROW()*0.000001))</f>
        <v/>
      </c>
      <c r="F63" s="34">
        <f>IF(OR($B63="",$C63&lt;&gt;"Ativo",$D63&lt;&gt;'Calc_Mix'!$C$3,'Calc_Mix'!$X$3=0,COUNTIFS(Esc_Turno,'Calc_Mix'!$C$3,Esc_Circ,$B63)+COUNTIFS(Esc_Turno,'Calc_Mix'!$C$3,Esc_Instr,$B63)&gt;0),"",IF(SUMPRODUCT('Calc_Mix'!$D$3:$W$3,'Matriz_Habilidades'!$D63:$W63)=0,"",SUMPRODUCT('Calc_Mix'!$D$3:$W$3,'Matriz_Habilidades'!$D63:$W63)/'Calc_Mix'!$X$3+ROW()*0.000001))</f>
        <v/>
      </c>
      <c r="G63" s="34">
        <f>IF(OR($B63="",$C63&lt;&gt;"Ativo",$D63&lt;&gt;'Calc_Mix'!$C$4,'Calc_Mix'!$X$4=0,COUNTIFS(Esc_Turno,'Calc_Mix'!$C$4,Esc_Circ,$B63)+COUNTIFS(Esc_Turno,'Calc_Mix'!$C$4,Esc_Instr,$B63)&gt;0),"",IF(SUMPRODUCT('Calc_Mix'!$D$4:$W$4,'Matriz_Habilidades'!$D63:$W63)=0,"",SUMPRODUCT('Calc_Mix'!$D$4:$W$4,'Matriz_Habilidades'!$D63:$W63)/'Calc_Mix'!$X$4+ROW()*0.000001))</f>
        <v/>
      </c>
      <c r="H63" s="34">
        <f>IF(OR($B63="",$C63&lt;&gt;"Ativo",$D63&lt;&gt;'Calc_Mix'!$C$5,'Calc_Mix'!$X$5=0,COUNTIFS(Esc_Turno,'Calc_Mix'!$C$5,Esc_Circ,$B63)+COUNTIFS(Esc_Turno,'Calc_Mix'!$C$5,Esc_Instr,$B63)&gt;0),"",IF(SUMPRODUCT('Calc_Mix'!$D$5:$W$5,'Matriz_Habilidades'!$D63:$W63)=0,"",SUMPRODUCT('Calc_Mix'!$D$5:$W$5,'Matriz_Habilidades'!$D63:$W63)/'Calc_Mix'!$X$5+ROW()*0.000001))</f>
        <v/>
      </c>
      <c r="I63" s="34">
        <f>IF(OR($B63="",$C63&lt;&gt;"Ativo",$D63&lt;&gt;'Calc_Mix'!$C$6,'Calc_Mix'!$X$6=0,COUNTIFS(Esc_Turno,'Calc_Mix'!$C$6,Esc_Circ,$B63)+COUNTIFS(Esc_Turno,'Calc_Mix'!$C$6,Esc_Instr,$B63)&gt;0),"",IF(SUMPRODUCT('Calc_Mix'!$D$6:$W$6,'Matriz_Habilidades'!$D63:$W63)=0,"",SUMPRODUCT('Calc_Mix'!$D$6:$W$6,'Matriz_Habilidades'!$D63:$W63)/'Calc_Mix'!$X$6+ROW()*0.000001))</f>
        <v/>
      </c>
      <c r="J63" s="34">
        <f>IF(OR($B63="",$C63&lt;&gt;"Ativo",$D63&lt;&gt;'Calc_Mix'!$C$7,'Calc_Mix'!$X$7=0,COUNTIFS(Esc_Turno,'Calc_Mix'!$C$7,Esc_Circ,$B63)+COUNTIFS(Esc_Turno,'Calc_Mix'!$C$7,Esc_Instr,$B63)&gt;0),"",IF(SUMPRODUCT('Calc_Mix'!$D$7:$W$7,'Matriz_Habilidades'!$D63:$W63)=0,"",SUMPRODUCT('Calc_Mix'!$D$7:$W$7,'Matriz_Habilidades'!$D63:$W63)/'Calc_Mix'!$X$7+ROW()*0.000001))</f>
        <v/>
      </c>
      <c r="K63" s="34">
        <f>IF(OR($B63="",$C63&lt;&gt;"Ativo",$D63&lt;&gt;'Calc_Mix'!$C$8,'Calc_Mix'!$X$8=0,COUNTIFS(Esc_Turno,'Calc_Mix'!$C$8,Esc_Circ,$B63)+COUNTIFS(Esc_Turno,'Calc_Mix'!$C$8,Esc_Instr,$B63)&gt;0),"",IF(SUMPRODUCT('Calc_Mix'!$D$8:$W$8,'Matriz_Habilidades'!$D63:$W63)=0,"",SUMPRODUCT('Calc_Mix'!$D$8:$W$8,'Matriz_Habilidades'!$D63:$W63)/'Calc_Mix'!$X$8+ROW()*0.000001))</f>
        <v/>
      </c>
      <c r="L63" s="34">
        <f>IF(OR($B63="",$C63&lt;&gt;"Ativo",$D63&lt;&gt;'Calc_Mix'!$C$9,'Calc_Mix'!$X$9=0,COUNTIFS(Esc_Turno,'Calc_Mix'!$C$9,Esc_Circ,$B63)+COUNTIFS(Esc_Turno,'Calc_Mix'!$C$9,Esc_Instr,$B63)&gt;0),"",IF(SUMPRODUCT('Calc_Mix'!$D$9:$W$9,'Matriz_Habilidades'!$D63:$W63)=0,"",SUMPRODUCT('Calc_Mix'!$D$9:$W$9,'Matriz_Habilidades'!$D63:$W63)/'Calc_Mix'!$X$9+ROW()*0.000001))</f>
        <v/>
      </c>
      <c r="M63" s="34">
        <f>IF(OR($B63="",$C63&lt;&gt;"Ativo",$D63&lt;&gt;'Calc_Mix'!$C$10,'Calc_Mix'!$X$10=0,COUNTIFS(Esc_Turno,'Calc_Mix'!$C$10,Esc_Circ,$B63)+COUNTIFS(Esc_Turno,'Calc_Mix'!$C$10,Esc_Instr,$B63)&gt;0),"",IF(SUMPRODUCT('Calc_Mix'!$D$10:$W$10,'Matriz_Habilidades'!$D63:$W63)=0,"",SUMPRODUCT('Calc_Mix'!$D$10:$W$10,'Matriz_Habilidades'!$D63:$W63)/'Calc_Mix'!$X$10+ROW()*0.000001))</f>
        <v/>
      </c>
      <c r="N63" s="34">
        <f>IF(OR($B63="",$C63&lt;&gt;"Ativo",$D63&lt;&gt;'Calc_Mix'!$C$11,'Calc_Mix'!$X$11=0,COUNTIFS(Esc_Turno,'Calc_Mix'!$C$11,Esc_Circ,$B63)+COUNTIFS(Esc_Turno,'Calc_Mix'!$C$11,Esc_Instr,$B63)&gt;0),"",IF(SUMPRODUCT('Calc_Mix'!$D$11:$W$11,'Matriz_Habilidades'!$D63:$W63)=0,"",SUMPRODUCT('Calc_Mix'!$D$11:$W$11,'Matriz_Habilidades'!$D63:$W63)/'Calc_Mix'!$X$11+ROW()*0.000001))</f>
        <v/>
      </c>
      <c r="O63" s="34">
        <f>IF(OR($B63="",$C63&lt;&gt;"Ativo",$D63&lt;&gt;'Calc_Mix'!$C$12,'Calc_Mix'!$X$12=0,COUNTIFS(Esc_Turno,'Calc_Mix'!$C$12,Esc_Circ,$B63)+COUNTIFS(Esc_Turno,'Calc_Mix'!$C$12,Esc_Instr,$B63)&gt;0),"",IF(SUMPRODUCT('Calc_Mix'!$D$12:$W$12,'Matriz_Habilidades'!$D63:$W63)=0,"",SUMPRODUCT('Calc_Mix'!$D$12:$W$12,'Matriz_Habilidades'!$D63:$W63)/'Calc_Mix'!$X$12+ROW()*0.000001))</f>
        <v/>
      </c>
      <c r="P63" s="34">
        <f>IF(OR($B63="",$C63&lt;&gt;"Ativo",$D63&lt;&gt;'Calc_Mix'!$C$13,'Calc_Mix'!$X$13=0,COUNTIFS(Esc_Turno,'Calc_Mix'!$C$13,Esc_Circ,$B63)+COUNTIFS(Esc_Turno,'Calc_Mix'!$C$13,Esc_Instr,$B63)&gt;0),"",IF(SUMPRODUCT('Calc_Mix'!$D$13:$W$13,'Matriz_Habilidades'!$D63:$W63)=0,"",SUMPRODUCT('Calc_Mix'!$D$13:$W$13,'Matriz_Habilidades'!$D63:$W63)/'Calc_Mix'!$X$13+ROW()*0.000001))</f>
        <v/>
      </c>
      <c r="Q63" s="34">
        <f>IF(OR($B63="",$C63&lt;&gt;"Ativo",$D63&lt;&gt;'Calc_Mix'!$C$14,'Calc_Mix'!$X$14=0,COUNTIFS(Esc_Turno,'Calc_Mix'!$C$14,Esc_Circ,$B63)+COUNTIFS(Esc_Turno,'Calc_Mix'!$C$14,Esc_Instr,$B63)&gt;0),"",IF(SUMPRODUCT('Calc_Mix'!$D$14:$W$14,'Matriz_Habilidades'!$D63:$W63)=0,"",SUMPRODUCT('Calc_Mix'!$D$14:$W$14,'Matriz_Habilidades'!$D63:$W63)/'Calc_Mix'!$X$14+ROW()*0.000001))</f>
        <v/>
      </c>
      <c r="R63" s="34">
        <f>IF(OR($B63="",$C63&lt;&gt;"Ativo",$D63&lt;&gt;'Calc_Mix'!$C$15,'Calc_Mix'!$X$15=0,COUNTIFS(Esc_Turno,'Calc_Mix'!$C$15,Esc_Circ,$B63)+COUNTIFS(Esc_Turno,'Calc_Mix'!$C$15,Esc_Instr,$B63)&gt;0),"",IF(SUMPRODUCT('Calc_Mix'!$D$15:$W$15,'Matriz_Habilidades'!$D63:$W63)=0,"",SUMPRODUCT('Calc_Mix'!$D$15:$W$15,'Matriz_Habilidades'!$D63:$W63)/'Calc_Mix'!$X$15+ROW()*0.000001))</f>
        <v/>
      </c>
      <c r="S63" s="34">
        <f>IF(OR($B63="",$C63&lt;&gt;"Ativo",$D63&lt;&gt;'Calc_Mix'!$C$16,'Calc_Mix'!$X$16=0,COUNTIFS(Esc_Turno,'Calc_Mix'!$C$16,Esc_Circ,$B63)+COUNTIFS(Esc_Turno,'Calc_Mix'!$C$16,Esc_Instr,$B63)&gt;0),"",IF(SUMPRODUCT('Calc_Mix'!$D$16:$W$16,'Matriz_Habilidades'!$D63:$W63)=0,"",SUMPRODUCT('Calc_Mix'!$D$16:$W$16,'Matriz_Habilidades'!$D63:$W63)/'Calc_Mix'!$X$16+ROW()*0.000001))</f>
        <v/>
      </c>
      <c r="T63" s="34">
        <f>IF(OR($B63="",$C63&lt;&gt;"Ativo",$D63&lt;&gt;'Calc_Mix'!$C$17,'Calc_Mix'!$X$17=0,COUNTIFS(Esc_Turno,'Calc_Mix'!$C$17,Esc_Circ,$B63)+COUNTIFS(Esc_Turno,'Calc_Mix'!$C$17,Esc_Instr,$B63)&gt;0),"",IF(SUMPRODUCT('Calc_Mix'!$D$17:$W$17,'Matriz_Habilidades'!$D63:$W63)=0,"",SUMPRODUCT('Calc_Mix'!$D$17:$W$17,'Matriz_Habilidades'!$D63:$W63)/'Calc_Mix'!$X$17+ROW()*0.000001))</f>
        <v/>
      </c>
      <c r="U63" s="34">
        <f>IF(OR($B63="",$C63&lt;&gt;"Ativo",$D63&lt;&gt;'Calc_Mix'!$C$18,'Calc_Mix'!$X$18=0,COUNTIFS(Esc_Turno,'Calc_Mix'!$C$18,Esc_Circ,$B63)+COUNTIFS(Esc_Turno,'Calc_Mix'!$C$18,Esc_Instr,$B63)&gt;0),"",IF(SUMPRODUCT('Calc_Mix'!$D$18:$W$18,'Matriz_Habilidades'!$D63:$W63)=0,"",SUMPRODUCT('Calc_Mix'!$D$18:$W$18,'Matriz_Habilidades'!$D63:$W63)/'Calc_Mix'!$X$18+ROW()*0.000001))</f>
        <v/>
      </c>
      <c r="V63" s="34">
        <f>IF(OR($B63="",$C63&lt;&gt;"Ativo",$D63&lt;&gt;'Calc_Mix'!$C$19,'Calc_Mix'!$X$19=0,COUNTIFS(Esc_Turno,'Calc_Mix'!$C$19,Esc_Circ,$B63)+COUNTIFS(Esc_Turno,'Calc_Mix'!$C$19,Esc_Instr,$B63)&gt;0),"",IF(SUMPRODUCT('Calc_Mix'!$D$19:$W$19,'Matriz_Habilidades'!$D63:$W63)=0,"",SUMPRODUCT('Calc_Mix'!$D$19:$W$19,'Matriz_Habilidades'!$D63:$W63)/'Calc_Mix'!$X$19+ROW()*0.000001))</f>
        <v/>
      </c>
      <c r="W63" s="34">
        <f>IF(OR($B63="",$C63&lt;&gt;"Ativo",$D63&lt;&gt;'Calc_Mix'!$C$20,'Calc_Mix'!$X$20=0,COUNTIFS(Esc_Turno,'Calc_Mix'!$C$20,Esc_Circ,$B63)+COUNTIFS(Esc_Turno,'Calc_Mix'!$C$20,Esc_Instr,$B63)&gt;0),"",IF(SUMPRODUCT('Calc_Mix'!$D$20:$W$20,'Matriz_Habilidades'!$D63:$W63)=0,"",SUMPRODUCT('Calc_Mix'!$D$20:$W$20,'Matriz_Habilidades'!$D63:$W63)/'Calc_Mix'!$X$20+ROW()*0.000001))</f>
        <v/>
      </c>
      <c r="X63" s="34">
        <f>IF(OR($B63="",$C63&lt;&gt;"Ativo",$D63&lt;&gt;'Calc_Mix'!$C$21,'Calc_Mix'!$X$21=0,COUNTIFS(Esc_Turno,'Calc_Mix'!$C$21,Esc_Circ,$B63)+COUNTIFS(Esc_Turno,'Calc_Mix'!$C$21,Esc_Instr,$B63)&gt;0),"",IF(SUMPRODUCT('Calc_Mix'!$D$21:$W$21,'Matriz_Habilidades'!$D63:$W63)=0,"",SUMPRODUCT('Calc_Mix'!$D$21:$W$21,'Matriz_Habilidades'!$D63:$W63)/'Calc_Mix'!$X$21+ROW()*0.000001))</f>
        <v/>
      </c>
      <c r="Y63" s="34">
        <f>IF(OR($B63="",$C63&lt;&gt;"Ativo",$D63&lt;&gt;'Calc_Mix'!$C$22,'Calc_Mix'!$X$22=0,COUNTIFS(Esc_Turno,'Calc_Mix'!$C$22,Esc_Circ,$B63)+COUNTIFS(Esc_Turno,'Calc_Mix'!$C$22,Esc_Instr,$B63)&gt;0),"",IF(SUMPRODUCT('Calc_Mix'!$D$22:$W$22,'Matriz_Habilidades'!$D63:$W63)=0,"",SUMPRODUCT('Calc_Mix'!$D$22:$W$22,'Matriz_Habilidades'!$D63:$W63)/'Calc_Mix'!$X$22+ROW()*0.000001))</f>
        <v/>
      </c>
      <c r="Z63" s="34">
        <f>IF(OR($B63="",$C63&lt;&gt;"Ativo",$D63&lt;&gt;'Calc_Mix'!$C$23,'Calc_Mix'!$X$23=0,COUNTIFS(Esc_Turno,'Calc_Mix'!$C$23,Esc_Circ,$B63)+COUNTIFS(Esc_Turno,'Calc_Mix'!$C$23,Esc_Instr,$B63)&gt;0),"",IF(SUMPRODUCT('Calc_Mix'!$D$23:$W$23,'Matriz_Habilidades'!$D63:$W63)=0,"",SUMPRODUCT('Calc_Mix'!$D$23:$W$23,'Matriz_Habilidades'!$D63:$W63)/'Calc_Mix'!$X$23+ROW()*0.000001))</f>
        <v/>
      </c>
      <c r="AA63" s="34">
        <f>IF(OR($B63="",$C63&lt;&gt;"Ativo",$D63&lt;&gt;'Calc_Mix'!$C$24,'Calc_Mix'!$X$24=0,COUNTIFS(Esc_Turno,'Calc_Mix'!$C$24,Esc_Circ,$B63)+COUNTIFS(Esc_Turno,'Calc_Mix'!$C$24,Esc_Instr,$B63)&gt;0),"",IF(SUMPRODUCT('Calc_Mix'!$D$24:$W$24,'Matriz_Habilidades'!$D63:$W63)=0,"",SUMPRODUCT('Calc_Mix'!$D$24:$W$24,'Matriz_Habilidades'!$D63:$W63)/'Calc_Mix'!$X$24+ROW()*0.000001))</f>
        <v/>
      </c>
      <c r="AB63" s="34">
        <f>IF(OR($B63="",$C63&lt;&gt;"Ativo",$D63&lt;&gt;'Calc_Mix'!$C$25,'Calc_Mix'!$X$25=0,COUNTIFS(Esc_Turno,'Calc_Mix'!$C$25,Esc_Circ,$B63)+COUNTIFS(Esc_Turno,'Calc_Mix'!$C$25,Esc_Instr,$B63)&gt;0),"",IF(SUMPRODUCT('Calc_Mix'!$D$25:$W$25,'Matriz_Habilidades'!$D63:$W63)=0,"",SUMPRODUCT('Calc_Mix'!$D$25:$W$25,'Matriz_Habilidades'!$D63:$W63)/'Calc_Mix'!$X$25+ROW()*0.000001))</f>
        <v/>
      </c>
      <c r="AC63" s="34">
        <f>IF(OR($B63="",$C63&lt;&gt;"Ativo",$D63&lt;&gt;'Calc_Mix'!$C$26,'Calc_Mix'!$X$26=0,COUNTIFS(Esc_Turno,'Calc_Mix'!$C$26,Esc_Circ,$B63)+COUNTIFS(Esc_Turno,'Calc_Mix'!$C$26,Esc_Instr,$B63)&gt;0),"",IF(SUMPRODUCT('Calc_Mix'!$D$26:$W$26,'Matriz_Habilidades'!$D63:$W63)=0,"",SUMPRODUCT('Calc_Mix'!$D$26:$W$26,'Matriz_Habilidades'!$D63:$W63)/'Calc_Mix'!$X$26+ROW()*0.000001))</f>
        <v/>
      </c>
      <c r="AD63" s="34">
        <f>IF(OR($B63="",$C63&lt;&gt;"Ativo",$D63&lt;&gt;'Calc_Mix'!$C$27,'Calc_Mix'!$X$27=0,COUNTIFS(Esc_Turno,'Calc_Mix'!$C$27,Esc_Circ,$B63)+COUNTIFS(Esc_Turno,'Calc_Mix'!$C$27,Esc_Instr,$B63)&gt;0),"",IF(SUMPRODUCT('Calc_Mix'!$D$27:$W$27,'Matriz_Habilidades'!$D63:$W63)=0,"",SUMPRODUCT('Calc_Mix'!$D$27:$W$27,'Matriz_Habilidades'!$D63:$W63)/'Calc_Mix'!$X$27+ROW()*0.000001))</f>
        <v/>
      </c>
      <c r="AE63" s="34">
        <f>IF(OR($B63="",$C63&lt;&gt;"Ativo",$D63&lt;&gt;'Calc_Mix'!$C$28,'Calc_Mix'!$X$28=0,COUNTIFS(Esc_Turno,'Calc_Mix'!$C$28,Esc_Circ,$B63)+COUNTIFS(Esc_Turno,'Calc_Mix'!$C$28,Esc_Instr,$B63)&gt;0),"",IF(SUMPRODUCT('Calc_Mix'!$D$28:$W$28,'Matriz_Habilidades'!$D63:$W63)=0,"",SUMPRODUCT('Calc_Mix'!$D$28:$W$28,'Matriz_Habilidades'!$D63:$W63)/'Calc_Mix'!$X$28+ROW()*0.000001))</f>
        <v/>
      </c>
      <c r="AF63" s="34">
        <f>IF(OR($B63="",$C63&lt;&gt;"Ativo",$D63&lt;&gt;'Calc_Mix'!$C$29,'Calc_Mix'!$X$29=0,COUNTIFS(Esc_Turno,'Calc_Mix'!$C$29,Esc_Circ,$B63)+COUNTIFS(Esc_Turno,'Calc_Mix'!$C$29,Esc_Instr,$B63)&gt;0),"",IF(SUMPRODUCT('Calc_Mix'!$D$29:$W$29,'Matriz_Habilidades'!$D63:$W63)=0,"",SUMPRODUCT('Calc_Mix'!$D$29:$W$29,'Matriz_Habilidades'!$D63:$W63)/'Calc_Mix'!$X$29+ROW()*0.000001))</f>
        <v/>
      </c>
      <c r="AG63" s="34">
        <f>IF(OR($B63="",$C63&lt;&gt;"Ativo",$D63&lt;&gt;'Calc_Mix'!$C$30,'Calc_Mix'!$X$30=0,COUNTIFS(Esc_Turno,'Calc_Mix'!$C$30,Esc_Circ,$B63)+COUNTIFS(Esc_Turno,'Calc_Mix'!$C$30,Esc_Instr,$B63)&gt;0),"",IF(SUMPRODUCT('Calc_Mix'!$D$30:$W$30,'Matriz_Habilidades'!$D63:$W63)=0,"",SUMPRODUCT('Calc_Mix'!$D$30:$W$30,'Matriz_Habilidades'!$D63:$W63)/'Calc_Mix'!$X$30+ROW()*0.000001))</f>
        <v/>
      </c>
      <c r="AH63" s="34">
        <f>IF(OR($B63="",$C63&lt;&gt;"Ativo",$D63&lt;&gt;'Calc_Mix'!$C$31,'Calc_Mix'!$X$31=0,COUNTIFS(Esc_Turno,'Calc_Mix'!$C$31,Esc_Circ,$B63)+COUNTIFS(Esc_Turno,'Calc_Mix'!$C$31,Esc_Instr,$B63)&gt;0),"",IF(SUMPRODUCT('Calc_Mix'!$D$31:$W$31,'Matriz_Habilidades'!$D63:$W63)=0,"",SUMPRODUCT('Calc_Mix'!$D$31:$W$31,'Matriz_Habilidades'!$D63:$W63)/'Calc_Mix'!$X$31+ROW()*0.000001))</f>
        <v/>
      </c>
      <c r="AI63" s="34">
        <f>IF(OR($B63="",$C63&lt;&gt;"Ativo",$D63&lt;&gt;'Calc_Mix'!$C$32,'Calc_Mix'!$X$32=0,COUNTIFS(Esc_Turno,'Calc_Mix'!$C$32,Esc_Circ,$B63)+COUNTIFS(Esc_Turno,'Calc_Mix'!$C$32,Esc_Instr,$B63)&gt;0),"",IF(SUMPRODUCT('Calc_Mix'!$D$32:$W$32,'Matriz_Habilidades'!$D63:$W63)=0,"",SUMPRODUCT('Calc_Mix'!$D$32:$W$32,'Matriz_Habilidades'!$D63:$W63)/'Calc_Mix'!$X$32+ROW()*0.000001))</f>
        <v/>
      </c>
      <c r="AJ63" s="34">
        <f>IF(OR($B63="",$C63&lt;&gt;"Ativo",$D63&lt;&gt;'Calc_Mix'!$C$33,'Calc_Mix'!$X$33=0,COUNTIFS(Esc_Turno,'Calc_Mix'!$C$33,Esc_Circ,$B63)+COUNTIFS(Esc_Turno,'Calc_Mix'!$C$33,Esc_Instr,$B63)&gt;0),"",IF(SUMPRODUCT('Calc_Mix'!$D$33:$W$33,'Matriz_Habilidades'!$D63:$W63)=0,"",SUMPRODUCT('Calc_Mix'!$D$33:$W$33,'Matriz_Habilidades'!$D63:$W63)/'Calc_Mix'!$X$33+ROW()*0.000001))</f>
        <v/>
      </c>
      <c r="AK63" s="34">
        <f>IF(OR($B63="",$C63&lt;&gt;"Ativo",$D63&lt;&gt;'Calc_Mix'!$C$34,'Calc_Mix'!$X$34=0,COUNTIFS(Esc_Turno,'Calc_Mix'!$C$34,Esc_Circ,$B63)+COUNTIFS(Esc_Turno,'Calc_Mix'!$C$34,Esc_Instr,$B63)&gt;0),"",IF(SUMPRODUCT('Calc_Mix'!$D$34:$W$34,'Matriz_Habilidades'!$D63:$W63)=0,"",SUMPRODUCT('Calc_Mix'!$D$34:$W$34,'Matriz_Habilidades'!$D63:$W63)/'Calc_Mix'!$X$34+ROW()*0.000001))</f>
        <v/>
      </c>
      <c r="AL63" s="34">
        <f>IF(OR($B63="",$C63&lt;&gt;"Ativo",$D63&lt;&gt;'Calc_Mix'!$C$35,'Calc_Mix'!$X$35=0,COUNTIFS(Esc_Turno,'Calc_Mix'!$C$35,Esc_Circ,$B63)+COUNTIFS(Esc_Turno,'Calc_Mix'!$C$35,Esc_Instr,$B63)&gt;0),"",IF(SUMPRODUCT('Calc_Mix'!$D$35:$W$35,'Matriz_Habilidades'!$D63:$W63)=0,"",SUMPRODUCT('Calc_Mix'!$D$35:$W$35,'Matriz_Habilidades'!$D63:$W63)/'Calc_Mix'!$X$35+ROW()*0.000001))</f>
        <v/>
      </c>
      <c r="AM63" s="34">
        <f>IF(OR($B63="",$C63&lt;&gt;"Ativo",$D63&lt;&gt;'Calc_Mix'!$C$36,'Calc_Mix'!$X$36=0,COUNTIFS(Esc_Turno,'Calc_Mix'!$C$36,Esc_Circ,$B63)+COUNTIFS(Esc_Turno,'Calc_Mix'!$C$36,Esc_Instr,$B63)&gt;0),"",IF(SUMPRODUCT('Calc_Mix'!$D$36:$W$36,'Matriz_Habilidades'!$D63:$W63)=0,"",SUMPRODUCT('Calc_Mix'!$D$36:$W$36,'Matriz_Habilidades'!$D63:$W63)/'Calc_Mix'!$X$36+ROW()*0.000001))</f>
        <v/>
      </c>
      <c r="AN63" s="34">
        <f>IF(OR($B63="",$C63&lt;&gt;"Ativo",$D63&lt;&gt;'Calc_Mix'!$C$37,'Calc_Mix'!$X$37=0,COUNTIFS(Esc_Turno,'Calc_Mix'!$C$37,Esc_Circ,$B63)+COUNTIFS(Esc_Turno,'Calc_Mix'!$C$37,Esc_Instr,$B63)&gt;0),"",IF(SUMPRODUCT('Calc_Mix'!$D$37:$W$37,'Matriz_Habilidades'!$D63:$W63)=0,"",SUMPRODUCT('Calc_Mix'!$D$37:$W$37,'Matriz_Habilidades'!$D63:$W63)/'Calc_Mix'!$X$37+ROW()*0.000001))</f>
        <v/>
      </c>
    </row>
    <row r="64">
      <c r="A64" s="27">
        <f>IF('Matriz_Habilidades'!A64="","",'Matriz_Habilidades'!A64)</f>
        <v/>
      </c>
      <c r="B64" s="28">
        <f>IF('Matriz_Habilidades'!B64="","",'Matriz_Habilidades'!B64)</f>
        <v/>
      </c>
      <c r="C64" s="27">
        <f>IF($A64="","",IFERROR(INDEX(Equipe_Status,MATCH($B64,Equipe_Nome,0)),"?"))</f>
        <v/>
      </c>
      <c r="D64" s="27">
        <f>IF($A64="","",IFERROR(INDEX(Equipe_Turno,MATCH($B64,Equipe_Nome,0)),"?"))</f>
        <v/>
      </c>
      <c r="E64" s="34">
        <f>IF(OR($B64="",$C64&lt;&gt;"Ativo",$D64&lt;&gt;'Calc_Mix'!$C$2,'Calc_Mix'!$X$2=0,COUNTIFS(Esc_Turno,'Calc_Mix'!$C$2,Esc_Circ,$B64)+COUNTIFS(Esc_Turno,'Calc_Mix'!$C$2,Esc_Instr,$B64)&gt;0),"",IF(SUMPRODUCT('Calc_Mix'!$D$2:$W$2,'Matriz_Habilidades'!$D64:$W64)=0,"",SUMPRODUCT('Calc_Mix'!$D$2:$W$2,'Matriz_Habilidades'!$D64:$W64)/'Calc_Mix'!$X$2+ROW()*0.000001))</f>
        <v/>
      </c>
      <c r="F64" s="34">
        <f>IF(OR($B64="",$C64&lt;&gt;"Ativo",$D64&lt;&gt;'Calc_Mix'!$C$3,'Calc_Mix'!$X$3=0,COUNTIFS(Esc_Turno,'Calc_Mix'!$C$3,Esc_Circ,$B64)+COUNTIFS(Esc_Turno,'Calc_Mix'!$C$3,Esc_Instr,$B64)&gt;0),"",IF(SUMPRODUCT('Calc_Mix'!$D$3:$W$3,'Matriz_Habilidades'!$D64:$W64)=0,"",SUMPRODUCT('Calc_Mix'!$D$3:$W$3,'Matriz_Habilidades'!$D64:$W64)/'Calc_Mix'!$X$3+ROW()*0.000001))</f>
        <v/>
      </c>
      <c r="G64" s="34">
        <f>IF(OR($B64="",$C64&lt;&gt;"Ativo",$D64&lt;&gt;'Calc_Mix'!$C$4,'Calc_Mix'!$X$4=0,COUNTIFS(Esc_Turno,'Calc_Mix'!$C$4,Esc_Circ,$B64)+COUNTIFS(Esc_Turno,'Calc_Mix'!$C$4,Esc_Instr,$B64)&gt;0),"",IF(SUMPRODUCT('Calc_Mix'!$D$4:$W$4,'Matriz_Habilidades'!$D64:$W64)=0,"",SUMPRODUCT('Calc_Mix'!$D$4:$W$4,'Matriz_Habilidades'!$D64:$W64)/'Calc_Mix'!$X$4+ROW()*0.000001))</f>
        <v/>
      </c>
      <c r="H64" s="34">
        <f>IF(OR($B64="",$C64&lt;&gt;"Ativo",$D64&lt;&gt;'Calc_Mix'!$C$5,'Calc_Mix'!$X$5=0,COUNTIFS(Esc_Turno,'Calc_Mix'!$C$5,Esc_Circ,$B64)+COUNTIFS(Esc_Turno,'Calc_Mix'!$C$5,Esc_Instr,$B64)&gt;0),"",IF(SUMPRODUCT('Calc_Mix'!$D$5:$W$5,'Matriz_Habilidades'!$D64:$W64)=0,"",SUMPRODUCT('Calc_Mix'!$D$5:$W$5,'Matriz_Habilidades'!$D64:$W64)/'Calc_Mix'!$X$5+ROW()*0.000001))</f>
        <v/>
      </c>
      <c r="I64" s="34">
        <f>IF(OR($B64="",$C64&lt;&gt;"Ativo",$D64&lt;&gt;'Calc_Mix'!$C$6,'Calc_Mix'!$X$6=0,COUNTIFS(Esc_Turno,'Calc_Mix'!$C$6,Esc_Circ,$B64)+COUNTIFS(Esc_Turno,'Calc_Mix'!$C$6,Esc_Instr,$B64)&gt;0),"",IF(SUMPRODUCT('Calc_Mix'!$D$6:$W$6,'Matriz_Habilidades'!$D64:$W64)=0,"",SUMPRODUCT('Calc_Mix'!$D$6:$W$6,'Matriz_Habilidades'!$D64:$W64)/'Calc_Mix'!$X$6+ROW()*0.000001))</f>
        <v/>
      </c>
      <c r="J64" s="34">
        <f>IF(OR($B64="",$C64&lt;&gt;"Ativo",$D64&lt;&gt;'Calc_Mix'!$C$7,'Calc_Mix'!$X$7=0,COUNTIFS(Esc_Turno,'Calc_Mix'!$C$7,Esc_Circ,$B64)+COUNTIFS(Esc_Turno,'Calc_Mix'!$C$7,Esc_Instr,$B64)&gt;0),"",IF(SUMPRODUCT('Calc_Mix'!$D$7:$W$7,'Matriz_Habilidades'!$D64:$W64)=0,"",SUMPRODUCT('Calc_Mix'!$D$7:$W$7,'Matriz_Habilidades'!$D64:$W64)/'Calc_Mix'!$X$7+ROW()*0.000001))</f>
        <v/>
      </c>
      <c r="K64" s="34">
        <f>IF(OR($B64="",$C64&lt;&gt;"Ativo",$D64&lt;&gt;'Calc_Mix'!$C$8,'Calc_Mix'!$X$8=0,COUNTIFS(Esc_Turno,'Calc_Mix'!$C$8,Esc_Circ,$B64)+COUNTIFS(Esc_Turno,'Calc_Mix'!$C$8,Esc_Instr,$B64)&gt;0),"",IF(SUMPRODUCT('Calc_Mix'!$D$8:$W$8,'Matriz_Habilidades'!$D64:$W64)=0,"",SUMPRODUCT('Calc_Mix'!$D$8:$W$8,'Matriz_Habilidades'!$D64:$W64)/'Calc_Mix'!$X$8+ROW()*0.000001))</f>
        <v/>
      </c>
      <c r="L64" s="34">
        <f>IF(OR($B64="",$C64&lt;&gt;"Ativo",$D64&lt;&gt;'Calc_Mix'!$C$9,'Calc_Mix'!$X$9=0,COUNTIFS(Esc_Turno,'Calc_Mix'!$C$9,Esc_Circ,$B64)+COUNTIFS(Esc_Turno,'Calc_Mix'!$C$9,Esc_Instr,$B64)&gt;0),"",IF(SUMPRODUCT('Calc_Mix'!$D$9:$W$9,'Matriz_Habilidades'!$D64:$W64)=0,"",SUMPRODUCT('Calc_Mix'!$D$9:$W$9,'Matriz_Habilidades'!$D64:$W64)/'Calc_Mix'!$X$9+ROW()*0.000001))</f>
        <v/>
      </c>
      <c r="M64" s="34">
        <f>IF(OR($B64="",$C64&lt;&gt;"Ativo",$D64&lt;&gt;'Calc_Mix'!$C$10,'Calc_Mix'!$X$10=0,COUNTIFS(Esc_Turno,'Calc_Mix'!$C$10,Esc_Circ,$B64)+COUNTIFS(Esc_Turno,'Calc_Mix'!$C$10,Esc_Instr,$B64)&gt;0),"",IF(SUMPRODUCT('Calc_Mix'!$D$10:$W$10,'Matriz_Habilidades'!$D64:$W64)=0,"",SUMPRODUCT('Calc_Mix'!$D$10:$W$10,'Matriz_Habilidades'!$D64:$W64)/'Calc_Mix'!$X$10+ROW()*0.000001))</f>
        <v/>
      </c>
      <c r="N64" s="34">
        <f>IF(OR($B64="",$C64&lt;&gt;"Ativo",$D64&lt;&gt;'Calc_Mix'!$C$11,'Calc_Mix'!$X$11=0,COUNTIFS(Esc_Turno,'Calc_Mix'!$C$11,Esc_Circ,$B64)+COUNTIFS(Esc_Turno,'Calc_Mix'!$C$11,Esc_Instr,$B64)&gt;0),"",IF(SUMPRODUCT('Calc_Mix'!$D$11:$W$11,'Matriz_Habilidades'!$D64:$W64)=0,"",SUMPRODUCT('Calc_Mix'!$D$11:$W$11,'Matriz_Habilidades'!$D64:$W64)/'Calc_Mix'!$X$11+ROW()*0.000001))</f>
        <v/>
      </c>
      <c r="O64" s="34">
        <f>IF(OR($B64="",$C64&lt;&gt;"Ativo",$D64&lt;&gt;'Calc_Mix'!$C$12,'Calc_Mix'!$X$12=0,COUNTIFS(Esc_Turno,'Calc_Mix'!$C$12,Esc_Circ,$B64)+COUNTIFS(Esc_Turno,'Calc_Mix'!$C$12,Esc_Instr,$B64)&gt;0),"",IF(SUMPRODUCT('Calc_Mix'!$D$12:$W$12,'Matriz_Habilidades'!$D64:$W64)=0,"",SUMPRODUCT('Calc_Mix'!$D$12:$W$12,'Matriz_Habilidades'!$D64:$W64)/'Calc_Mix'!$X$12+ROW()*0.000001))</f>
        <v/>
      </c>
      <c r="P64" s="34">
        <f>IF(OR($B64="",$C64&lt;&gt;"Ativo",$D64&lt;&gt;'Calc_Mix'!$C$13,'Calc_Mix'!$X$13=0,COUNTIFS(Esc_Turno,'Calc_Mix'!$C$13,Esc_Circ,$B64)+COUNTIFS(Esc_Turno,'Calc_Mix'!$C$13,Esc_Instr,$B64)&gt;0),"",IF(SUMPRODUCT('Calc_Mix'!$D$13:$W$13,'Matriz_Habilidades'!$D64:$W64)=0,"",SUMPRODUCT('Calc_Mix'!$D$13:$W$13,'Matriz_Habilidades'!$D64:$W64)/'Calc_Mix'!$X$13+ROW()*0.000001))</f>
        <v/>
      </c>
      <c r="Q64" s="34">
        <f>IF(OR($B64="",$C64&lt;&gt;"Ativo",$D64&lt;&gt;'Calc_Mix'!$C$14,'Calc_Mix'!$X$14=0,COUNTIFS(Esc_Turno,'Calc_Mix'!$C$14,Esc_Circ,$B64)+COUNTIFS(Esc_Turno,'Calc_Mix'!$C$14,Esc_Instr,$B64)&gt;0),"",IF(SUMPRODUCT('Calc_Mix'!$D$14:$W$14,'Matriz_Habilidades'!$D64:$W64)=0,"",SUMPRODUCT('Calc_Mix'!$D$14:$W$14,'Matriz_Habilidades'!$D64:$W64)/'Calc_Mix'!$X$14+ROW()*0.000001))</f>
        <v/>
      </c>
      <c r="R64" s="34">
        <f>IF(OR($B64="",$C64&lt;&gt;"Ativo",$D64&lt;&gt;'Calc_Mix'!$C$15,'Calc_Mix'!$X$15=0,COUNTIFS(Esc_Turno,'Calc_Mix'!$C$15,Esc_Circ,$B64)+COUNTIFS(Esc_Turno,'Calc_Mix'!$C$15,Esc_Instr,$B64)&gt;0),"",IF(SUMPRODUCT('Calc_Mix'!$D$15:$W$15,'Matriz_Habilidades'!$D64:$W64)=0,"",SUMPRODUCT('Calc_Mix'!$D$15:$W$15,'Matriz_Habilidades'!$D64:$W64)/'Calc_Mix'!$X$15+ROW()*0.000001))</f>
        <v/>
      </c>
      <c r="S64" s="34">
        <f>IF(OR($B64="",$C64&lt;&gt;"Ativo",$D64&lt;&gt;'Calc_Mix'!$C$16,'Calc_Mix'!$X$16=0,COUNTIFS(Esc_Turno,'Calc_Mix'!$C$16,Esc_Circ,$B64)+COUNTIFS(Esc_Turno,'Calc_Mix'!$C$16,Esc_Instr,$B64)&gt;0),"",IF(SUMPRODUCT('Calc_Mix'!$D$16:$W$16,'Matriz_Habilidades'!$D64:$W64)=0,"",SUMPRODUCT('Calc_Mix'!$D$16:$W$16,'Matriz_Habilidades'!$D64:$W64)/'Calc_Mix'!$X$16+ROW()*0.000001))</f>
        <v/>
      </c>
      <c r="T64" s="34">
        <f>IF(OR($B64="",$C64&lt;&gt;"Ativo",$D64&lt;&gt;'Calc_Mix'!$C$17,'Calc_Mix'!$X$17=0,COUNTIFS(Esc_Turno,'Calc_Mix'!$C$17,Esc_Circ,$B64)+COUNTIFS(Esc_Turno,'Calc_Mix'!$C$17,Esc_Instr,$B64)&gt;0),"",IF(SUMPRODUCT('Calc_Mix'!$D$17:$W$17,'Matriz_Habilidades'!$D64:$W64)=0,"",SUMPRODUCT('Calc_Mix'!$D$17:$W$17,'Matriz_Habilidades'!$D64:$W64)/'Calc_Mix'!$X$17+ROW()*0.000001))</f>
        <v/>
      </c>
      <c r="U64" s="34">
        <f>IF(OR($B64="",$C64&lt;&gt;"Ativo",$D64&lt;&gt;'Calc_Mix'!$C$18,'Calc_Mix'!$X$18=0,COUNTIFS(Esc_Turno,'Calc_Mix'!$C$18,Esc_Circ,$B64)+COUNTIFS(Esc_Turno,'Calc_Mix'!$C$18,Esc_Instr,$B64)&gt;0),"",IF(SUMPRODUCT('Calc_Mix'!$D$18:$W$18,'Matriz_Habilidades'!$D64:$W64)=0,"",SUMPRODUCT('Calc_Mix'!$D$18:$W$18,'Matriz_Habilidades'!$D64:$W64)/'Calc_Mix'!$X$18+ROW()*0.000001))</f>
        <v/>
      </c>
      <c r="V64" s="34">
        <f>IF(OR($B64="",$C64&lt;&gt;"Ativo",$D64&lt;&gt;'Calc_Mix'!$C$19,'Calc_Mix'!$X$19=0,COUNTIFS(Esc_Turno,'Calc_Mix'!$C$19,Esc_Circ,$B64)+COUNTIFS(Esc_Turno,'Calc_Mix'!$C$19,Esc_Instr,$B64)&gt;0),"",IF(SUMPRODUCT('Calc_Mix'!$D$19:$W$19,'Matriz_Habilidades'!$D64:$W64)=0,"",SUMPRODUCT('Calc_Mix'!$D$19:$W$19,'Matriz_Habilidades'!$D64:$W64)/'Calc_Mix'!$X$19+ROW()*0.000001))</f>
        <v/>
      </c>
      <c r="W64" s="34">
        <f>IF(OR($B64="",$C64&lt;&gt;"Ativo",$D64&lt;&gt;'Calc_Mix'!$C$20,'Calc_Mix'!$X$20=0,COUNTIFS(Esc_Turno,'Calc_Mix'!$C$20,Esc_Circ,$B64)+COUNTIFS(Esc_Turno,'Calc_Mix'!$C$20,Esc_Instr,$B64)&gt;0),"",IF(SUMPRODUCT('Calc_Mix'!$D$20:$W$20,'Matriz_Habilidades'!$D64:$W64)=0,"",SUMPRODUCT('Calc_Mix'!$D$20:$W$20,'Matriz_Habilidades'!$D64:$W64)/'Calc_Mix'!$X$20+ROW()*0.000001))</f>
        <v/>
      </c>
      <c r="X64" s="34">
        <f>IF(OR($B64="",$C64&lt;&gt;"Ativo",$D64&lt;&gt;'Calc_Mix'!$C$21,'Calc_Mix'!$X$21=0,COUNTIFS(Esc_Turno,'Calc_Mix'!$C$21,Esc_Circ,$B64)+COUNTIFS(Esc_Turno,'Calc_Mix'!$C$21,Esc_Instr,$B64)&gt;0),"",IF(SUMPRODUCT('Calc_Mix'!$D$21:$W$21,'Matriz_Habilidades'!$D64:$W64)=0,"",SUMPRODUCT('Calc_Mix'!$D$21:$W$21,'Matriz_Habilidades'!$D64:$W64)/'Calc_Mix'!$X$21+ROW()*0.000001))</f>
        <v/>
      </c>
      <c r="Y64" s="34">
        <f>IF(OR($B64="",$C64&lt;&gt;"Ativo",$D64&lt;&gt;'Calc_Mix'!$C$22,'Calc_Mix'!$X$22=0,COUNTIFS(Esc_Turno,'Calc_Mix'!$C$22,Esc_Circ,$B64)+COUNTIFS(Esc_Turno,'Calc_Mix'!$C$22,Esc_Instr,$B64)&gt;0),"",IF(SUMPRODUCT('Calc_Mix'!$D$22:$W$22,'Matriz_Habilidades'!$D64:$W64)=0,"",SUMPRODUCT('Calc_Mix'!$D$22:$W$22,'Matriz_Habilidades'!$D64:$W64)/'Calc_Mix'!$X$22+ROW()*0.000001))</f>
        <v/>
      </c>
      <c r="Z64" s="34">
        <f>IF(OR($B64="",$C64&lt;&gt;"Ativo",$D64&lt;&gt;'Calc_Mix'!$C$23,'Calc_Mix'!$X$23=0,COUNTIFS(Esc_Turno,'Calc_Mix'!$C$23,Esc_Circ,$B64)+COUNTIFS(Esc_Turno,'Calc_Mix'!$C$23,Esc_Instr,$B64)&gt;0),"",IF(SUMPRODUCT('Calc_Mix'!$D$23:$W$23,'Matriz_Habilidades'!$D64:$W64)=0,"",SUMPRODUCT('Calc_Mix'!$D$23:$W$23,'Matriz_Habilidades'!$D64:$W64)/'Calc_Mix'!$X$23+ROW()*0.000001))</f>
        <v/>
      </c>
      <c r="AA64" s="34">
        <f>IF(OR($B64="",$C64&lt;&gt;"Ativo",$D64&lt;&gt;'Calc_Mix'!$C$24,'Calc_Mix'!$X$24=0,COUNTIFS(Esc_Turno,'Calc_Mix'!$C$24,Esc_Circ,$B64)+COUNTIFS(Esc_Turno,'Calc_Mix'!$C$24,Esc_Instr,$B64)&gt;0),"",IF(SUMPRODUCT('Calc_Mix'!$D$24:$W$24,'Matriz_Habilidades'!$D64:$W64)=0,"",SUMPRODUCT('Calc_Mix'!$D$24:$W$24,'Matriz_Habilidades'!$D64:$W64)/'Calc_Mix'!$X$24+ROW()*0.000001))</f>
        <v/>
      </c>
      <c r="AB64" s="34">
        <f>IF(OR($B64="",$C64&lt;&gt;"Ativo",$D64&lt;&gt;'Calc_Mix'!$C$25,'Calc_Mix'!$X$25=0,COUNTIFS(Esc_Turno,'Calc_Mix'!$C$25,Esc_Circ,$B64)+COUNTIFS(Esc_Turno,'Calc_Mix'!$C$25,Esc_Instr,$B64)&gt;0),"",IF(SUMPRODUCT('Calc_Mix'!$D$25:$W$25,'Matriz_Habilidades'!$D64:$W64)=0,"",SUMPRODUCT('Calc_Mix'!$D$25:$W$25,'Matriz_Habilidades'!$D64:$W64)/'Calc_Mix'!$X$25+ROW()*0.000001))</f>
        <v/>
      </c>
      <c r="AC64" s="34">
        <f>IF(OR($B64="",$C64&lt;&gt;"Ativo",$D64&lt;&gt;'Calc_Mix'!$C$26,'Calc_Mix'!$X$26=0,COUNTIFS(Esc_Turno,'Calc_Mix'!$C$26,Esc_Circ,$B64)+COUNTIFS(Esc_Turno,'Calc_Mix'!$C$26,Esc_Instr,$B64)&gt;0),"",IF(SUMPRODUCT('Calc_Mix'!$D$26:$W$26,'Matriz_Habilidades'!$D64:$W64)=0,"",SUMPRODUCT('Calc_Mix'!$D$26:$W$26,'Matriz_Habilidades'!$D64:$W64)/'Calc_Mix'!$X$26+ROW()*0.000001))</f>
        <v/>
      </c>
      <c r="AD64" s="34">
        <f>IF(OR($B64="",$C64&lt;&gt;"Ativo",$D64&lt;&gt;'Calc_Mix'!$C$27,'Calc_Mix'!$X$27=0,COUNTIFS(Esc_Turno,'Calc_Mix'!$C$27,Esc_Circ,$B64)+COUNTIFS(Esc_Turno,'Calc_Mix'!$C$27,Esc_Instr,$B64)&gt;0),"",IF(SUMPRODUCT('Calc_Mix'!$D$27:$W$27,'Matriz_Habilidades'!$D64:$W64)=0,"",SUMPRODUCT('Calc_Mix'!$D$27:$W$27,'Matriz_Habilidades'!$D64:$W64)/'Calc_Mix'!$X$27+ROW()*0.000001))</f>
        <v/>
      </c>
      <c r="AE64" s="34">
        <f>IF(OR($B64="",$C64&lt;&gt;"Ativo",$D64&lt;&gt;'Calc_Mix'!$C$28,'Calc_Mix'!$X$28=0,COUNTIFS(Esc_Turno,'Calc_Mix'!$C$28,Esc_Circ,$B64)+COUNTIFS(Esc_Turno,'Calc_Mix'!$C$28,Esc_Instr,$B64)&gt;0),"",IF(SUMPRODUCT('Calc_Mix'!$D$28:$W$28,'Matriz_Habilidades'!$D64:$W64)=0,"",SUMPRODUCT('Calc_Mix'!$D$28:$W$28,'Matriz_Habilidades'!$D64:$W64)/'Calc_Mix'!$X$28+ROW()*0.000001))</f>
        <v/>
      </c>
      <c r="AF64" s="34">
        <f>IF(OR($B64="",$C64&lt;&gt;"Ativo",$D64&lt;&gt;'Calc_Mix'!$C$29,'Calc_Mix'!$X$29=0,COUNTIFS(Esc_Turno,'Calc_Mix'!$C$29,Esc_Circ,$B64)+COUNTIFS(Esc_Turno,'Calc_Mix'!$C$29,Esc_Instr,$B64)&gt;0),"",IF(SUMPRODUCT('Calc_Mix'!$D$29:$W$29,'Matriz_Habilidades'!$D64:$W64)=0,"",SUMPRODUCT('Calc_Mix'!$D$29:$W$29,'Matriz_Habilidades'!$D64:$W64)/'Calc_Mix'!$X$29+ROW()*0.000001))</f>
        <v/>
      </c>
      <c r="AG64" s="34">
        <f>IF(OR($B64="",$C64&lt;&gt;"Ativo",$D64&lt;&gt;'Calc_Mix'!$C$30,'Calc_Mix'!$X$30=0,COUNTIFS(Esc_Turno,'Calc_Mix'!$C$30,Esc_Circ,$B64)+COUNTIFS(Esc_Turno,'Calc_Mix'!$C$30,Esc_Instr,$B64)&gt;0),"",IF(SUMPRODUCT('Calc_Mix'!$D$30:$W$30,'Matriz_Habilidades'!$D64:$W64)=0,"",SUMPRODUCT('Calc_Mix'!$D$30:$W$30,'Matriz_Habilidades'!$D64:$W64)/'Calc_Mix'!$X$30+ROW()*0.000001))</f>
        <v/>
      </c>
      <c r="AH64" s="34">
        <f>IF(OR($B64="",$C64&lt;&gt;"Ativo",$D64&lt;&gt;'Calc_Mix'!$C$31,'Calc_Mix'!$X$31=0,COUNTIFS(Esc_Turno,'Calc_Mix'!$C$31,Esc_Circ,$B64)+COUNTIFS(Esc_Turno,'Calc_Mix'!$C$31,Esc_Instr,$B64)&gt;0),"",IF(SUMPRODUCT('Calc_Mix'!$D$31:$W$31,'Matriz_Habilidades'!$D64:$W64)=0,"",SUMPRODUCT('Calc_Mix'!$D$31:$W$31,'Matriz_Habilidades'!$D64:$W64)/'Calc_Mix'!$X$31+ROW()*0.000001))</f>
        <v/>
      </c>
      <c r="AI64" s="34">
        <f>IF(OR($B64="",$C64&lt;&gt;"Ativo",$D64&lt;&gt;'Calc_Mix'!$C$32,'Calc_Mix'!$X$32=0,COUNTIFS(Esc_Turno,'Calc_Mix'!$C$32,Esc_Circ,$B64)+COUNTIFS(Esc_Turno,'Calc_Mix'!$C$32,Esc_Instr,$B64)&gt;0),"",IF(SUMPRODUCT('Calc_Mix'!$D$32:$W$32,'Matriz_Habilidades'!$D64:$W64)=0,"",SUMPRODUCT('Calc_Mix'!$D$32:$W$32,'Matriz_Habilidades'!$D64:$W64)/'Calc_Mix'!$X$32+ROW()*0.000001))</f>
        <v/>
      </c>
      <c r="AJ64" s="34">
        <f>IF(OR($B64="",$C64&lt;&gt;"Ativo",$D64&lt;&gt;'Calc_Mix'!$C$33,'Calc_Mix'!$X$33=0,COUNTIFS(Esc_Turno,'Calc_Mix'!$C$33,Esc_Circ,$B64)+COUNTIFS(Esc_Turno,'Calc_Mix'!$C$33,Esc_Instr,$B64)&gt;0),"",IF(SUMPRODUCT('Calc_Mix'!$D$33:$W$33,'Matriz_Habilidades'!$D64:$W64)=0,"",SUMPRODUCT('Calc_Mix'!$D$33:$W$33,'Matriz_Habilidades'!$D64:$W64)/'Calc_Mix'!$X$33+ROW()*0.000001))</f>
        <v/>
      </c>
      <c r="AK64" s="34">
        <f>IF(OR($B64="",$C64&lt;&gt;"Ativo",$D64&lt;&gt;'Calc_Mix'!$C$34,'Calc_Mix'!$X$34=0,COUNTIFS(Esc_Turno,'Calc_Mix'!$C$34,Esc_Circ,$B64)+COUNTIFS(Esc_Turno,'Calc_Mix'!$C$34,Esc_Instr,$B64)&gt;0),"",IF(SUMPRODUCT('Calc_Mix'!$D$34:$W$34,'Matriz_Habilidades'!$D64:$W64)=0,"",SUMPRODUCT('Calc_Mix'!$D$34:$W$34,'Matriz_Habilidades'!$D64:$W64)/'Calc_Mix'!$X$34+ROW()*0.000001))</f>
        <v/>
      </c>
      <c r="AL64" s="34">
        <f>IF(OR($B64="",$C64&lt;&gt;"Ativo",$D64&lt;&gt;'Calc_Mix'!$C$35,'Calc_Mix'!$X$35=0,COUNTIFS(Esc_Turno,'Calc_Mix'!$C$35,Esc_Circ,$B64)+COUNTIFS(Esc_Turno,'Calc_Mix'!$C$35,Esc_Instr,$B64)&gt;0),"",IF(SUMPRODUCT('Calc_Mix'!$D$35:$W$35,'Matriz_Habilidades'!$D64:$W64)=0,"",SUMPRODUCT('Calc_Mix'!$D$35:$W$35,'Matriz_Habilidades'!$D64:$W64)/'Calc_Mix'!$X$35+ROW()*0.000001))</f>
        <v/>
      </c>
      <c r="AM64" s="34">
        <f>IF(OR($B64="",$C64&lt;&gt;"Ativo",$D64&lt;&gt;'Calc_Mix'!$C$36,'Calc_Mix'!$X$36=0,COUNTIFS(Esc_Turno,'Calc_Mix'!$C$36,Esc_Circ,$B64)+COUNTIFS(Esc_Turno,'Calc_Mix'!$C$36,Esc_Instr,$B64)&gt;0),"",IF(SUMPRODUCT('Calc_Mix'!$D$36:$W$36,'Matriz_Habilidades'!$D64:$W64)=0,"",SUMPRODUCT('Calc_Mix'!$D$36:$W$36,'Matriz_Habilidades'!$D64:$W64)/'Calc_Mix'!$X$36+ROW()*0.000001))</f>
        <v/>
      </c>
      <c r="AN64" s="34">
        <f>IF(OR($B64="",$C64&lt;&gt;"Ativo",$D64&lt;&gt;'Calc_Mix'!$C$37,'Calc_Mix'!$X$37=0,COUNTIFS(Esc_Turno,'Calc_Mix'!$C$37,Esc_Circ,$B64)+COUNTIFS(Esc_Turno,'Calc_Mix'!$C$37,Esc_Instr,$B64)&gt;0),"",IF(SUMPRODUCT('Calc_Mix'!$D$37:$W$37,'Matriz_Habilidades'!$D64:$W64)=0,"",SUMPRODUCT('Calc_Mix'!$D$37:$W$37,'Matriz_Habilidades'!$D64:$W64)/'Calc_Mix'!$X$37+ROW()*0.000001))</f>
        <v/>
      </c>
    </row>
    <row r="65">
      <c r="A65" s="27">
        <f>IF('Matriz_Habilidades'!A65="","",'Matriz_Habilidades'!A65)</f>
        <v/>
      </c>
      <c r="B65" s="28">
        <f>IF('Matriz_Habilidades'!B65="","",'Matriz_Habilidades'!B65)</f>
        <v/>
      </c>
      <c r="C65" s="27">
        <f>IF($A65="","",IFERROR(INDEX(Equipe_Status,MATCH($B65,Equipe_Nome,0)),"?"))</f>
        <v/>
      </c>
      <c r="D65" s="27">
        <f>IF($A65="","",IFERROR(INDEX(Equipe_Turno,MATCH($B65,Equipe_Nome,0)),"?"))</f>
        <v/>
      </c>
      <c r="E65" s="34">
        <f>IF(OR($B65="",$C65&lt;&gt;"Ativo",$D65&lt;&gt;'Calc_Mix'!$C$2,'Calc_Mix'!$X$2=0,COUNTIFS(Esc_Turno,'Calc_Mix'!$C$2,Esc_Circ,$B65)+COUNTIFS(Esc_Turno,'Calc_Mix'!$C$2,Esc_Instr,$B65)&gt;0),"",IF(SUMPRODUCT('Calc_Mix'!$D$2:$W$2,'Matriz_Habilidades'!$D65:$W65)=0,"",SUMPRODUCT('Calc_Mix'!$D$2:$W$2,'Matriz_Habilidades'!$D65:$W65)/'Calc_Mix'!$X$2+ROW()*0.000001))</f>
        <v/>
      </c>
      <c r="F65" s="34">
        <f>IF(OR($B65="",$C65&lt;&gt;"Ativo",$D65&lt;&gt;'Calc_Mix'!$C$3,'Calc_Mix'!$X$3=0,COUNTIFS(Esc_Turno,'Calc_Mix'!$C$3,Esc_Circ,$B65)+COUNTIFS(Esc_Turno,'Calc_Mix'!$C$3,Esc_Instr,$B65)&gt;0),"",IF(SUMPRODUCT('Calc_Mix'!$D$3:$W$3,'Matriz_Habilidades'!$D65:$W65)=0,"",SUMPRODUCT('Calc_Mix'!$D$3:$W$3,'Matriz_Habilidades'!$D65:$W65)/'Calc_Mix'!$X$3+ROW()*0.000001))</f>
        <v/>
      </c>
      <c r="G65" s="34">
        <f>IF(OR($B65="",$C65&lt;&gt;"Ativo",$D65&lt;&gt;'Calc_Mix'!$C$4,'Calc_Mix'!$X$4=0,COUNTIFS(Esc_Turno,'Calc_Mix'!$C$4,Esc_Circ,$B65)+COUNTIFS(Esc_Turno,'Calc_Mix'!$C$4,Esc_Instr,$B65)&gt;0),"",IF(SUMPRODUCT('Calc_Mix'!$D$4:$W$4,'Matriz_Habilidades'!$D65:$W65)=0,"",SUMPRODUCT('Calc_Mix'!$D$4:$W$4,'Matriz_Habilidades'!$D65:$W65)/'Calc_Mix'!$X$4+ROW()*0.000001))</f>
        <v/>
      </c>
      <c r="H65" s="34">
        <f>IF(OR($B65="",$C65&lt;&gt;"Ativo",$D65&lt;&gt;'Calc_Mix'!$C$5,'Calc_Mix'!$X$5=0,COUNTIFS(Esc_Turno,'Calc_Mix'!$C$5,Esc_Circ,$B65)+COUNTIFS(Esc_Turno,'Calc_Mix'!$C$5,Esc_Instr,$B65)&gt;0),"",IF(SUMPRODUCT('Calc_Mix'!$D$5:$W$5,'Matriz_Habilidades'!$D65:$W65)=0,"",SUMPRODUCT('Calc_Mix'!$D$5:$W$5,'Matriz_Habilidades'!$D65:$W65)/'Calc_Mix'!$X$5+ROW()*0.000001))</f>
        <v/>
      </c>
      <c r="I65" s="34">
        <f>IF(OR($B65="",$C65&lt;&gt;"Ativo",$D65&lt;&gt;'Calc_Mix'!$C$6,'Calc_Mix'!$X$6=0,COUNTIFS(Esc_Turno,'Calc_Mix'!$C$6,Esc_Circ,$B65)+COUNTIFS(Esc_Turno,'Calc_Mix'!$C$6,Esc_Instr,$B65)&gt;0),"",IF(SUMPRODUCT('Calc_Mix'!$D$6:$W$6,'Matriz_Habilidades'!$D65:$W65)=0,"",SUMPRODUCT('Calc_Mix'!$D$6:$W$6,'Matriz_Habilidades'!$D65:$W65)/'Calc_Mix'!$X$6+ROW()*0.000001))</f>
        <v/>
      </c>
      <c r="J65" s="34">
        <f>IF(OR($B65="",$C65&lt;&gt;"Ativo",$D65&lt;&gt;'Calc_Mix'!$C$7,'Calc_Mix'!$X$7=0,COUNTIFS(Esc_Turno,'Calc_Mix'!$C$7,Esc_Circ,$B65)+COUNTIFS(Esc_Turno,'Calc_Mix'!$C$7,Esc_Instr,$B65)&gt;0),"",IF(SUMPRODUCT('Calc_Mix'!$D$7:$W$7,'Matriz_Habilidades'!$D65:$W65)=0,"",SUMPRODUCT('Calc_Mix'!$D$7:$W$7,'Matriz_Habilidades'!$D65:$W65)/'Calc_Mix'!$X$7+ROW()*0.000001))</f>
        <v/>
      </c>
      <c r="K65" s="34">
        <f>IF(OR($B65="",$C65&lt;&gt;"Ativo",$D65&lt;&gt;'Calc_Mix'!$C$8,'Calc_Mix'!$X$8=0,COUNTIFS(Esc_Turno,'Calc_Mix'!$C$8,Esc_Circ,$B65)+COUNTIFS(Esc_Turno,'Calc_Mix'!$C$8,Esc_Instr,$B65)&gt;0),"",IF(SUMPRODUCT('Calc_Mix'!$D$8:$W$8,'Matriz_Habilidades'!$D65:$W65)=0,"",SUMPRODUCT('Calc_Mix'!$D$8:$W$8,'Matriz_Habilidades'!$D65:$W65)/'Calc_Mix'!$X$8+ROW()*0.000001))</f>
        <v/>
      </c>
      <c r="L65" s="34">
        <f>IF(OR($B65="",$C65&lt;&gt;"Ativo",$D65&lt;&gt;'Calc_Mix'!$C$9,'Calc_Mix'!$X$9=0,COUNTIFS(Esc_Turno,'Calc_Mix'!$C$9,Esc_Circ,$B65)+COUNTIFS(Esc_Turno,'Calc_Mix'!$C$9,Esc_Instr,$B65)&gt;0),"",IF(SUMPRODUCT('Calc_Mix'!$D$9:$W$9,'Matriz_Habilidades'!$D65:$W65)=0,"",SUMPRODUCT('Calc_Mix'!$D$9:$W$9,'Matriz_Habilidades'!$D65:$W65)/'Calc_Mix'!$X$9+ROW()*0.000001))</f>
        <v/>
      </c>
      <c r="M65" s="34">
        <f>IF(OR($B65="",$C65&lt;&gt;"Ativo",$D65&lt;&gt;'Calc_Mix'!$C$10,'Calc_Mix'!$X$10=0,COUNTIFS(Esc_Turno,'Calc_Mix'!$C$10,Esc_Circ,$B65)+COUNTIFS(Esc_Turno,'Calc_Mix'!$C$10,Esc_Instr,$B65)&gt;0),"",IF(SUMPRODUCT('Calc_Mix'!$D$10:$W$10,'Matriz_Habilidades'!$D65:$W65)=0,"",SUMPRODUCT('Calc_Mix'!$D$10:$W$10,'Matriz_Habilidades'!$D65:$W65)/'Calc_Mix'!$X$10+ROW()*0.000001))</f>
        <v/>
      </c>
      <c r="N65" s="34">
        <f>IF(OR($B65="",$C65&lt;&gt;"Ativo",$D65&lt;&gt;'Calc_Mix'!$C$11,'Calc_Mix'!$X$11=0,COUNTIFS(Esc_Turno,'Calc_Mix'!$C$11,Esc_Circ,$B65)+COUNTIFS(Esc_Turno,'Calc_Mix'!$C$11,Esc_Instr,$B65)&gt;0),"",IF(SUMPRODUCT('Calc_Mix'!$D$11:$W$11,'Matriz_Habilidades'!$D65:$W65)=0,"",SUMPRODUCT('Calc_Mix'!$D$11:$W$11,'Matriz_Habilidades'!$D65:$W65)/'Calc_Mix'!$X$11+ROW()*0.000001))</f>
        <v/>
      </c>
      <c r="O65" s="34">
        <f>IF(OR($B65="",$C65&lt;&gt;"Ativo",$D65&lt;&gt;'Calc_Mix'!$C$12,'Calc_Mix'!$X$12=0,COUNTIFS(Esc_Turno,'Calc_Mix'!$C$12,Esc_Circ,$B65)+COUNTIFS(Esc_Turno,'Calc_Mix'!$C$12,Esc_Instr,$B65)&gt;0),"",IF(SUMPRODUCT('Calc_Mix'!$D$12:$W$12,'Matriz_Habilidades'!$D65:$W65)=0,"",SUMPRODUCT('Calc_Mix'!$D$12:$W$12,'Matriz_Habilidades'!$D65:$W65)/'Calc_Mix'!$X$12+ROW()*0.000001))</f>
        <v/>
      </c>
      <c r="P65" s="34">
        <f>IF(OR($B65="",$C65&lt;&gt;"Ativo",$D65&lt;&gt;'Calc_Mix'!$C$13,'Calc_Mix'!$X$13=0,COUNTIFS(Esc_Turno,'Calc_Mix'!$C$13,Esc_Circ,$B65)+COUNTIFS(Esc_Turno,'Calc_Mix'!$C$13,Esc_Instr,$B65)&gt;0),"",IF(SUMPRODUCT('Calc_Mix'!$D$13:$W$13,'Matriz_Habilidades'!$D65:$W65)=0,"",SUMPRODUCT('Calc_Mix'!$D$13:$W$13,'Matriz_Habilidades'!$D65:$W65)/'Calc_Mix'!$X$13+ROW()*0.000001))</f>
        <v/>
      </c>
      <c r="Q65" s="34">
        <f>IF(OR($B65="",$C65&lt;&gt;"Ativo",$D65&lt;&gt;'Calc_Mix'!$C$14,'Calc_Mix'!$X$14=0,COUNTIFS(Esc_Turno,'Calc_Mix'!$C$14,Esc_Circ,$B65)+COUNTIFS(Esc_Turno,'Calc_Mix'!$C$14,Esc_Instr,$B65)&gt;0),"",IF(SUMPRODUCT('Calc_Mix'!$D$14:$W$14,'Matriz_Habilidades'!$D65:$W65)=0,"",SUMPRODUCT('Calc_Mix'!$D$14:$W$14,'Matriz_Habilidades'!$D65:$W65)/'Calc_Mix'!$X$14+ROW()*0.000001))</f>
        <v/>
      </c>
      <c r="R65" s="34">
        <f>IF(OR($B65="",$C65&lt;&gt;"Ativo",$D65&lt;&gt;'Calc_Mix'!$C$15,'Calc_Mix'!$X$15=0,COUNTIFS(Esc_Turno,'Calc_Mix'!$C$15,Esc_Circ,$B65)+COUNTIFS(Esc_Turno,'Calc_Mix'!$C$15,Esc_Instr,$B65)&gt;0),"",IF(SUMPRODUCT('Calc_Mix'!$D$15:$W$15,'Matriz_Habilidades'!$D65:$W65)=0,"",SUMPRODUCT('Calc_Mix'!$D$15:$W$15,'Matriz_Habilidades'!$D65:$W65)/'Calc_Mix'!$X$15+ROW()*0.000001))</f>
        <v/>
      </c>
      <c r="S65" s="34">
        <f>IF(OR($B65="",$C65&lt;&gt;"Ativo",$D65&lt;&gt;'Calc_Mix'!$C$16,'Calc_Mix'!$X$16=0,COUNTIFS(Esc_Turno,'Calc_Mix'!$C$16,Esc_Circ,$B65)+COUNTIFS(Esc_Turno,'Calc_Mix'!$C$16,Esc_Instr,$B65)&gt;0),"",IF(SUMPRODUCT('Calc_Mix'!$D$16:$W$16,'Matriz_Habilidades'!$D65:$W65)=0,"",SUMPRODUCT('Calc_Mix'!$D$16:$W$16,'Matriz_Habilidades'!$D65:$W65)/'Calc_Mix'!$X$16+ROW()*0.000001))</f>
        <v/>
      </c>
      <c r="T65" s="34">
        <f>IF(OR($B65="",$C65&lt;&gt;"Ativo",$D65&lt;&gt;'Calc_Mix'!$C$17,'Calc_Mix'!$X$17=0,COUNTIFS(Esc_Turno,'Calc_Mix'!$C$17,Esc_Circ,$B65)+COUNTIFS(Esc_Turno,'Calc_Mix'!$C$17,Esc_Instr,$B65)&gt;0),"",IF(SUMPRODUCT('Calc_Mix'!$D$17:$W$17,'Matriz_Habilidades'!$D65:$W65)=0,"",SUMPRODUCT('Calc_Mix'!$D$17:$W$17,'Matriz_Habilidades'!$D65:$W65)/'Calc_Mix'!$X$17+ROW()*0.000001))</f>
        <v/>
      </c>
      <c r="U65" s="34">
        <f>IF(OR($B65="",$C65&lt;&gt;"Ativo",$D65&lt;&gt;'Calc_Mix'!$C$18,'Calc_Mix'!$X$18=0,COUNTIFS(Esc_Turno,'Calc_Mix'!$C$18,Esc_Circ,$B65)+COUNTIFS(Esc_Turno,'Calc_Mix'!$C$18,Esc_Instr,$B65)&gt;0),"",IF(SUMPRODUCT('Calc_Mix'!$D$18:$W$18,'Matriz_Habilidades'!$D65:$W65)=0,"",SUMPRODUCT('Calc_Mix'!$D$18:$W$18,'Matriz_Habilidades'!$D65:$W65)/'Calc_Mix'!$X$18+ROW()*0.000001))</f>
        <v/>
      </c>
      <c r="V65" s="34">
        <f>IF(OR($B65="",$C65&lt;&gt;"Ativo",$D65&lt;&gt;'Calc_Mix'!$C$19,'Calc_Mix'!$X$19=0,COUNTIFS(Esc_Turno,'Calc_Mix'!$C$19,Esc_Circ,$B65)+COUNTIFS(Esc_Turno,'Calc_Mix'!$C$19,Esc_Instr,$B65)&gt;0),"",IF(SUMPRODUCT('Calc_Mix'!$D$19:$W$19,'Matriz_Habilidades'!$D65:$W65)=0,"",SUMPRODUCT('Calc_Mix'!$D$19:$W$19,'Matriz_Habilidades'!$D65:$W65)/'Calc_Mix'!$X$19+ROW()*0.000001))</f>
        <v/>
      </c>
      <c r="W65" s="34">
        <f>IF(OR($B65="",$C65&lt;&gt;"Ativo",$D65&lt;&gt;'Calc_Mix'!$C$20,'Calc_Mix'!$X$20=0,COUNTIFS(Esc_Turno,'Calc_Mix'!$C$20,Esc_Circ,$B65)+COUNTIFS(Esc_Turno,'Calc_Mix'!$C$20,Esc_Instr,$B65)&gt;0),"",IF(SUMPRODUCT('Calc_Mix'!$D$20:$W$20,'Matriz_Habilidades'!$D65:$W65)=0,"",SUMPRODUCT('Calc_Mix'!$D$20:$W$20,'Matriz_Habilidades'!$D65:$W65)/'Calc_Mix'!$X$20+ROW()*0.000001))</f>
        <v/>
      </c>
      <c r="X65" s="34">
        <f>IF(OR($B65="",$C65&lt;&gt;"Ativo",$D65&lt;&gt;'Calc_Mix'!$C$21,'Calc_Mix'!$X$21=0,COUNTIFS(Esc_Turno,'Calc_Mix'!$C$21,Esc_Circ,$B65)+COUNTIFS(Esc_Turno,'Calc_Mix'!$C$21,Esc_Instr,$B65)&gt;0),"",IF(SUMPRODUCT('Calc_Mix'!$D$21:$W$21,'Matriz_Habilidades'!$D65:$W65)=0,"",SUMPRODUCT('Calc_Mix'!$D$21:$W$21,'Matriz_Habilidades'!$D65:$W65)/'Calc_Mix'!$X$21+ROW()*0.000001))</f>
        <v/>
      </c>
      <c r="Y65" s="34">
        <f>IF(OR($B65="",$C65&lt;&gt;"Ativo",$D65&lt;&gt;'Calc_Mix'!$C$22,'Calc_Mix'!$X$22=0,COUNTIFS(Esc_Turno,'Calc_Mix'!$C$22,Esc_Circ,$B65)+COUNTIFS(Esc_Turno,'Calc_Mix'!$C$22,Esc_Instr,$B65)&gt;0),"",IF(SUMPRODUCT('Calc_Mix'!$D$22:$W$22,'Matriz_Habilidades'!$D65:$W65)=0,"",SUMPRODUCT('Calc_Mix'!$D$22:$W$22,'Matriz_Habilidades'!$D65:$W65)/'Calc_Mix'!$X$22+ROW()*0.000001))</f>
        <v/>
      </c>
      <c r="Z65" s="34">
        <f>IF(OR($B65="",$C65&lt;&gt;"Ativo",$D65&lt;&gt;'Calc_Mix'!$C$23,'Calc_Mix'!$X$23=0,COUNTIFS(Esc_Turno,'Calc_Mix'!$C$23,Esc_Circ,$B65)+COUNTIFS(Esc_Turno,'Calc_Mix'!$C$23,Esc_Instr,$B65)&gt;0),"",IF(SUMPRODUCT('Calc_Mix'!$D$23:$W$23,'Matriz_Habilidades'!$D65:$W65)=0,"",SUMPRODUCT('Calc_Mix'!$D$23:$W$23,'Matriz_Habilidades'!$D65:$W65)/'Calc_Mix'!$X$23+ROW()*0.000001))</f>
        <v/>
      </c>
      <c r="AA65" s="34">
        <f>IF(OR($B65="",$C65&lt;&gt;"Ativo",$D65&lt;&gt;'Calc_Mix'!$C$24,'Calc_Mix'!$X$24=0,COUNTIFS(Esc_Turno,'Calc_Mix'!$C$24,Esc_Circ,$B65)+COUNTIFS(Esc_Turno,'Calc_Mix'!$C$24,Esc_Instr,$B65)&gt;0),"",IF(SUMPRODUCT('Calc_Mix'!$D$24:$W$24,'Matriz_Habilidades'!$D65:$W65)=0,"",SUMPRODUCT('Calc_Mix'!$D$24:$W$24,'Matriz_Habilidades'!$D65:$W65)/'Calc_Mix'!$X$24+ROW()*0.000001))</f>
        <v/>
      </c>
      <c r="AB65" s="34">
        <f>IF(OR($B65="",$C65&lt;&gt;"Ativo",$D65&lt;&gt;'Calc_Mix'!$C$25,'Calc_Mix'!$X$25=0,COUNTIFS(Esc_Turno,'Calc_Mix'!$C$25,Esc_Circ,$B65)+COUNTIFS(Esc_Turno,'Calc_Mix'!$C$25,Esc_Instr,$B65)&gt;0),"",IF(SUMPRODUCT('Calc_Mix'!$D$25:$W$25,'Matriz_Habilidades'!$D65:$W65)=0,"",SUMPRODUCT('Calc_Mix'!$D$25:$W$25,'Matriz_Habilidades'!$D65:$W65)/'Calc_Mix'!$X$25+ROW()*0.000001))</f>
        <v/>
      </c>
      <c r="AC65" s="34">
        <f>IF(OR($B65="",$C65&lt;&gt;"Ativo",$D65&lt;&gt;'Calc_Mix'!$C$26,'Calc_Mix'!$X$26=0,COUNTIFS(Esc_Turno,'Calc_Mix'!$C$26,Esc_Circ,$B65)+COUNTIFS(Esc_Turno,'Calc_Mix'!$C$26,Esc_Instr,$B65)&gt;0),"",IF(SUMPRODUCT('Calc_Mix'!$D$26:$W$26,'Matriz_Habilidades'!$D65:$W65)=0,"",SUMPRODUCT('Calc_Mix'!$D$26:$W$26,'Matriz_Habilidades'!$D65:$W65)/'Calc_Mix'!$X$26+ROW()*0.000001))</f>
        <v/>
      </c>
      <c r="AD65" s="34">
        <f>IF(OR($B65="",$C65&lt;&gt;"Ativo",$D65&lt;&gt;'Calc_Mix'!$C$27,'Calc_Mix'!$X$27=0,COUNTIFS(Esc_Turno,'Calc_Mix'!$C$27,Esc_Circ,$B65)+COUNTIFS(Esc_Turno,'Calc_Mix'!$C$27,Esc_Instr,$B65)&gt;0),"",IF(SUMPRODUCT('Calc_Mix'!$D$27:$W$27,'Matriz_Habilidades'!$D65:$W65)=0,"",SUMPRODUCT('Calc_Mix'!$D$27:$W$27,'Matriz_Habilidades'!$D65:$W65)/'Calc_Mix'!$X$27+ROW()*0.000001))</f>
        <v/>
      </c>
      <c r="AE65" s="34">
        <f>IF(OR($B65="",$C65&lt;&gt;"Ativo",$D65&lt;&gt;'Calc_Mix'!$C$28,'Calc_Mix'!$X$28=0,COUNTIFS(Esc_Turno,'Calc_Mix'!$C$28,Esc_Circ,$B65)+COUNTIFS(Esc_Turno,'Calc_Mix'!$C$28,Esc_Instr,$B65)&gt;0),"",IF(SUMPRODUCT('Calc_Mix'!$D$28:$W$28,'Matriz_Habilidades'!$D65:$W65)=0,"",SUMPRODUCT('Calc_Mix'!$D$28:$W$28,'Matriz_Habilidades'!$D65:$W65)/'Calc_Mix'!$X$28+ROW()*0.000001))</f>
        <v/>
      </c>
      <c r="AF65" s="34">
        <f>IF(OR($B65="",$C65&lt;&gt;"Ativo",$D65&lt;&gt;'Calc_Mix'!$C$29,'Calc_Mix'!$X$29=0,COUNTIFS(Esc_Turno,'Calc_Mix'!$C$29,Esc_Circ,$B65)+COUNTIFS(Esc_Turno,'Calc_Mix'!$C$29,Esc_Instr,$B65)&gt;0),"",IF(SUMPRODUCT('Calc_Mix'!$D$29:$W$29,'Matriz_Habilidades'!$D65:$W65)=0,"",SUMPRODUCT('Calc_Mix'!$D$29:$W$29,'Matriz_Habilidades'!$D65:$W65)/'Calc_Mix'!$X$29+ROW()*0.000001))</f>
        <v/>
      </c>
      <c r="AG65" s="34">
        <f>IF(OR($B65="",$C65&lt;&gt;"Ativo",$D65&lt;&gt;'Calc_Mix'!$C$30,'Calc_Mix'!$X$30=0,COUNTIFS(Esc_Turno,'Calc_Mix'!$C$30,Esc_Circ,$B65)+COUNTIFS(Esc_Turno,'Calc_Mix'!$C$30,Esc_Instr,$B65)&gt;0),"",IF(SUMPRODUCT('Calc_Mix'!$D$30:$W$30,'Matriz_Habilidades'!$D65:$W65)=0,"",SUMPRODUCT('Calc_Mix'!$D$30:$W$30,'Matriz_Habilidades'!$D65:$W65)/'Calc_Mix'!$X$30+ROW()*0.000001))</f>
        <v/>
      </c>
      <c r="AH65" s="34">
        <f>IF(OR($B65="",$C65&lt;&gt;"Ativo",$D65&lt;&gt;'Calc_Mix'!$C$31,'Calc_Mix'!$X$31=0,COUNTIFS(Esc_Turno,'Calc_Mix'!$C$31,Esc_Circ,$B65)+COUNTIFS(Esc_Turno,'Calc_Mix'!$C$31,Esc_Instr,$B65)&gt;0),"",IF(SUMPRODUCT('Calc_Mix'!$D$31:$W$31,'Matriz_Habilidades'!$D65:$W65)=0,"",SUMPRODUCT('Calc_Mix'!$D$31:$W$31,'Matriz_Habilidades'!$D65:$W65)/'Calc_Mix'!$X$31+ROW()*0.000001))</f>
        <v/>
      </c>
      <c r="AI65" s="34">
        <f>IF(OR($B65="",$C65&lt;&gt;"Ativo",$D65&lt;&gt;'Calc_Mix'!$C$32,'Calc_Mix'!$X$32=0,COUNTIFS(Esc_Turno,'Calc_Mix'!$C$32,Esc_Circ,$B65)+COUNTIFS(Esc_Turno,'Calc_Mix'!$C$32,Esc_Instr,$B65)&gt;0),"",IF(SUMPRODUCT('Calc_Mix'!$D$32:$W$32,'Matriz_Habilidades'!$D65:$W65)=0,"",SUMPRODUCT('Calc_Mix'!$D$32:$W$32,'Matriz_Habilidades'!$D65:$W65)/'Calc_Mix'!$X$32+ROW()*0.000001))</f>
        <v/>
      </c>
      <c r="AJ65" s="34">
        <f>IF(OR($B65="",$C65&lt;&gt;"Ativo",$D65&lt;&gt;'Calc_Mix'!$C$33,'Calc_Mix'!$X$33=0,COUNTIFS(Esc_Turno,'Calc_Mix'!$C$33,Esc_Circ,$B65)+COUNTIFS(Esc_Turno,'Calc_Mix'!$C$33,Esc_Instr,$B65)&gt;0),"",IF(SUMPRODUCT('Calc_Mix'!$D$33:$W$33,'Matriz_Habilidades'!$D65:$W65)=0,"",SUMPRODUCT('Calc_Mix'!$D$33:$W$33,'Matriz_Habilidades'!$D65:$W65)/'Calc_Mix'!$X$33+ROW()*0.000001))</f>
        <v/>
      </c>
      <c r="AK65" s="34">
        <f>IF(OR($B65="",$C65&lt;&gt;"Ativo",$D65&lt;&gt;'Calc_Mix'!$C$34,'Calc_Mix'!$X$34=0,COUNTIFS(Esc_Turno,'Calc_Mix'!$C$34,Esc_Circ,$B65)+COUNTIFS(Esc_Turno,'Calc_Mix'!$C$34,Esc_Instr,$B65)&gt;0),"",IF(SUMPRODUCT('Calc_Mix'!$D$34:$W$34,'Matriz_Habilidades'!$D65:$W65)=0,"",SUMPRODUCT('Calc_Mix'!$D$34:$W$34,'Matriz_Habilidades'!$D65:$W65)/'Calc_Mix'!$X$34+ROW()*0.000001))</f>
        <v/>
      </c>
      <c r="AL65" s="34">
        <f>IF(OR($B65="",$C65&lt;&gt;"Ativo",$D65&lt;&gt;'Calc_Mix'!$C$35,'Calc_Mix'!$X$35=0,COUNTIFS(Esc_Turno,'Calc_Mix'!$C$35,Esc_Circ,$B65)+COUNTIFS(Esc_Turno,'Calc_Mix'!$C$35,Esc_Instr,$B65)&gt;0),"",IF(SUMPRODUCT('Calc_Mix'!$D$35:$W$35,'Matriz_Habilidades'!$D65:$W65)=0,"",SUMPRODUCT('Calc_Mix'!$D$35:$W$35,'Matriz_Habilidades'!$D65:$W65)/'Calc_Mix'!$X$35+ROW()*0.000001))</f>
        <v/>
      </c>
      <c r="AM65" s="34">
        <f>IF(OR($B65="",$C65&lt;&gt;"Ativo",$D65&lt;&gt;'Calc_Mix'!$C$36,'Calc_Mix'!$X$36=0,COUNTIFS(Esc_Turno,'Calc_Mix'!$C$36,Esc_Circ,$B65)+COUNTIFS(Esc_Turno,'Calc_Mix'!$C$36,Esc_Instr,$B65)&gt;0),"",IF(SUMPRODUCT('Calc_Mix'!$D$36:$W$36,'Matriz_Habilidades'!$D65:$W65)=0,"",SUMPRODUCT('Calc_Mix'!$D$36:$W$36,'Matriz_Habilidades'!$D65:$W65)/'Calc_Mix'!$X$36+ROW()*0.000001))</f>
        <v/>
      </c>
      <c r="AN65" s="34">
        <f>IF(OR($B65="",$C65&lt;&gt;"Ativo",$D65&lt;&gt;'Calc_Mix'!$C$37,'Calc_Mix'!$X$37=0,COUNTIFS(Esc_Turno,'Calc_Mix'!$C$37,Esc_Circ,$B65)+COUNTIFS(Esc_Turno,'Calc_Mix'!$C$37,Esc_Instr,$B65)&gt;0),"",IF(SUMPRODUCT('Calc_Mix'!$D$37:$W$37,'Matriz_Habilidades'!$D65:$W65)=0,"",SUMPRODUCT('Calc_Mix'!$D$37:$W$37,'Matriz_Habilidades'!$D65:$W65)/'Calc_Mix'!$X$37+ROW()*0.000001))</f>
        <v/>
      </c>
    </row>
    <row r="66">
      <c r="A66" s="27">
        <f>IF('Matriz_Habilidades'!A66="","",'Matriz_Habilidades'!A66)</f>
        <v/>
      </c>
      <c r="B66" s="28">
        <f>IF('Matriz_Habilidades'!B66="","",'Matriz_Habilidades'!B66)</f>
        <v/>
      </c>
      <c r="C66" s="27">
        <f>IF($A66="","",IFERROR(INDEX(Equipe_Status,MATCH($B66,Equipe_Nome,0)),"?"))</f>
        <v/>
      </c>
      <c r="D66" s="27">
        <f>IF($A66="","",IFERROR(INDEX(Equipe_Turno,MATCH($B66,Equipe_Nome,0)),"?"))</f>
        <v/>
      </c>
      <c r="E66" s="34">
        <f>IF(OR($B66="",$C66&lt;&gt;"Ativo",$D66&lt;&gt;'Calc_Mix'!$C$2,'Calc_Mix'!$X$2=0,COUNTIFS(Esc_Turno,'Calc_Mix'!$C$2,Esc_Circ,$B66)+COUNTIFS(Esc_Turno,'Calc_Mix'!$C$2,Esc_Instr,$B66)&gt;0),"",IF(SUMPRODUCT('Calc_Mix'!$D$2:$W$2,'Matriz_Habilidades'!$D66:$W66)=0,"",SUMPRODUCT('Calc_Mix'!$D$2:$W$2,'Matriz_Habilidades'!$D66:$W66)/'Calc_Mix'!$X$2+ROW()*0.000001))</f>
        <v/>
      </c>
      <c r="F66" s="34">
        <f>IF(OR($B66="",$C66&lt;&gt;"Ativo",$D66&lt;&gt;'Calc_Mix'!$C$3,'Calc_Mix'!$X$3=0,COUNTIFS(Esc_Turno,'Calc_Mix'!$C$3,Esc_Circ,$B66)+COUNTIFS(Esc_Turno,'Calc_Mix'!$C$3,Esc_Instr,$B66)&gt;0),"",IF(SUMPRODUCT('Calc_Mix'!$D$3:$W$3,'Matriz_Habilidades'!$D66:$W66)=0,"",SUMPRODUCT('Calc_Mix'!$D$3:$W$3,'Matriz_Habilidades'!$D66:$W66)/'Calc_Mix'!$X$3+ROW()*0.000001))</f>
        <v/>
      </c>
      <c r="G66" s="34">
        <f>IF(OR($B66="",$C66&lt;&gt;"Ativo",$D66&lt;&gt;'Calc_Mix'!$C$4,'Calc_Mix'!$X$4=0,COUNTIFS(Esc_Turno,'Calc_Mix'!$C$4,Esc_Circ,$B66)+COUNTIFS(Esc_Turno,'Calc_Mix'!$C$4,Esc_Instr,$B66)&gt;0),"",IF(SUMPRODUCT('Calc_Mix'!$D$4:$W$4,'Matriz_Habilidades'!$D66:$W66)=0,"",SUMPRODUCT('Calc_Mix'!$D$4:$W$4,'Matriz_Habilidades'!$D66:$W66)/'Calc_Mix'!$X$4+ROW()*0.000001))</f>
        <v/>
      </c>
      <c r="H66" s="34">
        <f>IF(OR($B66="",$C66&lt;&gt;"Ativo",$D66&lt;&gt;'Calc_Mix'!$C$5,'Calc_Mix'!$X$5=0,COUNTIFS(Esc_Turno,'Calc_Mix'!$C$5,Esc_Circ,$B66)+COUNTIFS(Esc_Turno,'Calc_Mix'!$C$5,Esc_Instr,$B66)&gt;0),"",IF(SUMPRODUCT('Calc_Mix'!$D$5:$W$5,'Matriz_Habilidades'!$D66:$W66)=0,"",SUMPRODUCT('Calc_Mix'!$D$5:$W$5,'Matriz_Habilidades'!$D66:$W66)/'Calc_Mix'!$X$5+ROW()*0.000001))</f>
        <v/>
      </c>
      <c r="I66" s="34">
        <f>IF(OR($B66="",$C66&lt;&gt;"Ativo",$D66&lt;&gt;'Calc_Mix'!$C$6,'Calc_Mix'!$X$6=0,COUNTIFS(Esc_Turno,'Calc_Mix'!$C$6,Esc_Circ,$B66)+COUNTIFS(Esc_Turno,'Calc_Mix'!$C$6,Esc_Instr,$B66)&gt;0),"",IF(SUMPRODUCT('Calc_Mix'!$D$6:$W$6,'Matriz_Habilidades'!$D66:$W66)=0,"",SUMPRODUCT('Calc_Mix'!$D$6:$W$6,'Matriz_Habilidades'!$D66:$W66)/'Calc_Mix'!$X$6+ROW()*0.000001))</f>
        <v/>
      </c>
      <c r="J66" s="34">
        <f>IF(OR($B66="",$C66&lt;&gt;"Ativo",$D66&lt;&gt;'Calc_Mix'!$C$7,'Calc_Mix'!$X$7=0,COUNTIFS(Esc_Turno,'Calc_Mix'!$C$7,Esc_Circ,$B66)+COUNTIFS(Esc_Turno,'Calc_Mix'!$C$7,Esc_Instr,$B66)&gt;0),"",IF(SUMPRODUCT('Calc_Mix'!$D$7:$W$7,'Matriz_Habilidades'!$D66:$W66)=0,"",SUMPRODUCT('Calc_Mix'!$D$7:$W$7,'Matriz_Habilidades'!$D66:$W66)/'Calc_Mix'!$X$7+ROW()*0.000001))</f>
        <v/>
      </c>
      <c r="K66" s="34">
        <f>IF(OR($B66="",$C66&lt;&gt;"Ativo",$D66&lt;&gt;'Calc_Mix'!$C$8,'Calc_Mix'!$X$8=0,COUNTIFS(Esc_Turno,'Calc_Mix'!$C$8,Esc_Circ,$B66)+COUNTIFS(Esc_Turno,'Calc_Mix'!$C$8,Esc_Instr,$B66)&gt;0),"",IF(SUMPRODUCT('Calc_Mix'!$D$8:$W$8,'Matriz_Habilidades'!$D66:$W66)=0,"",SUMPRODUCT('Calc_Mix'!$D$8:$W$8,'Matriz_Habilidades'!$D66:$W66)/'Calc_Mix'!$X$8+ROW()*0.000001))</f>
        <v/>
      </c>
      <c r="L66" s="34">
        <f>IF(OR($B66="",$C66&lt;&gt;"Ativo",$D66&lt;&gt;'Calc_Mix'!$C$9,'Calc_Mix'!$X$9=0,COUNTIFS(Esc_Turno,'Calc_Mix'!$C$9,Esc_Circ,$B66)+COUNTIFS(Esc_Turno,'Calc_Mix'!$C$9,Esc_Instr,$B66)&gt;0),"",IF(SUMPRODUCT('Calc_Mix'!$D$9:$W$9,'Matriz_Habilidades'!$D66:$W66)=0,"",SUMPRODUCT('Calc_Mix'!$D$9:$W$9,'Matriz_Habilidades'!$D66:$W66)/'Calc_Mix'!$X$9+ROW()*0.000001))</f>
        <v/>
      </c>
      <c r="M66" s="34">
        <f>IF(OR($B66="",$C66&lt;&gt;"Ativo",$D66&lt;&gt;'Calc_Mix'!$C$10,'Calc_Mix'!$X$10=0,COUNTIFS(Esc_Turno,'Calc_Mix'!$C$10,Esc_Circ,$B66)+COUNTIFS(Esc_Turno,'Calc_Mix'!$C$10,Esc_Instr,$B66)&gt;0),"",IF(SUMPRODUCT('Calc_Mix'!$D$10:$W$10,'Matriz_Habilidades'!$D66:$W66)=0,"",SUMPRODUCT('Calc_Mix'!$D$10:$W$10,'Matriz_Habilidades'!$D66:$W66)/'Calc_Mix'!$X$10+ROW()*0.000001))</f>
        <v/>
      </c>
      <c r="N66" s="34">
        <f>IF(OR($B66="",$C66&lt;&gt;"Ativo",$D66&lt;&gt;'Calc_Mix'!$C$11,'Calc_Mix'!$X$11=0,COUNTIFS(Esc_Turno,'Calc_Mix'!$C$11,Esc_Circ,$B66)+COUNTIFS(Esc_Turno,'Calc_Mix'!$C$11,Esc_Instr,$B66)&gt;0),"",IF(SUMPRODUCT('Calc_Mix'!$D$11:$W$11,'Matriz_Habilidades'!$D66:$W66)=0,"",SUMPRODUCT('Calc_Mix'!$D$11:$W$11,'Matriz_Habilidades'!$D66:$W66)/'Calc_Mix'!$X$11+ROW()*0.000001))</f>
        <v/>
      </c>
      <c r="O66" s="34">
        <f>IF(OR($B66="",$C66&lt;&gt;"Ativo",$D66&lt;&gt;'Calc_Mix'!$C$12,'Calc_Mix'!$X$12=0,COUNTIFS(Esc_Turno,'Calc_Mix'!$C$12,Esc_Circ,$B66)+COUNTIFS(Esc_Turno,'Calc_Mix'!$C$12,Esc_Instr,$B66)&gt;0),"",IF(SUMPRODUCT('Calc_Mix'!$D$12:$W$12,'Matriz_Habilidades'!$D66:$W66)=0,"",SUMPRODUCT('Calc_Mix'!$D$12:$W$12,'Matriz_Habilidades'!$D66:$W66)/'Calc_Mix'!$X$12+ROW()*0.000001))</f>
        <v/>
      </c>
      <c r="P66" s="34">
        <f>IF(OR($B66="",$C66&lt;&gt;"Ativo",$D66&lt;&gt;'Calc_Mix'!$C$13,'Calc_Mix'!$X$13=0,COUNTIFS(Esc_Turno,'Calc_Mix'!$C$13,Esc_Circ,$B66)+COUNTIFS(Esc_Turno,'Calc_Mix'!$C$13,Esc_Instr,$B66)&gt;0),"",IF(SUMPRODUCT('Calc_Mix'!$D$13:$W$13,'Matriz_Habilidades'!$D66:$W66)=0,"",SUMPRODUCT('Calc_Mix'!$D$13:$W$13,'Matriz_Habilidades'!$D66:$W66)/'Calc_Mix'!$X$13+ROW()*0.000001))</f>
        <v/>
      </c>
      <c r="Q66" s="34">
        <f>IF(OR($B66="",$C66&lt;&gt;"Ativo",$D66&lt;&gt;'Calc_Mix'!$C$14,'Calc_Mix'!$X$14=0,COUNTIFS(Esc_Turno,'Calc_Mix'!$C$14,Esc_Circ,$B66)+COUNTIFS(Esc_Turno,'Calc_Mix'!$C$14,Esc_Instr,$B66)&gt;0),"",IF(SUMPRODUCT('Calc_Mix'!$D$14:$W$14,'Matriz_Habilidades'!$D66:$W66)=0,"",SUMPRODUCT('Calc_Mix'!$D$14:$W$14,'Matriz_Habilidades'!$D66:$W66)/'Calc_Mix'!$X$14+ROW()*0.000001))</f>
        <v/>
      </c>
      <c r="R66" s="34">
        <f>IF(OR($B66="",$C66&lt;&gt;"Ativo",$D66&lt;&gt;'Calc_Mix'!$C$15,'Calc_Mix'!$X$15=0,COUNTIFS(Esc_Turno,'Calc_Mix'!$C$15,Esc_Circ,$B66)+COUNTIFS(Esc_Turno,'Calc_Mix'!$C$15,Esc_Instr,$B66)&gt;0),"",IF(SUMPRODUCT('Calc_Mix'!$D$15:$W$15,'Matriz_Habilidades'!$D66:$W66)=0,"",SUMPRODUCT('Calc_Mix'!$D$15:$W$15,'Matriz_Habilidades'!$D66:$W66)/'Calc_Mix'!$X$15+ROW()*0.000001))</f>
        <v/>
      </c>
      <c r="S66" s="34">
        <f>IF(OR($B66="",$C66&lt;&gt;"Ativo",$D66&lt;&gt;'Calc_Mix'!$C$16,'Calc_Mix'!$X$16=0,COUNTIFS(Esc_Turno,'Calc_Mix'!$C$16,Esc_Circ,$B66)+COUNTIFS(Esc_Turno,'Calc_Mix'!$C$16,Esc_Instr,$B66)&gt;0),"",IF(SUMPRODUCT('Calc_Mix'!$D$16:$W$16,'Matriz_Habilidades'!$D66:$W66)=0,"",SUMPRODUCT('Calc_Mix'!$D$16:$W$16,'Matriz_Habilidades'!$D66:$W66)/'Calc_Mix'!$X$16+ROW()*0.000001))</f>
        <v/>
      </c>
      <c r="T66" s="34">
        <f>IF(OR($B66="",$C66&lt;&gt;"Ativo",$D66&lt;&gt;'Calc_Mix'!$C$17,'Calc_Mix'!$X$17=0,COUNTIFS(Esc_Turno,'Calc_Mix'!$C$17,Esc_Circ,$B66)+COUNTIFS(Esc_Turno,'Calc_Mix'!$C$17,Esc_Instr,$B66)&gt;0),"",IF(SUMPRODUCT('Calc_Mix'!$D$17:$W$17,'Matriz_Habilidades'!$D66:$W66)=0,"",SUMPRODUCT('Calc_Mix'!$D$17:$W$17,'Matriz_Habilidades'!$D66:$W66)/'Calc_Mix'!$X$17+ROW()*0.000001))</f>
        <v/>
      </c>
      <c r="U66" s="34">
        <f>IF(OR($B66="",$C66&lt;&gt;"Ativo",$D66&lt;&gt;'Calc_Mix'!$C$18,'Calc_Mix'!$X$18=0,COUNTIFS(Esc_Turno,'Calc_Mix'!$C$18,Esc_Circ,$B66)+COUNTIFS(Esc_Turno,'Calc_Mix'!$C$18,Esc_Instr,$B66)&gt;0),"",IF(SUMPRODUCT('Calc_Mix'!$D$18:$W$18,'Matriz_Habilidades'!$D66:$W66)=0,"",SUMPRODUCT('Calc_Mix'!$D$18:$W$18,'Matriz_Habilidades'!$D66:$W66)/'Calc_Mix'!$X$18+ROW()*0.000001))</f>
        <v/>
      </c>
      <c r="V66" s="34">
        <f>IF(OR($B66="",$C66&lt;&gt;"Ativo",$D66&lt;&gt;'Calc_Mix'!$C$19,'Calc_Mix'!$X$19=0,COUNTIFS(Esc_Turno,'Calc_Mix'!$C$19,Esc_Circ,$B66)+COUNTIFS(Esc_Turno,'Calc_Mix'!$C$19,Esc_Instr,$B66)&gt;0),"",IF(SUMPRODUCT('Calc_Mix'!$D$19:$W$19,'Matriz_Habilidades'!$D66:$W66)=0,"",SUMPRODUCT('Calc_Mix'!$D$19:$W$19,'Matriz_Habilidades'!$D66:$W66)/'Calc_Mix'!$X$19+ROW()*0.000001))</f>
        <v/>
      </c>
      <c r="W66" s="34">
        <f>IF(OR($B66="",$C66&lt;&gt;"Ativo",$D66&lt;&gt;'Calc_Mix'!$C$20,'Calc_Mix'!$X$20=0,COUNTIFS(Esc_Turno,'Calc_Mix'!$C$20,Esc_Circ,$B66)+COUNTIFS(Esc_Turno,'Calc_Mix'!$C$20,Esc_Instr,$B66)&gt;0),"",IF(SUMPRODUCT('Calc_Mix'!$D$20:$W$20,'Matriz_Habilidades'!$D66:$W66)=0,"",SUMPRODUCT('Calc_Mix'!$D$20:$W$20,'Matriz_Habilidades'!$D66:$W66)/'Calc_Mix'!$X$20+ROW()*0.000001))</f>
        <v/>
      </c>
      <c r="X66" s="34">
        <f>IF(OR($B66="",$C66&lt;&gt;"Ativo",$D66&lt;&gt;'Calc_Mix'!$C$21,'Calc_Mix'!$X$21=0,COUNTIFS(Esc_Turno,'Calc_Mix'!$C$21,Esc_Circ,$B66)+COUNTIFS(Esc_Turno,'Calc_Mix'!$C$21,Esc_Instr,$B66)&gt;0),"",IF(SUMPRODUCT('Calc_Mix'!$D$21:$W$21,'Matriz_Habilidades'!$D66:$W66)=0,"",SUMPRODUCT('Calc_Mix'!$D$21:$W$21,'Matriz_Habilidades'!$D66:$W66)/'Calc_Mix'!$X$21+ROW()*0.000001))</f>
        <v/>
      </c>
      <c r="Y66" s="34">
        <f>IF(OR($B66="",$C66&lt;&gt;"Ativo",$D66&lt;&gt;'Calc_Mix'!$C$22,'Calc_Mix'!$X$22=0,COUNTIFS(Esc_Turno,'Calc_Mix'!$C$22,Esc_Circ,$B66)+COUNTIFS(Esc_Turno,'Calc_Mix'!$C$22,Esc_Instr,$B66)&gt;0),"",IF(SUMPRODUCT('Calc_Mix'!$D$22:$W$22,'Matriz_Habilidades'!$D66:$W66)=0,"",SUMPRODUCT('Calc_Mix'!$D$22:$W$22,'Matriz_Habilidades'!$D66:$W66)/'Calc_Mix'!$X$22+ROW()*0.000001))</f>
        <v/>
      </c>
      <c r="Z66" s="34">
        <f>IF(OR($B66="",$C66&lt;&gt;"Ativo",$D66&lt;&gt;'Calc_Mix'!$C$23,'Calc_Mix'!$X$23=0,COUNTIFS(Esc_Turno,'Calc_Mix'!$C$23,Esc_Circ,$B66)+COUNTIFS(Esc_Turno,'Calc_Mix'!$C$23,Esc_Instr,$B66)&gt;0),"",IF(SUMPRODUCT('Calc_Mix'!$D$23:$W$23,'Matriz_Habilidades'!$D66:$W66)=0,"",SUMPRODUCT('Calc_Mix'!$D$23:$W$23,'Matriz_Habilidades'!$D66:$W66)/'Calc_Mix'!$X$23+ROW()*0.000001))</f>
        <v/>
      </c>
      <c r="AA66" s="34">
        <f>IF(OR($B66="",$C66&lt;&gt;"Ativo",$D66&lt;&gt;'Calc_Mix'!$C$24,'Calc_Mix'!$X$24=0,COUNTIFS(Esc_Turno,'Calc_Mix'!$C$24,Esc_Circ,$B66)+COUNTIFS(Esc_Turno,'Calc_Mix'!$C$24,Esc_Instr,$B66)&gt;0),"",IF(SUMPRODUCT('Calc_Mix'!$D$24:$W$24,'Matriz_Habilidades'!$D66:$W66)=0,"",SUMPRODUCT('Calc_Mix'!$D$24:$W$24,'Matriz_Habilidades'!$D66:$W66)/'Calc_Mix'!$X$24+ROW()*0.000001))</f>
        <v/>
      </c>
      <c r="AB66" s="34">
        <f>IF(OR($B66="",$C66&lt;&gt;"Ativo",$D66&lt;&gt;'Calc_Mix'!$C$25,'Calc_Mix'!$X$25=0,COUNTIFS(Esc_Turno,'Calc_Mix'!$C$25,Esc_Circ,$B66)+COUNTIFS(Esc_Turno,'Calc_Mix'!$C$25,Esc_Instr,$B66)&gt;0),"",IF(SUMPRODUCT('Calc_Mix'!$D$25:$W$25,'Matriz_Habilidades'!$D66:$W66)=0,"",SUMPRODUCT('Calc_Mix'!$D$25:$W$25,'Matriz_Habilidades'!$D66:$W66)/'Calc_Mix'!$X$25+ROW()*0.000001))</f>
        <v/>
      </c>
      <c r="AC66" s="34">
        <f>IF(OR($B66="",$C66&lt;&gt;"Ativo",$D66&lt;&gt;'Calc_Mix'!$C$26,'Calc_Mix'!$X$26=0,COUNTIFS(Esc_Turno,'Calc_Mix'!$C$26,Esc_Circ,$B66)+COUNTIFS(Esc_Turno,'Calc_Mix'!$C$26,Esc_Instr,$B66)&gt;0),"",IF(SUMPRODUCT('Calc_Mix'!$D$26:$W$26,'Matriz_Habilidades'!$D66:$W66)=0,"",SUMPRODUCT('Calc_Mix'!$D$26:$W$26,'Matriz_Habilidades'!$D66:$W66)/'Calc_Mix'!$X$26+ROW()*0.000001))</f>
        <v/>
      </c>
      <c r="AD66" s="34">
        <f>IF(OR($B66="",$C66&lt;&gt;"Ativo",$D66&lt;&gt;'Calc_Mix'!$C$27,'Calc_Mix'!$X$27=0,COUNTIFS(Esc_Turno,'Calc_Mix'!$C$27,Esc_Circ,$B66)+COUNTIFS(Esc_Turno,'Calc_Mix'!$C$27,Esc_Instr,$B66)&gt;0),"",IF(SUMPRODUCT('Calc_Mix'!$D$27:$W$27,'Matriz_Habilidades'!$D66:$W66)=0,"",SUMPRODUCT('Calc_Mix'!$D$27:$W$27,'Matriz_Habilidades'!$D66:$W66)/'Calc_Mix'!$X$27+ROW()*0.000001))</f>
        <v/>
      </c>
      <c r="AE66" s="34">
        <f>IF(OR($B66="",$C66&lt;&gt;"Ativo",$D66&lt;&gt;'Calc_Mix'!$C$28,'Calc_Mix'!$X$28=0,COUNTIFS(Esc_Turno,'Calc_Mix'!$C$28,Esc_Circ,$B66)+COUNTIFS(Esc_Turno,'Calc_Mix'!$C$28,Esc_Instr,$B66)&gt;0),"",IF(SUMPRODUCT('Calc_Mix'!$D$28:$W$28,'Matriz_Habilidades'!$D66:$W66)=0,"",SUMPRODUCT('Calc_Mix'!$D$28:$W$28,'Matriz_Habilidades'!$D66:$W66)/'Calc_Mix'!$X$28+ROW()*0.000001))</f>
        <v/>
      </c>
      <c r="AF66" s="34">
        <f>IF(OR($B66="",$C66&lt;&gt;"Ativo",$D66&lt;&gt;'Calc_Mix'!$C$29,'Calc_Mix'!$X$29=0,COUNTIFS(Esc_Turno,'Calc_Mix'!$C$29,Esc_Circ,$B66)+COUNTIFS(Esc_Turno,'Calc_Mix'!$C$29,Esc_Instr,$B66)&gt;0),"",IF(SUMPRODUCT('Calc_Mix'!$D$29:$W$29,'Matriz_Habilidades'!$D66:$W66)=0,"",SUMPRODUCT('Calc_Mix'!$D$29:$W$29,'Matriz_Habilidades'!$D66:$W66)/'Calc_Mix'!$X$29+ROW()*0.000001))</f>
        <v/>
      </c>
      <c r="AG66" s="34">
        <f>IF(OR($B66="",$C66&lt;&gt;"Ativo",$D66&lt;&gt;'Calc_Mix'!$C$30,'Calc_Mix'!$X$30=0,COUNTIFS(Esc_Turno,'Calc_Mix'!$C$30,Esc_Circ,$B66)+COUNTIFS(Esc_Turno,'Calc_Mix'!$C$30,Esc_Instr,$B66)&gt;0),"",IF(SUMPRODUCT('Calc_Mix'!$D$30:$W$30,'Matriz_Habilidades'!$D66:$W66)=0,"",SUMPRODUCT('Calc_Mix'!$D$30:$W$30,'Matriz_Habilidades'!$D66:$W66)/'Calc_Mix'!$X$30+ROW()*0.000001))</f>
        <v/>
      </c>
      <c r="AH66" s="34">
        <f>IF(OR($B66="",$C66&lt;&gt;"Ativo",$D66&lt;&gt;'Calc_Mix'!$C$31,'Calc_Mix'!$X$31=0,COUNTIFS(Esc_Turno,'Calc_Mix'!$C$31,Esc_Circ,$B66)+COUNTIFS(Esc_Turno,'Calc_Mix'!$C$31,Esc_Instr,$B66)&gt;0),"",IF(SUMPRODUCT('Calc_Mix'!$D$31:$W$31,'Matriz_Habilidades'!$D66:$W66)=0,"",SUMPRODUCT('Calc_Mix'!$D$31:$W$31,'Matriz_Habilidades'!$D66:$W66)/'Calc_Mix'!$X$31+ROW()*0.000001))</f>
        <v/>
      </c>
      <c r="AI66" s="34">
        <f>IF(OR($B66="",$C66&lt;&gt;"Ativo",$D66&lt;&gt;'Calc_Mix'!$C$32,'Calc_Mix'!$X$32=0,COUNTIFS(Esc_Turno,'Calc_Mix'!$C$32,Esc_Circ,$B66)+COUNTIFS(Esc_Turno,'Calc_Mix'!$C$32,Esc_Instr,$B66)&gt;0),"",IF(SUMPRODUCT('Calc_Mix'!$D$32:$W$32,'Matriz_Habilidades'!$D66:$W66)=0,"",SUMPRODUCT('Calc_Mix'!$D$32:$W$32,'Matriz_Habilidades'!$D66:$W66)/'Calc_Mix'!$X$32+ROW()*0.000001))</f>
        <v/>
      </c>
      <c r="AJ66" s="34">
        <f>IF(OR($B66="",$C66&lt;&gt;"Ativo",$D66&lt;&gt;'Calc_Mix'!$C$33,'Calc_Mix'!$X$33=0,COUNTIFS(Esc_Turno,'Calc_Mix'!$C$33,Esc_Circ,$B66)+COUNTIFS(Esc_Turno,'Calc_Mix'!$C$33,Esc_Instr,$B66)&gt;0),"",IF(SUMPRODUCT('Calc_Mix'!$D$33:$W$33,'Matriz_Habilidades'!$D66:$W66)=0,"",SUMPRODUCT('Calc_Mix'!$D$33:$W$33,'Matriz_Habilidades'!$D66:$W66)/'Calc_Mix'!$X$33+ROW()*0.000001))</f>
        <v/>
      </c>
      <c r="AK66" s="34">
        <f>IF(OR($B66="",$C66&lt;&gt;"Ativo",$D66&lt;&gt;'Calc_Mix'!$C$34,'Calc_Mix'!$X$34=0,COUNTIFS(Esc_Turno,'Calc_Mix'!$C$34,Esc_Circ,$B66)+COUNTIFS(Esc_Turno,'Calc_Mix'!$C$34,Esc_Instr,$B66)&gt;0),"",IF(SUMPRODUCT('Calc_Mix'!$D$34:$W$34,'Matriz_Habilidades'!$D66:$W66)=0,"",SUMPRODUCT('Calc_Mix'!$D$34:$W$34,'Matriz_Habilidades'!$D66:$W66)/'Calc_Mix'!$X$34+ROW()*0.000001))</f>
        <v/>
      </c>
      <c r="AL66" s="34">
        <f>IF(OR($B66="",$C66&lt;&gt;"Ativo",$D66&lt;&gt;'Calc_Mix'!$C$35,'Calc_Mix'!$X$35=0,COUNTIFS(Esc_Turno,'Calc_Mix'!$C$35,Esc_Circ,$B66)+COUNTIFS(Esc_Turno,'Calc_Mix'!$C$35,Esc_Instr,$B66)&gt;0),"",IF(SUMPRODUCT('Calc_Mix'!$D$35:$W$35,'Matriz_Habilidades'!$D66:$W66)=0,"",SUMPRODUCT('Calc_Mix'!$D$35:$W$35,'Matriz_Habilidades'!$D66:$W66)/'Calc_Mix'!$X$35+ROW()*0.000001))</f>
        <v/>
      </c>
      <c r="AM66" s="34">
        <f>IF(OR($B66="",$C66&lt;&gt;"Ativo",$D66&lt;&gt;'Calc_Mix'!$C$36,'Calc_Mix'!$X$36=0,COUNTIFS(Esc_Turno,'Calc_Mix'!$C$36,Esc_Circ,$B66)+COUNTIFS(Esc_Turno,'Calc_Mix'!$C$36,Esc_Instr,$B66)&gt;0),"",IF(SUMPRODUCT('Calc_Mix'!$D$36:$W$36,'Matriz_Habilidades'!$D66:$W66)=0,"",SUMPRODUCT('Calc_Mix'!$D$36:$W$36,'Matriz_Habilidades'!$D66:$W66)/'Calc_Mix'!$X$36+ROW()*0.000001))</f>
        <v/>
      </c>
      <c r="AN66" s="34">
        <f>IF(OR($B66="",$C66&lt;&gt;"Ativo",$D66&lt;&gt;'Calc_Mix'!$C$37,'Calc_Mix'!$X$37=0,COUNTIFS(Esc_Turno,'Calc_Mix'!$C$37,Esc_Circ,$B66)+COUNTIFS(Esc_Turno,'Calc_Mix'!$C$37,Esc_Instr,$B66)&gt;0),"",IF(SUMPRODUCT('Calc_Mix'!$D$37:$W$37,'Matriz_Habilidades'!$D66:$W66)=0,"",SUMPRODUCT('Calc_Mix'!$D$37:$W$37,'Matriz_Habilidades'!$D66:$W66)/'Calc_Mix'!$X$37+ROW()*0.000001))</f>
        <v/>
      </c>
    </row>
    <row r="67">
      <c r="A67" s="27">
        <f>IF('Matriz_Habilidades'!A67="","",'Matriz_Habilidades'!A67)</f>
        <v/>
      </c>
      <c r="B67" s="28">
        <f>IF('Matriz_Habilidades'!B67="","",'Matriz_Habilidades'!B67)</f>
        <v/>
      </c>
      <c r="C67" s="27">
        <f>IF($A67="","",IFERROR(INDEX(Equipe_Status,MATCH($B67,Equipe_Nome,0)),"?"))</f>
        <v/>
      </c>
      <c r="D67" s="27">
        <f>IF($A67="","",IFERROR(INDEX(Equipe_Turno,MATCH($B67,Equipe_Nome,0)),"?"))</f>
        <v/>
      </c>
      <c r="E67" s="34">
        <f>IF(OR($B67="",$C67&lt;&gt;"Ativo",$D67&lt;&gt;'Calc_Mix'!$C$2,'Calc_Mix'!$X$2=0,COUNTIFS(Esc_Turno,'Calc_Mix'!$C$2,Esc_Circ,$B67)+COUNTIFS(Esc_Turno,'Calc_Mix'!$C$2,Esc_Instr,$B67)&gt;0),"",IF(SUMPRODUCT('Calc_Mix'!$D$2:$W$2,'Matriz_Habilidades'!$D67:$W67)=0,"",SUMPRODUCT('Calc_Mix'!$D$2:$W$2,'Matriz_Habilidades'!$D67:$W67)/'Calc_Mix'!$X$2+ROW()*0.000001))</f>
        <v/>
      </c>
      <c r="F67" s="34">
        <f>IF(OR($B67="",$C67&lt;&gt;"Ativo",$D67&lt;&gt;'Calc_Mix'!$C$3,'Calc_Mix'!$X$3=0,COUNTIFS(Esc_Turno,'Calc_Mix'!$C$3,Esc_Circ,$B67)+COUNTIFS(Esc_Turno,'Calc_Mix'!$C$3,Esc_Instr,$B67)&gt;0),"",IF(SUMPRODUCT('Calc_Mix'!$D$3:$W$3,'Matriz_Habilidades'!$D67:$W67)=0,"",SUMPRODUCT('Calc_Mix'!$D$3:$W$3,'Matriz_Habilidades'!$D67:$W67)/'Calc_Mix'!$X$3+ROW()*0.000001))</f>
        <v/>
      </c>
      <c r="G67" s="34">
        <f>IF(OR($B67="",$C67&lt;&gt;"Ativo",$D67&lt;&gt;'Calc_Mix'!$C$4,'Calc_Mix'!$X$4=0,COUNTIFS(Esc_Turno,'Calc_Mix'!$C$4,Esc_Circ,$B67)+COUNTIFS(Esc_Turno,'Calc_Mix'!$C$4,Esc_Instr,$B67)&gt;0),"",IF(SUMPRODUCT('Calc_Mix'!$D$4:$W$4,'Matriz_Habilidades'!$D67:$W67)=0,"",SUMPRODUCT('Calc_Mix'!$D$4:$W$4,'Matriz_Habilidades'!$D67:$W67)/'Calc_Mix'!$X$4+ROW()*0.000001))</f>
        <v/>
      </c>
      <c r="H67" s="34">
        <f>IF(OR($B67="",$C67&lt;&gt;"Ativo",$D67&lt;&gt;'Calc_Mix'!$C$5,'Calc_Mix'!$X$5=0,COUNTIFS(Esc_Turno,'Calc_Mix'!$C$5,Esc_Circ,$B67)+COUNTIFS(Esc_Turno,'Calc_Mix'!$C$5,Esc_Instr,$B67)&gt;0),"",IF(SUMPRODUCT('Calc_Mix'!$D$5:$W$5,'Matriz_Habilidades'!$D67:$W67)=0,"",SUMPRODUCT('Calc_Mix'!$D$5:$W$5,'Matriz_Habilidades'!$D67:$W67)/'Calc_Mix'!$X$5+ROW()*0.000001))</f>
        <v/>
      </c>
      <c r="I67" s="34">
        <f>IF(OR($B67="",$C67&lt;&gt;"Ativo",$D67&lt;&gt;'Calc_Mix'!$C$6,'Calc_Mix'!$X$6=0,COUNTIFS(Esc_Turno,'Calc_Mix'!$C$6,Esc_Circ,$B67)+COUNTIFS(Esc_Turno,'Calc_Mix'!$C$6,Esc_Instr,$B67)&gt;0),"",IF(SUMPRODUCT('Calc_Mix'!$D$6:$W$6,'Matriz_Habilidades'!$D67:$W67)=0,"",SUMPRODUCT('Calc_Mix'!$D$6:$W$6,'Matriz_Habilidades'!$D67:$W67)/'Calc_Mix'!$X$6+ROW()*0.000001))</f>
        <v/>
      </c>
      <c r="J67" s="34">
        <f>IF(OR($B67="",$C67&lt;&gt;"Ativo",$D67&lt;&gt;'Calc_Mix'!$C$7,'Calc_Mix'!$X$7=0,COUNTIFS(Esc_Turno,'Calc_Mix'!$C$7,Esc_Circ,$B67)+COUNTIFS(Esc_Turno,'Calc_Mix'!$C$7,Esc_Instr,$B67)&gt;0),"",IF(SUMPRODUCT('Calc_Mix'!$D$7:$W$7,'Matriz_Habilidades'!$D67:$W67)=0,"",SUMPRODUCT('Calc_Mix'!$D$7:$W$7,'Matriz_Habilidades'!$D67:$W67)/'Calc_Mix'!$X$7+ROW()*0.000001))</f>
        <v/>
      </c>
      <c r="K67" s="34">
        <f>IF(OR($B67="",$C67&lt;&gt;"Ativo",$D67&lt;&gt;'Calc_Mix'!$C$8,'Calc_Mix'!$X$8=0,COUNTIFS(Esc_Turno,'Calc_Mix'!$C$8,Esc_Circ,$B67)+COUNTIFS(Esc_Turno,'Calc_Mix'!$C$8,Esc_Instr,$B67)&gt;0),"",IF(SUMPRODUCT('Calc_Mix'!$D$8:$W$8,'Matriz_Habilidades'!$D67:$W67)=0,"",SUMPRODUCT('Calc_Mix'!$D$8:$W$8,'Matriz_Habilidades'!$D67:$W67)/'Calc_Mix'!$X$8+ROW()*0.000001))</f>
        <v/>
      </c>
      <c r="L67" s="34">
        <f>IF(OR($B67="",$C67&lt;&gt;"Ativo",$D67&lt;&gt;'Calc_Mix'!$C$9,'Calc_Mix'!$X$9=0,COUNTIFS(Esc_Turno,'Calc_Mix'!$C$9,Esc_Circ,$B67)+COUNTIFS(Esc_Turno,'Calc_Mix'!$C$9,Esc_Instr,$B67)&gt;0),"",IF(SUMPRODUCT('Calc_Mix'!$D$9:$W$9,'Matriz_Habilidades'!$D67:$W67)=0,"",SUMPRODUCT('Calc_Mix'!$D$9:$W$9,'Matriz_Habilidades'!$D67:$W67)/'Calc_Mix'!$X$9+ROW()*0.000001))</f>
        <v/>
      </c>
      <c r="M67" s="34">
        <f>IF(OR($B67="",$C67&lt;&gt;"Ativo",$D67&lt;&gt;'Calc_Mix'!$C$10,'Calc_Mix'!$X$10=0,COUNTIFS(Esc_Turno,'Calc_Mix'!$C$10,Esc_Circ,$B67)+COUNTIFS(Esc_Turno,'Calc_Mix'!$C$10,Esc_Instr,$B67)&gt;0),"",IF(SUMPRODUCT('Calc_Mix'!$D$10:$W$10,'Matriz_Habilidades'!$D67:$W67)=0,"",SUMPRODUCT('Calc_Mix'!$D$10:$W$10,'Matriz_Habilidades'!$D67:$W67)/'Calc_Mix'!$X$10+ROW()*0.000001))</f>
        <v/>
      </c>
      <c r="N67" s="34">
        <f>IF(OR($B67="",$C67&lt;&gt;"Ativo",$D67&lt;&gt;'Calc_Mix'!$C$11,'Calc_Mix'!$X$11=0,COUNTIFS(Esc_Turno,'Calc_Mix'!$C$11,Esc_Circ,$B67)+COUNTIFS(Esc_Turno,'Calc_Mix'!$C$11,Esc_Instr,$B67)&gt;0),"",IF(SUMPRODUCT('Calc_Mix'!$D$11:$W$11,'Matriz_Habilidades'!$D67:$W67)=0,"",SUMPRODUCT('Calc_Mix'!$D$11:$W$11,'Matriz_Habilidades'!$D67:$W67)/'Calc_Mix'!$X$11+ROW()*0.000001))</f>
        <v/>
      </c>
      <c r="O67" s="34">
        <f>IF(OR($B67="",$C67&lt;&gt;"Ativo",$D67&lt;&gt;'Calc_Mix'!$C$12,'Calc_Mix'!$X$12=0,COUNTIFS(Esc_Turno,'Calc_Mix'!$C$12,Esc_Circ,$B67)+COUNTIFS(Esc_Turno,'Calc_Mix'!$C$12,Esc_Instr,$B67)&gt;0),"",IF(SUMPRODUCT('Calc_Mix'!$D$12:$W$12,'Matriz_Habilidades'!$D67:$W67)=0,"",SUMPRODUCT('Calc_Mix'!$D$12:$W$12,'Matriz_Habilidades'!$D67:$W67)/'Calc_Mix'!$X$12+ROW()*0.000001))</f>
        <v/>
      </c>
      <c r="P67" s="34">
        <f>IF(OR($B67="",$C67&lt;&gt;"Ativo",$D67&lt;&gt;'Calc_Mix'!$C$13,'Calc_Mix'!$X$13=0,COUNTIFS(Esc_Turno,'Calc_Mix'!$C$13,Esc_Circ,$B67)+COUNTIFS(Esc_Turno,'Calc_Mix'!$C$13,Esc_Instr,$B67)&gt;0),"",IF(SUMPRODUCT('Calc_Mix'!$D$13:$W$13,'Matriz_Habilidades'!$D67:$W67)=0,"",SUMPRODUCT('Calc_Mix'!$D$13:$W$13,'Matriz_Habilidades'!$D67:$W67)/'Calc_Mix'!$X$13+ROW()*0.000001))</f>
        <v/>
      </c>
      <c r="Q67" s="34">
        <f>IF(OR($B67="",$C67&lt;&gt;"Ativo",$D67&lt;&gt;'Calc_Mix'!$C$14,'Calc_Mix'!$X$14=0,COUNTIFS(Esc_Turno,'Calc_Mix'!$C$14,Esc_Circ,$B67)+COUNTIFS(Esc_Turno,'Calc_Mix'!$C$14,Esc_Instr,$B67)&gt;0),"",IF(SUMPRODUCT('Calc_Mix'!$D$14:$W$14,'Matriz_Habilidades'!$D67:$W67)=0,"",SUMPRODUCT('Calc_Mix'!$D$14:$W$14,'Matriz_Habilidades'!$D67:$W67)/'Calc_Mix'!$X$14+ROW()*0.000001))</f>
        <v/>
      </c>
      <c r="R67" s="34">
        <f>IF(OR($B67="",$C67&lt;&gt;"Ativo",$D67&lt;&gt;'Calc_Mix'!$C$15,'Calc_Mix'!$X$15=0,COUNTIFS(Esc_Turno,'Calc_Mix'!$C$15,Esc_Circ,$B67)+COUNTIFS(Esc_Turno,'Calc_Mix'!$C$15,Esc_Instr,$B67)&gt;0),"",IF(SUMPRODUCT('Calc_Mix'!$D$15:$W$15,'Matriz_Habilidades'!$D67:$W67)=0,"",SUMPRODUCT('Calc_Mix'!$D$15:$W$15,'Matriz_Habilidades'!$D67:$W67)/'Calc_Mix'!$X$15+ROW()*0.000001))</f>
        <v/>
      </c>
      <c r="S67" s="34">
        <f>IF(OR($B67="",$C67&lt;&gt;"Ativo",$D67&lt;&gt;'Calc_Mix'!$C$16,'Calc_Mix'!$X$16=0,COUNTIFS(Esc_Turno,'Calc_Mix'!$C$16,Esc_Circ,$B67)+COUNTIFS(Esc_Turno,'Calc_Mix'!$C$16,Esc_Instr,$B67)&gt;0),"",IF(SUMPRODUCT('Calc_Mix'!$D$16:$W$16,'Matriz_Habilidades'!$D67:$W67)=0,"",SUMPRODUCT('Calc_Mix'!$D$16:$W$16,'Matriz_Habilidades'!$D67:$W67)/'Calc_Mix'!$X$16+ROW()*0.000001))</f>
        <v/>
      </c>
      <c r="T67" s="34">
        <f>IF(OR($B67="",$C67&lt;&gt;"Ativo",$D67&lt;&gt;'Calc_Mix'!$C$17,'Calc_Mix'!$X$17=0,COUNTIFS(Esc_Turno,'Calc_Mix'!$C$17,Esc_Circ,$B67)+COUNTIFS(Esc_Turno,'Calc_Mix'!$C$17,Esc_Instr,$B67)&gt;0),"",IF(SUMPRODUCT('Calc_Mix'!$D$17:$W$17,'Matriz_Habilidades'!$D67:$W67)=0,"",SUMPRODUCT('Calc_Mix'!$D$17:$W$17,'Matriz_Habilidades'!$D67:$W67)/'Calc_Mix'!$X$17+ROW()*0.000001))</f>
        <v/>
      </c>
      <c r="U67" s="34">
        <f>IF(OR($B67="",$C67&lt;&gt;"Ativo",$D67&lt;&gt;'Calc_Mix'!$C$18,'Calc_Mix'!$X$18=0,COUNTIFS(Esc_Turno,'Calc_Mix'!$C$18,Esc_Circ,$B67)+COUNTIFS(Esc_Turno,'Calc_Mix'!$C$18,Esc_Instr,$B67)&gt;0),"",IF(SUMPRODUCT('Calc_Mix'!$D$18:$W$18,'Matriz_Habilidades'!$D67:$W67)=0,"",SUMPRODUCT('Calc_Mix'!$D$18:$W$18,'Matriz_Habilidades'!$D67:$W67)/'Calc_Mix'!$X$18+ROW()*0.000001))</f>
        <v/>
      </c>
      <c r="V67" s="34">
        <f>IF(OR($B67="",$C67&lt;&gt;"Ativo",$D67&lt;&gt;'Calc_Mix'!$C$19,'Calc_Mix'!$X$19=0,COUNTIFS(Esc_Turno,'Calc_Mix'!$C$19,Esc_Circ,$B67)+COUNTIFS(Esc_Turno,'Calc_Mix'!$C$19,Esc_Instr,$B67)&gt;0),"",IF(SUMPRODUCT('Calc_Mix'!$D$19:$W$19,'Matriz_Habilidades'!$D67:$W67)=0,"",SUMPRODUCT('Calc_Mix'!$D$19:$W$19,'Matriz_Habilidades'!$D67:$W67)/'Calc_Mix'!$X$19+ROW()*0.000001))</f>
        <v/>
      </c>
      <c r="W67" s="34">
        <f>IF(OR($B67="",$C67&lt;&gt;"Ativo",$D67&lt;&gt;'Calc_Mix'!$C$20,'Calc_Mix'!$X$20=0,COUNTIFS(Esc_Turno,'Calc_Mix'!$C$20,Esc_Circ,$B67)+COUNTIFS(Esc_Turno,'Calc_Mix'!$C$20,Esc_Instr,$B67)&gt;0),"",IF(SUMPRODUCT('Calc_Mix'!$D$20:$W$20,'Matriz_Habilidades'!$D67:$W67)=0,"",SUMPRODUCT('Calc_Mix'!$D$20:$W$20,'Matriz_Habilidades'!$D67:$W67)/'Calc_Mix'!$X$20+ROW()*0.000001))</f>
        <v/>
      </c>
      <c r="X67" s="34">
        <f>IF(OR($B67="",$C67&lt;&gt;"Ativo",$D67&lt;&gt;'Calc_Mix'!$C$21,'Calc_Mix'!$X$21=0,COUNTIFS(Esc_Turno,'Calc_Mix'!$C$21,Esc_Circ,$B67)+COUNTIFS(Esc_Turno,'Calc_Mix'!$C$21,Esc_Instr,$B67)&gt;0),"",IF(SUMPRODUCT('Calc_Mix'!$D$21:$W$21,'Matriz_Habilidades'!$D67:$W67)=0,"",SUMPRODUCT('Calc_Mix'!$D$21:$W$21,'Matriz_Habilidades'!$D67:$W67)/'Calc_Mix'!$X$21+ROW()*0.000001))</f>
        <v/>
      </c>
      <c r="Y67" s="34">
        <f>IF(OR($B67="",$C67&lt;&gt;"Ativo",$D67&lt;&gt;'Calc_Mix'!$C$22,'Calc_Mix'!$X$22=0,COUNTIFS(Esc_Turno,'Calc_Mix'!$C$22,Esc_Circ,$B67)+COUNTIFS(Esc_Turno,'Calc_Mix'!$C$22,Esc_Instr,$B67)&gt;0),"",IF(SUMPRODUCT('Calc_Mix'!$D$22:$W$22,'Matriz_Habilidades'!$D67:$W67)=0,"",SUMPRODUCT('Calc_Mix'!$D$22:$W$22,'Matriz_Habilidades'!$D67:$W67)/'Calc_Mix'!$X$22+ROW()*0.000001))</f>
        <v/>
      </c>
      <c r="Z67" s="34">
        <f>IF(OR($B67="",$C67&lt;&gt;"Ativo",$D67&lt;&gt;'Calc_Mix'!$C$23,'Calc_Mix'!$X$23=0,COUNTIFS(Esc_Turno,'Calc_Mix'!$C$23,Esc_Circ,$B67)+COUNTIFS(Esc_Turno,'Calc_Mix'!$C$23,Esc_Instr,$B67)&gt;0),"",IF(SUMPRODUCT('Calc_Mix'!$D$23:$W$23,'Matriz_Habilidades'!$D67:$W67)=0,"",SUMPRODUCT('Calc_Mix'!$D$23:$W$23,'Matriz_Habilidades'!$D67:$W67)/'Calc_Mix'!$X$23+ROW()*0.000001))</f>
        <v/>
      </c>
      <c r="AA67" s="34">
        <f>IF(OR($B67="",$C67&lt;&gt;"Ativo",$D67&lt;&gt;'Calc_Mix'!$C$24,'Calc_Mix'!$X$24=0,COUNTIFS(Esc_Turno,'Calc_Mix'!$C$24,Esc_Circ,$B67)+COUNTIFS(Esc_Turno,'Calc_Mix'!$C$24,Esc_Instr,$B67)&gt;0),"",IF(SUMPRODUCT('Calc_Mix'!$D$24:$W$24,'Matriz_Habilidades'!$D67:$W67)=0,"",SUMPRODUCT('Calc_Mix'!$D$24:$W$24,'Matriz_Habilidades'!$D67:$W67)/'Calc_Mix'!$X$24+ROW()*0.000001))</f>
        <v/>
      </c>
      <c r="AB67" s="34">
        <f>IF(OR($B67="",$C67&lt;&gt;"Ativo",$D67&lt;&gt;'Calc_Mix'!$C$25,'Calc_Mix'!$X$25=0,COUNTIFS(Esc_Turno,'Calc_Mix'!$C$25,Esc_Circ,$B67)+COUNTIFS(Esc_Turno,'Calc_Mix'!$C$25,Esc_Instr,$B67)&gt;0),"",IF(SUMPRODUCT('Calc_Mix'!$D$25:$W$25,'Matriz_Habilidades'!$D67:$W67)=0,"",SUMPRODUCT('Calc_Mix'!$D$25:$W$25,'Matriz_Habilidades'!$D67:$W67)/'Calc_Mix'!$X$25+ROW()*0.000001))</f>
        <v/>
      </c>
      <c r="AC67" s="34">
        <f>IF(OR($B67="",$C67&lt;&gt;"Ativo",$D67&lt;&gt;'Calc_Mix'!$C$26,'Calc_Mix'!$X$26=0,COUNTIFS(Esc_Turno,'Calc_Mix'!$C$26,Esc_Circ,$B67)+COUNTIFS(Esc_Turno,'Calc_Mix'!$C$26,Esc_Instr,$B67)&gt;0),"",IF(SUMPRODUCT('Calc_Mix'!$D$26:$W$26,'Matriz_Habilidades'!$D67:$W67)=0,"",SUMPRODUCT('Calc_Mix'!$D$26:$W$26,'Matriz_Habilidades'!$D67:$W67)/'Calc_Mix'!$X$26+ROW()*0.000001))</f>
        <v/>
      </c>
      <c r="AD67" s="34">
        <f>IF(OR($B67="",$C67&lt;&gt;"Ativo",$D67&lt;&gt;'Calc_Mix'!$C$27,'Calc_Mix'!$X$27=0,COUNTIFS(Esc_Turno,'Calc_Mix'!$C$27,Esc_Circ,$B67)+COUNTIFS(Esc_Turno,'Calc_Mix'!$C$27,Esc_Instr,$B67)&gt;0),"",IF(SUMPRODUCT('Calc_Mix'!$D$27:$W$27,'Matriz_Habilidades'!$D67:$W67)=0,"",SUMPRODUCT('Calc_Mix'!$D$27:$W$27,'Matriz_Habilidades'!$D67:$W67)/'Calc_Mix'!$X$27+ROW()*0.000001))</f>
        <v/>
      </c>
      <c r="AE67" s="34">
        <f>IF(OR($B67="",$C67&lt;&gt;"Ativo",$D67&lt;&gt;'Calc_Mix'!$C$28,'Calc_Mix'!$X$28=0,COUNTIFS(Esc_Turno,'Calc_Mix'!$C$28,Esc_Circ,$B67)+COUNTIFS(Esc_Turno,'Calc_Mix'!$C$28,Esc_Instr,$B67)&gt;0),"",IF(SUMPRODUCT('Calc_Mix'!$D$28:$W$28,'Matriz_Habilidades'!$D67:$W67)=0,"",SUMPRODUCT('Calc_Mix'!$D$28:$W$28,'Matriz_Habilidades'!$D67:$W67)/'Calc_Mix'!$X$28+ROW()*0.000001))</f>
        <v/>
      </c>
      <c r="AF67" s="34">
        <f>IF(OR($B67="",$C67&lt;&gt;"Ativo",$D67&lt;&gt;'Calc_Mix'!$C$29,'Calc_Mix'!$X$29=0,COUNTIFS(Esc_Turno,'Calc_Mix'!$C$29,Esc_Circ,$B67)+COUNTIFS(Esc_Turno,'Calc_Mix'!$C$29,Esc_Instr,$B67)&gt;0),"",IF(SUMPRODUCT('Calc_Mix'!$D$29:$W$29,'Matriz_Habilidades'!$D67:$W67)=0,"",SUMPRODUCT('Calc_Mix'!$D$29:$W$29,'Matriz_Habilidades'!$D67:$W67)/'Calc_Mix'!$X$29+ROW()*0.000001))</f>
        <v/>
      </c>
      <c r="AG67" s="34">
        <f>IF(OR($B67="",$C67&lt;&gt;"Ativo",$D67&lt;&gt;'Calc_Mix'!$C$30,'Calc_Mix'!$X$30=0,COUNTIFS(Esc_Turno,'Calc_Mix'!$C$30,Esc_Circ,$B67)+COUNTIFS(Esc_Turno,'Calc_Mix'!$C$30,Esc_Instr,$B67)&gt;0),"",IF(SUMPRODUCT('Calc_Mix'!$D$30:$W$30,'Matriz_Habilidades'!$D67:$W67)=0,"",SUMPRODUCT('Calc_Mix'!$D$30:$W$30,'Matriz_Habilidades'!$D67:$W67)/'Calc_Mix'!$X$30+ROW()*0.000001))</f>
        <v/>
      </c>
      <c r="AH67" s="34">
        <f>IF(OR($B67="",$C67&lt;&gt;"Ativo",$D67&lt;&gt;'Calc_Mix'!$C$31,'Calc_Mix'!$X$31=0,COUNTIFS(Esc_Turno,'Calc_Mix'!$C$31,Esc_Circ,$B67)+COUNTIFS(Esc_Turno,'Calc_Mix'!$C$31,Esc_Instr,$B67)&gt;0),"",IF(SUMPRODUCT('Calc_Mix'!$D$31:$W$31,'Matriz_Habilidades'!$D67:$W67)=0,"",SUMPRODUCT('Calc_Mix'!$D$31:$W$31,'Matriz_Habilidades'!$D67:$W67)/'Calc_Mix'!$X$31+ROW()*0.000001))</f>
        <v/>
      </c>
      <c r="AI67" s="34">
        <f>IF(OR($B67="",$C67&lt;&gt;"Ativo",$D67&lt;&gt;'Calc_Mix'!$C$32,'Calc_Mix'!$X$32=0,COUNTIFS(Esc_Turno,'Calc_Mix'!$C$32,Esc_Circ,$B67)+COUNTIFS(Esc_Turno,'Calc_Mix'!$C$32,Esc_Instr,$B67)&gt;0),"",IF(SUMPRODUCT('Calc_Mix'!$D$32:$W$32,'Matriz_Habilidades'!$D67:$W67)=0,"",SUMPRODUCT('Calc_Mix'!$D$32:$W$32,'Matriz_Habilidades'!$D67:$W67)/'Calc_Mix'!$X$32+ROW()*0.000001))</f>
        <v/>
      </c>
      <c r="AJ67" s="34">
        <f>IF(OR($B67="",$C67&lt;&gt;"Ativo",$D67&lt;&gt;'Calc_Mix'!$C$33,'Calc_Mix'!$X$33=0,COUNTIFS(Esc_Turno,'Calc_Mix'!$C$33,Esc_Circ,$B67)+COUNTIFS(Esc_Turno,'Calc_Mix'!$C$33,Esc_Instr,$B67)&gt;0),"",IF(SUMPRODUCT('Calc_Mix'!$D$33:$W$33,'Matriz_Habilidades'!$D67:$W67)=0,"",SUMPRODUCT('Calc_Mix'!$D$33:$W$33,'Matriz_Habilidades'!$D67:$W67)/'Calc_Mix'!$X$33+ROW()*0.000001))</f>
        <v/>
      </c>
      <c r="AK67" s="34">
        <f>IF(OR($B67="",$C67&lt;&gt;"Ativo",$D67&lt;&gt;'Calc_Mix'!$C$34,'Calc_Mix'!$X$34=0,COUNTIFS(Esc_Turno,'Calc_Mix'!$C$34,Esc_Circ,$B67)+COUNTIFS(Esc_Turno,'Calc_Mix'!$C$34,Esc_Instr,$B67)&gt;0),"",IF(SUMPRODUCT('Calc_Mix'!$D$34:$W$34,'Matriz_Habilidades'!$D67:$W67)=0,"",SUMPRODUCT('Calc_Mix'!$D$34:$W$34,'Matriz_Habilidades'!$D67:$W67)/'Calc_Mix'!$X$34+ROW()*0.000001))</f>
        <v/>
      </c>
      <c r="AL67" s="34">
        <f>IF(OR($B67="",$C67&lt;&gt;"Ativo",$D67&lt;&gt;'Calc_Mix'!$C$35,'Calc_Mix'!$X$35=0,COUNTIFS(Esc_Turno,'Calc_Mix'!$C$35,Esc_Circ,$B67)+COUNTIFS(Esc_Turno,'Calc_Mix'!$C$35,Esc_Instr,$B67)&gt;0),"",IF(SUMPRODUCT('Calc_Mix'!$D$35:$W$35,'Matriz_Habilidades'!$D67:$W67)=0,"",SUMPRODUCT('Calc_Mix'!$D$35:$W$35,'Matriz_Habilidades'!$D67:$W67)/'Calc_Mix'!$X$35+ROW()*0.000001))</f>
        <v/>
      </c>
      <c r="AM67" s="34">
        <f>IF(OR($B67="",$C67&lt;&gt;"Ativo",$D67&lt;&gt;'Calc_Mix'!$C$36,'Calc_Mix'!$X$36=0,COUNTIFS(Esc_Turno,'Calc_Mix'!$C$36,Esc_Circ,$B67)+COUNTIFS(Esc_Turno,'Calc_Mix'!$C$36,Esc_Instr,$B67)&gt;0),"",IF(SUMPRODUCT('Calc_Mix'!$D$36:$W$36,'Matriz_Habilidades'!$D67:$W67)=0,"",SUMPRODUCT('Calc_Mix'!$D$36:$W$36,'Matriz_Habilidades'!$D67:$W67)/'Calc_Mix'!$X$36+ROW()*0.000001))</f>
        <v/>
      </c>
      <c r="AN67" s="34">
        <f>IF(OR($B67="",$C67&lt;&gt;"Ativo",$D67&lt;&gt;'Calc_Mix'!$C$37,'Calc_Mix'!$X$37=0,COUNTIFS(Esc_Turno,'Calc_Mix'!$C$37,Esc_Circ,$B67)+COUNTIFS(Esc_Turno,'Calc_Mix'!$C$37,Esc_Instr,$B67)&gt;0),"",IF(SUMPRODUCT('Calc_Mix'!$D$37:$W$37,'Matriz_Habilidades'!$D67:$W67)=0,"",SUMPRODUCT('Calc_Mix'!$D$37:$W$37,'Matriz_Habilidades'!$D67:$W67)/'Calc_Mix'!$X$37+ROW()*0.000001))</f>
        <v/>
      </c>
    </row>
    <row r="68">
      <c r="A68" s="27">
        <f>IF('Matriz_Habilidades'!A68="","",'Matriz_Habilidades'!A68)</f>
        <v/>
      </c>
      <c r="B68" s="28">
        <f>IF('Matriz_Habilidades'!B68="","",'Matriz_Habilidades'!B68)</f>
        <v/>
      </c>
      <c r="C68" s="27">
        <f>IF($A68="","",IFERROR(INDEX(Equipe_Status,MATCH($B68,Equipe_Nome,0)),"?"))</f>
        <v/>
      </c>
      <c r="D68" s="27">
        <f>IF($A68="","",IFERROR(INDEX(Equipe_Turno,MATCH($B68,Equipe_Nome,0)),"?"))</f>
        <v/>
      </c>
      <c r="E68" s="34">
        <f>IF(OR($B68="",$C68&lt;&gt;"Ativo",$D68&lt;&gt;'Calc_Mix'!$C$2,'Calc_Mix'!$X$2=0,COUNTIFS(Esc_Turno,'Calc_Mix'!$C$2,Esc_Circ,$B68)+COUNTIFS(Esc_Turno,'Calc_Mix'!$C$2,Esc_Instr,$B68)&gt;0),"",IF(SUMPRODUCT('Calc_Mix'!$D$2:$W$2,'Matriz_Habilidades'!$D68:$W68)=0,"",SUMPRODUCT('Calc_Mix'!$D$2:$W$2,'Matriz_Habilidades'!$D68:$W68)/'Calc_Mix'!$X$2+ROW()*0.000001))</f>
        <v/>
      </c>
      <c r="F68" s="34">
        <f>IF(OR($B68="",$C68&lt;&gt;"Ativo",$D68&lt;&gt;'Calc_Mix'!$C$3,'Calc_Mix'!$X$3=0,COUNTIFS(Esc_Turno,'Calc_Mix'!$C$3,Esc_Circ,$B68)+COUNTIFS(Esc_Turno,'Calc_Mix'!$C$3,Esc_Instr,$B68)&gt;0),"",IF(SUMPRODUCT('Calc_Mix'!$D$3:$W$3,'Matriz_Habilidades'!$D68:$W68)=0,"",SUMPRODUCT('Calc_Mix'!$D$3:$W$3,'Matriz_Habilidades'!$D68:$W68)/'Calc_Mix'!$X$3+ROW()*0.000001))</f>
        <v/>
      </c>
      <c r="G68" s="34">
        <f>IF(OR($B68="",$C68&lt;&gt;"Ativo",$D68&lt;&gt;'Calc_Mix'!$C$4,'Calc_Mix'!$X$4=0,COUNTIFS(Esc_Turno,'Calc_Mix'!$C$4,Esc_Circ,$B68)+COUNTIFS(Esc_Turno,'Calc_Mix'!$C$4,Esc_Instr,$B68)&gt;0),"",IF(SUMPRODUCT('Calc_Mix'!$D$4:$W$4,'Matriz_Habilidades'!$D68:$W68)=0,"",SUMPRODUCT('Calc_Mix'!$D$4:$W$4,'Matriz_Habilidades'!$D68:$W68)/'Calc_Mix'!$X$4+ROW()*0.000001))</f>
        <v/>
      </c>
      <c r="H68" s="34">
        <f>IF(OR($B68="",$C68&lt;&gt;"Ativo",$D68&lt;&gt;'Calc_Mix'!$C$5,'Calc_Mix'!$X$5=0,COUNTIFS(Esc_Turno,'Calc_Mix'!$C$5,Esc_Circ,$B68)+COUNTIFS(Esc_Turno,'Calc_Mix'!$C$5,Esc_Instr,$B68)&gt;0),"",IF(SUMPRODUCT('Calc_Mix'!$D$5:$W$5,'Matriz_Habilidades'!$D68:$W68)=0,"",SUMPRODUCT('Calc_Mix'!$D$5:$W$5,'Matriz_Habilidades'!$D68:$W68)/'Calc_Mix'!$X$5+ROW()*0.000001))</f>
        <v/>
      </c>
      <c r="I68" s="34">
        <f>IF(OR($B68="",$C68&lt;&gt;"Ativo",$D68&lt;&gt;'Calc_Mix'!$C$6,'Calc_Mix'!$X$6=0,COUNTIFS(Esc_Turno,'Calc_Mix'!$C$6,Esc_Circ,$B68)+COUNTIFS(Esc_Turno,'Calc_Mix'!$C$6,Esc_Instr,$B68)&gt;0),"",IF(SUMPRODUCT('Calc_Mix'!$D$6:$W$6,'Matriz_Habilidades'!$D68:$W68)=0,"",SUMPRODUCT('Calc_Mix'!$D$6:$W$6,'Matriz_Habilidades'!$D68:$W68)/'Calc_Mix'!$X$6+ROW()*0.000001))</f>
        <v/>
      </c>
      <c r="J68" s="34">
        <f>IF(OR($B68="",$C68&lt;&gt;"Ativo",$D68&lt;&gt;'Calc_Mix'!$C$7,'Calc_Mix'!$X$7=0,COUNTIFS(Esc_Turno,'Calc_Mix'!$C$7,Esc_Circ,$B68)+COUNTIFS(Esc_Turno,'Calc_Mix'!$C$7,Esc_Instr,$B68)&gt;0),"",IF(SUMPRODUCT('Calc_Mix'!$D$7:$W$7,'Matriz_Habilidades'!$D68:$W68)=0,"",SUMPRODUCT('Calc_Mix'!$D$7:$W$7,'Matriz_Habilidades'!$D68:$W68)/'Calc_Mix'!$X$7+ROW()*0.000001))</f>
        <v/>
      </c>
      <c r="K68" s="34">
        <f>IF(OR($B68="",$C68&lt;&gt;"Ativo",$D68&lt;&gt;'Calc_Mix'!$C$8,'Calc_Mix'!$X$8=0,COUNTIFS(Esc_Turno,'Calc_Mix'!$C$8,Esc_Circ,$B68)+COUNTIFS(Esc_Turno,'Calc_Mix'!$C$8,Esc_Instr,$B68)&gt;0),"",IF(SUMPRODUCT('Calc_Mix'!$D$8:$W$8,'Matriz_Habilidades'!$D68:$W68)=0,"",SUMPRODUCT('Calc_Mix'!$D$8:$W$8,'Matriz_Habilidades'!$D68:$W68)/'Calc_Mix'!$X$8+ROW()*0.000001))</f>
        <v/>
      </c>
      <c r="L68" s="34">
        <f>IF(OR($B68="",$C68&lt;&gt;"Ativo",$D68&lt;&gt;'Calc_Mix'!$C$9,'Calc_Mix'!$X$9=0,COUNTIFS(Esc_Turno,'Calc_Mix'!$C$9,Esc_Circ,$B68)+COUNTIFS(Esc_Turno,'Calc_Mix'!$C$9,Esc_Instr,$B68)&gt;0),"",IF(SUMPRODUCT('Calc_Mix'!$D$9:$W$9,'Matriz_Habilidades'!$D68:$W68)=0,"",SUMPRODUCT('Calc_Mix'!$D$9:$W$9,'Matriz_Habilidades'!$D68:$W68)/'Calc_Mix'!$X$9+ROW()*0.000001))</f>
        <v/>
      </c>
      <c r="M68" s="34">
        <f>IF(OR($B68="",$C68&lt;&gt;"Ativo",$D68&lt;&gt;'Calc_Mix'!$C$10,'Calc_Mix'!$X$10=0,COUNTIFS(Esc_Turno,'Calc_Mix'!$C$10,Esc_Circ,$B68)+COUNTIFS(Esc_Turno,'Calc_Mix'!$C$10,Esc_Instr,$B68)&gt;0),"",IF(SUMPRODUCT('Calc_Mix'!$D$10:$W$10,'Matriz_Habilidades'!$D68:$W68)=0,"",SUMPRODUCT('Calc_Mix'!$D$10:$W$10,'Matriz_Habilidades'!$D68:$W68)/'Calc_Mix'!$X$10+ROW()*0.000001))</f>
        <v/>
      </c>
      <c r="N68" s="34">
        <f>IF(OR($B68="",$C68&lt;&gt;"Ativo",$D68&lt;&gt;'Calc_Mix'!$C$11,'Calc_Mix'!$X$11=0,COUNTIFS(Esc_Turno,'Calc_Mix'!$C$11,Esc_Circ,$B68)+COUNTIFS(Esc_Turno,'Calc_Mix'!$C$11,Esc_Instr,$B68)&gt;0),"",IF(SUMPRODUCT('Calc_Mix'!$D$11:$W$11,'Matriz_Habilidades'!$D68:$W68)=0,"",SUMPRODUCT('Calc_Mix'!$D$11:$W$11,'Matriz_Habilidades'!$D68:$W68)/'Calc_Mix'!$X$11+ROW()*0.000001))</f>
        <v/>
      </c>
      <c r="O68" s="34">
        <f>IF(OR($B68="",$C68&lt;&gt;"Ativo",$D68&lt;&gt;'Calc_Mix'!$C$12,'Calc_Mix'!$X$12=0,COUNTIFS(Esc_Turno,'Calc_Mix'!$C$12,Esc_Circ,$B68)+COUNTIFS(Esc_Turno,'Calc_Mix'!$C$12,Esc_Instr,$B68)&gt;0),"",IF(SUMPRODUCT('Calc_Mix'!$D$12:$W$12,'Matriz_Habilidades'!$D68:$W68)=0,"",SUMPRODUCT('Calc_Mix'!$D$12:$W$12,'Matriz_Habilidades'!$D68:$W68)/'Calc_Mix'!$X$12+ROW()*0.000001))</f>
        <v/>
      </c>
      <c r="P68" s="34">
        <f>IF(OR($B68="",$C68&lt;&gt;"Ativo",$D68&lt;&gt;'Calc_Mix'!$C$13,'Calc_Mix'!$X$13=0,COUNTIFS(Esc_Turno,'Calc_Mix'!$C$13,Esc_Circ,$B68)+COUNTIFS(Esc_Turno,'Calc_Mix'!$C$13,Esc_Instr,$B68)&gt;0),"",IF(SUMPRODUCT('Calc_Mix'!$D$13:$W$13,'Matriz_Habilidades'!$D68:$W68)=0,"",SUMPRODUCT('Calc_Mix'!$D$13:$W$13,'Matriz_Habilidades'!$D68:$W68)/'Calc_Mix'!$X$13+ROW()*0.000001))</f>
        <v/>
      </c>
      <c r="Q68" s="34">
        <f>IF(OR($B68="",$C68&lt;&gt;"Ativo",$D68&lt;&gt;'Calc_Mix'!$C$14,'Calc_Mix'!$X$14=0,COUNTIFS(Esc_Turno,'Calc_Mix'!$C$14,Esc_Circ,$B68)+COUNTIFS(Esc_Turno,'Calc_Mix'!$C$14,Esc_Instr,$B68)&gt;0),"",IF(SUMPRODUCT('Calc_Mix'!$D$14:$W$14,'Matriz_Habilidades'!$D68:$W68)=0,"",SUMPRODUCT('Calc_Mix'!$D$14:$W$14,'Matriz_Habilidades'!$D68:$W68)/'Calc_Mix'!$X$14+ROW()*0.000001))</f>
        <v/>
      </c>
      <c r="R68" s="34">
        <f>IF(OR($B68="",$C68&lt;&gt;"Ativo",$D68&lt;&gt;'Calc_Mix'!$C$15,'Calc_Mix'!$X$15=0,COUNTIFS(Esc_Turno,'Calc_Mix'!$C$15,Esc_Circ,$B68)+COUNTIFS(Esc_Turno,'Calc_Mix'!$C$15,Esc_Instr,$B68)&gt;0),"",IF(SUMPRODUCT('Calc_Mix'!$D$15:$W$15,'Matriz_Habilidades'!$D68:$W68)=0,"",SUMPRODUCT('Calc_Mix'!$D$15:$W$15,'Matriz_Habilidades'!$D68:$W68)/'Calc_Mix'!$X$15+ROW()*0.000001))</f>
        <v/>
      </c>
      <c r="S68" s="34">
        <f>IF(OR($B68="",$C68&lt;&gt;"Ativo",$D68&lt;&gt;'Calc_Mix'!$C$16,'Calc_Mix'!$X$16=0,COUNTIFS(Esc_Turno,'Calc_Mix'!$C$16,Esc_Circ,$B68)+COUNTIFS(Esc_Turno,'Calc_Mix'!$C$16,Esc_Instr,$B68)&gt;0),"",IF(SUMPRODUCT('Calc_Mix'!$D$16:$W$16,'Matriz_Habilidades'!$D68:$W68)=0,"",SUMPRODUCT('Calc_Mix'!$D$16:$W$16,'Matriz_Habilidades'!$D68:$W68)/'Calc_Mix'!$X$16+ROW()*0.000001))</f>
        <v/>
      </c>
      <c r="T68" s="34">
        <f>IF(OR($B68="",$C68&lt;&gt;"Ativo",$D68&lt;&gt;'Calc_Mix'!$C$17,'Calc_Mix'!$X$17=0,COUNTIFS(Esc_Turno,'Calc_Mix'!$C$17,Esc_Circ,$B68)+COUNTIFS(Esc_Turno,'Calc_Mix'!$C$17,Esc_Instr,$B68)&gt;0),"",IF(SUMPRODUCT('Calc_Mix'!$D$17:$W$17,'Matriz_Habilidades'!$D68:$W68)=0,"",SUMPRODUCT('Calc_Mix'!$D$17:$W$17,'Matriz_Habilidades'!$D68:$W68)/'Calc_Mix'!$X$17+ROW()*0.000001))</f>
        <v/>
      </c>
      <c r="U68" s="34">
        <f>IF(OR($B68="",$C68&lt;&gt;"Ativo",$D68&lt;&gt;'Calc_Mix'!$C$18,'Calc_Mix'!$X$18=0,COUNTIFS(Esc_Turno,'Calc_Mix'!$C$18,Esc_Circ,$B68)+COUNTIFS(Esc_Turno,'Calc_Mix'!$C$18,Esc_Instr,$B68)&gt;0),"",IF(SUMPRODUCT('Calc_Mix'!$D$18:$W$18,'Matriz_Habilidades'!$D68:$W68)=0,"",SUMPRODUCT('Calc_Mix'!$D$18:$W$18,'Matriz_Habilidades'!$D68:$W68)/'Calc_Mix'!$X$18+ROW()*0.000001))</f>
        <v/>
      </c>
      <c r="V68" s="34">
        <f>IF(OR($B68="",$C68&lt;&gt;"Ativo",$D68&lt;&gt;'Calc_Mix'!$C$19,'Calc_Mix'!$X$19=0,COUNTIFS(Esc_Turno,'Calc_Mix'!$C$19,Esc_Circ,$B68)+COUNTIFS(Esc_Turno,'Calc_Mix'!$C$19,Esc_Instr,$B68)&gt;0),"",IF(SUMPRODUCT('Calc_Mix'!$D$19:$W$19,'Matriz_Habilidades'!$D68:$W68)=0,"",SUMPRODUCT('Calc_Mix'!$D$19:$W$19,'Matriz_Habilidades'!$D68:$W68)/'Calc_Mix'!$X$19+ROW()*0.000001))</f>
        <v/>
      </c>
      <c r="W68" s="34">
        <f>IF(OR($B68="",$C68&lt;&gt;"Ativo",$D68&lt;&gt;'Calc_Mix'!$C$20,'Calc_Mix'!$X$20=0,COUNTIFS(Esc_Turno,'Calc_Mix'!$C$20,Esc_Circ,$B68)+COUNTIFS(Esc_Turno,'Calc_Mix'!$C$20,Esc_Instr,$B68)&gt;0),"",IF(SUMPRODUCT('Calc_Mix'!$D$20:$W$20,'Matriz_Habilidades'!$D68:$W68)=0,"",SUMPRODUCT('Calc_Mix'!$D$20:$W$20,'Matriz_Habilidades'!$D68:$W68)/'Calc_Mix'!$X$20+ROW()*0.000001))</f>
        <v/>
      </c>
      <c r="X68" s="34">
        <f>IF(OR($B68="",$C68&lt;&gt;"Ativo",$D68&lt;&gt;'Calc_Mix'!$C$21,'Calc_Mix'!$X$21=0,COUNTIFS(Esc_Turno,'Calc_Mix'!$C$21,Esc_Circ,$B68)+COUNTIFS(Esc_Turno,'Calc_Mix'!$C$21,Esc_Instr,$B68)&gt;0),"",IF(SUMPRODUCT('Calc_Mix'!$D$21:$W$21,'Matriz_Habilidades'!$D68:$W68)=0,"",SUMPRODUCT('Calc_Mix'!$D$21:$W$21,'Matriz_Habilidades'!$D68:$W68)/'Calc_Mix'!$X$21+ROW()*0.000001))</f>
        <v/>
      </c>
      <c r="Y68" s="34">
        <f>IF(OR($B68="",$C68&lt;&gt;"Ativo",$D68&lt;&gt;'Calc_Mix'!$C$22,'Calc_Mix'!$X$22=0,COUNTIFS(Esc_Turno,'Calc_Mix'!$C$22,Esc_Circ,$B68)+COUNTIFS(Esc_Turno,'Calc_Mix'!$C$22,Esc_Instr,$B68)&gt;0),"",IF(SUMPRODUCT('Calc_Mix'!$D$22:$W$22,'Matriz_Habilidades'!$D68:$W68)=0,"",SUMPRODUCT('Calc_Mix'!$D$22:$W$22,'Matriz_Habilidades'!$D68:$W68)/'Calc_Mix'!$X$22+ROW()*0.000001))</f>
        <v/>
      </c>
      <c r="Z68" s="34">
        <f>IF(OR($B68="",$C68&lt;&gt;"Ativo",$D68&lt;&gt;'Calc_Mix'!$C$23,'Calc_Mix'!$X$23=0,COUNTIFS(Esc_Turno,'Calc_Mix'!$C$23,Esc_Circ,$B68)+COUNTIFS(Esc_Turno,'Calc_Mix'!$C$23,Esc_Instr,$B68)&gt;0),"",IF(SUMPRODUCT('Calc_Mix'!$D$23:$W$23,'Matriz_Habilidades'!$D68:$W68)=0,"",SUMPRODUCT('Calc_Mix'!$D$23:$W$23,'Matriz_Habilidades'!$D68:$W68)/'Calc_Mix'!$X$23+ROW()*0.000001))</f>
        <v/>
      </c>
      <c r="AA68" s="34">
        <f>IF(OR($B68="",$C68&lt;&gt;"Ativo",$D68&lt;&gt;'Calc_Mix'!$C$24,'Calc_Mix'!$X$24=0,COUNTIFS(Esc_Turno,'Calc_Mix'!$C$24,Esc_Circ,$B68)+COUNTIFS(Esc_Turno,'Calc_Mix'!$C$24,Esc_Instr,$B68)&gt;0),"",IF(SUMPRODUCT('Calc_Mix'!$D$24:$W$24,'Matriz_Habilidades'!$D68:$W68)=0,"",SUMPRODUCT('Calc_Mix'!$D$24:$W$24,'Matriz_Habilidades'!$D68:$W68)/'Calc_Mix'!$X$24+ROW()*0.000001))</f>
        <v/>
      </c>
      <c r="AB68" s="34">
        <f>IF(OR($B68="",$C68&lt;&gt;"Ativo",$D68&lt;&gt;'Calc_Mix'!$C$25,'Calc_Mix'!$X$25=0,COUNTIFS(Esc_Turno,'Calc_Mix'!$C$25,Esc_Circ,$B68)+COUNTIFS(Esc_Turno,'Calc_Mix'!$C$25,Esc_Instr,$B68)&gt;0),"",IF(SUMPRODUCT('Calc_Mix'!$D$25:$W$25,'Matriz_Habilidades'!$D68:$W68)=0,"",SUMPRODUCT('Calc_Mix'!$D$25:$W$25,'Matriz_Habilidades'!$D68:$W68)/'Calc_Mix'!$X$25+ROW()*0.000001))</f>
        <v/>
      </c>
      <c r="AC68" s="34">
        <f>IF(OR($B68="",$C68&lt;&gt;"Ativo",$D68&lt;&gt;'Calc_Mix'!$C$26,'Calc_Mix'!$X$26=0,COUNTIFS(Esc_Turno,'Calc_Mix'!$C$26,Esc_Circ,$B68)+COUNTIFS(Esc_Turno,'Calc_Mix'!$C$26,Esc_Instr,$B68)&gt;0),"",IF(SUMPRODUCT('Calc_Mix'!$D$26:$W$26,'Matriz_Habilidades'!$D68:$W68)=0,"",SUMPRODUCT('Calc_Mix'!$D$26:$W$26,'Matriz_Habilidades'!$D68:$W68)/'Calc_Mix'!$X$26+ROW()*0.000001))</f>
        <v/>
      </c>
      <c r="AD68" s="34">
        <f>IF(OR($B68="",$C68&lt;&gt;"Ativo",$D68&lt;&gt;'Calc_Mix'!$C$27,'Calc_Mix'!$X$27=0,COUNTIFS(Esc_Turno,'Calc_Mix'!$C$27,Esc_Circ,$B68)+COUNTIFS(Esc_Turno,'Calc_Mix'!$C$27,Esc_Instr,$B68)&gt;0),"",IF(SUMPRODUCT('Calc_Mix'!$D$27:$W$27,'Matriz_Habilidades'!$D68:$W68)=0,"",SUMPRODUCT('Calc_Mix'!$D$27:$W$27,'Matriz_Habilidades'!$D68:$W68)/'Calc_Mix'!$X$27+ROW()*0.000001))</f>
        <v/>
      </c>
      <c r="AE68" s="34">
        <f>IF(OR($B68="",$C68&lt;&gt;"Ativo",$D68&lt;&gt;'Calc_Mix'!$C$28,'Calc_Mix'!$X$28=0,COUNTIFS(Esc_Turno,'Calc_Mix'!$C$28,Esc_Circ,$B68)+COUNTIFS(Esc_Turno,'Calc_Mix'!$C$28,Esc_Instr,$B68)&gt;0),"",IF(SUMPRODUCT('Calc_Mix'!$D$28:$W$28,'Matriz_Habilidades'!$D68:$W68)=0,"",SUMPRODUCT('Calc_Mix'!$D$28:$W$28,'Matriz_Habilidades'!$D68:$W68)/'Calc_Mix'!$X$28+ROW()*0.000001))</f>
        <v/>
      </c>
      <c r="AF68" s="34">
        <f>IF(OR($B68="",$C68&lt;&gt;"Ativo",$D68&lt;&gt;'Calc_Mix'!$C$29,'Calc_Mix'!$X$29=0,COUNTIFS(Esc_Turno,'Calc_Mix'!$C$29,Esc_Circ,$B68)+COUNTIFS(Esc_Turno,'Calc_Mix'!$C$29,Esc_Instr,$B68)&gt;0),"",IF(SUMPRODUCT('Calc_Mix'!$D$29:$W$29,'Matriz_Habilidades'!$D68:$W68)=0,"",SUMPRODUCT('Calc_Mix'!$D$29:$W$29,'Matriz_Habilidades'!$D68:$W68)/'Calc_Mix'!$X$29+ROW()*0.000001))</f>
        <v/>
      </c>
      <c r="AG68" s="34">
        <f>IF(OR($B68="",$C68&lt;&gt;"Ativo",$D68&lt;&gt;'Calc_Mix'!$C$30,'Calc_Mix'!$X$30=0,COUNTIFS(Esc_Turno,'Calc_Mix'!$C$30,Esc_Circ,$B68)+COUNTIFS(Esc_Turno,'Calc_Mix'!$C$30,Esc_Instr,$B68)&gt;0),"",IF(SUMPRODUCT('Calc_Mix'!$D$30:$W$30,'Matriz_Habilidades'!$D68:$W68)=0,"",SUMPRODUCT('Calc_Mix'!$D$30:$W$30,'Matriz_Habilidades'!$D68:$W68)/'Calc_Mix'!$X$30+ROW()*0.000001))</f>
        <v/>
      </c>
      <c r="AH68" s="34">
        <f>IF(OR($B68="",$C68&lt;&gt;"Ativo",$D68&lt;&gt;'Calc_Mix'!$C$31,'Calc_Mix'!$X$31=0,COUNTIFS(Esc_Turno,'Calc_Mix'!$C$31,Esc_Circ,$B68)+COUNTIFS(Esc_Turno,'Calc_Mix'!$C$31,Esc_Instr,$B68)&gt;0),"",IF(SUMPRODUCT('Calc_Mix'!$D$31:$W$31,'Matriz_Habilidades'!$D68:$W68)=0,"",SUMPRODUCT('Calc_Mix'!$D$31:$W$31,'Matriz_Habilidades'!$D68:$W68)/'Calc_Mix'!$X$31+ROW()*0.000001))</f>
        <v/>
      </c>
      <c r="AI68" s="34">
        <f>IF(OR($B68="",$C68&lt;&gt;"Ativo",$D68&lt;&gt;'Calc_Mix'!$C$32,'Calc_Mix'!$X$32=0,COUNTIFS(Esc_Turno,'Calc_Mix'!$C$32,Esc_Circ,$B68)+COUNTIFS(Esc_Turno,'Calc_Mix'!$C$32,Esc_Instr,$B68)&gt;0),"",IF(SUMPRODUCT('Calc_Mix'!$D$32:$W$32,'Matriz_Habilidades'!$D68:$W68)=0,"",SUMPRODUCT('Calc_Mix'!$D$32:$W$32,'Matriz_Habilidades'!$D68:$W68)/'Calc_Mix'!$X$32+ROW()*0.000001))</f>
        <v/>
      </c>
      <c r="AJ68" s="34">
        <f>IF(OR($B68="",$C68&lt;&gt;"Ativo",$D68&lt;&gt;'Calc_Mix'!$C$33,'Calc_Mix'!$X$33=0,COUNTIFS(Esc_Turno,'Calc_Mix'!$C$33,Esc_Circ,$B68)+COUNTIFS(Esc_Turno,'Calc_Mix'!$C$33,Esc_Instr,$B68)&gt;0),"",IF(SUMPRODUCT('Calc_Mix'!$D$33:$W$33,'Matriz_Habilidades'!$D68:$W68)=0,"",SUMPRODUCT('Calc_Mix'!$D$33:$W$33,'Matriz_Habilidades'!$D68:$W68)/'Calc_Mix'!$X$33+ROW()*0.000001))</f>
        <v/>
      </c>
      <c r="AK68" s="34">
        <f>IF(OR($B68="",$C68&lt;&gt;"Ativo",$D68&lt;&gt;'Calc_Mix'!$C$34,'Calc_Mix'!$X$34=0,COUNTIFS(Esc_Turno,'Calc_Mix'!$C$34,Esc_Circ,$B68)+COUNTIFS(Esc_Turno,'Calc_Mix'!$C$34,Esc_Instr,$B68)&gt;0),"",IF(SUMPRODUCT('Calc_Mix'!$D$34:$W$34,'Matriz_Habilidades'!$D68:$W68)=0,"",SUMPRODUCT('Calc_Mix'!$D$34:$W$34,'Matriz_Habilidades'!$D68:$W68)/'Calc_Mix'!$X$34+ROW()*0.000001))</f>
        <v/>
      </c>
      <c r="AL68" s="34">
        <f>IF(OR($B68="",$C68&lt;&gt;"Ativo",$D68&lt;&gt;'Calc_Mix'!$C$35,'Calc_Mix'!$X$35=0,COUNTIFS(Esc_Turno,'Calc_Mix'!$C$35,Esc_Circ,$B68)+COUNTIFS(Esc_Turno,'Calc_Mix'!$C$35,Esc_Instr,$B68)&gt;0),"",IF(SUMPRODUCT('Calc_Mix'!$D$35:$W$35,'Matriz_Habilidades'!$D68:$W68)=0,"",SUMPRODUCT('Calc_Mix'!$D$35:$W$35,'Matriz_Habilidades'!$D68:$W68)/'Calc_Mix'!$X$35+ROW()*0.000001))</f>
        <v/>
      </c>
      <c r="AM68" s="34">
        <f>IF(OR($B68="",$C68&lt;&gt;"Ativo",$D68&lt;&gt;'Calc_Mix'!$C$36,'Calc_Mix'!$X$36=0,COUNTIFS(Esc_Turno,'Calc_Mix'!$C$36,Esc_Circ,$B68)+COUNTIFS(Esc_Turno,'Calc_Mix'!$C$36,Esc_Instr,$B68)&gt;0),"",IF(SUMPRODUCT('Calc_Mix'!$D$36:$W$36,'Matriz_Habilidades'!$D68:$W68)=0,"",SUMPRODUCT('Calc_Mix'!$D$36:$W$36,'Matriz_Habilidades'!$D68:$W68)/'Calc_Mix'!$X$36+ROW()*0.000001))</f>
        <v/>
      </c>
      <c r="AN68" s="34">
        <f>IF(OR($B68="",$C68&lt;&gt;"Ativo",$D68&lt;&gt;'Calc_Mix'!$C$37,'Calc_Mix'!$X$37=0,COUNTIFS(Esc_Turno,'Calc_Mix'!$C$37,Esc_Circ,$B68)+COUNTIFS(Esc_Turno,'Calc_Mix'!$C$37,Esc_Instr,$B68)&gt;0),"",IF(SUMPRODUCT('Calc_Mix'!$D$37:$W$37,'Matriz_Habilidades'!$D68:$W68)=0,"",SUMPRODUCT('Calc_Mix'!$D$37:$W$37,'Matriz_Habilidades'!$D68:$W68)/'Calc_Mix'!$X$37+ROW()*0.000001))</f>
        <v/>
      </c>
    </row>
    <row r="69">
      <c r="A69" s="27">
        <f>IF('Matriz_Habilidades'!A69="","",'Matriz_Habilidades'!A69)</f>
        <v/>
      </c>
      <c r="B69" s="28">
        <f>IF('Matriz_Habilidades'!B69="","",'Matriz_Habilidades'!B69)</f>
        <v/>
      </c>
      <c r="C69" s="27">
        <f>IF($A69="","",IFERROR(INDEX(Equipe_Status,MATCH($B69,Equipe_Nome,0)),"?"))</f>
        <v/>
      </c>
      <c r="D69" s="27">
        <f>IF($A69="","",IFERROR(INDEX(Equipe_Turno,MATCH($B69,Equipe_Nome,0)),"?"))</f>
        <v/>
      </c>
      <c r="E69" s="34">
        <f>IF(OR($B69="",$C69&lt;&gt;"Ativo",$D69&lt;&gt;'Calc_Mix'!$C$2,'Calc_Mix'!$X$2=0,COUNTIFS(Esc_Turno,'Calc_Mix'!$C$2,Esc_Circ,$B69)+COUNTIFS(Esc_Turno,'Calc_Mix'!$C$2,Esc_Instr,$B69)&gt;0),"",IF(SUMPRODUCT('Calc_Mix'!$D$2:$W$2,'Matriz_Habilidades'!$D69:$W69)=0,"",SUMPRODUCT('Calc_Mix'!$D$2:$W$2,'Matriz_Habilidades'!$D69:$W69)/'Calc_Mix'!$X$2+ROW()*0.000001))</f>
        <v/>
      </c>
      <c r="F69" s="34">
        <f>IF(OR($B69="",$C69&lt;&gt;"Ativo",$D69&lt;&gt;'Calc_Mix'!$C$3,'Calc_Mix'!$X$3=0,COUNTIFS(Esc_Turno,'Calc_Mix'!$C$3,Esc_Circ,$B69)+COUNTIFS(Esc_Turno,'Calc_Mix'!$C$3,Esc_Instr,$B69)&gt;0),"",IF(SUMPRODUCT('Calc_Mix'!$D$3:$W$3,'Matriz_Habilidades'!$D69:$W69)=0,"",SUMPRODUCT('Calc_Mix'!$D$3:$W$3,'Matriz_Habilidades'!$D69:$W69)/'Calc_Mix'!$X$3+ROW()*0.000001))</f>
        <v/>
      </c>
      <c r="G69" s="34">
        <f>IF(OR($B69="",$C69&lt;&gt;"Ativo",$D69&lt;&gt;'Calc_Mix'!$C$4,'Calc_Mix'!$X$4=0,COUNTIFS(Esc_Turno,'Calc_Mix'!$C$4,Esc_Circ,$B69)+COUNTIFS(Esc_Turno,'Calc_Mix'!$C$4,Esc_Instr,$B69)&gt;0),"",IF(SUMPRODUCT('Calc_Mix'!$D$4:$W$4,'Matriz_Habilidades'!$D69:$W69)=0,"",SUMPRODUCT('Calc_Mix'!$D$4:$W$4,'Matriz_Habilidades'!$D69:$W69)/'Calc_Mix'!$X$4+ROW()*0.000001))</f>
        <v/>
      </c>
      <c r="H69" s="34">
        <f>IF(OR($B69="",$C69&lt;&gt;"Ativo",$D69&lt;&gt;'Calc_Mix'!$C$5,'Calc_Mix'!$X$5=0,COUNTIFS(Esc_Turno,'Calc_Mix'!$C$5,Esc_Circ,$B69)+COUNTIFS(Esc_Turno,'Calc_Mix'!$C$5,Esc_Instr,$B69)&gt;0),"",IF(SUMPRODUCT('Calc_Mix'!$D$5:$W$5,'Matriz_Habilidades'!$D69:$W69)=0,"",SUMPRODUCT('Calc_Mix'!$D$5:$W$5,'Matriz_Habilidades'!$D69:$W69)/'Calc_Mix'!$X$5+ROW()*0.000001))</f>
        <v/>
      </c>
      <c r="I69" s="34">
        <f>IF(OR($B69="",$C69&lt;&gt;"Ativo",$D69&lt;&gt;'Calc_Mix'!$C$6,'Calc_Mix'!$X$6=0,COUNTIFS(Esc_Turno,'Calc_Mix'!$C$6,Esc_Circ,$B69)+COUNTIFS(Esc_Turno,'Calc_Mix'!$C$6,Esc_Instr,$B69)&gt;0),"",IF(SUMPRODUCT('Calc_Mix'!$D$6:$W$6,'Matriz_Habilidades'!$D69:$W69)=0,"",SUMPRODUCT('Calc_Mix'!$D$6:$W$6,'Matriz_Habilidades'!$D69:$W69)/'Calc_Mix'!$X$6+ROW()*0.000001))</f>
        <v/>
      </c>
      <c r="J69" s="34">
        <f>IF(OR($B69="",$C69&lt;&gt;"Ativo",$D69&lt;&gt;'Calc_Mix'!$C$7,'Calc_Mix'!$X$7=0,COUNTIFS(Esc_Turno,'Calc_Mix'!$C$7,Esc_Circ,$B69)+COUNTIFS(Esc_Turno,'Calc_Mix'!$C$7,Esc_Instr,$B69)&gt;0),"",IF(SUMPRODUCT('Calc_Mix'!$D$7:$W$7,'Matriz_Habilidades'!$D69:$W69)=0,"",SUMPRODUCT('Calc_Mix'!$D$7:$W$7,'Matriz_Habilidades'!$D69:$W69)/'Calc_Mix'!$X$7+ROW()*0.000001))</f>
        <v/>
      </c>
      <c r="K69" s="34">
        <f>IF(OR($B69="",$C69&lt;&gt;"Ativo",$D69&lt;&gt;'Calc_Mix'!$C$8,'Calc_Mix'!$X$8=0,COUNTIFS(Esc_Turno,'Calc_Mix'!$C$8,Esc_Circ,$B69)+COUNTIFS(Esc_Turno,'Calc_Mix'!$C$8,Esc_Instr,$B69)&gt;0),"",IF(SUMPRODUCT('Calc_Mix'!$D$8:$W$8,'Matriz_Habilidades'!$D69:$W69)=0,"",SUMPRODUCT('Calc_Mix'!$D$8:$W$8,'Matriz_Habilidades'!$D69:$W69)/'Calc_Mix'!$X$8+ROW()*0.000001))</f>
        <v/>
      </c>
      <c r="L69" s="34">
        <f>IF(OR($B69="",$C69&lt;&gt;"Ativo",$D69&lt;&gt;'Calc_Mix'!$C$9,'Calc_Mix'!$X$9=0,COUNTIFS(Esc_Turno,'Calc_Mix'!$C$9,Esc_Circ,$B69)+COUNTIFS(Esc_Turno,'Calc_Mix'!$C$9,Esc_Instr,$B69)&gt;0),"",IF(SUMPRODUCT('Calc_Mix'!$D$9:$W$9,'Matriz_Habilidades'!$D69:$W69)=0,"",SUMPRODUCT('Calc_Mix'!$D$9:$W$9,'Matriz_Habilidades'!$D69:$W69)/'Calc_Mix'!$X$9+ROW()*0.000001))</f>
        <v/>
      </c>
      <c r="M69" s="34">
        <f>IF(OR($B69="",$C69&lt;&gt;"Ativo",$D69&lt;&gt;'Calc_Mix'!$C$10,'Calc_Mix'!$X$10=0,COUNTIFS(Esc_Turno,'Calc_Mix'!$C$10,Esc_Circ,$B69)+COUNTIFS(Esc_Turno,'Calc_Mix'!$C$10,Esc_Instr,$B69)&gt;0),"",IF(SUMPRODUCT('Calc_Mix'!$D$10:$W$10,'Matriz_Habilidades'!$D69:$W69)=0,"",SUMPRODUCT('Calc_Mix'!$D$10:$W$10,'Matriz_Habilidades'!$D69:$W69)/'Calc_Mix'!$X$10+ROW()*0.000001))</f>
        <v/>
      </c>
      <c r="N69" s="34">
        <f>IF(OR($B69="",$C69&lt;&gt;"Ativo",$D69&lt;&gt;'Calc_Mix'!$C$11,'Calc_Mix'!$X$11=0,COUNTIFS(Esc_Turno,'Calc_Mix'!$C$11,Esc_Circ,$B69)+COUNTIFS(Esc_Turno,'Calc_Mix'!$C$11,Esc_Instr,$B69)&gt;0),"",IF(SUMPRODUCT('Calc_Mix'!$D$11:$W$11,'Matriz_Habilidades'!$D69:$W69)=0,"",SUMPRODUCT('Calc_Mix'!$D$11:$W$11,'Matriz_Habilidades'!$D69:$W69)/'Calc_Mix'!$X$11+ROW()*0.000001))</f>
        <v/>
      </c>
      <c r="O69" s="34">
        <f>IF(OR($B69="",$C69&lt;&gt;"Ativo",$D69&lt;&gt;'Calc_Mix'!$C$12,'Calc_Mix'!$X$12=0,COUNTIFS(Esc_Turno,'Calc_Mix'!$C$12,Esc_Circ,$B69)+COUNTIFS(Esc_Turno,'Calc_Mix'!$C$12,Esc_Instr,$B69)&gt;0),"",IF(SUMPRODUCT('Calc_Mix'!$D$12:$W$12,'Matriz_Habilidades'!$D69:$W69)=0,"",SUMPRODUCT('Calc_Mix'!$D$12:$W$12,'Matriz_Habilidades'!$D69:$W69)/'Calc_Mix'!$X$12+ROW()*0.000001))</f>
        <v/>
      </c>
      <c r="P69" s="34">
        <f>IF(OR($B69="",$C69&lt;&gt;"Ativo",$D69&lt;&gt;'Calc_Mix'!$C$13,'Calc_Mix'!$X$13=0,COUNTIFS(Esc_Turno,'Calc_Mix'!$C$13,Esc_Circ,$B69)+COUNTIFS(Esc_Turno,'Calc_Mix'!$C$13,Esc_Instr,$B69)&gt;0),"",IF(SUMPRODUCT('Calc_Mix'!$D$13:$W$13,'Matriz_Habilidades'!$D69:$W69)=0,"",SUMPRODUCT('Calc_Mix'!$D$13:$W$13,'Matriz_Habilidades'!$D69:$W69)/'Calc_Mix'!$X$13+ROW()*0.000001))</f>
        <v/>
      </c>
      <c r="Q69" s="34">
        <f>IF(OR($B69="",$C69&lt;&gt;"Ativo",$D69&lt;&gt;'Calc_Mix'!$C$14,'Calc_Mix'!$X$14=0,COUNTIFS(Esc_Turno,'Calc_Mix'!$C$14,Esc_Circ,$B69)+COUNTIFS(Esc_Turno,'Calc_Mix'!$C$14,Esc_Instr,$B69)&gt;0),"",IF(SUMPRODUCT('Calc_Mix'!$D$14:$W$14,'Matriz_Habilidades'!$D69:$W69)=0,"",SUMPRODUCT('Calc_Mix'!$D$14:$W$14,'Matriz_Habilidades'!$D69:$W69)/'Calc_Mix'!$X$14+ROW()*0.000001))</f>
        <v/>
      </c>
      <c r="R69" s="34">
        <f>IF(OR($B69="",$C69&lt;&gt;"Ativo",$D69&lt;&gt;'Calc_Mix'!$C$15,'Calc_Mix'!$X$15=0,COUNTIFS(Esc_Turno,'Calc_Mix'!$C$15,Esc_Circ,$B69)+COUNTIFS(Esc_Turno,'Calc_Mix'!$C$15,Esc_Instr,$B69)&gt;0),"",IF(SUMPRODUCT('Calc_Mix'!$D$15:$W$15,'Matriz_Habilidades'!$D69:$W69)=0,"",SUMPRODUCT('Calc_Mix'!$D$15:$W$15,'Matriz_Habilidades'!$D69:$W69)/'Calc_Mix'!$X$15+ROW()*0.000001))</f>
        <v/>
      </c>
      <c r="S69" s="34">
        <f>IF(OR($B69="",$C69&lt;&gt;"Ativo",$D69&lt;&gt;'Calc_Mix'!$C$16,'Calc_Mix'!$X$16=0,COUNTIFS(Esc_Turno,'Calc_Mix'!$C$16,Esc_Circ,$B69)+COUNTIFS(Esc_Turno,'Calc_Mix'!$C$16,Esc_Instr,$B69)&gt;0),"",IF(SUMPRODUCT('Calc_Mix'!$D$16:$W$16,'Matriz_Habilidades'!$D69:$W69)=0,"",SUMPRODUCT('Calc_Mix'!$D$16:$W$16,'Matriz_Habilidades'!$D69:$W69)/'Calc_Mix'!$X$16+ROW()*0.000001))</f>
        <v/>
      </c>
      <c r="T69" s="34">
        <f>IF(OR($B69="",$C69&lt;&gt;"Ativo",$D69&lt;&gt;'Calc_Mix'!$C$17,'Calc_Mix'!$X$17=0,COUNTIFS(Esc_Turno,'Calc_Mix'!$C$17,Esc_Circ,$B69)+COUNTIFS(Esc_Turno,'Calc_Mix'!$C$17,Esc_Instr,$B69)&gt;0),"",IF(SUMPRODUCT('Calc_Mix'!$D$17:$W$17,'Matriz_Habilidades'!$D69:$W69)=0,"",SUMPRODUCT('Calc_Mix'!$D$17:$W$17,'Matriz_Habilidades'!$D69:$W69)/'Calc_Mix'!$X$17+ROW()*0.000001))</f>
        <v/>
      </c>
      <c r="U69" s="34">
        <f>IF(OR($B69="",$C69&lt;&gt;"Ativo",$D69&lt;&gt;'Calc_Mix'!$C$18,'Calc_Mix'!$X$18=0,COUNTIFS(Esc_Turno,'Calc_Mix'!$C$18,Esc_Circ,$B69)+COUNTIFS(Esc_Turno,'Calc_Mix'!$C$18,Esc_Instr,$B69)&gt;0),"",IF(SUMPRODUCT('Calc_Mix'!$D$18:$W$18,'Matriz_Habilidades'!$D69:$W69)=0,"",SUMPRODUCT('Calc_Mix'!$D$18:$W$18,'Matriz_Habilidades'!$D69:$W69)/'Calc_Mix'!$X$18+ROW()*0.000001))</f>
        <v/>
      </c>
      <c r="V69" s="34">
        <f>IF(OR($B69="",$C69&lt;&gt;"Ativo",$D69&lt;&gt;'Calc_Mix'!$C$19,'Calc_Mix'!$X$19=0,COUNTIFS(Esc_Turno,'Calc_Mix'!$C$19,Esc_Circ,$B69)+COUNTIFS(Esc_Turno,'Calc_Mix'!$C$19,Esc_Instr,$B69)&gt;0),"",IF(SUMPRODUCT('Calc_Mix'!$D$19:$W$19,'Matriz_Habilidades'!$D69:$W69)=0,"",SUMPRODUCT('Calc_Mix'!$D$19:$W$19,'Matriz_Habilidades'!$D69:$W69)/'Calc_Mix'!$X$19+ROW()*0.000001))</f>
        <v/>
      </c>
      <c r="W69" s="34">
        <f>IF(OR($B69="",$C69&lt;&gt;"Ativo",$D69&lt;&gt;'Calc_Mix'!$C$20,'Calc_Mix'!$X$20=0,COUNTIFS(Esc_Turno,'Calc_Mix'!$C$20,Esc_Circ,$B69)+COUNTIFS(Esc_Turno,'Calc_Mix'!$C$20,Esc_Instr,$B69)&gt;0),"",IF(SUMPRODUCT('Calc_Mix'!$D$20:$W$20,'Matriz_Habilidades'!$D69:$W69)=0,"",SUMPRODUCT('Calc_Mix'!$D$20:$W$20,'Matriz_Habilidades'!$D69:$W69)/'Calc_Mix'!$X$20+ROW()*0.000001))</f>
        <v/>
      </c>
      <c r="X69" s="34">
        <f>IF(OR($B69="",$C69&lt;&gt;"Ativo",$D69&lt;&gt;'Calc_Mix'!$C$21,'Calc_Mix'!$X$21=0,COUNTIFS(Esc_Turno,'Calc_Mix'!$C$21,Esc_Circ,$B69)+COUNTIFS(Esc_Turno,'Calc_Mix'!$C$21,Esc_Instr,$B69)&gt;0),"",IF(SUMPRODUCT('Calc_Mix'!$D$21:$W$21,'Matriz_Habilidades'!$D69:$W69)=0,"",SUMPRODUCT('Calc_Mix'!$D$21:$W$21,'Matriz_Habilidades'!$D69:$W69)/'Calc_Mix'!$X$21+ROW()*0.000001))</f>
        <v/>
      </c>
      <c r="Y69" s="34">
        <f>IF(OR($B69="",$C69&lt;&gt;"Ativo",$D69&lt;&gt;'Calc_Mix'!$C$22,'Calc_Mix'!$X$22=0,COUNTIFS(Esc_Turno,'Calc_Mix'!$C$22,Esc_Circ,$B69)+COUNTIFS(Esc_Turno,'Calc_Mix'!$C$22,Esc_Instr,$B69)&gt;0),"",IF(SUMPRODUCT('Calc_Mix'!$D$22:$W$22,'Matriz_Habilidades'!$D69:$W69)=0,"",SUMPRODUCT('Calc_Mix'!$D$22:$W$22,'Matriz_Habilidades'!$D69:$W69)/'Calc_Mix'!$X$22+ROW()*0.000001))</f>
        <v/>
      </c>
      <c r="Z69" s="34">
        <f>IF(OR($B69="",$C69&lt;&gt;"Ativo",$D69&lt;&gt;'Calc_Mix'!$C$23,'Calc_Mix'!$X$23=0,COUNTIFS(Esc_Turno,'Calc_Mix'!$C$23,Esc_Circ,$B69)+COUNTIFS(Esc_Turno,'Calc_Mix'!$C$23,Esc_Instr,$B69)&gt;0),"",IF(SUMPRODUCT('Calc_Mix'!$D$23:$W$23,'Matriz_Habilidades'!$D69:$W69)=0,"",SUMPRODUCT('Calc_Mix'!$D$23:$W$23,'Matriz_Habilidades'!$D69:$W69)/'Calc_Mix'!$X$23+ROW()*0.000001))</f>
        <v/>
      </c>
      <c r="AA69" s="34">
        <f>IF(OR($B69="",$C69&lt;&gt;"Ativo",$D69&lt;&gt;'Calc_Mix'!$C$24,'Calc_Mix'!$X$24=0,COUNTIFS(Esc_Turno,'Calc_Mix'!$C$24,Esc_Circ,$B69)+COUNTIFS(Esc_Turno,'Calc_Mix'!$C$24,Esc_Instr,$B69)&gt;0),"",IF(SUMPRODUCT('Calc_Mix'!$D$24:$W$24,'Matriz_Habilidades'!$D69:$W69)=0,"",SUMPRODUCT('Calc_Mix'!$D$24:$W$24,'Matriz_Habilidades'!$D69:$W69)/'Calc_Mix'!$X$24+ROW()*0.000001))</f>
        <v/>
      </c>
      <c r="AB69" s="34">
        <f>IF(OR($B69="",$C69&lt;&gt;"Ativo",$D69&lt;&gt;'Calc_Mix'!$C$25,'Calc_Mix'!$X$25=0,COUNTIFS(Esc_Turno,'Calc_Mix'!$C$25,Esc_Circ,$B69)+COUNTIFS(Esc_Turno,'Calc_Mix'!$C$25,Esc_Instr,$B69)&gt;0),"",IF(SUMPRODUCT('Calc_Mix'!$D$25:$W$25,'Matriz_Habilidades'!$D69:$W69)=0,"",SUMPRODUCT('Calc_Mix'!$D$25:$W$25,'Matriz_Habilidades'!$D69:$W69)/'Calc_Mix'!$X$25+ROW()*0.000001))</f>
        <v/>
      </c>
      <c r="AC69" s="34">
        <f>IF(OR($B69="",$C69&lt;&gt;"Ativo",$D69&lt;&gt;'Calc_Mix'!$C$26,'Calc_Mix'!$X$26=0,COUNTIFS(Esc_Turno,'Calc_Mix'!$C$26,Esc_Circ,$B69)+COUNTIFS(Esc_Turno,'Calc_Mix'!$C$26,Esc_Instr,$B69)&gt;0),"",IF(SUMPRODUCT('Calc_Mix'!$D$26:$W$26,'Matriz_Habilidades'!$D69:$W69)=0,"",SUMPRODUCT('Calc_Mix'!$D$26:$W$26,'Matriz_Habilidades'!$D69:$W69)/'Calc_Mix'!$X$26+ROW()*0.000001))</f>
        <v/>
      </c>
      <c r="AD69" s="34">
        <f>IF(OR($B69="",$C69&lt;&gt;"Ativo",$D69&lt;&gt;'Calc_Mix'!$C$27,'Calc_Mix'!$X$27=0,COUNTIFS(Esc_Turno,'Calc_Mix'!$C$27,Esc_Circ,$B69)+COUNTIFS(Esc_Turno,'Calc_Mix'!$C$27,Esc_Instr,$B69)&gt;0),"",IF(SUMPRODUCT('Calc_Mix'!$D$27:$W$27,'Matriz_Habilidades'!$D69:$W69)=0,"",SUMPRODUCT('Calc_Mix'!$D$27:$W$27,'Matriz_Habilidades'!$D69:$W69)/'Calc_Mix'!$X$27+ROW()*0.000001))</f>
        <v/>
      </c>
      <c r="AE69" s="34">
        <f>IF(OR($B69="",$C69&lt;&gt;"Ativo",$D69&lt;&gt;'Calc_Mix'!$C$28,'Calc_Mix'!$X$28=0,COUNTIFS(Esc_Turno,'Calc_Mix'!$C$28,Esc_Circ,$B69)+COUNTIFS(Esc_Turno,'Calc_Mix'!$C$28,Esc_Instr,$B69)&gt;0),"",IF(SUMPRODUCT('Calc_Mix'!$D$28:$W$28,'Matriz_Habilidades'!$D69:$W69)=0,"",SUMPRODUCT('Calc_Mix'!$D$28:$W$28,'Matriz_Habilidades'!$D69:$W69)/'Calc_Mix'!$X$28+ROW()*0.000001))</f>
        <v/>
      </c>
      <c r="AF69" s="34">
        <f>IF(OR($B69="",$C69&lt;&gt;"Ativo",$D69&lt;&gt;'Calc_Mix'!$C$29,'Calc_Mix'!$X$29=0,COUNTIFS(Esc_Turno,'Calc_Mix'!$C$29,Esc_Circ,$B69)+COUNTIFS(Esc_Turno,'Calc_Mix'!$C$29,Esc_Instr,$B69)&gt;0),"",IF(SUMPRODUCT('Calc_Mix'!$D$29:$W$29,'Matriz_Habilidades'!$D69:$W69)=0,"",SUMPRODUCT('Calc_Mix'!$D$29:$W$29,'Matriz_Habilidades'!$D69:$W69)/'Calc_Mix'!$X$29+ROW()*0.000001))</f>
        <v/>
      </c>
      <c r="AG69" s="34">
        <f>IF(OR($B69="",$C69&lt;&gt;"Ativo",$D69&lt;&gt;'Calc_Mix'!$C$30,'Calc_Mix'!$X$30=0,COUNTIFS(Esc_Turno,'Calc_Mix'!$C$30,Esc_Circ,$B69)+COUNTIFS(Esc_Turno,'Calc_Mix'!$C$30,Esc_Instr,$B69)&gt;0),"",IF(SUMPRODUCT('Calc_Mix'!$D$30:$W$30,'Matriz_Habilidades'!$D69:$W69)=0,"",SUMPRODUCT('Calc_Mix'!$D$30:$W$30,'Matriz_Habilidades'!$D69:$W69)/'Calc_Mix'!$X$30+ROW()*0.000001))</f>
        <v/>
      </c>
      <c r="AH69" s="34">
        <f>IF(OR($B69="",$C69&lt;&gt;"Ativo",$D69&lt;&gt;'Calc_Mix'!$C$31,'Calc_Mix'!$X$31=0,COUNTIFS(Esc_Turno,'Calc_Mix'!$C$31,Esc_Circ,$B69)+COUNTIFS(Esc_Turno,'Calc_Mix'!$C$31,Esc_Instr,$B69)&gt;0),"",IF(SUMPRODUCT('Calc_Mix'!$D$31:$W$31,'Matriz_Habilidades'!$D69:$W69)=0,"",SUMPRODUCT('Calc_Mix'!$D$31:$W$31,'Matriz_Habilidades'!$D69:$W69)/'Calc_Mix'!$X$31+ROW()*0.000001))</f>
        <v/>
      </c>
      <c r="AI69" s="34">
        <f>IF(OR($B69="",$C69&lt;&gt;"Ativo",$D69&lt;&gt;'Calc_Mix'!$C$32,'Calc_Mix'!$X$32=0,COUNTIFS(Esc_Turno,'Calc_Mix'!$C$32,Esc_Circ,$B69)+COUNTIFS(Esc_Turno,'Calc_Mix'!$C$32,Esc_Instr,$B69)&gt;0),"",IF(SUMPRODUCT('Calc_Mix'!$D$32:$W$32,'Matriz_Habilidades'!$D69:$W69)=0,"",SUMPRODUCT('Calc_Mix'!$D$32:$W$32,'Matriz_Habilidades'!$D69:$W69)/'Calc_Mix'!$X$32+ROW()*0.000001))</f>
        <v/>
      </c>
      <c r="AJ69" s="34">
        <f>IF(OR($B69="",$C69&lt;&gt;"Ativo",$D69&lt;&gt;'Calc_Mix'!$C$33,'Calc_Mix'!$X$33=0,COUNTIFS(Esc_Turno,'Calc_Mix'!$C$33,Esc_Circ,$B69)+COUNTIFS(Esc_Turno,'Calc_Mix'!$C$33,Esc_Instr,$B69)&gt;0),"",IF(SUMPRODUCT('Calc_Mix'!$D$33:$W$33,'Matriz_Habilidades'!$D69:$W69)=0,"",SUMPRODUCT('Calc_Mix'!$D$33:$W$33,'Matriz_Habilidades'!$D69:$W69)/'Calc_Mix'!$X$33+ROW()*0.000001))</f>
        <v/>
      </c>
      <c r="AK69" s="34">
        <f>IF(OR($B69="",$C69&lt;&gt;"Ativo",$D69&lt;&gt;'Calc_Mix'!$C$34,'Calc_Mix'!$X$34=0,COUNTIFS(Esc_Turno,'Calc_Mix'!$C$34,Esc_Circ,$B69)+COUNTIFS(Esc_Turno,'Calc_Mix'!$C$34,Esc_Instr,$B69)&gt;0),"",IF(SUMPRODUCT('Calc_Mix'!$D$34:$W$34,'Matriz_Habilidades'!$D69:$W69)=0,"",SUMPRODUCT('Calc_Mix'!$D$34:$W$34,'Matriz_Habilidades'!$D69:$W69)/'Calc_Mix'!$X$34+ROW()*0.000001))</f>
        <v/>
      </c>
      <c r="AL69" s="34">
        <f>IF(OR($B69="",$C69&lt;&gt;"Ativo",$D69&lt;&gt;'Calc_Mix'!$C$35,'Calc_Mix'!$X$35=0,COUNTIFS(Esc_Turno,'Calc_Mix'!$C$35,Esc_Circ,$B69)+COUNTIFS(Esc_Turno,'Calc_Mix'!$C$35,Esc_Instr,$B69)&gt;0),"",IF(SUMPRODUCT('Calc_Mix'!$D$35:$W$35,'Matriz_Habilidades'!$D69:$W69)=0,"",SUMPRODUCT('Calc_Mix'!$D$35:$W$35,'Matriz_Habilidades'!$D69:$W69)/'Calc_Mix'!$X$35+ROW()*0.000001))</f>
        <v/>
      </c>
      <c r="AM69" s="34">
        <f>IF(OR($B69="",$C69&lt;&gt;"Ativo",$D69&lt;&gt;'Calc_Mix'!$C$36,'Calc_Mix'!$X$36=0,COUNTIFS(Esc_Turno,'Calc_Mix'!$C$36,Esc_Circ,$B69)+COUNTIFS(Esc_Turno,'Calc_Mix'!$C$36,Esc_Instr,$B69)&gt;0),"",IF(SUMPRODUCT('Calc_Mix'!$D$36:$W$36,'Matriz_Habilidades'!$D69:$W69)=0,"",SUMPRODUCT('Calc_Mix'!$D$36:$W$36,'Matriz_Habilidades'!$D69:$W69)/'Calc_Mix'!$X$36+ROW()*0.000001))</f>
        <v/>
      </c>
      <c r="AN69" s="34">
        <f>IF(OR($B69="",$C69&lt;&gt;"Ativo",$D69&lt;&gt;'Calc_Mix'!$C$37,'Calc_Mix'!$X$37=0,COUNTIFS(Esc_Turno,'Calc_Mix'!$C$37,Esc_Circ,$B69)+COUNTIFS(Esc_Turno,'Calc_Mix'!$C$37,Esc_Instr,$B69)&gt;0),"",IF(SUMPRODUCT('Calc_Mix'!$D$37:$W$37,'Matriz_Habilidades'!$D69:$W69)=0,"",SUMPRODUCT('Calc_Mix'!$D$37:$W$37,'Matriz_Habilidades'!$D69:$W69)/'Calc_Mix'!$X$37+ROW()*0.000001))</f>
        <v/>
      </c>
    </row>
    <row r="70">
      <c r="A70" s="27">
        <f>IF('Matriz_Habilidades'!A70="","",'Matriz_Habilidades'!A70)</f>
        <v/>
      </c>
      <c r="B70" s="28">
        <f>IF('Matriz_Habilidades'!B70="","",'Matriz_Habilidades'!B70)</f>
        <v/>
      </c>
      <c r="C70" s="27">
        <f>IF($A70="","",IFERROR(INDEX(Equipe_Status,MATCH($B70,Equipe_Nome,0)),"?"))</f>
        <v/>
      </c>
      <c r="D70" s="27">
        <f>IF($A70="","",IFERROR(INDEX(Equipe_Turno,MATCH($B70,Equipe_Nome,0)),"?"))</f>
        <v/>
      </c>
      <c r="E70" s="34">
        <f>IF(OR($B70="",$C70&lt;&gt;"Ativo",$D70&lt;&gt;'Calc_Mix'!$C$2,'Calc_Mix'!$X$2=0,COUNTIFS(Esc_Turno,'Calc_Mix'!$C$2,Esc_Circ,$B70)+COUNTIFS(Esc_Turno,'Calc_Mix'!$C$2,Esc_Instr,$B70)&gt;0),"",IF(SUMPRODUCT('Calc_Mix'!$D$2:$W$2,'Matriz_Habilidades'!$D70:$W70)=0,"",SUMPRODUCT('Calc_Mix'!$D$2:$W$2,'Matriz_Habilidades'!$D70:$W70)/'Calc_Mix'!$X$2+ROW()*0.000001))</f>
        <v/>
      </c>
      <c r="F70" s="34">
        <f>IF(OR($B70="",$C70&lt;&gt;"Ativo",$D70&lt;&gt;'Calc_Mix'!$C$3,'Calc_Mix'!$X$3=0,COUNTIFS(Esc_Turno,'Calc_Mix'!$C$3,Esc_Circ,$B70)+COUNTIFS(Esc_Turno,'Calc_Mix'!$C$3,Esc_Instr,$B70)&gt;0),"",IF(SUMPRODUCT('Calc_Mix'!$D$3:$W$3,'Matriz_Habilidades'!$D70:$W70)=0,"",SUMPRODUCT('Calc_Mix'!$D$3:$W$3,'Matriz_Habilidades'!$D70:$W70)/'Calc_Mix'!$X$3+ROW()*0.000001))</f>
        <v/>
      </c>
      <c r="G70" s="34">
        <f>IF(OR($B70="",$C70&lt;&gt;"Ativo",$D70&lt;&gt;'Calc_Mix'!$C$4,'Calc_Mix'!$X$4=0,COUNTIFS(Esc_Turno,'Calc_Mix'!$C$4,Esc_Circ,$B70)+COUNTIFS(Esc_Turno,'Calc_Mix'!$C$4,Esc_Instr,$B70)&gt;0),"",IF(SUMPRODUCT('Calc_Mix'!$D$4:$W$4,'Matriz_Habilidades'!$D70:$W70)=0,"",SUMPRODUCT('Calc_Mix'!$D$4:$W$4,'Matriz_Habilidades'!$D70:$W70)/'Calc_Mix'!$X$4+ROW()*0.000001))</f>
        <v/>
      </c>
      <c r="H70" s="34">
        <f>IF(OR($B70="",$C70&lt;&gt;"Ativo",$D70&lt;&gt;'Calc_Mix'!$C$5,'Calc_Mix'!$X$5=0,COUNTIFS(Esc_Turno,'Calc_Mix'!$C$5,Esc_Circ,$B70)+COUNTIFS(Esc_Turno,'Calc_Mix'!$C$5,Esc_Instr,$B70)&gt;0),"",IF(SUMPRODUCT('Calc_Mix'!$D$5:$W$5,'Matriz_Habilidades'!$D70:$W70)=0,"",SUMPRODUCT('Calc_Mix'!$D$5:$W$5,'Matriz_Habilidades'!$D70:$W70)/'Calc_Mix'!$X$5+ROW()*0.000001))</f>
        <v/>
      </c>
      <c r="I70" s="34">
        <f>IF(OR($B70="",$C70&lt;&gt;"Ativo",$D70&lt;&gt;'Calc_Mix'!$C$6,'Calc_Mix'!$X$6=0,COUNTIFS(Esc_Turno,'Calc_Mix'!$C$6,Esc_Circ,$B70)+COUNTIFS(Esc_Turno,'Calc_Mix'!$C$6,Esc_Instr,$B70)&gt;0),"",IF(SUMPRODUCT('Calc_Mix'!$D$6:$W$6,'Matriz_Habilidades'!$D70:$W70)=0,"",SUMPRODUCT('Calc_Mix'!$D$6:$W$6,'Matriz_Habilidades'!$D70:$W70)/'Calc_Mix'!$X$6+ROW()*0.000001))</f>
        <v/>
      </c>
      <c r="J70" s="34">
        <f>IF(OR($B70="",$C70&lt;&gt;"Ativo",$D70&lt;&gt;'Calc_Mix'!$C$7,'Calc_Mix'!$X$7=0,COUNTIFS(Esc_Turno,'Calc_Mix'!$C$7,Esc_Circ,$B70)+COUNTIFS(Esc_Turno,'Calc_Mix'!$C$7,Esc_Instr,$B70)&gt;0),"",IF(SUMPRODUCT('Calc_Mix'!$D$7:$W$7,'Matriz_Habilidades'!$D70:$W70)=0,"",SUMPRODUCT('Calc_Mix'!$D$7:$W$7,'Matriz_Habilidades'!$D70:$W70)/'Calc_Mix'!$X$7+ROW()*0.000001))</f>
        <v/>
      </c>
      <c r="K70" s="34">
        <f>IF(OR($B70="",$C70&lt;&gt;"Ativo",$D70&lt;&gt;'Calc_Mix'!$C$8,'Calc_Mix'!$X$8=0,COUNTIFS(Esc_Turno,'Calc_Mix'!$C$8,Esc_Circ,$B70)+COUNTIFS(Esc_Turno,'Calc_Mix'!$C$8,Esc_Instr,$B70)&gt;0),"",IF(SUMPRODUCT('Calc_Mix'!$D$8:$W$8,'Matriz_Habilidades'!$D70:$W70)=0,"",SUMPRODUCT('Calc_Mix'!$D$8:$W$8,'Matriz_Habilidades'!$D70:$W70)/'Calc_Mix'!$X$8+ROW()*0.000001))</f>
        <v/>
      </c>
      <c r="L70" s="34">
        <f>IF(OR($B70="",$C70&lt;&gt;"Ativo",$D70&lt;&gt;'Calc_Mix'!$C$9,'Calc_Mix'!$X$9=0,COUNTIFS(Esc_Turno,'Calc_Mix'!$C$9,Esc_Circ,$B70)+COUNTIFS(Esc_Turno,'Calc_Mix'!$C$9,Esc_Instr,$B70)&gt;0),"",IF(SUMPRODUCT('Calc_Mix'!$D$9:$W$9,'Matriz_Habilidades'!$D70:$W70)=0,"",SUMPRODUCT('Calc_Mix'!$D$9:$W$9,'Matriz_Habilidades'!$D70:$W70)/'Calc_Mix'!$X$9+ROW()*0.000001))</f>
        <v/>
      </c>
      <c r="M70" s="34">
        <f>IF(OR($B70="",$C70&lt;&gt;"Ativo",$D70&lt;&gt;'Calc_Mix'!$C$10,'Calc_Mix'!$X$10=0,COUNTIFS(Esc_Turno,'Calc_Mix'!$C$10,Esc_Circ,$B70)+COUNTIFS(Esc_Turno,'Calc_Mix'!$C$10,Esc_Instr,$B70)&gt;0),"",IF(SUMPRODUCT('Calc_Mix'!$D$10:$W$10,'Matriz_Habilidades'!$D70:$W70)=0,"",SUMPRODUCT('Calc_Mix'!$D$10:$W$10,'Matriz_Habilidades'!$D70:$W70)/'Calc_Mix'!$X$10+ROW()*0.000001))</f>
        <v/>
      </c>
      <c r="N70" s="34">
        <f>IF(OR($B70="",$C70&lt;&gt;"Ativo",$D70&lt;&gt;'Calc_Mix'!$C$11,'Calc_Mix'!$X$11=0,COUNTIFS(Esc_Turno,'Calc_Mix'!$C$11,Esc_Circ,$B70)+COUNTIFS(Esc_Turno,'Calc_Mix'!$C$11,Esc_Instr,$B70)&gt;0),"",IF(SUMPRODUCT('Calc_Mix'!$D$11:$W$11,'Matriz_Habilidades'!$D70:$W70)=0,"",SUMPRODUCT('Calc_Mix'!$D$11:$W$11,'Matriz_Habilidades'!$D70:$W70)/'Calc_Mix'!$X$11+ROW()*0.000001))</f>
        <v/>
      </c>
      <c r="O70" s="34">
        <f>IF(OR($B70="",$C70&lt;&gt;"Ativo",$D70&lt;&gt;'Calc_Mix'!$C$12,'Calc_Mix'!$X$12=0,COUNTIFS(Esc_Turno,'Calc_Mix'!$C$12,Esc_Circ,$B70)+COUNTIFS(Esc_Turno,'Calc_Mix'!$C$12,Esc_Instr,$B70)&gt;0),"",IF(SUMPRODUCT('Calc_Mix'!$D$12:$W$12,'Matriz_Habilidades'!$D70:$W70)=0,"",SUMPRODUCT('Calc_Mix'!$D$12:$W$12,'Matriz_Habilidades'!$D70:$W70)/'Calc_Mix'!$X$12+ROW()*0.000001))</f>
        <v/>
      </c>
      <c r="P70" s="34">
        <f>IF(OR($B70="",$C70&lt;&gt;"Ativo",$D70&lt;&gt;'Calc_Mix'!$C$13,'Calc_Mix'!$X$13=0,COUNTIFS(Esc_Turno,'Calc_Mix'!$C$13,Esc_Circ,$B70)+COUNTIFS(Esc_Turno,'Calc_Mix'!$C$13,Esc_Instr,$B70)&gt;0),"",IF(SUMPRODUCT('Calc_Mix'!$D$13:$W$13,'Matriz_Habilidades'!$D70:$W70)=0,"",SUMPRODUCT('Calc_Mix'!$D$13:$W$13,'Matriz_Habilidades'!$D70:$W70)/'Calc_Mix'!$X$13+ROW()*0.000001))</f>
        <v/>
      </c>
      <c r="Q70" s="34">
        <f>IF(OR($B70="",$C70&lt;&gt;"Ativo",$D70&lt;&gt;'Calc_Mix'!$C$14,'Calc_Mix'!$X$14=0,COUNTIFS(Esc_Turno,'Calc_Mix'!$C$14,Esc_Circ,$B70)+COUNTIFS(Esc_Turno,'Calc_Mix'!$C$14,Esc_Instr,$B70)&gt;0),"",IF(SUMPRODUCT('Calc_Mix'!$D$14:$W$14,'Matriz_Habilidades'!$D70:$W70)=0,"",SUMPRODUCT('Calc_Mix'!$D$14:$W$14,'Matriz_Habilidades'!$D70:$W70)/'Calc_Mix'!$X$14+ROW()*0.000001))</f>
        <v/>
      </c>
      <c r="R70" s="34">
        <f>IF(OR($B70="",$C70&lt;&gt;"Ativo",$D70&lt;&gt;'Calc_Mix'!$C$15,'Calc_Mix'!$X$15=0,COUNTIFS(Esc_Turno,'Calc_Mix'!$C$15,Esc_Circ,$B70)+COUNTIFS(Esc_Turno,'Calc_Mix'!$C$15,Esc_Instr,$B70)&gt;0),"",IF(SUMPRODUCT('Calc_Mix'!$D$15:$W$15,'Matriz_Habilidades'!$D70:$W70)=0,"",SUMPRODUCT('Calc_Mix'!$D$15:$W$15,'Matriz_Habilidades'!$D70:$W70)/'Calc_Mix'!$X$15+ROW()*0.000001))</f>
        <v/>
      </c>
      <c r="S70" s="34">
        <f>IF(OR($B70="",$C70&lt;&gt;"Ativo",$D70&lt;&gt;'Calc_Mix'!$C$16,'Calc_Mix'!$X$16=0,COUNTIFS(Esc_Turno,'Calc_Mix'!$C$16,Esc_Circ,$B70)+COUNTIFS(Esc_Turno,'Calc_Mix'!$C$16,Esc_Instr,$B70)&gt;0),"",IF(SUMPRODUCT('Calc_Mix'!$D$16:$W$16,'Matriz_Habilidades'!$D70:$W70)=0,"",SUMPRODUCT('Calc_Mix'!$D$16:$W$16,'Matriz_Habilidades'!$D70:$W70)/'Calc_Mix'!$X$16+ROW()*0.000001))</f>
        <v/>
      </c>
      <c r="T70" s="34">
        <f>IF(OR($B70="",$C70&lt;&gt;"Ativo",$D70&lt;&gt;'Calc_Mix'!$C$17,'Calc_Mix'!$X$17=0,COUNTIFS(Esc_Turno,'Calc_Mix'!$C$17,Esc_Circ,$B70)+COUNTIFS(Esc_Turno,'Calc_Mix'!$C$17,Esc_Instr,$B70)&gt;0),"",IF(SUMPRODUCT('Calc_Mix'!$D$17:$W$17,'Matriz_Habilidades'!$D70:$W70)=0,"",SUMPRODUCT('Calc_Mix'!$D$17:$W$17,'Matriz_Habilidades'!$D70:$W70)/'Calc_Mix'!$X$17+ROW()*0.000001))</f>
        <v/>
      </c>
      <c r="U70" s="34">
        <f>IF(OR($B70="",$C70&lt;&gt;"Ativo",$D70&lt;&gt;'Calc_Mix'!$C$18,'Calc_Mix'!$X$18=0,COUNTIFS(Esc_Turno,'Calc_Mix'!$C$18,Esc_Circ,$B70)+COUNTIFS(Esc_Turno,'Calc_Mix'!$C$18,Esc_Instr,$B70)&gt;0),"",IF(SUMPRODUCT('Calc_Mix'!$D$18:$W$18,'Matriz_Habilidades'!$D70:$W70)=0,"",SUMPRODUCT('Calc_Mix'!$D$18:$W$18,'Matriz_Habilidades'!$D70:$W70)/'Calc_Mix'!$X$18+ROW()*0.000001))</f>
        <v/>
      </c>
      <c r="V70" s="34">
        <f>IF(OR($B70="",$C70&lt;&gt;"Ativo",$D70&lt;&gt;'Calc_Mix'!$C$19,'Calc_Mix'!$X$19=0,COUNTIFS(Esc_Turno,'Calc_Mix'!$C$19,Esc_Circ,$B70)+COUNTIFS(Esc_Turno,'Calc_Mix'!$C$19,Esc_Instr,$B70)&gt;0),"",IF(SUMPRODUCT('Calc_Mix'!$D$19:$W$19,'Matriz_Habilidades'!$D70:$W70)=0,"",SUMPRODUCT('Calc_Mix'!$D$19:$W$19,'Matriz_Habilidades'!$D70:$W70)/'Calc_Mix'!$X$19+ROW()*0.000001))</f>
        <v/>
      </c>
      <c r="W70" s="34">
        <f>IF(OR($B70="",$C70&lt;&gt;"Ativo",$D70&lt;&gt;'Calc_Mix'!$C$20,'Calc_Mix'!$X$20=0,COUNTIFS(Esc_Turno,'Calc_Mix'!$C$20,Esc_Circ,$B70)+COUNTIFS(Esc_Turno,'Calc_Mix'!$C$20,Esc_Instr,$B70)&gt;0),"",IF(SUMPRODUCT('Calc_Mix'!$D$20:$W$20,'Matriz_Habilidades'!$D70:$W70)=0,"",SUMPRODUCT('Calc_Mix'!$D$20:$W$20,'Matriz_Habilidades'!$D70:$W70)/'Calc_Mix'!$X$20+ROW()*0.000001))</f>
        <v/>
      </c>
      <c r="X70" s="34">
        <f>IF(OR($B70="",$C70&lt;&gt;"Ativo",$D70&lt;&gt;'Calc_Mix'!$C$21,'Calc_Mix'!$X$21=0,COUNTIFS(Esc_Turno,'Calc_Mix'!$C$21,Esc_Circ,$B70)+COUNTIFS(Esc_Turno,'Calc_Mix'!$C$21,Esc_Instr,$B70)&gt;0),"",IF(SUMPRODUCT('Calc_Mix'!$D$21:$W$21,'Matriz_Habilidades'!$D70:$W70)=0,"",SUMPRODUCT('Calc_Mix'!$D$21:$W$21,'Matriz_Habilidades'!$D70:$W70)/'Calc_Mix'!$X$21+ROW()*0.000001))</f>
        <v/>
      </c>
      <c r="Y70" s="34">
        <f>IF(OR($B70="",$C70&lt;&gt;"Ativo",$D70&lt;&gt;'Calc_Mix'!$C$22,'Calc_Mix'!$X$22=0,COUNTIFS(Esc_Turno,'Calc_Mix'!$C$22,Esc_Circ,$B70)+COUNTIFS(Esc_Turno,'Calc_Mix'!$C$22,Esc_Instr,$B70)&gt;0),"",IF(SUMPRODUCT('Calc_Mix'!$D$22:$W$22,'Matriz_Habilidades'!$D70:$W70)=0,"",SUMPRODUCT('Calc_Mix'!$D$22:$W$22,'Matriz_Habilidades'!$D70:$W70)/'Calc_Mix'!$X$22+ROW()*0.000001))</f>
        <v/>
      </c>
      <c r="Z70" s="34">
        <f>IF(OR($B70="",$C70&lt;&gt;"Ativo",$D70&lt;&gt;'Calc_Mix'!$C$23,'Calc_Mix'!$X$23=0,COUNTIFS(Esc_Turno,'Calc_Mix'!$C$23,Esc_Circ,$B70)+COUNTIFS(Esc_Turno,'Calc_Mix'!$C$23,Esc_Instr,$B70)&gt;0),"",IF(SUMPRODUCT('Calc_Mix'!$D$23:$W$23,'Matriz_Habilidades'!$D70:$W70)=0,"",SUMPRODUCT('Calc_Mix'!$D$23:$W$23,'Matriz_Habilidades'!$D70:$W70)/'Calc_Mix'!$X$23+ROW()*0.000001))</f>
        <v/>
      </c>
      <c r="AA70" s="34">
        <f>IF(OR($B70="",$C70&lt;&gt;"Ativo",$D70&lt;&gt;'Calc_Mix'!$C$24,'Calc_Mix'!$X$24=0,COUNTIFS(Esc_Turno,'Calc_Mix'!$C$24,Esc_Circ,$B70)+COUNTIFS(Esc_Turno,'Calc_Mix'!$C$24,Esc_Instr,$B70)&gt;0),"",IF(SUMPRODUCT('Calc_Mix'!$D$24:$W$24,'Matriz_Habilidades'!$D70:$W70)=0,"",SUMPRODUCT('Calc_Mix'!$D$24:$W$24,'Matriz_Habilidades'!$D70:$W70)/'Calc_Mix'!$X$24+ROW()*0.000001))</f>
        <v/>
      </c>
      <c r="AB70" s="34">
        <f>IF(OR($B70="",$C70&lt;&gt;"Ativo",$D70&lt;&gt;'Calc_Mix'!$C$25,'Calc_Mix'!$X$25=0,COUNTIFS(Esc_Turno,'Calc_Mix'!$C$25,Esc_Circ,$B70)+COUNTIFS(Esc_Turno,'Calc_Mix'!$C$25,Esc_Instr,$B70)&gt;0),"",IF(SUMPRODUCT('Calc_Mix'!$D$25:$W$25,'Matriz_Habilidades'!$D70:$W70)=0,"",SUMPRODUCT('Calc_Mix'!$D$25:$W$25,'Matriz_Habilidades'!$D70:$W70)/'Calc_Mix'!$X$25+ROW()*0.000001))</f>
        <v/>
      </c>
      <c r="AC70" s="34">
        <f>IF(OR($B70="",$C70&lt;&gt;"Ativo",$D70&lt;&gt;'Calc_Mix'!$C$26,'Calc_Mix'!$X$26=0,COUNTIFS(Esc_Turno,'Calc_Mix'!$C$26,Esc_Circ,$B70)+COUNTIFS(Esc_Turno,'Calc_Mix'!$C$26,Esc_Instr,$B70)&gt;0),"",IF(SUMPRODUCT('Calc_Mix'!$D$26:$W$26,'Matriz_Habilidades'!$D70:$W70)=0,"",SUMPRODUCT('Calc_Mix'!$D$26:$W$26,'Matriz_Habilidades'!$D70:$W70)/'Calc_Mix'!$X$26+ROW()*0.000001))</f>
        <v/>
      </c>
      <c r="AD70" s="34">
        <f>IF(OR($B70="",$C70&lt;&gt;"Ativo",$D70&lt;&gt;'Calc_Mix'!$C$27,'Calc_Mix'!$X$27=0,COUNTIFS(Esc_Turno,'Calc_Mix'!$C$27,Esc_Circ,$B70)+COUNTIFS(Esc_Turno,'Calc_Mix'!$C$27,Esc_Instr,$B70)&gt;0),"",IF(SUMPRODUCT('Calc_Mix'!$D$27:$W$27,'Matriz_Habilidades'!$D70:$W70)=0,"",SUMPRODUCT('Calc_Mix'!$D$27:$W$27,'Matriz_Habilidades'!$D70:$W70)/'Calc_Mix'!$X$27+ROW()*0.000001))</f>
        <v/>
      </c>
      <c r="AE70" s="34">
        <f>IF(OR($B70="",$C70&lt;&gt;"Ativo",$D70&lt;&gt;'Calc_Mix'!$C$28,'Calc_Mix'!$X$28=0,COUNTIFS(Esc_Turno,'Calc_Mix'!$C$28,Esc_Circ,$B70)+COUNTIFS(Esc_Turno,'Calc_Mix'!$C$28,Esc_Instr,$B70)&gt;0),"",IF(SUMPRODUCT('Calc_Mix'!$D$28:$W$28,'Matriz_Habilidades'!$D70:$W70)=0,"",SUMPRODUCT('Calc_Mix'!$D$28:$W$28,'Matriz_Habilidades'!$D70:$W70)/'Calc_Mix'!$X$28+ROW()*0.000001))</f>
        <v/>
      </c>
      <c r="AF70" s="34">
        <f>IF(OR($B70="",$C70&lt;&gt;"Ativo",$D70&lt;&gt;'Calc_Mix'!$C$29,'Calc_Mix'!$X$29=0,COUNTIFS(Esc_Turno,'Calc_Mix'!$C$29,Esc_Circ,$B70)+COUNTIFS(Esc_Turno,'Calc_Mix'!$C$29,Esc_Instr,$B70)&gt;0),"",IF(SUMPRODUCT('Calc_Mix'!$D$29:$W$29,'Matriz_Habilidades'!$D70:$W70)=0,"",SUMPRODUCT('Calc_Mix'!$D$29:$W$29,'Matriz_Habilidades'!$D70:$W70)/'Calc_Mix'!$X$29+ROW()*0.000001))</f>
        <v/>
      </c>
      <c r="AG70" s="34">
        <f>IF(OR($B70="",$C70&lt;&gt;"Ativo",$D70&lt;&gt;'Calc_Mix'!$C$30,'Calc_Mix'!$X$30=0,COUNTIFS(Esc_Turno,'Calc_Mix'!$C$30,Esc_Circ,$B70)+COUNTIFS(Esc_Turno,'Calc_Mix'!$C$30,Esc_Instr,$B70)&gt;0),"",IF(SUMPRODUCT('Calc_Mix'!$D$30:$W$30,'Matriz_Habilidades'!$D70:$W70)=0,"",SUMPRODUCT('Calc_Mix'!$D$30:$W$30,'Matriz_Habilidades'!$D70:$W70)/'Calc_Mix'!$X$30+ROW()*0.000001))</f>
        <v/>
      </c>
      <c r="AH70" s="34">
        <f>IF(OR($B70="",$C70&lt;&gt;"Ativo",$D70&lt;&gt;'Calc_Mix'!$C$31,'Calc_Mix'!$X$31=0,COUNTIFS(Esc_Turno,'Calc_Mix'!$C$31,Esc_Circ,$B70)+COUNTIFS(Esc_Turno,'Calc_Mix'!$C$31,Esc_Instr,$B70)&gt;0),"",IF(SUMPRODUCT('Calc_Mix'!$D$31:$W$31,'Matriz_Habilidades'!$D70:$W70)=0,"",SUMPRODUCT('Calc_Mix'!$D$31:$W$31,'Matriz_Habilidades'!$D70:$W70)/'Calc_Mix'!$X$31+ROW()*0.000001))</f>
        <v/>
      </c>
      <c r="AI70" s="34">
        <f>IF(OR($B70="",$C70&lt;&gt;"Ativo",$D70&lt;&gt;'Calc_Mix'!$C$32,'Calc_Mix'!$X$32=0,COUNTIFS(Esc_Turno,'Calc_Mix'!$C$32,Esc_Circ,$B70)+COUNTIFS(Esc_Turno,'Calc_Mix'!$C$32,Esc_Instr,$B70)&gt;0),"",IF(SUMPRODUCT('Calc_Mix'!$D$32:$W$32,'Matriz_Habilidades'!$D70:$W70)=0,"",SUMPRODUCT('Calc_Mix'!$D$32:$W$32,'Matriz_Habilidades'!$D70:$W70)/'Calc_Mix'!$X$32+ROW()*0.000001))</f>
        <v/>
      </c>
      <c r="AJ70" s="34">
        <f>IF(OR($B70="",$C70&lt;&gt;"Ativo",$D70&lt;&gt;'Calc_Mix'!$C$33,'Calc_Mix'!$X$33=0,COUNTIFS(Esc_Turno,'Calc_Mix'!$C$33,Esc_Circ,$B70)+COUNTIFS(Esc_Turno,'Calc_Mix'!$C$33,Esc_Instr,$B70)&gt;0),"",IF(SUMPRODUCT('Calc_Mix'!$D$33:$W$33,'Matriz_Habilidades'!$D70:$W70)=0,"",SUMPRODUCT('Calc_Mix'!$D$33:$W$33,'Matriz_Habilidades'!$D70:$W70)/'Calc_Mix'!$X$33+ROW()*0.000001))</f>
        <v/>
      </c>
      <c r="AK70" s="34">
        <f>IF(OR($B70="",$C70&lt;&gt;"Ativo",$D70&lt;&gt;'Calc_Mix'!$C$34,'Calc_Mix'!$X$34=0,COUNTIFS(Esc_Turno,'Calc_Mix'!$C$34,Esc_Circ,$B70)+COUNTIFS(Esc_Turno,'Calc_Mix'!$C$34,Esc_Instr,$B70)&gt;0),"",IF(SUMPRODUCT('Calc_Mix'!$D$34:$W$34,'Matriz_Habilidades'!$D70:$W70)=0,"",SUMPRODUCT('Calc_Mix'!$D$34:$W$34,'Matriz_Habilidades'!$D70:$W70)/'Calc_Mix'!$X$34+ROW()*0.000001))</f>
        <v/>
      </c>
      <c r="AL70" s="34">
        <f>IF(OR($B70="",$C70&lt;&gt;"Ativo",$D70&lt;&gt;'Calc_Mix'!$C$35,'Calc_Mix'!$X$35=0,COUNTIFS(Esc_Turno,'Calc_Mix'!$C$35,Esc_Circ,$B70)+COUNTIFS(Esc_Turno,'Calc_Mix'!$C$35,Esc_Instr,$B70)&gt;0),"",IF(SUMPRODUCT('Calc_Mix'!$D$35:$W$35,'Matriz_Habilidades'!$D70:$W70)=0,"",SUMPRODUCT('Calc_Mix'!$D$35:$W$35,'Matriz_Habilidades'!$D70:$W70)/'Calc_Mix'!$X$35+ROW()*0.000001))</f>
        <v/>
      </c>
      <c r="AM70" s="34">
        <f>IF(OR($B70="",$C70&lt;&gt;"Ativo",$D70&lt;&gt;'Calc_Mix'!$C$36,'Calc_Mix'!$X$36=0,COUNTIFS(Esc_Turno,'Calc_Mix'!$C$36,Esc_Circ,$B70)+COUNTIFS(Esc_Turno,'Calc_Mix'!$C$36,Esc_Instr,$B70)&gt;0),"",IF(SUMPRODUCT('Calc_Mix'!$D$36:$W$36,'Matriz_Habilidades'!$D70:$W70)=0,"",SUMPRODUCT('Calc_Mix'!$D$36:$W$36,'Matriz_Habilidades'!$D70:$W70)/'Calc_Mix'!$X$36+ROW()*0.000001))</f>
        <v/>
      </c>
      <c r="AN70" s="34">
        <f>IF(OR($B70="",$C70&lt;&gt;"Ativo",$D70&lt;&gt;'Calc_Mix'!$C$37,'Calc_Mix'!$X$37=0,COUNTIFS(Esc_Turno,'Calc_Mix'!$C$37,Esc_Circ,$B70)+COUNTIFS(Esc_Turno,'Calc_Mix'!$C$37,Esc_Instr,$B70)&gt;0),"",IF(SUMPRODUCT('Calc_Mix'!$D$37:$W$37,'Matriz_Habilidades'!$D70:$W70)=0,"",SUMPRODUCT('Calc_Mix'!$D$37:$W$37,'Matriz_Habilidades'!$D70:$W70)/'Calc_Mix'!$X$37+ROW()*0.000001))</f>
        <v/>
      </c>
    </row>
    <row r="71">
      <c r="A71" s="27">
        <f>IF('Matriz_Habilidades'!A71="","",'Matriz_Habilidades'!A71)</f>
        <v/>
      </c>
      <c r="B71" s="28">
        <f>IF('Matriz_Habilidades'!B71="","",'Matriz_Habilidades'!B71)</f>
        <v/>
      </c>
      <c r="C71" s="27">
        <f>IF($A71="","",IFERROR(INDEX(Equipe_Status,MATCH($B71,Equipe_Nome,0)),"?"))</f>
        <v/>
      </c>
      <c r="D71" s="27">
        <f>IF($A71="","",IFERROR(INDEX(Equipe_Turno,MATCH($B71,Equipe_Nome,0)),"?"))</f>
        <v/>
      </c>
      <c r="E71" s="34">
        <f>IF(OR($B71="",$C71&lt;&gt;"Ativo",$D71&lt;&gt;'Calc_Mix'!$C$2,'Calc_Mix'!$X$2=0,COUNTIFS(Esc_Turno,'Calc_Mix'!$C$2,Esc_Circ,$B71)+COUNTIFS(Esc_Turno,'Calc_Mix'!$C$2,Esc_Instr,$B71)&gt;0),"",IF(SUMPRODUCT('Calc_Mix'!$D$2:$W$2,'Matriz_Habilidades'!$D71:$W71)=0,"",SUMPRODUCT('Calc_Mix'!$D$2:$W$2,'Matriz_Habilidades'!$D71:$W71)/'Calc_Mix'!$X$2+ROW()*0.000001))</f>
        <v/>
      </c>
      <c r="F71" s="34">
        <f>IF(OR($B71="",$C71&lt;&gt;"Ativo",$D71&lt;&gt;'Calc_Mix'!$C$3,'Calc_Mix'!$X$3=0,COUNTIFS(Esc_Turno,'Calc_Mix'!$C$3,Esc_Circ,$B71)+COUNTIFS(Esc_Turno,'Calc_Mix'!$C$3,Esc_Instr,$B71)&gt;0),"",IF(SUMPRODUCT('Calc_Mix'!$D$3:$W$3,'Matriz_Habilidades'!$D71:$W71)=0,"",SUMPRODUCT('Calc_Mix'!$D$3:$W$3,'Matriz_Habilidades'!$D71:$W71)/'Calc_Mix'!$X$3+ROW()*0.000001))</f>
        <v/>
      </c>
      <c r="G71" s="34">
        <f>IF(OR($B71="",$C71&lt;&gt;"Ativo",$D71&lt;&gt;'Calc_Mix'!$C$4,'Calc_Mix'!$X$4=0,COUNTIFS(Esc_Turno,'Calc_Mix'!$C$4,Esc_Circ,$B71)+COUNTIFS(Esc_Turno,'Calc_Mix'!$C$4,Esc_Instr,$B71)&gt;0),"",IF(SUMPRODUCT('Calc_Mix'!$D$4:$W$4,'Matriz_Habilidades'!$D71:$W71)=0,"",SUMPRODUCT('Calc_Mix'!$D$4:$W$4,'Matriz_Habilidades'!$D71:$W71)/'Calc_Mix'!$X$4+ROW()*0.000001))</f>
        <v/>
      </c>
      <c r="H71" s="34">
        <f>IF(OR($B71="",$C71&lt;&gt;"Ativo",$D71&lt;&gt;'Calc_Mix'!$C$5,'Calc_Mix'!$X$5=0,COUNTIFS(Esc_Turno,'Calc_Mix'!$C$5,Esc_Circ,$B71)+COUNTIFS(Esc_Turno,'Calc_Mix'!$C$5,Esc_Instr,$B71)&gt;0),"",IF(SUMPRODUCT('Calc_Mix'!$D$5:$W$5,'Matriz_Habilidades'!$D71:$W71)=0,"",SUMPRODUCT('Calc_Mix'!$D$5:$W$5,'Matriz_Habilidades'!$D71:$W71)/'Calc_Mix'!$X$5+ROW()*0.000001))</f>
        <v/>
      </c>
      <c r="I71" s="34">
        <f>IF(OR($B71="",$C71&lt;&gt;"Ativo",$D71&lt;&gt;'Calc_Mix'!$C$6,'Calc_Mix'!$X$6=0,COUNTIFS(Esc_Turno,'Calc_Mix'!$C$6,Esc_Circ,$B71)+COUNTIFS(Esc_Turno,'Calc_Mix'!$C$6,Esc_Instr,$B71)&gt;0),"",IF(SUMPRODUCT('Calc_Mix'!$D$6:$W$6,'Matriz_Habilidades'!$D71:$W71)=0,"",SUMPRODUCT('Calc_Mix'!$D$6:$W$6,'Matriz_Habilidades'!$D71:$W71)/'Calc_Mix'!$X$6+ROW()*0.000001))</f>
        <v/>
      </c>
      <c r="J71" s="34">
        <f>IF(OR($B71="",$C71&lt;&gt;"Ativo",$D71&lt;&gt;'Calc_Mix'!$C$7,'Calc_Mix'!$X$7=0,COUNTIFS(Esc_Turno,'Calc_Mix'!$C$7,Esc_Circ,$B71)+COUNTIFS(Esc_Turno,'Calc_Mix'!$C$7,Esc_Instr,$B71)&gt;0),"",IF(SUMPRODUCT('Calc_Mix'!$D$7:$W$7,'Matriz_Habilidades'!$D71:$W71)=0,"",SUMPRODUCT('Calc_Mix'!$D$7:$W$7,'Matriz_Habilidades'!$D71:$W71)/'Calc_Mix'!$X$7+ROW()*0.000001))</f>
        <v/>
      </c>
      <c r="K71" s="34">
        <f>IF(OR($B71="",$C71&lt;&gt;"Ativo",$D71&lt;&gt;'Calc_Mix'!$C$8,'Calc_Mix'!$X$8=0,COUNTIFS(Esc_Turno,'Calc_Mix'!$C$8,Esc_Circ,$B71)+COUNTIFS(Esc_Turno,'Calc_Mix'!$C$8,Esc_Instr,$B71)&gt;0),"",IF(SUMPRODUCT('Calc_Mix'!$D$8:$W$8,'Matriz_Habilidades'!$D71:$W71)=0,"",SUMPRODUCT('Calc_Mix'!$D$8:$W$8,'Matriz_Habilidades'!$D71:$W71)/'Calc_Mix'!$X$8+ROW()*0.000001))</f>
        <v/>
      </c>
      <c r="L71" s="34">
        <f>IF(OR($B71="",$C71&lt;&gt;"Ativo",$D71&lt;&gt;'Calc_Mix'!$C$9,'Calc_Mix'!$X$9=0,COUNTIFS(Esc_Turno,'Calc_Mix'!$C$9,Esc_Circ,$B71)+COUNTIFS(Esc_Turno,'Calc_Mix'!$C$9,Esc_Instr,$B71)&gt;0),"",IF(SUMPRODUCT('Calc_Mix'!$D$9:$W$9,'Matriz_Habilidades'!$D71:$W71)=0,"",SUMPRODUCT('Calc_Mix'!$D$9:$W$9,'Matriz_Habilidades'!$D71:$W71)/'Calc_Mix'!$X$9+ROW()*0.000001))</f>
        <v/>
      </c>
      <c r="M71" s="34">
        <f>IF(OR($B71="",$C71&lt;&gt;"Ativo",$D71&lt;&gt;'Calc_Mix'!$C$10,'Calc_Mix'!$X$10=0,COUNTIFS(Esc_Turno,'Calc_Mix'!$C$10,Esc_Circ,$B71)+COUNTIFS(Esc_Turno,'Calc_Mix'!$C$10,Esc_Instr,$B71)&gt;0),"",IF(SUMPRODUCT('Calc_Mix'!$D$10:$W$10,'Matriz_Habilidades'!$D71:$W71)=0,"",SUMPRODUCT('Calc_Mix'!$D$10:$W$10,'Matriz_Habilidades'!$D71:$W71)/'Calc_Mix'!$X$10+ROW()*0.000001))</f>
        <v/>
      </c>
      <c r="N71" s="34">
        <f>IF(OR($B71="",$C71&lt;&gt;"Ativo",$D71&lt;&gt;'Calc_Mix'!$C$11,'Calc_Mix'!$X$11=0,COUNTIFS(Esc_Turno,'Calc_Mix'!$C$11,Esc_Circ,$B71)+COUNTIFS(Esc_Turno,'Calc_Mix'!$C$11,Esc_Instr,$B71)&gt;0),"",IF(SUMPRODUCT('Calc_Mix'!$D$11:$W$11,'Matriz_Habilidades'!$D71:$W71)=0,"",SUMPRODUCT('Calc_Mix'!$D$11:$W$11,'Matriz_Habilidades'!$D71:$W71)/'Calc_Mix'!$X$11+ROW()*0.000001))</f>
        <v/>
      </c>
      <c r="O71" s="34">
        <f>IF(OR($B71="",$C71&lt;&gt;"Ativo",$D71&lt;&gt;'Calc_Mix'!$C$12,'Calc_Mix'!$X$12=0,COUNTIFS(Esc_Turno,'Calc_Mix'!$C$12,Esc_Circ,$B71)+COUNTIFS(Esc_Turno,'Calc_Mix'!$C$12,Esc_Instr,$B71)&gt;0),"",IF(SUMPRODUCT('Calc_Mix'!$D$12:$W$12,'Matriz_Habilidades'!$D71:$W71)=0,"",SUMPRODUCT('Calc_Mix'!$D$12:$W$12,'Matriz_Habilidades'!$D71:$W71)/'Calc_Mix'!$X$12+ROW()*0.000001))</f>
        <v/>
      </c>
      <c r="P71" s="34">
        <f>IF(OR($B71="",$C71&lt;&gt;"Ativo",$D71&lt;&gt;'Calc_Mix'!$C$13,'Calc_Mix'!$X$13=0,COUNTIFS(Esc_Turno,'Calc_Mix'!$C$13,Esc_Circ,$B71)+COUNTIFS(Esc_Turno,'Calc_Mix'!$C$13,Esc_Instr,$B71)&gt;0),"",IF(SUMPRODUCT('Calc_Mix'!$D$13:$W$13,'Matriz_Habilidades'!$D71:$W71)=0,"",SUMPRODUCT('Calc_Mix'!$D$13:$W$13,'Matriz_Habilidades'!$D71:$W71)/'Calc_Mix'!$X$13+ROW()*0.000001))</f>
        <v/>
      </c>
      <c r="Q71" s="34">
        <f>IF(OR($B71="",$C71&lt;&gt;"Ativo",$D71&lt;&gt;'Calc_Mix'!$C$14,'Calc_Mix'!$X$14=0,COUNTIFS(Esc_Turno,'Calc_Mix'!$C$14,Esc_Circ,$B71)+COUNTIFS(Esc_Turno,'Calc_Mix'!$C$14,Esc_Instr,$B71)&gt;0),"",IF(SUMPRODUCT('Calc_Mix'!$D$14:$W$14,'Matriz_Habilidades'!$D71:$W71)=0,"",SUMPRODUCT('Calc_Mix'!$D$14:$W$14,'Matriz_Habilidades'!$D71:$W71)/'Calc_Mix'!$X$14+ROW()*0.000001))</f>
        <v/>
      </c>
      <c r="R71" s="34">
        <f>IF(OR($B71="",$C71&lt;&gt;"Ativo",$D71&lt;&gt;'Calc_Mix'!$C$15,'Calc_Mix'!$X$15=0,COUNTIFS(Esc_Turno,'Calc_Mix'!$C$15,Esc_Circ,$B71)+COUNTIFS(Esc_Turno,'Calc_Mix'!$C$15,Esc_Instr,$B71)&gt;0),"",IF(SUMPRODUCT('Calc_Mix'!$D$15:$W$15,'Matriz_Habilidades'!$D71:$W71)=0,"",SUMPRODUCT('Calc_Mix'!$D$15:$W$15,'Matriz_Habilidades'!$D71:$W71)/'Calc_Mix'!$X$15+ROW()*0.000001))</f>
        <v/>
      </c>
      <c r="S71" s="34">
        <f>IF(OR($B71="",$C71&lt;&gt;"Ativo",$D71&lt;&gt;'Calc_Mix'!$C$16,'Calc_Mix'!$X$16=0,COUNTIFS(Esc_Turno,'Calc_Mix'!$C$16,Esc_Circ,$B71)+COUNTIFS(Esc_Turno,'Calc_Mix'!$C$16,Esc_Instr,$B71)&gt;0),"",IF(SUMPRODUCT('Calc_Mix'!$D$16:$W$16,'Matriz_Habilidades'!$D71:$W71)=0,"",SUMPRODUCT('Calc_Mix'!$D$16:$W$16,'Matriz_Habilidades'!$D71:$W71)/'Calc_Mix'!$X$16+ROW()*0.000001))</f>
        <v/>
      </c>
      <c r="T71" s="34">
        <f>IF(OR($B71="",$C71&lt;&gt;"Ativo",$D71&lt;&gt;'Calc_Mix'!$C$17,'Calc_Mix'!$X$17=0,COUNTIFS(Esc_Turno,'Calc_Mix'!$C$17,Esc_Circ,$B71)+COUNTIFS(Esc_Turno,'Calc_Mix'!$C$17,Esc_Instr,$B71)&gt;0),"",IF(SUMPRODUCT('Calc_Mix'!$D$17:$W$17,'Matriz_Habilidades'!$D71:$W71)=0,"",SUMPRODUCT('Calc_Mix'!$D$17:$W$17,'Matriz_Habilidades'!$D71:$W71)/'Calc_Mix'!$X$17+ROW()*0.000001))</f>
        <v/>
      </c>
      <c r="U71" s="34">
        <f>IF(OR($B71="",$C71&lt;&gt;"Ativo",$D71&lt;&gt;'Calc_Mix'!$C$18,'Calc_Mix'!$X$18=0,COUNTIFS(Esc_Turno,'Calc_Mix'!$C$18,Esc_Circ,$B71)+COUNTIFS(Esc_Turno,'Calc_Mix'!$C$18,Esc_Instr,$B71)&gt;0),"",IF(SUMPRODUCT('Calc_Mix'!$D$18:$W$18,'Matriz_Habilidades'!$D71:$W71)=0,"",SUMPRODUCT('Calc_Mix'!$D$18:$W$18,'Matriz_Habilidades'!$D71:$W71)/'Calc_Mix'!$X$18+ROW()*0.000001))</f>
        <v/>
      </c>
      <c r="V71" s="34">
        <f>IF(OR($B71="",$C71&lt;&gt;"Ativo",$D71&lt;&gt;'Calc_Mix'!$C$19,'Calc_Mix'!$X$19=0,COUNTIFS(Esc_Turno,'Calc_Mix'!$C$19,Esc_Circ,$B71)+COUNTIFS(Esc_Turno,'Calc_Mix'!$C$19,Esc_Instr,$B71)&gt;0),"",IF(SUMPRODUCT('Calc_Mix'!$D$19:$W$19,'Matriz_Habilidades'!$D71:$W71)=0,"",SUMPRODUCT('Calc_Mix'!$D$19:$W$19,'Matriz_Habilidades'!$D71:$W71)/'Calc_Mix'!$X$19+ROW()*0.000001))</f>
        <v/>
      </c>
      <c r="W71" s="34">
        <f>IF(OR($B71="",$C71&lt;&gt;"Ativo",$D71&lt;&gt;'Calc_Mix'!$C$20,'Calc_Mix'!$X$20=0,COUNTIFS(Esc_Turno,'Calc_Mix'!$C$20,Esc_Circ,$B71)+COUNTIFS(Esc_Turno,'Calc_Mix'!$C$20,Esc_Instr,$B71)&gt;0),"",IF(SUMPRODUCT('Calc_Mix'!$D$20:$W$20,'Matriz_Habilidades'!$D71:$W71)=0,"",SUMPRODUCT('Calc_Mix'!$D$20:$W$20,'Matriz_Habilidades'!$D71:$W71)/'Calc_Mix'!$X$20+ROW()*0.000001))</f>
        <v/>
      </c>
      <c r="X71" s="34">
        <f>IF(OR($B71="",$C71&lt;&gt;"Ativo",$D71&lt;&gt;'Calc_Mix'!$C$21,'Calc_Mix'!$X$21=0,COUNTIFS(Esc_Turno,'Calc_Mix'!$C$21,Esc_Circ,$B71)+COUNTIFS(Esc_Turno,'Calc_Mix'!$C$21,Esc_Instr,$B71)&gt;0),"",IF(SUMPRODUCT('Calc_Mix'!$D$21:$W$21,'Matriz_Habilidades'!$D71:$W71)=0,"",SUMPRODUCT('Calc_Mix'!$D$21:$W$21,'Matriz_Habilidades'!$D71:$W71)/'Calc_Mix'!$X$21+ROW()*0.000001))</f>
        <v/>
      </c>
      <c r="Y71" s="34">
        <f>IF(OR($B71="",$C71&lt;&gt;"Ativo",$D71&lt;&gt;'Calc_Mix'!$C$22,'Calc_Mix'!$X$22=0,COUNTIFS(Esc_Turno,'Calc_Mix'!$C$22,Esc_Circ,$B71)+COUNTIFS(Esc_Turno,'Calc_Mix'!$C$22,Esc_Instr,$B71)&gt;0),"",IF(SUMPRODUCT('Calc_Mix'!$D$22:$W$22,'Matriz_Habilidades'!$D71:$W71)=0,"",SUMPRODUCT('Calc_Mix'!$D$22:$W$22,'Matriz_Habilidades'!$D71:$W71)/'Calc_Mix'!$X$22+ROW()*0.000001))</f>
        <v/>
      </c>
      <c r="Z71" s="34">
        <f>IF(OR($B71="",$C71&lt;&gt;"Ativo",$D71&lt;&gt;'Calc_Mix'!$C$23,'Calc_Mix'!$X$23=0,COUNTIFS(Esc_Turno,'Calc_Mix'!$C$23,Esc_Circ,$B71)+COUNTIFS(Esc_Turno,'Calc_Mix'!$C$23,Esc_Instr,$B71)&gt;0),"",IF(SUMPRODUCT('Calc_Mix'!$D$23:$W$23,'Matriz_Habilidades'!$D71:$W71)=0,"",SUMPRODUCT('Calc_Mix'!$D$23:$W$23,'Matriz_Habilidades'!$D71:$W71)/'Calc_Mix'!$X$23+ROW()*0.000001))</f>
        <v/>
      </c>
      <c r="AA71" s="34">
        <f>IF(OR($B71="",$C71&lt;&gt;"Ativo",$D71&lt;&gt;'Calc_Mix'!$C$24,'Calc_Mix'!$X$24=0,COUNTIFS(Esc_Turno,'Calc_Mix'!$C$24,Esc_Circ,$B71)+COUNTIFS(Esc_Turno,'Calc_Mix'!$C$24,Esc_Instr,$B71)&gt;0),"",IF(SUMPRODUCT('Calc_Mix'!$D$24:$W$24,'Matriz_Habilidades'!$D71:$W71)=0,"",SUMPRODUCT('Calc_Mix'!$D$24:$W$24,'Matriz_Habilidades'!$D71:$W71)/'Calc_Mix'!$X$24+ROW()*0.000001))</f>
        <v/>
      </c>
      <c r="AB71" s="34">
        <f>IF(OR($B71="",$C71&lt;&gt;"Ativo",$D71&lt;&gt;'Calc_Mix'!$C$25,'Calc_Mix'!$X$25=0,COUNTIFS(Esc_Turno,'Calc_Mix'!$C$25,Esc_Circ,$B71)+COUNTIFS(Esc_Turno,'Calc_Mix'!$C$25,Esc_Instr,$B71)&gt;0),"",IF(SUMPRODUCT('Calc_Mix'!$D$25:$W$25,'Matriz_Habilidades'!$D71:$W71)=0,"",SUMPRODUCT('Calc_Mix'!$D$25:$W$25,'Matriz_Habilidades'!$D71:$W71)/'Calc_Mix'!$X$25+ROW()*0.000001))</f>
        <v/>
      </c>
      <c r="AC71" s="34">
        <f>IF(OR($B71="",$C71&lt;&gt;"Ativo",$D71&lt;&gt;'Calc_Mix'!$C$26,'Calc_Mix'!$X$26=0,COUNTIFS(Esc_Turno,'Calc_Mix'!$C$26,Esc_Circ,$B71)+COUNTIFS(Esc_Turno,'Calc_Mix'!$C$26,Esc_Instr,$B71)&gt;0),"",IF(SUMPRODUCT('Calc_Mix'!$D$26:$W$26,'Matriz_Habilidades'!$D71:$W71)=0,"",SUMPRODUCT('Calc_Mix'!$D$26:$W$26,'Matriz_Habilidades'!$D71:$W71)/'Calc_Mix'!$X$26+ROW()*0.000001))</f>
        <v/>
      </c>
      <c r="AD71" s="34">
        <f>IF(OR($B71="",$C71&lt;&gt;"Ativo",$D71&lt;&gt;'Calc_Mix'!$C$27,'Calc_Mix'!$X$27=0,COUNTIFS(Esc_Turno,'Calc_Mix'!$C$27,Esc_Circ,$B71)+COUNTIFS(Esc_Turno,'Calc_Mix'!$C$27,Esc_Instr,$B71)&gt;0),"",IF(SUMPRODUCT('Calc_Mix'!$D$27:$W$27,'Matriz_Habilidades'!$D71:$W71)=0,"",SUMPRODUCT('Calc_Mix'!$D$27:$W$27,'Matriz_Habilidades'!$D71:$W71)/'Calc_Mix'!$X$27+ROW()*0.000001))</f>
        <v/>
      </c>
      <c r="AE71" s="34">
        <f>IF(OR($B71="",$C71&lt;&gt;"Ativo",$D71&lt;&gt;'Calc_Mix'!$C$28,'Calc_Mix'!$X$28=0,COUNTIFS(Esc_Turno,'Calc_Mix'!$C$28,Esc_Circ,$B71)+COUNTIFS(Esc_Turno,'Calc_Mix'!$C$28,Esc_Instr,$B71)&gt;0),"",IF(SUMPRODUCT('Calc_Mix'!$D$28:$W$28,'Matriz_Habilidades'!$D71:$W71)=0,"",SUMPRODUCT('Calc_Mix'!$D$28:$W$28,'Matriz_Habilidades'!$D71:$W71)/'Calc_Mix'!$X$28+ROW()*0.000001))</f>
        <v/>
      </c>
      <c r="AF71" s="34">
        <f>IF(OR($B71="",$C71&lt;&gt;"Ativo",$D71&lt;&gt;'Calc_Mix'!$C$29,'Calc_Mix'!$X$29=0,COUNTIFS(Esc_Turno,'Calc_Mix'!$C$29,Esc_Circ,$B71)+COUNTIFS(Esc_Turno,'Calc_Mix'!$C$29,Esc_Instr,$B71)&gt;0),"",IF(SUMPRODUCT('Calc_Mix'!$D$29:$W$29,'Matriz_Habilidades'!$D71:$W71)=0,"",SUMPRODUCT('Calc_Mix'!$D$29:$W$29,'Matriz_Habilidades'!$D71:$W71)/'Calc_Mix'!$X$29+ROW()*0.000001))</f>
        <v/>
      </c>
      <c r="AG71" s="34">
        <f>IF(OR($B71="",$C71&lt;&gt;"Ativo",$D71&lt;&gt;'Calc_Mix'!$C$30,'Calc_Mix'!$X$30=0,COUNTIFS(Esc_Turno,'Calc_Mix'!$C$30,Esc_Circ,$B71)+COUNTIFS(Esc_Turno,'Calc_Mix'!$C$30,Esc_Instr,$B71)&gt;0),"",IF(SUMPRODUCT('Calc_Mix'!$D$30:$W$30,'Matriz_Habilidades'!$D71:$W71)=0,"",SUMPRODUCT('Calc_Mix'!$D$30:$W$30,'Matriz_Habilidades'!$D71:$W71)/'Calc_Mix'!$X$30+ROW()*0.000001))</f>
        <v/>
      </c>
      <c r="AH71" s="34">
        <f>IF(OR($B71="",$C71&lt;&gt;"Ativo",$D71&lt;&gt;'Calc_Mix'!$C$31,'Calc_Mix'!$X$31=0,COUNTIFS(Esc_Turno,'Calc_Mix'!$C$31,Esc_Circ,$B71)+COUNTIFS(Esc_Turno,'Calc_Mix'!$C$31,Esc_Instr,$B71)&gt;0),"",IF(SUMPRODUCT('Calc_Mix'!$D$31:$W$31,'Matriz_Habilidades'!$D71:$W71)=0,"",SUMPRODUCT('Calc_Mix'!$D$31:$W$31,'Matriz_Habilidades'!$D71:$W71)/'Calc_Mix'!$X$31+ROW()*0.000001))</f>
        <v/>
      </c>
      <c r="AI71" s="34">
        <f>IF(OR($B71="",$C71&lt;&gt;"Ativo",$D71&lt;&gt;'Calc_Mix'!$C$32,'Calc_Mix'!$X$32=0,COUNTIFS(Esc_Turno,'Calc_Mix'!$C$32,Esc_Circ,$B71)+COUNTIFS(Esc_Turno,'Calc_Mix'!$C$32,Esc_Instr,$B71)&gt;0),"",IF(SUMPRODUCT('Calc_Mix'!$D$32:$W$32,'Matriz_Habilidades'!$D71:$W71)=0,"",SUMPRODUCT('Calc_Mix'!$D$32:$W$32,'Matriz_Habilidades'!$D71:$W71)/'Calc_Mix'!$X$32+ROW()*0.000001))</f>
        <v/>
      </c>
      <c r="AJ71" s="34">
        <f>IF(OR($B71="",$C71&lt;&gt;"Ativo",$D71&lt;&gt;'Calc_Mix'!$C$33,'Calc_Mix'!$X$33=0,COUNTIFS(Esc_Turno,'Calc_Mix'!$C$33,Esc_Circ,$B71)+COUNTIFS(Esc_Turno,'Calc_Mix'!$C$33,Esc_Instr,$B71)&gt;0),"",IF(SUMPRODUCT('Calc_Mix'!$D$33:$W$33,'Matriz_Habilidades'!$D71:$W71)=0,"",SUMPRODUCT('Calc_Mix'!$D$33:$W$33,'Matriz_Habilidades'!$D71:$W71)/'Calc_Mix'!$X$33+ROW()*0.000001))</f>
        <v/>
      </c>
      <c r="AK71" s="34">
        <f>IF(OR($B71="",$C71&lt;&gt;"Ativo",$D71&lt;&gt;'Calc_Mix'!$C$34,'Calc_Mix'!$X$34=0,COUNTIFS(Esc_Turno,'Calc_Mix'!$C$34,Esc_Circ,$B71)+COUNTIFS(Esc_Turno,'Calc_Mix'!$C$34,Esc_Instr,$B71)&gt;0),"",IF(SUMPRODUCT('Calc_Mix'!$D$34:$W$34,'Matriz_Habilidades'!$D71:$W71)=0,"",SUMPRODUCT('Calc_Mix'!$D$34:$W$34,'Matriz_Habilidades'!$D71:$W71)/'Calc_Mix'!$X$34+ROW()*0.000001))</f>
        <v/>
      </c>
      <c r="AL71" s="34">
        <f>IF(OR($B71="",$C71&lt;&gt;"Ativo",$D71&lt;&gt;'Calc_Mix'!$C$35,'Calc_Mix'!$X$35=0,COUNTIFS(Esc_Turno,'Calc_Mix'!$C$35,Esc_Circ,$B71)+COUNTIFS(Esc_Turno,'Calc_Mix'!$C$35,Esc_Instr,$B71)&gt;0),"",IF(SUMPRODUCT('Calc_Mix'!$D$35:$W$35,'Matriz_Habilidades'!$D71:$W71)=0,"",SUMPRODUCT('Calc_Mix'!$D$35:$W$35,'Matriz_Habilidades'!$D71:$W71)/'Calc_Mix'!$X$35+ROW()*0.000001))</f>
        <v/>
      </c>
      <c r="AM71" s="34">
        <f>IF(OR($B71="",$C71&lt;&gt;"Ativo",$D71&lt;&gt;'Calc_Mix'!$C$36,'Calc_Mix'!$X$36=0,COUNTIFS(Esc_Turno,'Calc_Mix'!$C$36,Esc_Circ,$B71)+COUNTIFS(Esc_Turno,'Calc_Mix'!$C$36,Esc_Instr,$B71)&gt;0),"",IF(SUMPRODUCT('Calc_Mix'!$D$36:$W$36,'Matriz_Habilidades'!$D71:$W71)=0,"",SUMPRODUCT('Calc_Mix'!$D$36:$W$36,'Matriz_Habilidades'!$D71:$W71)/'Calc_Mix'!$X$36+ROW()*0.000001))</f>
        <v/>
      </c>
      <c r="AN71" s="34">
        <f>IF(OR($B71="",$C71&lt;&gt;"Ativo",$D71&lt;&gt;'Calc_Mix'!$C$37,'Calc_Mix'!$X$37=0,COUNTIFS(Esc_Turno,'Calc_Mix'!$C$37,Esc_Circ,$B71)+COUNTIFS(Esc_Turno,'Calc_Mix'!$C$37,Esc_Instr,$B71)&gt;0),"",IF(SUMPRODUCT('Calc_Mix'!$D$37:$W$37,'Matriz_Habilidades'!$D71:$W71)=0,"",SUMPRODUCT('Calc_Mix'!$D$37:$W$37,'Matriz_Habilidades'!$D71:$W71)/'Calc_Mix'!$X$37+ROW()*0.000001))</f>
        <v/>
      </c>
    </row>
    <row r="72">
      <c r="A72" s="27">
        <f>IF('Matriz_Habilidades'!A72="","",'Matriz_Habilidades'!A72)</f>
        <v/>
      </c>
      <c r="B72" s="28">
        <f>IF('Matriz_Habilidades'!B72="","",'Matriz_Habilidades'!B72)</f>
        <v/>
      </c>
      <c r="C72" s="27">
        <f>IF($A72="","",IFERROR(INDEX(Equipe_Status,MATCH($B72,Equipe_Nome,0)),"?"))</f>
        <v/>
      </c>
      <c r="D72" s="27">
        <f>IF($A72="","",IFERROR(INDEX(Equipe_Turno,MATCH($B72,Equipe_Nome,0)),"?"))</f>
        <v/>
      </c>
      <c r="E72" s="34">
        <f>IF(OR($B72="",$C72&lt;&gt;"Ativo",$D72&lt;&gt;'Calc_Mix'!$C$2,'Calc_Mix'!$X$2=0,COUNTIFS(Esc_Turno,'Calc_Mix'!$C$2,Esc_Circ,$B72)+COUNTIFS(Esc_Turno,'Calc_Mix'!$C$2,Esc_Instr,$B72)&gt;0),"",IF(SUMPRODUCT('Calc_Mix'!$D$2:$W$2,'Matriz_Habilidades'!$D72:$W72)=0,"",SUMPRODUCT('Calc_Mix'!$D$2:$W$2,'Matriz_Habilidades'!$D72:$W72)/'Calc_Mix'!$X$2+ROW()*0.000001))</f>
        <v/>
      </c>
      <c r="F72" s="34">
        <f>IF(OR($B72="",$C72&lt;&gt;"Ativo",$D72&lt;&gt;'Calc_Mix'!$C$3,'Calc_Mix'!$X$3=0,COUNTIFS(Esc_Turno,'Calc_Mix'!$C$3,Esc_Circ,$B72)+COUNTIFS(Esc_Turno,'Calc_Mix'!$C$3,Esc_Instr,$B72)&gt;0),"",IF(SUMPRODUCT('Calc_Mix'!$D$3:$W$3,'Matriz_Habilidades'!$D72:$W72)=0,"",SUMPRODUCT('Calc_Mix'!$D$3:$W$3,'Matriz_Habilidades'!$D72:$W72)/'Calc_Mix'!$X$3+ROW()*0.000001))</f>
        <v/>
      </c>
      <c r="G72" s="34">
        <f>IF(OR($B72="",$C72&lt;&gt;"Ativo",$D72&lt;&gt;'Calc_Mix'!$C$4,'Calc_Mix'!$X$4=0,COUNTIFS(Esc_Turno,'Calc_Mix'!$C$4,Esc_Circ,$B72)+COUNTIFS(Esc_Turno,'Calc_Mix'!$C$4,Esc_Instr,$B72)&gt;0),"",IF(SUMPRODUCT('Calc_Mix'!$D$4:$W$4,'Matriz_Habilidades'!$D72:$W72)=0,"",SUMPRODUCT('Calc_Mix'!$D$4:$W$4,'Matriz_Habilidades'!$D72:$W72)/'Calc_Mix'!$X$4+ROW()*0.000001))</f>
        <v/>
      </c>
      <c r="H72" s="34">
        <f>IF(OR($B72="",$C72&lt;&gt;"Ativo",$D72&lt;&gt;'Calc_Mix'!$C$5,'Calc_Mix'!$X$5=0,COUNTIFS(Esc_Turno,'Calc_Mix'!$C$5,Esc_Circ,$B72)+COUNTIFS(Esc_Turno,'Calc_Mix'!$C$5,Esc_Instr,$B72)&gt;0),"",IF(SUMPRODUCT('Calc_Mix'!$D$5:$W$5,'Matriz_Habilidades'!$D72:$W72)=0,"",SUMPRODUCT('Calc_Mix'!$D$5:$W$5,'Matriz_Habilidades'!$D72:$W72)/'Calc_Mix'!$X$5+ROW()*0.000001))</f>
        <v/>
      </c>
      <c r="I72" s="34">
        <f>IF(OR($B72="",$C72&lt;&gt;"Ativo",$D72&lt;&gt;'Calc_Mix'!$C$6,'Calc_Mix'!$X$6=0,COUNTIFS(Esc_Turno,'Calc_Mix'!$C$6,Esc_Circ,$B72)+COUNTIFS(Esc_Turno,'Calc_Mix'!$C$6,Esc_Instr,$B72)&gt;0),"",IF(SUMPRODUCT('Calc_Mix'!$D$6:$W$6,'Matriz_Habilidades'!$D72:$W72)=0,"",SUMPRODUCT('Calc_Mix'!$D$6:$W$6,'Matriz_Habilidades'!$D72:$W72)/'Calc_Mix'!$X$6+ROW()*0.000001))</f>
        <v/>
      </c>
      <c r="J72" s="34">
        <f>IF(OR($B72="",$C72&lt;&gt;"Ativo",$D72&lt;&gt;'Calc_Mix'!$C$7,'Calc_Mix'!$X$7=0,COUNTIFS(Esc_Turno,'Calc_Mix'!$C$7,Esc_Circ,$B72)+COUNTIFS(Esc_Turno,'Calc_Mix'!$C$7,Esc_Instr,$B72)&gt;0),"",IF(SUMPRODUCT('Calc_Mix'!$D$7:$W$7,'Matriz_Habilidades'!$D72:$W72)=0,"",SUMPRODUCT('Calc_Mix'!$D$7:$W$7,'Matriz_Habilidades'!$D72:$W72)/'Calc_Mix'!$X$7+ROW()*0.000001))</f>
        <v/>
      </c>
      <c r="K72" s="34">
        <f>IF(OR($B72="",$C72&lt;&gt;"Ativo",$D72&lt;&gt;'Calc_Mix'!$C$8,'Calc_Mix'!$X$8=0,COUNTIFS(Esc_Turno,'Calc_Mix'!$C$8,Esc_Circ,$B72)+COUNTIFS(Esc_Turno,'Calc_Mix'!$C$8,Esc_Instr,$B72)&gt;0),"",IF(SUMPRODUCT('Calc_Mix'!$D$8:$W$8,'Matriz_Habilidades'!$D72:$W72)=0,"",SUMPRODUCT('Calc_Mix'!$D$8:$W$8,'Matriz_Habilidades'!$D72:$W72)/'Calc_Mix'!$X$8+ROW()*0.000001))</f>
        <v/>
      </c>
      <c r="L72" s="34">
        <f>IF(OR($B72="",$C72&lt;&gt;"Ativo",$D72&lt;&gt;'Calc_Mix'!$C$9,'Calc_Mix'!$X$9=0,COUNTIFS(Esc_Turno,'Calc_Mix'!$C$9,Esc_Circ,$B72)+COUNTIFS(Esc_Turno,'Calc_Mix'!$C$9,Esc_Instr,$B72)&gt;0),"",IF(SUMPRODUCT('Calc_Mix'!$D$9:$W$9,'Matriz_Habilidades'!$D72:$W72)=0,"",SUMPRODUCT('Calc_Mix'!$D$9:$W$9,'Matriz_Habilidades'!$D72:$W72)/'Calc_Mix'!$X$9+ROW()*0.000001))</f>
        <v/>
      </c>
      <c r="M72" s="34">
        <f>IF(OR($B72="",$C72&lt;&gt;"Ativo",$D72&lt;&gt;'Calc_Mix'!$C$10,'Calc_Mix'!$X$10=0,COUNTIFS(Esc_Turno,'Calc_Mix'!$C$10,Esc_Circ,$B72)+COUNTIFS(Esc_Turno,'Calc_Mix'!$C$10,Esc_Instr,$B72)&gt;0),"",IF(SUMPRODUCT('Calc_Mix'!$D$10:$W$10,'Matriz_Habilidades'!$D72:$W72)=0,"",SUMPRODUCT('Calc_Mix'!$D$10:$W$10,'Matriz_Habilidades'!$D72:$W72)/'Calc_Mix'!$X$10+ROW()*0.000001))</f>
        <v/>
      </c>
      <c r="N72" s="34">
        <f>IF(OR($B72="",$C72&lt;&gt;"Ativo",$D72&lt;&gt;'Calc_Mix'!$C$11,'Calc_Mix'!$X$11=0,COUNTIFS(Esc_Turno,'Calc_Mix'!$C$11,Esc_Circ,$B72)+COUNTIFS(Esc_Turno,'Calc_Mix'!$C$11,Esc_Instr,$B72)&gt;0),"",IF(SUMPRODUCT('Calc_Mix'!$D$11:$W$11,'Matriz_Habilidades'!$D72:$W72)=0,"",SUMPRODUCT('Calc_Mix'!$D$11:$W$11,'Matriz_Habilidades'!$D72:$W72)/'Calc_Mix'!$X$11+ROW()*0.000001))</f>
        <v/>
      </c>
      <c r="O72" s="34">
        <f>IF(OR($B72="",$C72&lt;&gt;"Ativo",$D72&lt;&gt;'Calc_Mix'!$C$12,'Calc_Mix'!$X$12=0,COUNTIFS(Esc_Turno,'Calc_Mix'!$C$12,Esc_Circ,$B72)+COUNTIFS(Esc_Turno,'Calc_Mix'!$C$12,Esc_Instr,$B72)&gt;0),"",IF(SUMPRODUCT('Calc_Mix'!$D$12:$W$12,'Matriz_Habilidades'!$D72:$W72)=0,"",SUMPRODUCT('Calc_Mix'!$D$12:$W$12,'Matriz_Habilidades'!$D72:$W72)/'Calc_Mix'!$X$12+ROW()*0.000001))</f>
        <v/>
      </c>
      <c r="P72" s="34">
        <f>IF(OR($B72="",$C72&lt;&gt;"Ativo",$D72&lt;&gt;'Calc_Mix'!$C$13,'Calc_Mix'!$X$13=0,COUNTIFS(Esc_Turno,'Calc_Mix'!$C$13,Esc_Circ,$B72)+COUNTIFS(Esc_Turno,'Calc_Mix'!$C$13,Esc_Instr,$B72)&gt;0),"",IF(SUMPRODUCT('Calc_Mix'!$D$13:$W$13,'Matriz_Habilidades'!$D72:$W72)=0,"",SUMPRODUCT('Calc_Mix'!$D$13:$W$13,'Matriz_Habilidades'!$D72:$W72)/'Calc_Mix'!$X$13+ROW()*0.000001))</f>
        <v/>
      </c>
      <c r="Q72" s="34">
        <f>IF(OR($B72="",$C72&lt;&gt;"Ativo",$D72&lt;&gt;'Calc_Mix'!$C$14,'Calc_Mix'!$X$14=0,COUNTIFS(Esc_Turno,'Calc_Mix'!$C$14,Esc_Circ,$B72)+COUNTIFS(Esc_Turno,'Calc_Mix'!$C$14,Esc_Instr,$B72)&gt;0),"",IF(SUMPRODUCT('Calc_Mix'!$D$14:$W$14,'Matriz_Habilidades'!$D72:$W72)=0,"",SUMPRODUCT('Calc_Mix'!$D$14:$W$14,'Matriz_Habilidades'!$D72:$W72)/'Calc_Mix'!$X$14+ROW()*0.000001))</f>
        <v/>
      </c>
      <c r="R72" s="34">
        <f>IF(OR($B72="",$C72&lt;&gt;"Ativo",$D72&lt;&gt;'Calc_Mix'!$C$15,'Calc_Mix'!$X$15=0,COUNTIFS(Esc_Turno,'Calc_Mix'!$C$15,Esc_Circ,$B72)+COUNTIFS(Esc_Turno,'Calc_Mix'!$C$15,Esc_Instr,$B72)&gt;0),"",IF(SUMPRODUCT('Calc_Mix'!$D$15:$W$15,'Matriz_Habilidades'!$D72:$W72)=0,"",SUMPRODUCT('Calc_Mix'!$D$15:$W$15,'Matriz_Habilidades'!$D72:$W72)/'Calc_Mix'!$X$15+ROW()*0.000001))</f>
        <v/>
      </c>
      <c r="S72" s="34">
        <f>IF(OR($B72="",$C72&lt;&gt;"Ativo",$D72&lt;&gt;'Calc_Mix'!$C$16,'Calc_Mix'!$X$16=0,COUNTIFS(Esc_Turno,'Calc_Mix'!$C$16,Esc_Circ,$B72)+COUNTIFS(Esc_Turno,'Calc_Mix'!$C$16,Esc_Instr,$B72)&gt;0),"",IF(SUMPRODUCT('Calc_Mix'!$D$16:$W$16,'Matriz_Habilidades'!$D72:$W72)=0,"",SUMPRODUCT('Calc_Mix'!$D$16:$W$16,'Matriz_Habilidades'!$D72:$W72)/'Calc_Mix'!$X$16+ROW()*0.000001))</f>
        <v/>
      </c>
      <c r="T72" s="34">
        <f>IF(OR($B72="",$C72&lt;&gt;"Ativo",$D72&lt;&gt;'Calc_Mix'!$C$17,'Calc_Mix'!$X$17=0,COUNTIFS(Esc_Turno,'Calc_Mix'!$C$17,Esc_Circ,$B72)+COUNTIFS(Esc_Turno,'Calc_Mix'!$C$17,Esc_Instr,$B72)&gt;0),"",IF(SUMPRODUCT('Calc_Mix'!$D$17:$W$17,'Matriz_Habilidades'!$D72:$W72)=0,"",SUMPRODUCT('Calc_Mix'!$D$17:$W$17,'Matriz_Habilidades'!$D72:$W72)/'Calc_Mix'!$X$17+ROW()*0.000001))</f>
        <v/>
      </c>
      <c r="U72" s="34">
        <f>IF(OR($B72="",$C72&lt;&gt;"Ativo",$D72&lt;&gt;'Calc_Mix'!$C$18,'Calc_Mix'!$X$18=0,COUNTIFS(Esc_Turno,'Calc_Mix'!$C$18,Esc_Circ,$B72)+COUNTIFS(Esc_Turno,'Calc_Mix'!$C$18,Esc_Instr,$B72)&gt;0),"",IF(SUMPRODUCT('Calc_Mix'!$D$18:$W$18,'Matriz_Habilidades'!$D72:$W72)=0,"",SUMPRODUCT('Calc_Mix'!$D$18:$W$18,'Matriz_Habilidades'!$D72:$W72)/'Calc_Mix'!$X$18+ROW()*0.000001))</f>
        <v/>
      </c>
      <c r="V72" s="34">
        <f>IF(OR($B72="",$C72&lt;&gt;"Ativo",$D72&lt;&gt;'Calc_Mix'!$C$19,'Calc_Mix'!$X$19=0,COUNTIFS(Esc_Turno,'Calc_Mix'!$C$19,Esc_Circ,$B72)+COUNTIFS(Esc_Turno,'Calc_Mix'!$C$19,Esc_Instr,$B72)&gt;0),"",IF(SUMPRODUCT('Calc_Mix'!$D$19:$W$19,'Matriz_Habilidades'!$D72:$W72)=0,"",SUMPRODUCT('Calc_Mix'!$D$19:$W$19,'Matriz_Habilidades'!$D72:$W72)/'Calc_Mix'!$X$19+ROW()*0.000001))</f>
        <v/>
      </c>
      <c r="W72" s="34">
        <f>IF(OR($B72="",$C72&lt;&gt;"Ativo",$D72&lt;&gt;'Calc_Mix'!$C$20,'Calc_Mix'!$X$20=0,COUNTIFS(Esc_Turno,'Calc_Mix'!$C$20,Esc_Circ,$B72)+COUNTIFS(Esc_Turno,'Calc_Mix'!$C$20,Esc_Instr,$B72)&gt;0),"",IF(SUMPRODUCT('Calc_Mix'!$D$20:$W$20,'Matriz_Habilidades'!$D72:$W72)=0,"",SUMPRODUCT('Calc_Mix'!$D$20:$W$20,'Matriz_Habilidades'!$D72:$W72)/'Calc_Mix'!$X$20+ROW()*0.000001))</f>
        <v/>
      </c>
      <c r="X72" s="34">
        <f>IF(OR($B72="",$C72&lt;&gt;"Ativo",$D72&lt;&gt;'Calc_Mix'!$C$21,'Calc_Mix'!$X$21=0,COUNTIFS(Esc_Turno,'Calc_Mix'!$C$21,Esc_Circ,$B72)+COUNTIFS(Esc_Turno,'Calc_Mix'!$C$21,Esc_Instr,$B72)&gt;0),"",IF(SUMPRODUCT('Calc_Mix'!$D$21:$W$21,'Matriz_Habilidades'!$D72:$W72)=0,"",SUMPRODUCT('Calc_Mix'!$D$21:$W$21,'Matriz_Habilidades'!$D72:$W72)/'Calc_Mix'!$X$21+ROW()*0.000001))</f>
        <v/>
      </c>
      <c r="Y72" s="34">
        <f>IF(OR($B72="",$C72&lt;&gt;"Ativo",$D72&lt;&gt;'Calc_Mix'!$C$22,'Calc_Mix'!$X$22=0,COUNTIFS(Esc_Turno,'Calc_Mix'!$C$22,Esc_Circ,$B72)+COUNTIFS(Esc_Turno,'Calc_Mix'!$C$22,Esc_Instr,$B72)&gt;0),"",IF(SUMPRODUCT('Calc_Mix'!$D$22:$W$22,'Matriz_Habilidades'!$D72:$W72)=0,"",SUMPRODUCT('Calc_Mix'!$D$22:$W$22,'Matriz_Habilidades'!$D72:$W72)/'Calc_Mix'!$X$22+ROW()*0.000001))</f>
        <v/>
      </c>
      <c r="Z72" s="34">
        <f>IF(OR($B72="",$C72&lt;&gt;"Ativo",$D72&lt;&gt;'Calc_Mix'!$C$23,'Calc_Mix'!$X$23=0,COUNTIFS(Esc_Turno,'Calc_Mix'!$C$23,Esc_Circ,$B72)+COUNTIFS(Esc_Turno,'Calc_Mix'!$C$23,Esc_Instr,$B72)&gt;0),"",IF(SUMPRODUCT('Calc_Mix'!$D$23:$W$23,'Matriz_Habilidades'!$D72:$W72)=0,"",SUMPRODUCT('Calc_Mix'!$D$23:$W$23,'Matriz_Habilidades'!$D72:$W72)/'Calc_Mix'!$X$23+ROW()*0.000001))</f>
        <v/>
      </c>
      <c r="AA72" s="34">
        <f>IF(OR($B72="",$C72&lt;&gt;"Ativo",$D72&lt;&gt;'Calc_Mix'!$C$24,'Calc_Mix'!$X$24=0,COUNTIFS(Esc_Turno,'Calc_Mix'!$C$24,Esc_Circ,$B72)+COUNTIFS(Esc_Turno,'Calc_Mix'!$C$24,Esc_Instr,$B72)&gt;0),"",IF(SUMPRODUCT('Calc_Mix'!$D$24:$W$24,'Matriz_Habilidades'!$D72:$W72)=0,"",SUMPRODUCT('Calc_Mix'!$D$24:$W$24,'Matriz_Habilidades'!$D72:$W72)/'Calc_Mix'!$X$24+ROW()*0.000001))</f>
        <v/>
      </c>
      <c r="AB72" s="34">
        <f>IF(OR($B72="",$C72&lt;&gt;"Ativo",$D72&lt;&gt;'Calc_Mix'!$C$25,'Calc_Mix'!$X$25=0,COUNTIFS(Esc_Turno,'Calc_Mix'!$C$25,Esc_Circ,$B72)+COUNTIFS(Esc_Turno,'Calc_Mix'!$C$25,Esc_Instr,$B72)&gt;0),"",IF(SUMPRODUCT('Calc_Mix'!$D$25:$W$25,'Matriz_Habilidades'!$D72:$W72)=0,"",SUMPRODUCT('Calc_Mix'!$D$25:$W$25,'Matriz_Habilidades'!$D72:$W72)/'Calc_Mix'!$X$25+ROW()*0.000001))</f>
        <v/>
      </c>
      <c r="AC72" s="34">
        <f>IF(OR($B72="",$C72&lt;&gt;"Ativo",$D72&lt;&gt;'Calc_Mix'!$C$26,'Calc_Mix'!$X$26=0,COUNTIFS(Esc_Turno,'Calc_Mix'!$C$26,Esc_Circ,$B72)+COUNTIFS(Esc_Turno,'Calc_Mix'!$C$26,Esc_Instr,$B72)&gt;0),"",IF(SUMPRODUCT('Calc_Mix'!$D$26:$W$26,'Matriz_Habilidades'!$D72:$W72)=0,"",SUMPRODUCT('Calc_Mix'!$D$26:$W$26,'Matriz_Habilidades'!$D72:$W72)/'Calc_Mix'!$X$26+ROW()*0.000001))</f>
        <v/>
      </c>
      <c r="AD72" s="34">
        <f>IF(OR($B72="",$C72&lt;&gt;"Ativo",$D72&lt;&gt;'Calc_Mix'!$C$27,'Calc_Mix'!$X$27=0,COUNTIFS(Esc_Turno,'Calc_Mix'!$C$27,Esc_Circ,$B72)+COUNTIFS(Esc_Turno,'Calc_Mix'!$C$27,Esc_Instr,$B72)&gt;0),"",IF(SUMPRODUCT('Calc_Mix'!$D$27:$W$27,'Matriz_Habilidades'!$D72:$W72)=0,"",SUMPRODUCT('Calc_Mix'!$D$27:$W$27,'Matriz_Habilidades'!$D72:$W72)/'Calc_Mix'!$X$27+ROW()*0.000001))</f>
        <v/>
      </c>
      <c r="AE72" s="34">
        <f>IF(OR($B72="",$C72&lt;&gt;"Ativo",$D72&lt;&gt;'Calc_Mix'!$C$28,'Calc_Mix'!$X$28=0,COUNTIFS(Esc_Turno,'Calc_Mix'!$C$28,Esc_Circ,$B72)+COUNTIFS(Esc_Turno,'Calc_Mix'!$C$28,Esc_Instr,$B72)&gt;0),"",IF(SUMPRODUCT('Calc_Mix'!$D$28:$W$28,'Matriz_Habilidades'!$D72:$W72)=0,"",SUMPRODUCT('Calc_Mix'!$D$28:$W$28,'Matriz_Habilidades'!$D72:$W72)/'Calc_Mix'!$X$28+ROW()*0.000001))</f>
        <v/>
      </c>
      <c r="AF72" s="34">
        <f>IF(OR($B72="",$C72&lt;&gt;"Ativo",$D72&lt;&gt;'Calc_Mix'!$C$29,'Calc_Mix'!$X$29=0,COUNTIFS(Esc_Turno,'Calc_Mix'!$C$29,Esc_Circ,$B72)+COUNTIFS(Esc_Turno,'Calc_Mix'!$C$29,Esc_Instr,$B72)&gt;0),"",IF(SUMPRODUCT('Calc_Mix'!$D$29:$W$29,'Matriz_Habilidades'!$D72:$W72)=0,"",SUMPRODUCT('Calc_Mix'!$D$29:$W$29,'Matriz_Habilidades'!$D72:$W72)/'Calc_Mix'!$X$29+ROW()*0.000001))</f>
        <v/>
      </c>
      <c r="AG72" s="34">
        <f>IF(OR($B72="",$C72&lt;&gt;"Ativo",$D72&lt;&gt;'Calc_Mix'!$C$30,'Calc_Mix'!$X$30=0,COUNTIFS(Esc_Turno,'Calc_Mix'!$C$30,Esc_Circ,$B72)+COUNTIFS(Esc_Turno,'Calc_Mix'!$C$30,Esc_Instr,$B72)&gt;0),"",IF(SUMPRODUCT('Calc_Mix'!$D$30:$W$30,'Matriz_Habilidades'!$D72:$W72)=0,"",SUMPRODUCT('Calc_Mix'!$D$30:$W$30,'Matriz_Habilidades'!$D72:$W72)/'Calc_Mix'!$X$30+ROW()*0.000001))</f>
        <v/>
      </c>
      <c r="AH72" s="34">
        <f>IF(OR($B72="",$C72&lt;&gt;"Ativo",$D72&lt;&gt;'Calc_Mix'!$C$31,'Calc_Mix'!$X$31=0,COUNTIFS(Esc_Turno,'Calc_Mix'!$C$31,Esc_Circ,$B72)+COUNTIFS(Esc_Turno,'Calc_Mix'!$C$31,Esc_Instr,$B72)&gt;0),"",IF(SUMPRODUCT('Calc_Mix'!$D$31:$W$31,'Matriz_Habilidades'!$D72:$W72)=0,"",SUMPRODUCT('Calc_Mix'!$D$31:$W$31,'Matriz_Habilidades'!$D72:$W72)/'Calc_Mix'!$X$31+ROW()*0.000001))</f>
        <v/>
      </c>
      <c r="AI72" s="34">
        <f>IF(OR($B72="",$C72&lt;&gt;"Ativo",$D72&lt;&gt;'Calc_Mix'!$C$32,'Calc_Mix'!$X$32=0,COUNTIFS(Esc_Turno,'Calc_Mix'!$C$32,Esc_Circ,$B72)+COUNTIFS(Esc_Turno,'Calc_Mix'!$C$32,Esc_Instr,$B72)&gt;0),"",IF(SUMPRODUCT('Calc_Mix'!$D$32:$W$32,'Matriz_Habilidades'!$D72:$W72)=0,"",SUMPRODUCT('Calc_Mix'!$D$32:$W$32,'Matriz_Habilidades'!$D72:$W72)/'Calc_Mix'!$X$32+ROW()*0.000001))</f>
        <v/>
      </c>
      <c r="AJ72" s="34">
        <f>IF(OR($B72="",$C72&lt;&gt;"Ativo",$D72&lt;&gt;'Calc_Mix'!$C$33,'Calc_Mix'!$X$33=0,COUNTIFS(Esc_Turno,'Calc_Mix'!$C$33,Esc_Circ,$B72)+COUNTIFS(Esc_Turno,'Calc_Mix'!$C$33,Esc_Instr,$B72)&gt;0),"",IF(SUMPRODUCT('Calc_Mix'!$D$33:$W$33,'Matriz_Habilidades'!$D72:$W72)=0,"",SUMPRODUCT('Calc_Mix'!$D$33:$W$33,'Matriz_Habilidades'!$D72:$W72)/'Calc_Mix'!$X$33+ROW()*0.000001))</f>
        <v/>
      </c>
      <c r="AK72" s="34">
        <f>IF(OR($B72="",$C72&lt;&gt;"Ativo",$D72&lt;&gt;'Calc_Mix'!$C$34,'Calc_Mix'!$X$34=0,COUNTIFS(Esc_Turno,'Calc_Mix'!$C$34,Esc_Circ,$B72)+COUNTIFS(Esc_Turno,'Calc_Mix'!$C$34,Esc_Instr,$B72)&gt;0),"",IF(SUMPRODUCT('Calc_Mix'!$D$34:$W$34,'Matriz_Habilidades'!$D72:$W72)=0,"",SUMPRODUCT('Calc_Mix'!$D$34:$W$34,'Matriz_Habilidades'!$D72:$W72)/'Calc_Mix'!$X$34+ROW()*0.000001))</f>
        <v/>
      </c>
      <c r="AL72" s="34">
        <f>IF(OR($B72="",$C72&lt;&gt;"Ativo",$D72&lt;&gt;'Calc_Mix'!$C$35,'Calc_Mix'!$X$35=0,COUNTIFS(Esc_Turno,'Calc_Mix'!$C$35,Esc_Circ,$B72)+COUNTIFS(Esc_Turno,'Calc_Mix'!$C$35,Esc_Instr,$B72)&gt;0),"",IF(SUMPRODUCT('Calc_Mix'!$D$35:$W$35,'Matriz_Habilidades'!$D72:$W72)=0,"",SUMPRODUCT('Calc_Mix'!$D$35:$W$35,'Matriz_Habilidades'!$D72:$W72)/'Calc_Mix'!$X$35+ROW()*0.000001))</f>
        <v/>
      </c>
      <c r="AM72" s="34">
        <f>IF(OR($B72="",$C72&lt;&gt;"Ativo",$D72&lt;&gt;'Calc_Mix'!$C$36,'Calc_Mix'!$X$36=0,COUNTIFS(Esc_Turno,'Calc_Mix'!$C$36,Esc_Circ,$B72)+COUNTIFS(Esc_Turno,'Calc_Mix'!$C$36,Esc_Instr,$B72)&gt;0),"",IF(SUMPRODUCT('Calc_Mix'!$D$36:$W$36,'Matriz_Habilidades'!$D72:$W72)=0,"",SUMPRODUCT('Calc_Mix'!$D$36:$W$36,'Matriz_Habilidades'!$D72:$W72)/'Calc_Mix'!$X$36+ROW()*0.000001))</f>
        <v/>
      </c>
      <c r="AN72" s="34">
        <f>IF(OR($B72="",$C72&lt;&gt;"Ativo",$D72&lt;&gt;'Calc_Mix'!$C$37,'Calc_Mix'!$X$37=0,COUNTIFS(Esc_Turno,'Calc_Mix'!$C$37,Esc_Circ,$B72)+COUNTIFS(Esc_Turno,'Calc_Mix'!$C$37,Esc_Instr,$B72)&gt;0),"",IF(SUMPRODUCT('Calc_Mix'!$D$37:$W$37,'Matriz_Habilidades'!$D72:$W72)=0,"",SUMPRODUCT('Calc_Mix'!$D$37:$W$37,'Matriz_Habilidades'!$D72:$W72)/'Calc_Mix'!$X$37+ROW()*0.000001))</f>
        <v/>
      </c>
    </row>
    <row r="73">
      <c r="A73" s="27">
        <f>IF('Matriz_Habilidades'!A73="","",'Matriz_Habilidades'!A73)</f>
        <v/>
      </c>
      <c r="B73" s="28">
        <f>IF('Matriz_Habilidades'!B73="","",'Matriz_Habilidades'!B73)</f>
        <v/>
      </c>
      <c r="C73" s="27">
        <f>IF($A73="","",IFERROR(INDEX(Equipe_Status,MATCH($B73,Equipe_Nome,0)),"?"))</f>
        <v/>
      </c>
      <c r="D73" s="27">
        <f>IF($A73="","",IFERROR(INDEX(Equipe_Turno,MATCH($B73,Equipe_Nome,0)),"?"))</f>
        <v/>
      </c>
      <c r="E73" s="34">
        <f>IF(OR($B73="",$C73&lt;&gt;"Ativo",$D73&lt;&gt;'Calc_Mix'!$C$2,'Calc_Mix'!$X$2=0,COUNTIFS(Esc_Turno,'Calc_Mix'!$C$2,Esc_Circ,$B73)+COUNTIFS(Esc_Turno,'Calc_Mix'!$C$2,Esc_Instr,$B73)&gt;0),"",IF(SUMPRODUCT('Calc_Mix'!$D$2:$W$2,'Matriz_Habilidades'!$D73:$W73)=0,"",SUMPRODUCT('Calc_Mix'!$D$2:$W$2,'Matriz_Habilidades'!$D73:$W73)/'Calc_Mix'!$X$2+ROW()*0.000001))</f>
        <v/>
      </c>
      <c r="F73" s="34">
        <f>IF(OR($B73="",$C73&lt;&gt;"Ativo",$D73&lt;&gt;'Calc_Mix'!$C$3,'Calc_Mix'!$X$3=0,COUNTIFS(Esc_Turno,'Calc_Mix'!$C$3,Esc_Circ,$B73)+COUNTIFS(Esc_Turno,'Calc_Mix'!$C$3,Esc_Instr,$B73)&gt;0),"",IF(SUMPRODUCT('Calc_Mix'!$D$3:$W$3,'Matriz_Habilidades'!$D73:$W73)=0,"",SUMPRODUCT('Calc_Mix'!$D$3:$W$3,'Matriz_Habilidades'!$D73:$W73)/'Calc_Mix'!$X$3+ROW()*0.000001))</f>
        <v/>
      </c>
      <c r="G73" s="34">
        <f>IF(OR($B73="",$C73&lt;&gt;"Ativo",$D73&lt;&gt;'Calc_Mix'!$C$4,'Calc_Mix'!$X$4=0,COUNTIFS(Esc_Turno,'Calc_Mix'!$C$4,Esc_Circ,$B73)+COUNTIFS(Esc_Turno,'Calc_Mix'!$C$4,Esc_Instr,$B73)&gt;0),"",IF(SUMPRODUCT('Calc_Mix'!$D$4:$W$4,'Matriz_Habilidades'!$D73:$W73)=0,"",SUMPRODUCT('Calc_Mix'!$D$4:$W$4,'Matriz_Habilidades'!$D73:$W73)/'Calc_Mix'!$X$4+ROW()*0.000001))</f>
        <v/>
      </c>
      <c r="H73" s="34">
        <f>IF(OR($B73="",$C73&lt;&gt;"Ativo",$D73&lt;&gt;'Calc_Mix'!$C$5,'Calc_Mix'!$X$5=0,COUNTIFS(Esc_Turno,'Calc_Mix'!$C$5,Esc_Circ,$B73)+COUNTIFS(Esc_Turno,'Calc_Mix'!$C$5,Esc_Instr,$B73)&gt;0),"",IF(SUMPRODUCT('Calc_Mix'!$D$5:$W$5,'Matriz_Habilidades'!$D73:$W73)=0,"",SUMPRODUCT('Calc_Mix'!$D$5:$W$5,'Matriz_Habilidades'!$D73:$W73)/'Calc_Mix'!$X$5+ROW()*0.000001))</f>
        <v/>
      </c>
      <c r="I73" s="34">
        <f>IF(OR($B73="",$C73&lt;&gt;"Ativo",$D73&lt;&gt;'Calc_Mix'!$C$6,'Calc_Mix'!$X$6=0,COUNTIFS(Esc_Turno,'Calc_Mix'!$C$6,Esc_Circ,$B73)+COUNTIFS(Esc_Turno,'Calc_Mix'!$C$6,Esc_Instr,$B73)&gt;0),"",IF(SUMPRODUCT('Calc_Mix'!$D$6:$W$6,'Matriz_Habilidades'!$D73:$W73)=0,"",SUMPRODUCT('Calc_Mix'!$D$6:$W$6,'Matriz_Habilidades'!$D73:$W73)/'Calc_Mix'!$X$6+ROW()*0.000001))</f>
        <v/>
      </c>
      <c r="J73" s="34">
        <f>IF(OR($B73="",$C73&lt;&gt;"Ativo",$D73&lt;&gt;'Calc_Mix'!$C$7,'Calc_Mix'!$X$7=0,COUNTIFS(Esc_Turno,'Calc_Mix'!$C$7,Esc_Circ,$B73)+COUNTIFS(Esc_Turno,'Calc_Mix'!$C$7,Esc_Instr,$B73)&gt;0),"",IF(SUMPRODUCT('Calc_Mix'!$D$7:$W$7,'Matriz_Habilidades'!$D73:$W73)=0,"",SUMPRODUCT('Calc_Mix'!$D$7:$W$7,'Matriz_Habilidades'!$D73:$W73)/'Calc_Mix'!$X$7+ROW()*0.000001))</f>
        <v/>
      </c>
      <c r="K73" s="34">
        <f>IF(OR($B73="",$C73&lt;&gt;"Ativo",$D73&lt;&gt;'Calc_Mix'!$C$8,'Calc_Mix'!$X$8=0,COUNTIFS(Esc_Turno,'Calc_Mix'!$C$8,Esc_Circ,$B73)+COUNTIFS(Esc_Turno,'Calc_Mix'!$C$8,Esc_Instr,$B73)&gt;0),"",IF(SUMPRODUCT('Calc_Mix'!$D$8:$W$8,'Matriz_Habilidades'!$D73:$W73)=0,"",SUMPRODUCT('Calc_Mix'!$D$8:$W$8,'Matriz_Habilidades'!$D73:$W73)/'Calc_Mix'!$X$8+ROW()*0.000001))</f>
        <v/>
      </c>
      <c r="L73" s="34">
        <f>IF(OR($B73="",$C73&lt;&gt;"Ativo",$D73&lt;&gt;'Calc_Mix'!$C$9,'Calc_Mix'!$X$9=0,COUNTIFS(Esc_Turno,'Calc_Mix'!$C$9,Esc_Circ,$B73)+COUNTIFS(Esc_Turno,'Calc_Mix'!$C$9,Esc_Instr,$B73)&gt;0),"",IF(SUMPRODUCT('Calc_Mix'!$D$9:$W$9,'Matriz_Habilidades'!$D73:$W73)=0,"",SUMPRODUCT('Calc_Mix'!$D$9:$W$9,'Matriz_Habilidades'!$D73:$W73)/'Calc_Mix'!$X$9+ROW()*0.000001))</f>
        <v/>
      </c>
      <c r="M73" s="34">
        <f>IF(OR($B73="",$C73&lt;&gt;"Ativo",$D73&lt;&gt;'Calc_Mix'!$C$10,'Calc_Mix'!$X$10=0,COUNTIFS(Esc_Turno,'Calc_Mix'!$C$10,Esc_Circ,$B73)+COUNTIFS(Esc_Turno,'Calc_Mix'!$C$10,Esc_Instr,$B73)&gt;0),"",IF(SUMPRODUCT('Calc_Mix'!$D$10:$W$10,'Matriz_Habilidades'!$D73:$W73)=0,"",SUMPRODUCT('Calc_Mix'!$D$10:$W$10,'Matriz_Habilidades'!$D73:$W73)/'Calc_Mix'!$X$10+ROW()*0.000001))</f>
        <v/>
      </c>
      <c r="N73" s="34">
        <f>IF(OR($B73="",$C73&lt;&gt;"Ativo",$D73&lt;&gt;'Calc_Mix'!$C$11,'Calc_Mix'!$X$11=0,COUNTIFS(Esc_Turno,'Calc_Mix'!$C$11,Esc_Circ,$B73)+COUNTIFS(Esc_Turno,'Calc_Mix'!$C$11,Esc_Instr,$B73)&gt;0),"",IF(SUMPRODUCT('Calc_Mix'!$D$11:$W$11,'Matriz_Habilidades'!$D73:$W73)=0,"",SUMPRODUCT('Calc_Mix'!$D$11:$W$11,'Matriz_Habilidades'!$D73:$W73)/'Calc_Mix'!$X$11+ROW()*0.000001))</f>
        <v/>
      </c>
      <c r="O73" s="34">
        <f>IF(OR($B73="",$C73&lt;&gt;"Ativo",$D73&lt;&gt;'Calc_Mix'!$C$12,'Calc_Mix'!$X$12=0,COUNTIFS(Esc_Turno,'Calc_Mix'!$C$12,Esc_Circ,$B73)+COUNTIFS(Esc_Turno,'Calc_Mix'!$C$12,Esc_Instr,$B73)&gt;0),"",IF(SUMPRODUCT('Calc_Mix'!$D$12:$W$12,'Matriz_Habilidades'!$D73:$W73)=0,"",SUMPRODUCT('Calc_Mix'!$D$12:$W$12,'Matriz_Habilidades'!$D73:$W73)/'Calc_Mix'!$X$12+ROW()*0.000001))</f>
        <v/>
      </c>
      <c r="P73" s="34">
        <f>IF(OR($B73="",$C73&lt;&gt;"Ativo",$D73&lt;&gt;'Calc_Mix'!$C$13,'Calc_Mix'!$X$13=0,COUNTIFS(Esc_Turno,'Calc_Mix'!$C$13,Esc_Circ,$B73)+COUNTIFS(Esc_Turno,'Calc_Mix'!$C$13,Esc_Instr,$B73)&gt;0),"",IF(SUMPRODUCT('Calc_Mix'!$D$13:$W$13,'Matriz_Habilidades'!$D73:$W73)=0,"",SUMPRODUCT('Calc_Mix'!$D$13:$W$13,'Matriz_Habilidades'!$D73:$W73)/'Calc_Mix'!$X$13+ROW()*0.000001))</f>
        <v/>
      </c>
      <c r="Q73" s="34">
        <f>IF(OR($B73="",$C73&lt;&gt;"Ativo",$D73&lt;&gt;'Calc_Mix'!$C$14,'Calc_Mix'!$X$14=0,COUNTIFS(Esc_Turno,'Calc_Mix'!$C$14,Esc_Circ,$B73)+COUNTIFS(Esc_Turno,'Calc_Mix'!$C$14,Esc_Instr,$B73)&gt;0),"",IF(SUMPRODUCT('Calc_Mix'!$D$14:$W$14,'Matriz_Habilidades'!$D73:$W73)=0,"",SUMPRODUCT('Calc_Mix'!$D$14:$W$14,'Matriz_Habilidades'!$D73:$W73)/'Calc_Mix'!$X$14+ROW()*0.000001))</f>
        <v/>
      </c>
      <c r="R73" s="34">
        <f>IF(OR($B73="",$C73&lt;&gt;"Ativo",$D73&lt;&gt;'Calc_Mix'!$C$15,'Calc_Mix'!$X$15=0,COUNTIFS(Esc_Turno,'Calc_Mix'!$C$15,Esc_Circ,$B73)+COUNTIFS(Esc_Turno,'Calc_Mix'!$C$15,Esc_Instr,$B73)&gt;0),"",IF(SUMPRODUCT('Calc_Mix'!$D$15:$W$15,'Matriz_Habilidades'!$D73:$W73)=0,"",SUMPRODUCT('Calc_Mix'!$D$15:$W$15,'Matriz_Habilidades'!$D73:$W73)/'Calc_Mix'!$X$15+ROW()*0.000001))</f>
        <v/>
      </c>
      <c r="S73" s="34">
        <f>IF(OR($B73="",$C73&lt;&gt;"Ativo",$D73&lt;&gt;'Calc_Mix'!$C$16,'Calc_Mix'!$X$16=0,COUNTIFS(Esc_Turno,'Calc_Mix'!$C$16,Esc_Circ,$B73)+COUNTIFS(Esc_Turno,'Calc_Mix'!$C$16,Esc_Instr,$B73)&gt;0),"",IF(SUMPRODUCT('Calc_Mix'!$D$16:$W$16,'Matriz_Habilidades'!$D73:$W73)=0,"",SUMPRODUCT('Calc_Mix'!$D$16:$W$16,'Matriz_Habilidades'!$D73:$W73)/'Calc_Mix'!$X$16+ROW()*0.000001))</f>
        <v/>
      </c>
      <c r="T73" s="34">
        <f>IF(OR($B73="",$C73&lt;&gt;"Ativo",$D73&lt;&gt;'Calc_Mix'!$C$17,'Calc_Mix'!$X$17=0,COUNTIFS(Esc_Turno,'Calc_Mix'!$C$17,Esc_Circ,$B73)+COUNTIFS(Esc_Turno,'Calc_Mix'!$C$17,Esc_Instr,$B73)&gt;0),"",IF(SUMPRODUCT('Calc_Mix'!$D$17:$W$17,'Matriz_Habilidades'!$D73:$W73)=0,"",SUMPRODUCT('Calc_Mix'!$D$17:$W$17,'Matriz_Habilidades'!$D73:$W73)/'Calc_Mix'!$X$17+ROW()*0.000001))</f>
        <v/>
      </c>
      <c r="U73" s="34">
        <f>IF(OR($B73="",$C73&lt;&gt;"Ativo",$D73&lt;&gt;'Calc_Mix'!$C$18,'Calc_Mix'!$X$18=0,COUNTIFS(Esc_Turno,'Calc_Mix'!$C$18,Esc_Circ,$B73)+COUNTIFS(Esc_Turno,'Calc_Mix'!$C$18,Esc_Instr,$B73)&gt;0),"",IF(SUMPRODUCT('Calc_Mix'!$D$18:$W$18,'Matriz_Habilidades'!$D73:$W73)=0,"",SUMPRODUCT('Calc_Mix'!$D$18:$W$18,'Matriz_Habilidades'!$D73:$W73)/'Calc_Mix'!$X$18+ROW()*0.000001))</f>
        <v/>
      </c>
      <c r="V73" s="34">
        <f>IF(OR($B73="",$C73&lt;&gt;"Ativo",$D73&lt;&gt;'Calc_Mix'!$C$19,'Calc_Mix'!$X$19=0,COUNTIFS(Esc_Turno,'Calc_Mix'!$C$19,Esc_Circ,$B73)+COUNTIFS(Esc_Turno,'Calc_Mix'!$C$19,Esc_Instr,$B73)&gt;0),"",IF(SUMPRODUCT('Calc_Mix'!$D$19:$W$19,'Matriz_Habilidades'!$D73:$W73)=0,"",SUMPRODUCT('Calc_Mix'!$D$19:$W$19,'Matriz_Habilidades'!$D73:$W73)/'Calc_Mix'!$X$19+ROW()*0.000001))</f>
        <v/>
      </c>
      <c r="W73" s="34">
        <f>IF(OR($B73="",$C73&lt;&gt;"Ativo",$D73&lt;&gt;'Calc_Mix'!$C$20,'Calc_Mix'!$X$20=0,COUNTIFS(Esc_Turno,'Calc_Mix'!$C$20,Esc_Circ,$B73)+COUNTIFS(Esc_Turno,'Calc_Mix'!$C$20,Esc_Instr,$B73)&gt;0),"",IF(SUMPRODUCT('Calc_Mix'!$D$20:$W$20,'Matriz_Habilidades'!$D73:$W73)=0,"",SUMPRODUCT('Calc_Mix'!$D$20:$W$20,'Matriz_Habilidades'!$D73:$W73)/'Calc_Mix'!$X$20+ROW()*0.000001))</f>
        <v/>
      </c>
      <c r="X73" s="34">
        <f>IF(OR($B73="",$C73&lt;&gt;"Ativo",$D73&lt;&gt;'Calc_Mix'!$C$21,'Calc_Mix'!$X$21=0,COUNTIFS(Esc_Turno,'Calc_Mix'!$C$21,Esc_Circ,$B73)+COUNTIFS(Esc_Turno,'Calc_Mix'!$C$21,Esc_Instr,$B73)&gt;0),"",IF(SUMPRODUCT('Calc_Mix'!$D$21:$W$21,'Matriz_Habilidades'!$D73:$W73)=0,"",SUMPRODUCT('Calc_Mix'!$D$21:$W$21,'Matriz_Habilidades'!$D73:$W73)/'Calc_Mix'!$X$21+ROW()*0.000001))</f>
        <v/>
      </c>
      <c r="Y73" s="34">
        <f>IF(OR($B73="",$C73&lt;&gt;"Ativo",$D73&lt;&gt;'Calc_Mix'!$C$22,'Calc_Mix'!$X$22=0,COUNTIFS(Esc_Turno,'Calc_Mix'!$C$22,Esc_Circ,$B73)+COUNTIFS(Esc_Turno,'Calc_Mix'!$C$22,Esc_Instr,$B73)&gt;0),"",IF(SUMPRODUCT('Calc_Mix'!$D$22:$W$22,'Matriz_Habilidades'!$D73:$W73)=0,"",SUMPRODUCT('Calc_Mix'!$D$22:$W$22,'Matriz_Habilidades'!$D73:$W73)/'Calc_Mix'!$X$22+ROW()*0.000001))</f>
        <v/>
      </c>
      <c r="Z73" s="34">
        <f>IF(OR($B73="",$C73&lt;&gt;"Ativo",$D73&lt;&gt;'Calc_Mix'!$C$23,'Calc_Mix'!$X$23=0,COUNTIFS(Esc_Turno,'Calc_Mix'!$C$23,Esc_Circ,$B73)+COUNTIFS(Esc_Turno,'Calc_Mix'!$C$23,Esc_Instr,$B73)&gt;0),"",IF(SUMPRODUCT('Calc_Mix'!$D$23:$W$23,'Matriz_Habilidades'!$D73:$W73)=0,"",SUMPRODUCT('Calc_Mix'!$D$23:$W$23,'Matriz_Habilidades'!$D73:$W73)/'Calc_Mix'!$X$23+ROW()*0.000001))</f>
        <v/>
      </c>
      <c r="AA73" s="34">
        <f>IF(OR($B73="",$C73&lt;&gt;"Ativo",$D73&lt;&gt;'Calc_Mix'!$C$24,'Calc_Mix'!$X$24=0,COUNTIFS(Esc_Turno,'Calc_Mix'!$C$24,Esc_Circ,$B73)+COUNTIFS(Esc_Turno,'Calc_Mix'!$C$24,Esc_Instr,$B73)&gt;0),"",IF(SUMPRODUCT('Calc_Mix'!$D$24:$W$24,'Matriz_Habilidades'!$D73:$W73)=0,"",SUMPRODUCT('Calc_Mix'!$D$24:$W$24,'Matriz_Habilidades'!$D73:$W73)/'Calc_Mix'!$X$24+ROW()*0.000001))</f>
        <v/>
      </c>
      <c r="AB73" s="34">
        <f>IF(OR($B73="",$C73&lt;&gt;"Ativo",$D73&lt;&gt;'Calc_Mix'!$C$25,'Calc_Mix'!$X$25=0,COUNTIFS(Esc_Turno,'Calc_Mix'!$C$25,Esc_Circ,$B73)+COUNTIFS(Esc_Turno,'Calc_Mix'!$C$25,Esc_Instr,$B73)&gt;0),"",IF(SUMPRODUCT('Calc_Mix'!$D$25:$W$25,'Matriz_Habilidades'!$D73:$W73)=0,"",SUMPRODUCT('Calc_Mix'!$D$25:$W$25,'Matriz_Habilidades'!$D73:$W73)/'Calc_Mix'!$X$25+ROW()*0.000001))</f>
        <v/>
      </c>
      <c r="AC73" s="34">
        <f>IF(OR($B73="",$C73&lt;&gt;"Ativo",$D73&lt;&gt;'Calc_Mix'!$C$26,'Calc_Mix'!$X$26=0,COUNTIFS(Esc_Turno,'Calc_Mix'!$C$26,Esc_Circ,$B73)+COUNTIFS(Esc_Turno,'Calc_Mix'!$C$26,Esc_Instr,$B73)&gt;0),"",IF(SUMPRODUCT('Calc_Mix'!$D$26:$W$26,'Matriz_Habilidades'!$D73:$W73)=0,"",SUMPRODUCT('Calc_Mix'!$D$26:$W$26,'Matriz_Habilidades'!$D73:$W73)/'Calc_Mix'!$X$26+ROW()*0.000001))</f>
        <v/>
      </c>
      <c r="AD73" s="34">
        <f>IF(OR($B73="",$C73&lt;&gt;"Ativo",$D73&lt;&gt;'Calc_Mix'!$C$27,'Calc_Mix'!$X$27=0,COUNTIFS(Esc_Turno,'Calc_Mix'!$C$27,Esc_Circ,$B73)+COUNTIFS(Esc_Turno,'Calc_Mix'!$C$27,Esc_Instr,$B73)&gt;0),"",IF(SUMPRODUCT('Calc_Mix'!$D$27:$W$27,'Matriz_Habilidades'!$D73:$W73)=0,"",SUMPRODUCT('Calc_Mix'!$D$27:$W$27,'Matriz_Habilidades'!$D73:$W73)/'Calc_Mix'!$X$27+ROW()*0.000001))</f>
        <v/>
      </c>
      <c r="AE73" s="34">
        <f>IF(OR($B73="",$C73&lt;&gt;"Ativo",$D73&lt;&gt;'Calc_Mix'!$C$28,'Calc_Mix'!$X$28=0,COUNTIFS(Esc_Turno,'Calc_Mix'!$C$28,Esc_Circ,$B73)+COUNTIFS(Esc_Turno,'Calc_Mix'!$C$28,Esc_Instr,$B73)&gt;0),"",IF(SUMPRODUCT('Calc_Mix'!$D$28:$W$28,'Matriz_Habilidades'!$D73:$W73)=0,"",SUMPRODUCT('Calc_Mix'!$D$28:$W$28,'Matriz_Habilidades'!$D73:$W73)/'Calc_Mix'!$X$28+ROW()*0.000001))</f>
        <v/>
      </c>
      <c r="AF73" s="34">
        <f>IF(OR($B73="",$C73&lt;&gt;"Ativo",$D73&lt;&gt;'Calc_Mix'!$C$29,'Calc_Mix'!$X$29=0,COUNTIFS(Esc_Turno,'Calc_Mix'!$C$29,Esc_Circ,$B73)+COUNTIFS(Esc_Turno,'Calc_Mix'!$C$29,Esc_Instr,$B73)&gt;0),"",IF(SUMPRODUCT('Calc_Mix'!$D$29:$W$29,'Matriz_Habilidades'!$D73:$W73)=0,"",SUMPRODUCT('Calc_Mix'!$D$29:$W$29,'Matriz_Habilidades'!$D73:$W73)/'Calc_Mix'!$X$29+ROW()*0.000001))</f>
        <v/>
      </c>
      <c r="AG73" s="34">
        <f>IF(OR($B73="",$C73&lt;&gt;"Ativo",$D73&lt;&gt;'Calc_Mix'!$C$30,'Calc_Mix'!$X$30=0,COUNTIFS(Esc_Turno,'Calc_Mix'!$C$30,Esc_Circ,$B73)+COUNTIFS(Esc_Turno,'Calc_Mix'!$C$30,Esc_Instr,$B73)&gt;0),"",IF(SUMPRODUCT('Calc_Mix'!$D$30:$W$30,'Matriz_Habilidades'!$D73:$W73)=0,"",SUMPRODUCT('Calc_Mix'!$D$30:$W$30,'Matriz_Habilidades'!$D73:$W73)/'Calc_Mix'!$X$30+ROW()*0.000001))</f>
        <v/>
      </c>
      <c r="AH73" s="34">
        <f>IF(OR($B73="",$C73&lt;&gt;"Ativo",$D73&lt;&gt;'Calc_Mix'!$C$31,'Calc_Mix'!$X$31=0,COUNTIFS(Esc_Turno,'Calc_Mix'!$C$31,Esc_Circ,$B73)+COUNTIFS(Esc_Turno,'Calc_Mix'!$C$31,Esc_Instr,$B73)&gt;0),"",IF(SUMPRODUCT('Calc_Mix'!$D$31:$W$31,'Matriz_Habilidades'!$D73:$W73)=0,"",SUMPRODUCT('Calc_Mix'!$D$31:$W$31,'Matriz_Habilidades'!$D73:$W73)/'Calc_Mix'!$X$31+ROW()*0.000001))</f>
        <v/>
      </c>
      <c r="AI73" s="34">
        <f>IF(OR($B73="",$C73&lt;&gt;"Ativo",$D73&lt;&gt;'Calc_Mix'!$C$32,'Calc_Mix'!$X$32=0,COUNTIFS(Esc_Turno,'Calc_Mix'!$C$32,Esc_Circ,$B73)+COUNTIFS(Esc_Turno,'Calc_Mix'!$C$32,Esc_Instr,$B73)&gt;0),"",IF(SUMPRODUCT('Calc_Mix'!$D$32:$W$32,'Matriz_Habilidades'!$D73:$W73)=0,"",SUMPRODUCT('Calc_Mix'!$D$32:$W$32,'Matriz_Habilidades'!$D73:$W73)/'Calc_Mix'!$X$32+ROW()*0.000001))</f>
        <v/>
      </c>
      <c r="AJ73" s="34">
        <f>IF(OR($B73="",$C73&lt;&gt;"Ativo",$D73&lt;&gt;'Calc_Mix'!$C$33,'Calc_Mix'!$X$33=0,COUNTIFS(Esc_Turno,'Calc_Mix'!$C$33,Esc_Circ,$B73)+COUNTIFS(Esc_Turno,'Calc_Mix'!$C$33,Esc_Instr,$B73)&gt;0),"",IF(SUMPRODUCT('Calc_Mix'!$D$33:$W$33,'Matriz_Habilidades'!$D73:$W73)=0,"",SUMPRODUCT('Calc_Mix'!$D$33:$W$33,'Matriz_Habilidades'!$D73:$W73)/'Calc_Mix'!$X$33+ROW()*0.000001))</f>
        <v/>
      </c>
      <c r="AK73" s="34">
        <f>IF(OR($B73="",$C73&lt;&gt;"Ativo",$D73&lt;&gt;'Calc_Mix'!$C$34,'Calc_Mix'!$X$34=0,COUNTIFS(Esc_Turno,'Calc_Mix'!$C$34,Esc_Circ,$B73)+COUNTIFS(Esc_Turno,'Calc_Mix'!$C$34,Esc_Instr,$B73)&gt;0),"",IF(SUMPRODUCT('Calc_Mix'!$D$34:$W$34,'Matriz_Habilidades'!$D73:$W73)=0,"",SUMPRODUCT('Calc_Mix'!$D$34:$W$34,'Matriz_Habilidades'!$D73:$W73)/'Calc_Mix'!$X$34+ROW()*0.000001))</f>
        <v/>
      </c>
      <c r="AL73" s="34">
        <f>IF(OR($B73="",$C73&lt;&gt;"Ativo",$D73&lt;&gt;'Calc_Mix'!$C$35,'Calc_Mix'!$X$35=0,COUNTIFS(Esc_Turno,'Calc_Mix'!$C$35,Esc_Circ,$B73)+COUNTIFS(Esc_Turno,'Calc_Mix'!$C$35,Esc_Instr,$B73)&gt;0),"",IF(SUMPRODUCT('Calc_Mix'!$D$35:$W$35,'Matriz_Habilidades'!$D73:$W73)=0,"",SUMPRODUCT('Calc_Mix'!$D$35:$W$35,'Matriz_Habilidades'!$D73:$W73)/'Calc_Mix'!$X$35+ROW()*0.000001))</f>
        <v/>
      </c>
      <c r="AM73" s="34">
        <f>IF(OR($B73="",$C73&lt;&gt;"Ativo",$D73&lt;&gt;'Calc_Mix'!$C$36,'Calc_Mix'!$X$36=0,COUNTIFS(Esc_Turno,'Calc_Mix'!$C$36,Esc_Circ,$B73)+COUNTIFS(Esc_Turno,'Calc_Mix'!$C$36,Esc_Instr,$B73)&gt;0),"",IF(SUMPRODUCT('Calc_Mix'!$D$36:$W$36,'Matriz_Habilidades'!$D73:$W73)=0,"",SUMPRODUCT('Calc_Mix'!$D$36:$W$36,'Matriz_Habilidades'!$D73:$W73)/'Calc_Mix'!$X$36+ROW()*0.000001))</f>
        <v/>
      </c>
      <c r="AN73" s="34">
        <f>IF(OR($B73="",$C73&lt;&gt;"Ativo",$D73&lt;&gt;'Calc_Mix'!$C$37,'Calc_Mix'!$X$37=0,COUNTIFS(Esc_Turno,'Calc_Mix'!$C$37,Esc_Circ,$B73)+COUNTIFS(Esc_Turno,'Calc_Mix'!$C$37,Esc_Instr,$B73)&gt;0),"",IF(SUMPRODUCT('Calc_Mix'!$D$37:$W$37,'Matriz_Habilidades'!$D73:$W73)=0,"",SUMPRODUCT('Calc_Mix'!$D$37:$W$37,'Matriz_Habilidades'!$D73:$W73)/'Calc_Mix'!$X$37+ROW()*0.000001))</f>
        <v/>
      </c>
    </row>
    <row r="74">
      <c r="A74" s="27">
        <f>IF('Matriz_Habilidades'!A74="","",'Matriz_Habilidades'!A74)</f>
        <v/>
      </c>
      <c r="B74" s="28">
        <f>IF('Matriz_Habilidades'!B74="","",'Matriz_Habilidades'!B74)</f>
        <v/>
      </c>
      <c r="C74" s="27">
        <f>IF($A74="","",IFERROR(INDEX(Equipe_Status,MATCH($B74,Equipe_Nome,0)),"?"))</f>
        <v/>
      </c>
      <c r="D74" s="27">
        <f>IF($A74="","",IFERROR(INDEX(Equipe_Turno,MATCH($B74,Equipe_Nome,0)),"?"))</f>
        <v/>
      </c>
      <c r="E74" s="34">
        <f>IF(OR($B74="",$C74&lt;&gt;"Ativo",$D74&lt;&gt;'Calc_Mix'!$C$2,'Calc_Mix'!$X$2=0,COUNTIFS(Esc_Turno,'Calc_Mix'!$C$2,Esc_Circ,$B74)+COUNTIFS(Esc_Turno,'Calc_Mix'!$C$2,Esc_Instr,$B74)&gt;0),"",IF(SUMPRODUCT('Calc_Mix'!$D$2:$W$2,'Matriz_Habilidades'!$D74:$W74)=0,"",SUMPRODUCT('Calc_Mix'!$D$2:$W$2,'Matriz_Habilidades'!$D74:$W74)/'Calc_Mix'!$X$2+ROW()*0.000001))</f>
        <v/>
      </c>
      <c r="F74" s="34">
        <f>IF(OR($B74="",$C74&lt;&gt;"Ativo",$D74&lt;&gt;'Calc_Mix'!$C$3,'Calc_Mix'!$X$3=0,COUNTIFS(Esc_Turno,'Calc_Mix'!$C$3,Esc_Circ,$B74)+COUNTIFS(Esc_Turno,'Calc_Mix'!$C$3,Esc_Instr,$B74)&gt;0),"",IF(SUMPRODUCT('Calc_Mix'!$D$3:$W$3,'Matriz_Habilidades'!$D74:$W74)=0,"",SUMPRODUCT('Calc_Mix'!$D$3:$W$3,'Matriz_Habilidades'!$D74:$W74)/'Calc_Mix'!$X$3+ROW()*0.000001))</f>
        <v/>
      </c>
      <c r="G74" s="34">
        <f>IF(OR($B74="",$C74&lt;&gt;"Ativo",$D74&lt;&gt;'Calc_Mix'!$C$4,'Calc_Mix'!$X$4=0,COUNTIFS(Esc_Turno,'Calc_Mix'!$C$4,Esc_Circ,$B74)+COUNTIFS(Esc_Turno,'Calc_Mix'!$C$4,Esc_Instr,$B74)&gt;0),"",IF(SUMPRODUCT('Calc_Mix'!$D$4:$W$4,'Matriz_Habilidades'!$D74:$W74)=0,"",SUMPRODUCT('Calc_Mix'!$D$4:$W$4,'Matriz_Habilidades'!$D74:$W74)/'Calc_Mix'!$X$4+ROW()*0.000001))</f>
        <v/>
      </c>
      <c r="H74" s="34">
        <f>IF(OR($B74="",$C74&lt;&gt;"Ativo",$D74&lt;&gt;'Calc_Mix'!$C$5,'Calc_Mix'!$X$5=0,COUNTIFS(Esc_Turno,'Calc_Mix'!$C$5,Esc_Circ,$B74)+COUNTIFS(Esc_Turno,'Calc_Mix'!$C$5,Esc_Instr,$B74)&gt;0),"",IF(SUMPRODUCT('Calc_Mix'!$D$5:$W$5,'Matriz_Habilidades'!$D74:$W74)=0,"",SUMPRODUCT('Calc_Mix'!$D$5:$W$5,'Matriz_Habilidades'!$D74:$W74)/'Calc_Mix'!$X$5+ROW()*0.000001))</f>
        <v/>
      </c>
      <c r="I74" s="34">
        <f>IF(OR($B74="",$C74&lt;&gt;"Ativo",$D74&lt;&gt;'Calc_Mix'!$C$6,'Calc_Mix'!$X$6=0,COUNTIFS(Esc_Turno,'Calc_Mix'!$C$6,Esc_Circ,$B74)+COUNTIFS(Esc_Turno,'Calc_Mix'!$C$6,Esc_Instr,$B74)&gt;0),"",IF(SUMPRODUCT('Calc_Mix'!$D$6:$W$6,'Matriz_Habilidades'!$D74:$W74)=0,"",SUMPRODUCT('Calc_Mix'!$D$6:$W$6,'Matriz_Habilidades'!$D74:$W74)/'Calc_Mix'!$X$6+ROW()*0.000001))</f>
        <v/>
      </c>
      <c r="J74" s="34">
        <f>IF(OR($B74="",$C74&lt;&gt;"Ativo",$D74&lt;&gt;'Calc_Mix'!$C$7,'Calc_Mix'!$X$7=0,COUNTIFS(Esc_Turno,'Calc_Mix'!$C$7,Esc_Circ,$B74)+COUNTIFS(Esc_Turno,'Calc_Mix'!$C$7,Esc_Instr,$B74)&gt;0),"",IF(SUMPRODUCT('Calc_Mix'!$D$7:$W$7,'Matriz_Habilidades'!$D74:$W74)=0,"",SUMPRODUCT('Calc_Mix'!$D$7:$W$7,'Matriz_Habilidades'!$D74:$W74)/'Calc_Mix'!$X$7+ROW()*0.000001))</f>
        <v/>
      </c>
      <c r="K74" s="34">
        <f>IF(OR($B74="",$C74&lt;&gt;"Ativo",$D74&lt;&gt;'Calc_Mix'!$C$8,'Calc_Mix'!$X$8=0,COUNTIFS(Esc_Turno,'Calc_Mix'!$C$8,Esc_Circ,$B74)+COUNTIFS(Esc_Turno,'Calc_Mix'!$C$8,Esc_Instr,$B74)&gt;0),"",IF(SUMPRODUCT('Calc_Mix'!$D$8:$W$8,'Matriz_Habilidades'!$D74:$W74)=0,"",SUMPRODUCT('Calc_Mix'!$D$8:$W$8,'Matriz_Habilidades'!$D74:$W74)/'Calc_Mix'!$X$8+ROW()*0.000001))</f>
        <v/>
      </c>
      <c r="L74" s="34">
        <f>IF(OR($B74="",$C74&lt;&gt;"Ativo",$D74&lt;&gt;'Calc_Mix'!$C$9,'Calc_Mix'!$X$9=0,COUNTIFS(Esc_Turno,'Calc_Mix'!$C$9,Esc_Circ,$B74)+COUNTIFS(Esc_Turno,'Calc_Mix'!$C$9,Esc_Instr,$B74)&gt;0),"",IF(SUMPRODUCT('Calc_Mix'!$D$9:$W$9,'Matriz_Habilidades'!$D74:$W74)=0,"",SUMPRODUCT('Calc_Mix'!$D$9:$W$9,'Matriz_Habilidades'!$D74:$W74)/'Calc_Mix'!$X$9+ROW()*0.000001))</f>
        <v/>
      </c>
      <c r="M74" s="34">
        <f>IF(OR($B74="",$C74&lt;&gt;"Ativo",$D74&lt;&gt;'Calc_Mix'!$C$10,'Calc_Mix'!$X$10=0,COUNTIFS(Esc_Turno,'Calc_Mix'!$C$10,Esc_Circ,$B74)+COUNTIFS(Esc_Turno,'Calc_Mix'!$C$10,Esc_Instr,$B74)&gt;0),"",IF(SUMPRODUCT('Calc_Mix'!$D$10:$W$10,'Matriz_Habilidades'!$D74:$W74)=0,"",SUMPRODUCT('Calc_Mix'!$D$10:$W$10,'Matriz_Habilidades'!$D74:$W74)/'Calc_Mix'!$X$10+ROW()*0.000001))</f>
        <v/>
      </c>
      <c r="N74" s="34">
        <f>IF(OR($B74="",$C74&lt;&gt;"Ativo",$D74&lt;&gt;'Calc_Mix'!$C$11,'Calc_Mix'!$X$11=0,COUNTIFS(Esc_Turno,'Calc_Mix'!$C$11,Esc_Circ,$B74)+COUNTIFS(Esc_Turno,'Calc_Mix'!$C$11,Esc_Instr,$B74)&gt;0),"",IF(SUMPRODUCT('Calc_Mix'!$D$11:$W$11,'Matriz_Habilidades'!$D74:$W74)=0,"",SUMPRODUCT('Calc_Mix'!$D$11:$W$11,'Matriz_Habilidades'!$D74:$W74)/'Calc_Mix'!$X$11+ROW()*0.000001))</f>
        <v/>
      </c>
      <c r="O74" s="34">
        <f>IF(OR($B74="",$C74&lt;&gt;"Ativo",$D74&lt;&gt;'Calc_Mix'!$C$12,'Calc_Mix'!$X$12=0,COUNTIFS(Esc_Turno,'Calc_Mix'!$C$12,Esc_Circ,$B74)+COUNTIFS(Esc_Turno,'Calc_Mix'!$C$12,Esc_Instr,$B74)&gt;0),"",IF(SUMPRODUCT('Calc_Mix'!$D$12:$W$12,'Matriz_Habilidades'!$D74:$W74)=0,"",SUMPRODUCT('Calc_Mix'!$D$12:$W$12,'Matriz_Habilidades'!$D74:$W74)/'Calc_Mix'!$X$12+ROW()*0.000001))</f>
        <v/>
      </c>
      <c r="P74" s="34">
        <f>IF(OR($B74="",$C74&lt;&gt;"Ativo",$D74&lt;&gt;'Calc_Mix'!$C$13,'Calc_Mix'!$X$13=0,COUNTIFS(Esc_Turno,'Calc_Mix'!$C$13,Esc_Circ,$B74)+COUNTIFS(Esc_Turno,'Calc_Mix'!$C$13,Esc_Instr,$B74)&gt;0),"",IF(SUMPRODUCT('Calc_Mix'!$D$13:$W$13,'Matriz_Habilidades'!$D74:$W74)=0,"",SUMPRODUCT('Calc_Mix'!$D$13:$W$13,'Matriz_Habilidades'!$D74:$W74)/'Calc_Mix'!$X$13+ROW()*0.000001))</f>
        <v/>
      </c>
      <c r="Q74" s="34">
        <f>IF(OR($B74="",$C74&lt;&gt;"Ativo",$D74&lt;&gt;'Calc_Mix'!$C$14,'Calc_Mix'!$X$14=0,COUNTIFS(Esc_Turno,'Calc_Mix'!$C$14,Esc_Circ,$B74)+COUNTIFS(Esc_Turno,'Calc_Mix'!$C$14,Esc_Instr,$B74)&gt;0),"",IF(SUMPRODUCT('Calc_Mix'!$D$14:$W$14,'Matriz_Habilidades'!$D74:$W74)=0,"",SUMPRODUCT('Calc_Mix'!$D$14:$W$14,'Matriz_Habilidades'!$D74:$W74)/'Calc_Mix'!$X$14+ROW()*0.000001))</f>
        <v/>
      </c>
      <c r="R74" s="34">
        <f>IF(OR($B74="",$C74&lt;&gt;"Ativo",$D74&lt;&gt;'Calc_Mix'!$C$15,'Calc_Mix'!$X$15=0,COUNTIFS(Esc_Turno,'Calc_Mix'!$C$15,Esc_Circ,$B74)+COUNTIFS(Esc_Turno,'Calc_Mix'!$C$15,Esc_Instr,$B74)&gt;0),"",IF(SUMPRODUCT('Calc_Mix'!$D$15:$W$15,'Matriz_Habilidades'!$D74:$W74)=0,"",SUMPRODUCT('Calc_Mix'!$D$15:$W$15,'Matriz_Habilidades'!$D74:$W74)/'Calc_Mix'!$X$15+ROW()*0.000001))</f>
        <v/>
      </c>
      <c r="S74" s="34">
        <f>IF(OR($B74="",$C74&lt;&gt;"Ativo",$D74&lt;&gt;'Calc_Mix'!$C$16,'Calc_Mix'!$X$16=0,COUNTIFS(Esc_Turno,'Calc_Mix'!$C$16,Esc_Circ,$B74)+COUNTIFS(Esc_Turno,'Calc_Mix'!$C$16,Esc_Instr,$B74)&gt;0),"",IF(SUMPRODUCT('Calc_Mix'!$D$16:$W$16,'Matriz_Habilidades'!$D74:$W74)=0,"",SUMPRODUCT('Calc_Mix'!$D$16:$W$16,'Matriz_Habilidades'!$D74:$W74)/'Calc_Mix'!$X$16+ROW()*0.000001))</f>
        <v/>
      </c>
      <c r="T74" s="34">
        <f>IF(OR($B74="",$C74&lt;&gt;"Ativo",$D74&lt;&gt;'Calc_Mix'!$C$17,'Calc_Mix'!$X$17=0,COUNTIFS(Esc_Turno,'Calc_Mix'!$C$17,Esc_Circ,$B74)+COUNTIFS(Esc_Turno,'Calc_Mix'!$C$17,Esc_Instr,$B74)&gt;0),"",IF(SUMPRODUCT('Calc_Mix'!$D$17:$W$17,'Matriz_Habilidades'!$D74:$W74)=0,"",SUMPRODUCT('Calc_Mix'!$D$17:$W$17,'Matriz_Habilidades'!$D74:$W74)/'Calc_Mix'!$X$17+ROW()*0.000001))</f>
        <v/>
      </c>
      <c r="U74" s="34">
        <f>IF(OR($B74="",$C74&lt;&gt;"Ativo",$D74&lt;&gt;'Calc_Mix'!$C$18,'Calc_Mix'!$X$18=0,COUNTIFS(Esc_Turno,'Calc_Mix'!$C$18,Esc_Circ,$B74)+COUNTIFS(Esc_Turno,'Calc_Mix'!$C$18,Esc_Instr,$B74)&gt;0),"",IF(SUMPRODUCT('Calc_Mix'!$D$18:$W$18,'Matriz_Habilidades'!$D74:$W74)=0,"",SUMPRODUCT('Calc_Mix'!$D$18:$W$18,'Matriz_Habilidades'!$D74:$W74)/'Calc_Mix'!$X$18+ROW()*0.000001))</f>
        <v/>
      </c>
      <c r="V74" s="34">
        <f>IF(OR($B74="",$C74&lt;&gt;"Ativo",$D74&lt;&gt;'Calc_Mix'!$C$19,'Calc_Mix'!$X$19=0,COUNTIFS(Esc_Turno,'Calc_Mix'!$C$19,Esc_Circ,$B74)+COUNTIFS(Esc_Turno,'Calc_Mix'!$C$19,Esc_Instr,$B74)&gt;0),"",IF(SUMPRODUCT('Calc_Mix'!$D$19:$W$19,'Matriz_Habilidades'!$D74:$W74)=0,"",SUMPRODUCT('Calc_Mix'!$D$19:$W$19,'Matriz_Habilidades'!$D74:$W74)/'Calc_Mix'!$X$19+ROW()*0.000001))</f>
        <v/>
      </c>
      <c r="W74" s="34">
        <f>IF(OR($B74="",$C74&lt;&gt;"Ativo",$D74&lt;&gt;'Calc_Mix'!$C$20,'Calc_Mix'!$X$20=0,COUNTIFS(Esc_Turno,'Calc_Mix'!$C$20,Esc_Circ,$B74)+COUNTIFS(Esc_Turno,'Calc_Mix'!$C$20,Esc_Instr,$B74)&gt;0),"",IF(SUMPRODUCT('Calc_Mix'!$D$20:$W$20,'Matriz_Habilidades'!$D74:$W74)=0,"",SUMPRODUCT('Calc_Mix'!$D$20:$W$20,'Matriz_Habilidades'!$D74:$W74)/'Calc_Mix'!$X$20+ROW()*0.000001))</f>
        <v/>
      </c>
      <c r="X74" s="34">
        <f>IF(OR($B74="",$C74&lt;&gt;"Ativo",$D74&lt;&gt;'Calc_Mix'!$C$21,'Calc_Mix'!$X$21=0,COUNTIFS(Esc_Turno,'Calc_Mix'!$C$21,Esc_Circ,$B74)+COUNTIFS(Esc_Turno,'Calc_Mix'!$C$21,Esc_Instr,$B74)&gt;0),"",IF(SUMPRODUCT('Calc_Mix'!$D$21:$W$21,'Matriz_Habilidades'!$D74:$W74)=0,"",SUMPRODUCT('Calc_Mix'!$D$21:$W$21,'Matriz_Habilidades'!$D74:$W74)/'Calc_Mix'!$X$21+ROW()*0.000001))</f>
        <v/>
      </c>
      <c r="Y74" s="34">
        <f>IF(OR($B74="",$C74&lt;&gt;"Ativo",$D74&lt;&gt;'Calc_Mix'!$C$22,'Calc_Mix'!$X$22=0,COUNTIFS(Esc_Turno,'Calc_Mix'!$C$22,Esc_Circ,$B74)+COUNTIFS(Esc_Turno,'Calc_Mix'!$C$22,Esc_Instr,$B74)&gt;0),"",IF(SUMPRODUCT('Calc_Mix'!$D$22:$W$22,'Matriz_Habilidades'!$D74:$W74)=0,"",SUMPRODUCT('Calc_Mix'!$D$22:$W$22,'Matriz_Habilidades'!$D74:$W74)/'Calc_Mix'!$X$22+ROW()*0.000001))</f>
        <v/>
      </c>
      <c r="Z74" s="34">
        <f>IF(OR($B74="",$C74&lt;&gt;"Ativo",$D74&lt;&gt;'Calc_Mix'!$C$23,'Calc_Mix'!$X$23=0,COUNTIFS(Esc_Turno,'Calc_Mix'!$C$23,Esc_Circ,$B74)+COUNTIFS(Esc_Turno,'Calc_Mix'!$C$23,Esc_Instr,$B74)&gt;0),"",IF(SUMPRODUCT('Calc_Mix'!$D$23:$W$23,'Matriz_Habilidades'!$D74:$W74)=0,"",SUMPRODUCT('Calc_Mix'!$D$23:$W$23,'Matriz_Habilidades'!$D74:$W74)/'Calc_Mix'!$X$23+ROW()*0.000001))</f>
        <v/>
      </c>
      <c r="AA74" s="34">
        <f>IF(OR($B74="",$C74&lt;&gt;"Ativo",$D74&lt;&gt;'Calc_Mix'!$C$24,'Calc_Mix'!$X$24=0,COUNTIFS(Esc_Turno,'Calc_Mix'!$C$24,Esc_Circ,$B74)+COUNTIFS(Esc_Turno,'Calc_Mix'!$C$24,Esc_Instr,$B74)&gt;0),"",IF(SUMPRODUCT('Calc_Mix'!$D$24:$W$24,'Matriz_Habilidades'!$D74:$W74)=0,"",SUMPRODUCT('Calc_Mix'!$D$24:$W$24,'Matriz_Habilidades'!$D74:$W74)/'Calc_Mix'!$X$24+ROW()*0.000001))</f>
        <v/>
      </c>
      <c r="AB74" s="34">
        <f>IF(OR($B74="",$C74&lt;&gt;"Ativo",$D74&lt;&gt;'Calc_Mix'!$C$25,'Calc_Mix'!$X$25=0,COUNTIFS(Esc_Turno,'Calc_Mix'!$C$25,Esc_Circ,$B74)+COUNTIFS(Esc_Turno,'Calc_Mix'!$C$25,Esc_Instr,$B74)&gt;0),"",IF(SUMPRODUCT('Calc_Mix'!$D$25:$W$25,'Matriz_Habilidades'!$D74:$W74)=0,"",SUMPRODUCT('Calc_Mix'!$D$25:$W$25,'Matriz_Habilidades'!$D74:$W74)/'Calc_Mix'!$X$25+ROW()*0.000001))</f>
        <v/>
      </c>
      <c r="AC74" s="34">
        <f>IF(OR($B74="",$C74&lt;&gt;"Ativo",$D74&lt;&gt;'Calc_Mix'!$C$26,'Calc_Mix'!$X$26=0,COUNTIFS(Esc_Turno,'Calc_Mix'!$C$26,Esc_Circ,$B74)+COUNTIFS(Esc_Turno,'Calc_Mix'!$C$26,Esc_Instr,$B74)&gt;0),"",IF(SUMPRODUCT('Calc_Mix'!$D$26:$W$26,'Matriz_Habilidades'!$D74:$W74)=0,"",SUMPRODUCT('Calc_Mix'!$D$26:$W$26,'Matriz_Habilidades'!$D74:$W74)/'Calc_Mix'!$X$26+ROW()*0.000001))</f>
        <v/>
      </c>
      <c r="AD74" s="34">
        <f>IF(OR($B74="",$C74&lt;&gt;"Ativo",$D74&lt;&gt;'Calc_Mix'!$C$27,'Calc_Mix'!$X$27=0,COUNTIFS(Esc_Turno,'Calc_Mix'!$C$27,Esc_Circ,$B74)+COUNTIFS(Esc_Turno,'Calc_Mix'!$C$27,Esc_Instr,$B74)&gt;0),"",IF(SUMPRODUCT('Calc_Mix'!$D$27:$W$27,'Matriz_Habilidades'!$D74:$W74)=0,"",SUMPRODUCT('Calc_Mix'!$D$27:$W$27,'Matriz_Habilidades'!$D74:$W74)/'Calc_Mix'!$X$27+ROW()*0.000001))</f>
        <v/>
      </c>
      <c r="AE74" s="34">
        <f>IF(OR($B74="",$C74&lt;&gt;"Ativo",$D74&lt;&gt;'Calc_Mix'!$C$28,'Calc_Mix'!$X$28=0,COUNTIFS(Esc_Turno,'Calc_Mix'!$C$28,Esc_Circ,$B74)+COUNTIFS(Esc_Turno,'Calc_Mix'!$C$28,Esc_Instr,$B74)&gt;0),"",IF(SUMPRODUCT('Calc_Mix'!$D$28:$W$28,'Matriz_Habilidades'!$D74:$W74)=0,"",SUMPRODUCT('Calc_Mix'!$D$28:$W$28,'Matriz_Habilidades'!$D74:$W74)/'Calc_Mix'!$X$28+ROW()*0.000001))</f>
        <v/>
      </c>
      <c r="AF74" s="34">
        <f>IF(OR($B74="",$C74&lt;&gt;"Ativo",$D74&lt;&gt;'Calc_Mix'!$C$29,'Calc_Mix'!$X$29=0,COUNTIFS(Esc_Turno,'Calc_Mix'!$C$29,Esc_Circ,$B74)+COUNTIFS(Esc_Turno,'Calc_Mix'!$C$29,Esc_Instr,$B74)&gt;0),"",IF(SUMPRODUCT('Calc_Mix'!$D$29:$W$29,'Matriz_Habilidades'!$D74:$W74)=0,"",SUMPRODUCT('Calc_Mix'!$D$29:$W$29,'Matriz_Habilidades'!$D74:$W74)/'Calc_Mix'!$X$29+ROW()*0.000001))</f>
        <v/>
      </c>
      <c r="AG74" s="34">
        <f>IF(OR($B74="",$C74&lt;&gt;"Ativo",$D74&lt;&gt;'Calc_Mix'!$C$30,'Calc_Mix'!$X$30=0,COUNTIFS(Esc_Turno,'Calc_Mix'!$C$30,Esc_Circ,$B74)+COUNTIFS(Esc_Turno,'Calc_Mix'!$C$30,Esc_Instr,$B74)&gt;0),"",IF(SUMPRODUCT('Calc_Mix'!$D$30:$W$30,'Matriz_Habilidades'!$D74:$W74)=0,"",SUMPRODUCT('Calc_Mix'!$D$30:$W$30,'Matriz_Habilidades'!$D74:$W74)/'Calc_Mix'!$X$30+ROW()*0.000001))</f>
        <v/>
      </c>
      <c r="AH74" s="34">
        <f>IF(OR($B74="",$C74&lt;&gt;"Ativo",$D74&lt;&gt;'Calc_Mix'!$C$31,'Calc_Mix'!$X$31=0,COUNTIFS(Esc_Turno,'Calc_Mix'!$C$31,Esc_Circ,$B74)+COUNTIFS(Esc_Turno,'Calc_Mix'!$C$31,Esc_Instr,$B74)&gt;0),"",IF(SUMPRODUCT('Calc_Mix'!$D$31:$W$31,'Matriz_Habilidades'!$D74:$W74)=0,"",SUMPRODUCT('Calc_Mix'!$D$31:$W$31,'Matriz_Habilidades'!$D74:$W74)/'Calc_Mix'!$X$31+ROW()*0.000001))</f>
        <v/>
      </c>
      <c r="AI74" s="34">
        <f>IF(OR($B74="",$C74&lt;&gt;"Ativo",$D74&lt;&gt;'Calc_Mix'!$C$32,'Calc_Mix'!$X$32=0,COUNTIFS(Esc_Turno,'Calc_Mix'!$C$32,Esc_Circ,$B74)+COUNTIFS(Esc_Turno,'Calc_Mix'!$C$32,Esc_Instr,$B74)&gt;0),"",IF(SUMPRODUCT('Calc_Mix'!$D$32:$W$32,'Matriz_Habilidades'!$D74:$W74)=0,"",SUMPRODUCT('Calc_Mix'!$D$32:$W$32,'Matriz_Habilidades'!$D74:$W74)/'Calc_Mix'!$X$32+ROW()*0.000001))</f>
        <v/>
      </c>
      <c r="AJ74" s="34">
        <f>IF(OR($B74="",$C74&lt;&gt;"Ativo",$D74&lt;&gt;'Calc_Mix'!$C$33,'Calc_Mix'!$X$33=0,COUNTIFS(Esc_Turno,'Calc_Mix'!$C$33,Esc_Circ,$B74)+COUNTIFS(Esc_Turno,'Calc_Mix'!$C$33,Esc_Instr,$B74)&gt;0),"",IF(SUMPRODUCT('Calc_Mix'!$D$33:$W$33,'Matriz_Habilidades'!$D74:$W74)=0,"",SUMPRODUCT('Calc_Mix'!$D$33:$W$33,'Matriz_Habilidades'!$D74:$W74)/'Calc_Mix'!$X$33+ROW()*0.000001))</f>
        <v/>
      </c>
      <c r="AK74" s="34">
        <f>IF(OR($B74="",$C74&lt;&gt;"Ativo",$D74&lt;&gt;'Calc_Mix'!$C$34,'Calc_Mix'!$X$34=0,COUNTIFS(Esc_Turno,'Calc_Mix'!$C$34,Esc_Circ,$B74)+COUNTIFS(Esc_Turno,'Calc_Mix'!$C$34,Esc_Instr,$B74)&gt;0),"",IF(SUMPRODUCT('Calc_Mix'!$D$34:$W$34,'Matriz_Habilidades'!$D74:$W74)=0,"",SUMPRODUCT('Calc_Mix'!$D$34:$W$34,'Matriz_Habilidades'!$D74:$W74)/'Calc_Mix'!$X$34+ROW()*0.000001))</f>
        <v/>
      </c>
      <c r="AL74" s="34">
        <f>IF(OR($B74="",$C74&lt;&gt;"Ativo",$D74&lt;&gt;'Calc_Mix'!$C$35,'Calc_Mix'!$X$35=0,COUNTIFS(Esc_Turno,'Calc_Mix'!$C$35,Esc_Circ,$B74)+COUNTIFS(Esc_Turno,'Calc_Mix'!$C$35,Esc_Instr,$B74)&gt;0),"",IF(SUMPRODUCT('Calc_Mix'!$D$35:$W$35,'Matriz_Habilidades'!$D74:$W74)=0,"",SUMPRODUCT('Calc_Mix'!$D$35:$W$35,'Matriz_Habilidades'!$D74:$W74)/'Calc_Mix'!$X$35+ROW()*0.000001))</f>
        <v/>
      </c>
      <c r="AM74" s="34">
        <f>IF(OR($B74="",$C74&lt;&gt;"Ativo",$D74&lt;&gt;'Calc_Mix'!$C$36,'Calc_Mix'!$X$36=0,COUNTIFS(Esc_Turno,'Calc_Mix'!$C$36,Esc_Circ,$B74)+COUNTIFS(Esc_Turno,'Calc_Mix'!$C$36,Esc_Instr,$B74)&gt;0),"",IF(SUMPRODUCT('Calc_Mix'!$D$36:$W$36,'Matriz_Habilidades'!$D74:$W74)=0,"",SUMPRODUCT('Calc_Mix'!$D$36:$W$36,'Matriz_Habilidades'!$D74:$W74)/'Calc_Mix'!$X$36+ROW()*0.000001))</f>
        <v/>
      </c>
      <c r="AN74" s="34">
        <f>IF(OR($B74="",$C74&lt;&gt;"Ativo",$D74&lt;&gt;'Calc_Mix'!$C$37,'Calc_Mix'!$X$37=0,COUNTIFS(Esc_Turno,'Calc_Mix'!$C$37,Esc_Circ,$B74)+COUNTIFS(Esc_Turno,'Calc_Mix'!$C$37,Esc_Instr,$B74)&gt;0),"",IF(SUMPRODUCT('Calc_Mix'!$D$37:$W$37,'Matriz_Habilidades'!$D74:$W74)=0,"",SUMPRODUCT('Calc_Mix'!$D$37:$W$37,'Matriz_Habilidades'!$D74:$W74)/'Calc_Mix'!$X$37+ROW()*0.000001))</f>
        <v/>
      </c>
    </row>
    <row r="75">
      <c r="A75" s="27">
        <f>IF('Matriz_Habilidades'!A75="","",'Matriz_Habilidades'!A75)</f>
        <v/>
      </c>
      <c r="B75" s="28">
        <f>IF('Matriz_Habilidades'!B75="","",'Matriz_Habilidades'!B75)</f>
        <v/>
      </c>
      <c r="C75" s="27">
        <f>IF($A75="","",IFERROR(INDEX(Equipe_Status,MATCH($B75,Equipe_Nome,0)),"?"))</f>
        <v/>
      </c>
      <c r="D75" s="27">
        <f>IF($A75="","",IFERROR(INDEX(Equipe_Turno,MATCH($B75,Equipe_Nome,0)),"?"))</f>
        <v/>
      </c>
      <c r="E75" s="34">
        <f>IF(OR($B75="",$C75&lt;&gt;"Ativo",$D75&lt;&gt;'Calc_Mix'!$C$2,'Calc_Mix'!$X$2=0,COUNTIFS(Esc_Turno,'Calc_Mix'!$C$2,Esc_Circ,$B75)+COUNTIFS(Esc_Turno,'Calc_Mix'!$C$2,Esc_Instr,$B75)&gt;0),"",IF(SUMPRODUCT('Calc_Mix'!$D$2:$W$2,'Matriz_Habilidades'!$D75:$W75)=0,"",SUMPRODUCT('Calc_Mix'!$D$2:$W$2,'Matriz_Habilidades'!$D75:$W75)/'Calc_Mix'!$X$2+ROW()*0.000001))</f>
        <v/>
      </c>
      <c r="F75" s="34">
        <f>IF(OR($B75="",$C75&lt;&gt;"Ativo",$D75&lt;&gt;'Calc_Mix'!$C$3,'Calc_Mix'!$X$3=0,COUNTIFS(Esc_Turno,'Calc_Mix'!$C$3,Esc_Circ,$B75)+COUNTIFS(Esc_Turno,'Calc_Mix'!$C$3,Esc_Instr,$B75)&gt;0),"",IF(SUMPRODUCT('Calc_Mix'!$D$3:$W$3,'Matriz_Habilidades'!$D75:$W75)=0,"",SUMPRODUCT('Calc_Mix'!$D$3:$W$3,'Matriz_Habilidades'!$D75:$W75)/'Calc_Mix'!$X$3+ROW()*0.000001))</f>
        <v/>
      </c>
      <c r="G75" s="34">
        <f>IF(OR($B75="",$C75&lt;&gt;"Ativo",$D75&lt;&gt;'Calc_Mix'!$C$4,'Calc_Mix'!$X$4=0,COUNTIFS(Esc_Turno,'Calc_Mix'!$C$4,Esc_Circ,$B75)+COUNTIFS(Esc_Turno,'Calc_Mix'!$C$4,Esc_Instr,$B75)&gt;0),"",IF(SUMPRODUCT('Calc_Mix'!$D$4:$W$4,'Matriz_Habilidades'!$D75:$W75)=0,"",SUMPRODUCT('Calc_Mix'!$D$4:$W$4,'Matriz_Habilidades'!$D75:$W75)/'Calc_Mix'!$X$4+ROW()*0.000001))</f>
        <v/>
      </c>
      <c r="H75" s="34">
        <f>IF(OR($B75="",$C75&lt;&gt;"Ativo",$D75&lt;&gt;'Calc_Mix'!$C$5,'Calc_Mix'!$X$5=0,COUNTIFS(Esc_Turno,'Calc_Mix'!$C$5,Esc_Circ,$B75)+COUNTIFS(Esc_Turno,'Calc_Mix'!$C$5,Esc_Instr,$B75)&gt;0),"",IF(SUMPRODUCT('Calc_Mix'!$D$5:$W$5,'Matriz_Habilidades'!$D75:$W75)=0,"",SUMPRODUCT('Calc_Mix'!$D$5:$W$5,'Matriz_Habilidades'!$D75:$W75)/'Calc_Mix'!$X$5+ROW()*0.000001))</f>
        <v/>
      </c>
      <c r="I75" s="34">
        <f>IF(OR($B75="",$C75&lt;&gt;"Ativo",$D75&lt;&gt;'Calc_Mix'!$C$6,'Calc_Mix'!$X$6=0,COUNTIFS(Esc_Turno,'Calc_Mix'!$C$6,Esc_Circ,$B75)+COUNTIFS(Esc_Turno,'Calc_Mix'!$C$6,Esc_Instr,$B75)&gt;0),"",IF(SUMPRODUCT('Calc_Mix'!$D$6:$W$6,'Matriz_Habilidades'!$D75:$W75)=0,"",SUMPRODUCT('Calc_Mix'!$D$6:$W$6,'Matriz_Habilidades'!$D75:$W75)/'Calc_Mix'!$X$6+ROW()*0.000001))</f>
        <v/>
      </c>
      <c r="J75" s="34">
        <f>IF(OR($B75="",$C75&lt;&gt;"Ativo",$D75&lt;&gt;'Calc_Mix'!$C$7,'Calc_Mix'!$X$7=0,COUNTIFS(Esc_Turno,'Calc_Mix'!$C$7,Esc_Circ,$B75)+COUNTIFS(Esc_Turno,'Calc_Mix'!$C$7,Esc_Instr,$B75)&gt;0),"",IF(SUMPRODUCT('Calc_Mix'!$D$7:$W$7,'Matriz_Habilidades'!$D75:$W75)=0,"",SUMPRODUCT('Calc_Mix'!$D$7:$W$7,'Matriz_Habilidades'!$D75:$W75)/'Calc_Mix'!$X$7+ROW()*0.000001))</f>
        <v/>
      </c>
      <c r="K75" s="34">
        <f>IF(OR($B75="",$C75&lt;&gt;"Ativo",$D75&lt;&gt;'Calc_Mix'!$C$8,'Calc_Mix'!$X$8=0,COUNTIFS(Esc_Turno,'Calc_Mix'!$C$8,Esc_Circ,$B75)+COUNTIFS(Esc_Turno,'Calc_Mix'!$C$8,Esc_Instr,$B75)&gt;0),"",IF(SUMPRODUCT('Calc_Mix'!$D$8:$W$8,'Matriz_Habilidades'!$D75:$W75)=0,"",SUMPRODUCT('Calc_Mix'!$D$8:$W$8,'Matriz_Habilidades'!$D75:$W75)/'Calc_Mix'!$X$8+ROW()*0.000001))</f>
        <v/>
      </c>
      <c r="L75" s="34">
        <f>IF(OR($B75="",$C75&lt;&gt;"Ativo",$D75&lt;&gt;'Calc_Mix'!$C$9,'Calc_Mix'!$X$9=0,COUNTIFS(Esc_Turno,'Calc_Mix'!$C$9,Esc_Circ,$B75)+COUNTIFS(Esc_Turno,'Calc_Mix'!$C$9,Esc_Instr,$B75)&gt;0),"",IF(SUMPRODUCT('Calc_Mix'!$D$9:$W$9,'Matriz_Habilidades'!$D75:$W75)=0,"",SUMPRODUCT('Calc_Mix'!$D$9:$W$9,'Matriz_Habilidades'!$D75:$W75)/'Calc_Mix'!$X$9+ROW()*0.000001))</f>
        <v/>
      </c>
      <c r="M75" s="34">
        <f>IF(OR($B75="",$C75&lt;&gt;"Ativo",$D75&lt;&gt;'Calc_Mix'!$C$10,'Calc_Mix'!$X$10=0,COUNTIFS(Esc_Turno,'Calc_Mix'!$C$10,Esc_Circ,$B75)+COUNTIFS(Esc_Turno,'Calc_Mix'!$C$10,Esc_Instr,$B75)&gt;0),"",IF(SUMPRODUCT('Calc_Mix'!$D$10:$W$10,'Matriz_Habilidades'!$D75:$W75)=0,"",SUMPRODUCT('Calc_Mix'!$D$10:$W$10,'Matriz_Habilidades'!$D75:$W75)/'Calc_Mix'!$X$10+ROW()*0.000001))</f>
        <v/>
      </c>
      <c r="N75" s="34">
        <f>IF(OR($B75="",$C75&lt;&gt;"Ativo",$D75&lt;&gt;'Calc_Mix'!$C$11,'Calc_Mix'!$X$11=0,COUNTIFS(Esc_Turno,'Calc_Mix'!$C$11,Esc_Circ,$B75)+COUNTIFS(Esc_Turno,'Calc_Mix'!$C$11,Esc_Instr,$B75)&gt;0),"",IF(SUMPRODUCT('Calc_Mix'!$D$11:$W$11,'Matriz_Habilidades'!$D75:$W75)=0,"",SUMPRODUCT('Calc_Mix'!$D$11:$W$11,'Matriz_Habilidades'!$D75:$W75)/'Calc_Mix'!$X$11+ROW()*0.000001))</f>
        <v/>
      </c>
      <c r="O75" s="34">
        <f>IF(OR($B75="",$C75&lt;&gt;"Ativo",$D75&lt;&gt;'Calc_Mix'!$C$12,'Calc_Mix'!$X$12=0,COUNTIFS(Esc_Turno,'Calc_Mix'!$C$12,Esc_Circ,$B75)+COUNTIFS(Esc_Turno,'Calc_Mix'!$C$12,Esc_Instr,$B75)&gt;0),"",IF(SUMPRODUCT('Calc_Mix'!$D$12:$W$12,'Matriz_Habilidades'!$D75:$W75)=0,"",SUMPRODUCT('Calc_Mix'!$D$12:$W$12,'Matriz_Habilidades'!$D75:$W75)/'Calc_Mix'!$X$12+ROW()*0.000001))</f>
        <v/>
      </c>
      <c r="P75" s="34">
        <f>IF(OR($B75="",$C75&lt;&gt;"Ativo",$D75&lt;&gt;'Calc_Mix'!$C$13,'Calc_Mix'!$X$13=0,COUNTIFS(Esc_Turno,'Calc_Mix'!$C$13,Esc_Circ,$B75)+COUNTIFS(Esc_Turno,'Calc_Mix'!$C$13,Esc_Instr,$B75)&gt;0),"",IF(SUMPRODUCT('Calc_Mix'!$D$13:$W$13,'Matriz_Habilidades'!$D75:$W75)=0,"",SUMPRODUCT('Calc_Mix'!$D$13:$W$13,'Matriz_Habilidades'!$D75:$W75)/'Calc_Mix'!$X$13+ROW()*0.000001))</f>
        <v/>
      </c>
      <c r="Q75" s="34">
        <f>IF(OR($B75="",$C75&lt;&gt;"Ativo",$D75&lt;&gt;'Calc_Mix'!$C$14,'Calc_Mix'!$X$14=0,COUNTIFS(Esc_Turno,'Calc_Mix'!$C$14,Esc_Circ,$B75)+COUNTIFS(Esc_Turno,'Calc_Mix'!$C$14,Esc_Instr,$B75)&gt;0),"",IF(SUMPRODUCT('Calc_Mix'!$D$14:$W$14,'Matriz_Habilidades'!$D75:$W75)=0,"",SUMPRODUCT('Calc_Mix'!$D$14:$W$14,'Matriz_Habilidades'!$D75:$W75)/'Calc_Mix'!$X$14+ROW()*0.000001))</f>
        <v/>
      </c>
      <c r="R75" s="34">
        <f>IF(OR($B75="",$C75&lt;&gt;"Ativo",$D75&lt;&gt;'Calc_Mix'!$C$15,'Calc_Mix'!$X$15=0,COUNTIFS(Esc_Turno,'Calc_Mix'!$C$15,Esc_Circ,$B75)+COUNTIFS(Esc_Turno,'Calc_Mix'!$C$15,Esc_Instr,$B75)&gt;0),"",IF(SUMPRODUCT('Calc_Mix'!$D$15:$W$15,'Matriz_Habilidades'!$D75:$W75)=0,"",SUMPRODUCT('Calc_Mix'!$D$15:$W$15,'Matriz_Habilidades'!$D75:$W75)/'Calc_Mix'!$X$15+ROW()*0.000001))</f>
        <v/>
      </c>
      <c r="S75" s="34">
        <f>IF(OR($B75="",$C75&lt;&gt;"Ativo",$D75&lt;&gt;'Calc_Mix'!$C$16,'Calc_Mix'!$X$16=0,COUNTIFS(Esc_Turno,'Calc_Mix'!$C$16,Esc_Circ,$B75)+COUNTIFS(Esc_Turno,'Calc_Mix'!$C$16,Esc_Instr,$B75)&gt;0),"",IF(SUMPRODUCT('Calc_Mix'!$D$16:$W$16,'Matriz_Habilidades'!$D75:$W75)=0,"",SUMPRODUCT('Calc_Mix'!$D$16:$W$16,'Matriz_Habilidades'!$D75:$W75)/'Calc_Mix'!$X$16+ROW()*0.000001))</f>
        <v/>
      </c>
      <c r="T75" s="34">
        <f>IF(OR($B75="",$C75&lt;&gt;"Ativo",$D75&lt;&gt;'Calc_Mix'!$C$17,'Calc_Mix'!$X$17=0,COUNTIFS(Esc_Turno,'Calc_Mix'!$C$17,Esc_Circ,$B75)+COUNTIFS(Esc_Turno,'Calc_Mix'!$C$17,Esc_Instr,$B75)&gt;0),"",IF(SUMPRODUCT('Calc_Mix'!$D$17:$W$17,'Matriz_Habilidades'!$D75:$W75)=0,"",SUMPRODUCT('Calc_Mix'!$D$17:$W$17,'Matriz_Habilidades'!$D75:$W75)/'Calc_Mix'!$X$17+ROW()*0.000001))</f>
        <v/>
      </c>
      <c r="U75" s="34">
        <f>IF(OR($B75="",$C75&lt;&gt;"Ativo",$D75&lt;&gt;'Calc_Mix'!$C$18,'Calc_Mix'!$X$18=0,COUNTIFS(Esc_Turno,'Calc_Mix'!$C$18,Esc_Circ,$B75)+COUNTIFS(Esc_Turno,'Calc_Mix'!$C$18,Esc_Instr,$B75)&gt;0),"",IF(SUMPRODUCT('Calc_Mix'!$D$18:$W$18,'Matriz_Habilidades'!$D75:$W75)=0,"",SUMPRODUCT('Calc_Mix'!$D$18:$W$18,'Matriz_Habilidades'!$D75:$W75)/'Calc_Mix'!$X$18+ROW()*0.000001))</f>
        <v/>
      </c>
      <c r="V75" s="34">
        <f>IF(OR($B75="",$C75&lt;&gt;"Ativo",$D75&lt;&gt;'Calc_Mix'!$C$19,'Calc_Mix'!$X$19=0,COUNTIFS(Esc_Turno,'Calc_Mix'!$C$19,Esc_Circ,$B75)+COUNTIFS(Esc_Turno,'Calc_Mix'!$C$19,Esc_Instr,$B75)&gt;0),"",IF(SUMPRODUCT('Calc_Mix'!$D$19:$W$19,'Matriz_Habilidades'!$D75:$W75)=0,"",SUMPRODUCT('Calc_Mix'!$D$19:$W$19,'Matriz_Habilidades'!$D75:$W75)/'Calc_Mix'!$X$19+ROW()*0.000001))</f>
        <v/>
      </c>
      <c r="W75" s="34">
        <f>IF(OR($B75="",$C75&lt;&gt;"Ativo",$D75&lt;&gt;'Calc_Mix'!$C$20,'Calc_Mix'!$X$20=0,COUNTIFS(Esc_Turno,'Calc_Mix'!$C$20,Esc_Circ,$B75)+COUNTIFS(Esc_Turno,'Calc_Mix'!$C$20,Esc_Instr,$B75)&gt;0),"",IF(SUMPRODUCT('Calc_Mix'!$D$20:$W$20,'Matriz_Habilidades'!$D75:$W75)=0,"",SUMPRODUCT('Calc_Mix'!$D$20:$W$20,'Matriz_Habilidades'!$D75:$W75)/'Calc_Mix'!$X$20+ROW()*0.000001))</f>
        <v/>
      </c>
      <c r="X75" s="34">
        <f>IF(OR($B75="",$C75&lt;&gt;"Ativo",$D75&lt;&gt;'Calc_Mix'!$C$21,'Calc_Mix'!$X$21=0,COUNTIFS(Esc_Turno,'Calc_Mix'!$C$21,Esc_Circ,$B75)+COUNTIFS(Esc_Turno,'Calc_Mix'!$C$21,Esc_Instr,$B75)&gt;0),"",IF(SUMPRODUCT('Calc_Mix'!$D$21:$W$21,'Matriz_Habilidades'!$D75:$W75)=0,"",SUMPRODUCT('Calc_Mix'!$D$21:$W$21,'Matriz_Habilidades'!$D75:$W75)/'Calc_Mix'!$X$21+ROW()*0.000001))</f>
        <v/>
      </c>
      <c r="Y75" s="34">
        <f>IF(OR($B75="",$C75&lt;&gt;"Ativo",$D75&lt;&gt;'Calc_Mix'!$C$22,'Calc_Mix'!$X$22=0,COUNTIFS(Esc_Turno,'Calc_Mix'!$C$22,Esc_Circ,$B75)+COUNTIFS(Esc_Turno,'Calc_Mix'!$C$22,Esc_Instr,$B75)&gt;0),"",IF(SUMPRODUCT('Calc_Mix'!$D$22:$W$22,'Matriz_Habilidades'!$D75:$W75)=0,"",SUMPRODUCT('Calc_Mix'!$D$22:$W$22,'Matriz_Habilidades'!$D75:$W75)/'Calc_Mix'!$X$22+ROW()*0.000001))</f>
        <v/>
      </c>
      <c r="Z75" s="34">
        <f>IF(OR($B75="",$C75&lt;&gt;"Ativo",$D75&lt;&gt;'Calc_Mix'!$C$23,'Calc_Mix'!$X$23=0,COUNTIFS(Esc_Turno,'Calc_Mix'!$C$23,Esc_Circ,$B75)+COUNTIFS(Esc_Turno,'Calc_Mix'!$C$23,Esc_Instr,$B75)&gt;0),"",IF(SUMPRODUCT('Calc_Mix'!$D$23:$W$23,'Matriz_Habilidades'!$D75:$W75)=0,"",SUMPRODUCT('Calc_Mix'!$D$23:$W$23,'Matriz_Habilidades'!$D75:$W75)/'Calc_Mix'!$X$23+ROW()*0.000001))</f>
        <v/>
      </c>
      <c r="AA75" s="34">
        <f>IF(OR($B75="",$C75&lt;&gt;"Ativo",$D75&lt;&gt;'Calc_Mix'!$C$24,'Calc_Mix'!$X$24=0,COUNTIFS(Esc_Turno,'Calc_Mix'!$C$24,Esc_Circ,$B75)+COUNTIFS(Esc_Turno,'Calc_Mix'!$C$24,Esc_Instr,$B75)&gt;0),"",IF(SUMPRODUCT('Calc_Mix'!$D$24:$W$24,'Matriz_Habilidades'!$D75:$W75)=0,"",SUMPRODUCT('Calc_Mix'!$D$24:$W$24,'Matriz_Habilidades'!$D75:$W75)/'Calc_Mix'!$X$24+ROW()*0.000001))</f>
        <v/>
      </c>
      <c r="AB75" s="34">
        <f>IF(OR($B75="",$C75&lt;&gt;"Ativo",$D75&lt;&gt;'Calc_Mix'!$C$25,'Calc_Mix'!$X$25=0,COUNTIFS(Esc_Turno,'Calc_Mix'!$C$25,Esc_Circ,$B75)+COUNTIFS(Esc_Turno,'Calc_Mix'!$C$25,Esc_Instr,$B75)&gt;0),"",IF(SUMPRODUCT('Calc_Mix'!$D$25:$W$25,'Matriz_Habilidades'!$D75:$W75)=0,"",SUMPRODUCT('Calc_Mix'!$D$25:$W$25,'Matriz_Habilidades'!$D75:$W75)/'Calc_Mix'!$X$25+ROW()*0.000001))</f>
        <v/>
      </c>
      <c r="AC75" s="34">
        <f>IF(OR($B75="",$C75&lt;&gt;"Ativo",$D75&lt;&gt;'Calc_Mix'!$C$26,'Calc_Mix'!$X$26=0,COUNTIFS(Esc_Turno,'Calc_Mix'!$C$26,Esc_Circ,$B75)+COUNTIFS(Esc_Turno,'Calc_Mix'!$C$26,Esc_Instr,$B75)&gt;0),"",IF(SUMPRODUCT('Calc_Mix'!$D$26:$W$26,'Matriz_Habilidades'!$D75:$W75)=0,"",SUMPRODUCT('Calc_Mix'!$D$26:$W$26,'Matriz_Habilidades'!$D75:$W75)/'Calc_Mix'!$X$26+ROW()*0.000001))</f>
        <v/>
      </c>
      <c r="AD75" s="34">
        <f>IF(OR($B75="",$C75&lt;&gt;"Ativo",$D75&lt;&gt;'Calc_Mix'!$C$27,'Calc_Mix'!$X$27=0,COUNTIFS(Esc_Turno,'Calc_Mix'!$C$27,Esc_Circ,$B75)+COUNTIFS(Esc_Turno,'Calc_Mix'!$C$27,Esc_Instr,$B75)&gt;0),"",IF(SUMPRODUCT('Calc_Mix'!$D$27:$W$27,'Matriz_Habilidades'!$D75:$W75)=0,"",SUMPRODUCT('Calc_Mix'!$D$27:$W$27,'Matriz_Habilidades'!$D75:$W75)/'Calc_Mix'!$X$27+ROW()*0.000001))</f>
        <v/>
      </c>
      <c r="AE75" s="34">
        <f>IF(OR($B75="",$C75&lt;&gt;"Ativo",$D75&lt;&gt;'Calc_Mix'!$C$28,'Calc_Mix'!$X$28=0,COUNTIFS(Esc_Turno,'Calc_Mix'!$C$28,Esc_Circ,$B75)+COUNTIFS(Esc_Turno,'Calc_Mix'!$C$28,Esc_Instr,$B75)&gt;0),"",IF(SUMPRODUCT('Calc_Mix'!$D$28:$W$28,'Matriz_Habilidades'!$D75:$W75)=0,"",SUMPRODUCT('Calc_Mix'!$D$28:$W$28,'Matriz_Habilidades'!$D75:$W75)/'Calc_Mix'!$X$28+ROW()*0.000001))</f>
        <v/>
      </c>
      <c r="AF75" s="34">
        <f>IF(OR($B75="",$C75&lt;&gt;"Ativo",$D75&lt;&gt;'Calc_Mix'!$C$29,'Calc_Mix'!$X$29=0,COUNTIFS(Esc_Turno,'Calc_Mix'!$C$29,Esc_Circ,$B75)+COUNTIFS(Esc_Turno,'Calc_Mix'!$C$29,Esc_Instr,$B75)&gt;0),"",IF(SUMPRODUCT('Calc_Mix'!$D$29:$W$29,'Matriz_Habilidades'!$D75:$W75)=0,"",SUMPRODUCT('Calc_Mix'!$D$29:$W$29,'Matriz_Habilidades'!$D75:$W75)/'Calc_Mix'!$X$29+ROW()*0.000001))</f>
        <v/>
      </c>
      <c r="AG75" s="34">
        <f>IF(OR($B75="",$C75&lt;&gt;"Ativo",$D75&lt;&gt;'Calc_Mix'!$C$30,'Calc_Mix'!$X$30=0,COUNTIFS(Esc_Turno,'Calc_Mix'!$C$30,Esc_Circ,$B75)+COUNTIFS(Esc_Turno,'Calc_Mix'!$C$30,Esc_Instr,$B75)&gt;0),"",IF(SUMPRODUCT('Calc_Mix'!$D$30:$W$30,'Matriz_Habilidades'!$D75:$W75)=0,"",SUMPRODUCT('Calc_Mix'!$D$30:$W$30,'Matriz_Habilidades'!$D75:$W75)/'Calc_Mix'!$X$30+ROW()*0.000001))</f>
        <v/>
      </c>
      <c r="AH75" s="34">
        <f>IF(OR($B75="",$C75&lt;&gt;"Ativo",$D75&lt;&gt;'Calc_Mix'!$C$31,'Calc_Mix'!$X$31=0,COUNTIFS(Esc_Turno,'Calc_Mix'!$C$31,Esc_Circ,$B75)+COUNTIFS(Esc_Turno,'Calc_Mix'!$C$31,Esc_Instr,$B75)&gt;0),"",IF(SUMPRODUCT('Calc_Mix'!$D$31:$W$31,'Matriz_Habilidades'!$D75:$W75)=0,"",SUMPRODUCT('Calc_Mix'!$D$31:$W$31,'Matriz_Habilidades'!$D75:$W75)/'Calc_Mix'!$X$31+ROW()*0.000001))</f>
        <v/>
      </c>
      <c r="AI75" s="34">
        <f>IF(OR($B75="",$C75&lt;&gt;"Ativo",$D75&lt;&gt;'Calc_Mix'!$C$32,'Calc_Mix'!$X$32=0,COUNTIFS(Esc_Turno,'Calc_Mix'!$C$32,Esc_Circ,$B75)+COUNTIFS(Esc_Turno,'Calc_Mix'!$C$32,Esc_Instr,$B75)&gt;0),"",IF(SUMPRODUCT('Calc_Mix'!$D$32:$W$32,'Matriz_Habilidades'!$D75:$W75)=0,"",SUMPRODUCT('Calc_Mix'!$D$32:$W$32,'Matriz_Habilidades'!$D75:$W75)/'Calc_Mix'!$X$32+ROW()*0.000001))</f>
        <v/>
      </c>
      <c r="AJ75" s="34">
        <f>IF(OR($B75="",$C75&lt;&gt;"Ativo",$D75&lt;&gt;'Calc_Mix'!$C$33,'Calc_Mix'!$X$33=0,COUNTIFS(Esc_Turno,'Calc_Mix'!$C$33,Esc_Circ,$B75)+COUNTIFS(Esc_Turno,'Calc_Mix'!$C$33,Esc_Instr,$B75)&gt;0),"",IF(SUMPRODUCT('Calc_Mix'!$D$33:$W$33,'Matriz_Habilidades'!$D75:$W75)=0,"",SUMPRODUCT('Calc_Mix'!$D$33:$W$33,'Matriz_Habilidades'!$D75:$W75)/'Calc_Mix'!$X$33+ROW()*0.000001))</f>
        <v/>
      </c>
      <c r="AK75" s="34">
        <f>IF(OR($B75="",$C75&lt;&gt;"Ativo",$D75&lt;&gt;'Calc_Mix'!$C$34,'Calc_Mix'!$X$34=0,COUNTIFS(Esc_Turno,'Calc_Mix'!$C$34,Esc_Circ,$B75)+COUNTIFS(Esc_Turno,'Calc_Mix'!$C$34,Esc_Instr,$B75)&gt;0),"",IF(SUMPRODUCT('Calc_Mix'!$D$34:$W$34,'Matriz_Habilidades'!$D75:$W75)=0,"",SUMPRODUCT('Calc_Mix'!$D$34:$W$34,'Matriz_Habilidades'!$D75:$W75)/'Calc_Mix'!$X$34+ROW()*0.000001))</f>
        <v/>
      </c>
      <c r="AL75" s="34">
        <f>IF(OR($B75="",$C75&lt;&gt;"Ativo",$D75&lt;&gt;'Calc_Mix'!$C$35,'Calc_Mix'!$X$35=0,COUNTIFS(Esc_Turno,'Calc_Mix'!$C$35,Esc_Circ,$B75)+COUNTIFS(Esc_Turno,'Calc_Mix'!$C$35,Esc_Instr,$B75)&gt;0),"",IF(SUMPRODUCT('Calc_Mix'!$D$35:$W$35,'Matriz_Habilidades'!$D75:$W75)=0,"",SUMPRODUCT('Calc_Mix'!$D$35:$W$35,'Matriz_Habilidades'!$D75:$W75)/'Calc_Mix'!$X$35+ROW()*0.000001))</f>
        <v/>
      </c>
      <c r="AM75" s="34">
        <f>IF(OR($B75="",$C75&lt;&gt;"Ativo",$D75&lt;&gt;'Calc_Mix'!$C$36,'Calc_Mix'!$X$36=0,COUNTIFS(Esc_Turno,'Calc_Mix'!$C$36,Esc_Circ,$B75)+COUNTIFS(Esc_Turno,'Calc_Mix'!$C$36,Esc_Instr,$B75)&gt;0),"",IF(SUMPRODUCT('Calc_Mix'!$D$36:$W$36,'Matriz_Habilidades'!$D75:$W75)=0,"",SUMPRODUCT('Calc_Mix'!$D$36:$W$36,'Matriz_Habilidades'!$D75:$W75)/'Calc_Mix'!$X$36+ROW()*0.000001))</f>
        <v/>
      </c>
      <c r="AN75" s="34">
        <f>IF(OR($B75="",$C75&lt;&gt;"Ativo",$D75&lt;&gt;'Calc_Mix'!$C$37,'Calc_Mix'!$X$37=0,COUNTIFS(Esc_Turno,'Calc_Mix'!$C$37,Esc_Circ,$B75)+COUNTIFS(Esc_Turno,'Calc_Mix'!$C$37,Esc_Instr,$B75)&gt;0),"",IF(SUMPRODUCT('Calc_Mix'!$D$37:$W$37,'Matriz_Habilidades'!$D75:$W75)=0,"",SUMPRODUCT('Calc_Mix'!$D$37:$W$37,'Matriz_Habilidades'!$D75:$W75)/'Calc_Mix'!$X$37+ROW()*0.000001))</f>
        <v/>
      </c>
    </row>
    <row r="76">
      <c r="A76" s="27">
        <f>IF('Matriz_Habilidades'!A76="","",'Matriz_Habilidades'!A76)</f>
        <v/>
      </c>
      <c r="B76" s="28">
        <f>IF('Matriz_Habilidades'!B76="","",'Matriz_Habilidades'!B76)</f>
        <v/>
      </c>
      <c r="C76" s="27">
        <f>IF($A76="","",IFERROR(INDEX(Equipe_Status,MATCH($B76,Equipe_Nome,0)),"?"))</f>
        <v/>
      </c>
      <c r="D76" s="27">
        <f>IF($A76="","",IFERROR(INDEX(Equipe_Turno,MATCH($B76,Equipe_Nome,0)),"?"))</f>
        <v/>
      </c>
      <c r="E76" s="34">
        <f>IF(OR($B76="",$C76&lt;&gt;"Ativo",$D76&lt;&gt;'Calc_Mix'!$C$2,'Calc_Mix'!$X$2=0,COUNTIFS(Esc_Turno,'Calc_Mix'!$C$2,Esc_Circ,$B76)+COUNTIFS(Esc_Turno,'Calc_Mix'!$C$2,Esc_Instr,$B76)&gt;0),"",IF(SUMPRODUCT('Calc_Mix'!$D$2:$W$2,'Matriz_Habilidades'!$D76:$W76)=0,"",SUMPRODUCT('Calc_Mix'!$D$2:$W$2,'Matriz_Habilidades'!$D76:$W76)/'Calc_Mix'!$X$2+ROW()*0.000001))</f>
        <v/>
      </c>
      <c r="F76" s="34">
        <f>IF(OR($B76="",$C76&lt;&gt;"Ativo",$D76&lt;&gt;'Calc_Mix'!$C$3,'Calc_Mix'!$X$3=0,COUNTIFS(Esc_Turno,'Calc_Mix'!$C$3,Esc_Circ,$B76)+COUNTIFS(Esc_Turno,'Calc_Mix'!$C$3,Esc_Instr,$B76)&gt;0),"",IF(SUMPRODUCT('Calc_Mix'!$D$3:$W$3,'Matriz_Habilidades'!$D76:$W76)=0,"",SUMPRODUCT('Calc_Mix'!$D$3:$W$3,'Matriz_Habilidades'!$D76:$W76)/'Calc_Mix'!$X$3+ROW()*0.000001))</f>
        <v/>
      </c>
      <c r="G76" s="34">
        <f>IF(OR($B76="",$C76&lt;&gt;"Ativo",$D76&lt;&gt;'Calc_Mix'!$C$4,'Calc_Mix'!$X$4=0,COUNTIFS(Esc_Turno,'Calc_Mix'!$C$4,Esc_Circ,$B76)+COUNTIFS(Esc_Turno,'Calc_Mix'!$C$4,Esc_Instr,$B76)&gt;0),"",IF(SUMPRODUCT('Calc_Mix'!$D$4:$W$4,'Matriz_Habilidades'!$D76:$W76)=0,"",SUMPRODUCT('Calc_Mix'!$D$4:$W$4,'Matriz_Habilidades'!$D76:$W76)/'Calc_Mix'!$X$4+ROW()*0.000001))</f>
        <v/>
      </c>
      <c r="H76" s="34">
        <f>IF(OR($B76="",$C76&lt;&gt;"Ativo",$D76&lt;&gt;'Calc_Mix'!$C$5,'Calc_Mix'!$X$5=0,COUNTIFS(Esc_Turno,'Calc_Mix'!$C$5,Esc_Circ,$B76)+COUNTIFS(Esc_Turno,'Calc_Mix'!$C$5,Esc_Instr,$B76)&gt;0),"",IF(SUMPRODUCT('Calc_Mix'!$D$5:$W$5,'Matriz_Habilidades'!$D76:$W76)=0,"",SUMPRODUCT('Calc_Mix'!$D$5:$W$5,'Matriz_Habilidades'!$D76:$W76)/'Calc_Mix'!$X$5+ROW()*0.000001))</f>
        <v/>
      </c>
      <c r="I76" s="34">
        <f>IF(OR($B76="",$C76&lt;&gt;"Ativo",$D76&lt;&gt;'Calc_Mix'!$C$6,'Calc_Mix'!$X$6=0,COUNTIFS(Esc_Turno,'Calc_Mix'!$C$6,Esc_Circ,$B76)+COUNTIFS(Esc_Turno,'Calc_Mix'!$C$6,Esc_Instr,$B76)&gt;0),"",IF(SUMPRODUCT('Calc_Mix'!$D$6:$W$6,'Matriz_Habilidades'!$D76:$W76)=0,"",SUMPRODUCT('Calc_Mix'!$D$6:$W$6,'Matriz_Habilidades'!$D76:$W76)/'Calc_Mix'!$X$6+ROW()*0.000001))</f>
        <v/>
      </c>
      <c r="J76" s="34">
        <f>IF(OR($B76="",$C76&lt;&gt;"Ativo",$D76&lt;&gt;'Calc_Mix'!$C$7,'Calc_Mix'!$X$7=0,COUNTIFS(Esc_Turno,'Calc_Mix'!$C$7,Esc_Circ,$B76)+COUNTIFS(Esc_Turno,'Calc_Mix'!$C$7,Esc_Instr,$B76)&gt;0),"",IF(SUMPRODUCT('Calc_Mix'!$D$7:$W$7,'Matriz_Habilidades'!$D76:$W76)=0,"",SUMPRODUCT('Calc_Mix'!$D$7:$W$7,'Matriz_Habilidades'!$D76:$W76)/'Calc_Mix'!$X$7+ROW()*0.000001))</f>
        <v/>
      </c>
      <c r="K76" s="34">
        <f>IF(OR($B76="",$C76&lt;&gt;"Ativo",$D76&lt;&gt;'Calc_Mix'!$C$8,'Calc_Mix'!$X$8=0,COUNTIFS(Esc_Turno,'Calc_Mix'!$C$8,Esc_Circ,$B76)+COUNTIFS(Esc_Turno,'Calc_Mix'!$C$8,Esc_Instr,$B76)&gt;0),"",IF(SUMPRODUCT('Calc_Mix'!$D$8:$W$8,'Matriz_Habilidades'!$D76:$W76)=0,"",SUMPRODUCT('Calc_Mix'!$D$8:$W$8,'Matriz_Habilidades'!$D76:$W76)/'Calc_Mix'!$X$8+ROW()*0.000001))</f>
        <v/>
      </c>
      <c r="L76" s="34">
        <f>IF(OR($B76="",$C76&lt;&gt;"Ativo",$D76&lt;&gt;'Calc_Mix'!$C$9,'Calc_Mix'!$X$9=0,COUNTIFS(Esc_Turno,'Calc_Mix'!$C$9,Esc_Circ,$B76)+COUNTIFS(Esc_Turno,'Calc_Mix'!$C$9,Esc_Instr,$B76)&gt;0),"",IF(SUMPRODUCT('Calc_Mix'!$D$9:$W$9,'Matriz_Habilidades'!$D76:$W76)=0,"",SUMPRODUCT('Calc_Mix'!$D$9:$W$9,'Matriz_Habilidades'!$D76:$W76)/'Calc_Mix'!$X$9+ROW()*0.000001))</f>
        <v/>
      </c>
      <c r="M76" s="34">
        <f>IF(OR($B76="",$C76&lt;&gt;"Ativo",$D76&lt;&gt;'Calc_Mix'!$C$10,'Calc_Mix'!$X$10=0,COUNTIFS(Esc_Turno,'Calc_Mix'!$C$10,Esc_Circ,$B76)+COUNTIFS(Esc_Turno,'Calc_Mix'!$C$10,Esc_Instr,$B76)&gt;0),"",IF(SUMPRODUCT('Calc_Mix'!$D$10:$W$10,'Matriz_Habilidades'!$D76:$W76)=0,"",SUMPRODUCT('Calc_Mix'!$D$10:$W$10,'Matriz_Habilidades'!$D76:$W76)/'Calc_Mix'!$X$10+ROW()*0.000001))</f>
        <v/>
      </c>
      <c r="N76" s="34">
        <f>IF(OR($B76="",$C76&lt;&gt;"Ativo",$D76&lt;&gt;'Calc_Mix'!$C$11,'Calc_Mix'!$X$11=0,COUNTIFS(Esc_Turno,'Calc_Mix'!$C$11,Esc_Circ,$B76)+COUNTIFS(Esc_Turno,'Calc_Mix'!$C$11,Esc_Instr,$B76)&gt;0),"",IF(SUMPRODUCT('Calc_Mix'!$D$11:$W$11,'Matriz_Habilidades'!$D76:$W76)=0,"",SUMPRODUCT('Calc_Mix'!$D$11:$W$11,'Matriz_Habilidades'!$D76:$W76)/'Calc_Mix'!$X$11+ROW()*0.000001))</f>
        <v/>
      </c>
      <c r="O76" s="34">
        <f>IF(OR($B76="",$C76&lt;&gt;"Ativo",$D76&lt;&gt;'Calc_Mix'!$C$12,'Calc_Mix'!$X$12=0,COUNTIFS(Esc_Turno,'Calc_Mix'!$C$12,Esc_Circ,$B76)+COUNTIFS(Esc_Turno,'Calc_Mix'!$C$12,Esc_Instr,$B76)&gt;0),"",IF(SUMPRODUCT('Calc_Mix'!$D$12:$W$12,'Matriz_Habilidades'!$D76:$W76)=0,"",SUMPRODUCT('Calc_Mix'!$D$12:$W$12,'Matriz_Habilidades'!$D76:$W76)/'Calc_Mix'!$X$12+ROW()*0.000001))</f>
        <v/>
      </c>
      <c r="P76" s="34">
        <f>IF(OR($B76="",$C76&lt;&gt;"Ativo",$D76&lt;&gt;'Calc_Mix'!$C$13,'Calc_Mix'!$X$13=0,COUNTIFS(Esc_Turno,'Calc_Mix'!$C$13,Esc_Circ,$B76)+COUNTIFS(Esc_Turno,'Calc_Mix'!$C$13,Esc_Instr,$B76)&gt;0),"",IF(SUMPRODUCT('Calc_Mix'!$D$13:$W$13,'Matriz_Habilidades'!$D76:$W76)=0,"",SUMPRODUCT('Calc_Mix'!$D$13:$W$13,'Matriz_Habilidades'!$D76:$W76)/'Calc_Mix'!$X$13+ROW()*0.000001))</f>
        <v/>
      </c>
      <c r="Q76" s="34">
        <f>IF(OR($B76="",$C76&lt;&gt;"Ativo",$D76&lt;&gt;'Calc_Mix'!$C$14,'Calc_Mix'!$X$14=0,COUNTIFS(Esc_Turno,'Calc_Mix'!$C$14,Esc_Circ,$B76)+COUNTIFS(Esc_Turno,'Calc_Mix'!$C$14,Esc_Instr,$B76)&gt;0),"",IF(SUMPRODUCT('Calc_Mix'!$D$14:$W$14,'Matriz_Habilidades'!$D76:$W76)=0,"",SUMPRODUCT('Calc_Mix'!$D$14:$W$14,'Matriz_Habilidades'!$D76:$W76)/'Calc_Mix'!$X$14+ROW()*0.000001))</f>
        <v/>
      </c>
      <c r="R76" s="34">
        <f>IF(OR($B76="",$C76&lt;&gt;"Ativo",$D76&lt;&gt;'Calc_Mix'!$C$15,'Calc_Mix'!$X$15=0,COUNTIFS(Esc_Turno,'Calc_Mix'!$C$15,Esc_Circ,$B76)+COUNTIFS(Esc_Turno,'Calc_Mix'!$C$15,Esc_Instr,$B76)&gt;0),"",IF(SUMPRODUCT('Calc_Mix'!$D$15:$W$15,'Matriz_Habilidades'!$D76:$W76)=0,"",SUMPRODUCT('Calc_Mix'!$D$15:$W$15,'Matriz_Habilidades'!$D76:$W76)/'Calc_Mix'!$X$15+ROW()*0.000001))</f>
        <v/>
      </c>
      <c r="S76" s="34">
        <f>IF(OR($B76="",$C76&lt;&gt;"Ativo",$D76&lt;&gt;'Calc_Mix'!$C$16,'Calc_Mix'!$X$16=0,COUNTIFS(Esc_Turno,'Calc_Mix'!$C$16,Esc_Circ,$B76)+COUNTIFS(Esc_Turno,'Calc_Mix'!$C$16,Esc_Instr,$B76)&gt;0),"",IF(SUMPRODUCT('Calc_Mix'!$D$16:$W$16,'Matriz_Habilidades'!$D76:$W76)=0,"",SUMPRODUCT('Calc_Mix'!$D$16:$W$16,'Matriz_Habilidades'!$D76:$W76)/'Calc_Mix'!$X$16+ROW()*0.000001))</f>
        <v/>
      </c>
      <c r="T76" s="34">
        <f>IF(OR($B76="",$C76&lt;&gt;"Ativo",$D76&lt;&gt;'Calc_Mix'!$C$17,'Calc_Mix'!$X$17=0,COUNTIFS(Esc_Turno,'Calc_Mix'!$C$17,Esc_Circ,$B76)+COUNTIFS(Esc_Turno,'Calc_Mix'!$C$17,Esc_Instr,$B76)&gt;0),"",IF(SUMPRODUCT('Calc_Mix'!$D$17:$W$17,'Matriz_Habilidades'!$D76:$W76)=0,"",SUMPRODUCT('Calc_Mix'!$D$17:$W$17,'Matriz_Habilidades'!$D76:$W76)/'Calc_Mix'!$X$17+ROW()*0.000001))</f>
        <v/>
      </c>
      <c r="U76" s="34">
        <f>IF(OR($B76="",$C76&lt;&gt;"Ativo",$D76&lt;&gt;'Calc_Mix'!$C$18,'Calc_Mix'!$X$18=0,COUNTIFS(Esc_Turno,'Calc_Mix'!$C$18,Esc_Circ,$B76)+COUNTIFS(Esc_Turno,'Calc_Mix'!$C$18,Esc_Instr,$B76)&gt;0),"",IF(SUMPRODUCT('Calc_Mix'!$D$18:$W$18,'Matriz_Habilidades'!$D76:$W76)=0,"",SUMPRODUCT('Calc_Mix'!$D$18:$W$18,'Matriz_Habilidades'!$D76:$W76)/'Calc_Mix'!$X$18+ROW()*0.000001))</f>
        <v/>
      </c>
      <c r="V76" s="34">
        <f>IF(OR($B76="",$C76&lt;&gt;"Ativo",$D76&lt;&gt;'Calc_Mix'!$C$19,'Calc_Mix'!$X$19=0,COUNTIFS(Esc_Turno,'Calc_Mix'!$C$19,Esc_Circ,$B76)+COUNTIFS(Esc_Turno,'Calc_Mix'!$C$19,Esc_Instr,$B76)&gt;0),"",IF(SUMPRODUCT('Calc_Mix'!$D$19:$W$19,'Matriz_Habilidades'!$D76:$W76)=0,"",SUMPRODUCT('Calc_Mix'!$D$19:$W$19,'Matriz_Habilidades'!$D76:$W76)/'Calc_Mix'!$X$19+ROW()*0.000001))</f>
        <v/>
      </c>
      <c r="W76" s="34">
        <f>IF(OR($B76="",$C76&lt;&gt;"Ativo",$D76&lt;&gt;'Calc_Mix'!$C$20,'Calc_Mix'!$X$20=0,COUNTIFS(Esc_Turno,'Calc_Mix'!$C$20,Esc_Circ,$B76)+COUNTIFS(Esc_Turno,'Calc_Mix'!$C$20,Esc_Instr,$B76)&gt;0),"",IF(SUMPRODUCT('Calc_Mix'!$D$20:$W$20,'Matriz_Habilidades'!$D76:$W76)=0,"",SUMPRODUCT('Calc_Mix'!$D$20:$W$20,'Matriz_Habilidades'!$D76:$W76)/'Calc_Mix'!$X$20+ROW()*0.000001))</f>
        <v/>
      </c>
      <c r="X76" s="34">
        <f>IF(OR($B76="",$C76&lt;&gt;"Ativo",$D76&lt;&gt;'Calc_Mix'!$C$21,'Calc_Mix'!$X$21=0,COUNTIFS(Esc_Turno,'Calc_Mix'!$C$21,Esc_Circ,$B76)+COUNTIFS(Esc_Turno,'Calc_Mix'!$C$21,Esc_Instr,$B76)&gt;0),"",IF(SUMPRODUCT('Calc_Mix'!$D$21:$W$21,'Matriz_Habilidades'!$D76:$W76)=0,"",SUMPRODUCT('Calc_Mix'!$D$21:$W$21,'Matriz_Habilidades'!$D76:$W76)/'Calc_Mix'!$X$21+ROW()*0.000001))</f>
        <v/>
      </c>
      <c r="Y76" s="34">
        <f>IF(OR($B76="",$C76&lt;&gt;"Ativo",$D76&lt;&gt;'Calc_Mix'!$C$22,'Calc_Mix'!$X$22=0,COUNTIFS(Esc_Turno,'Calc_Mix'!$C$22,Esc_Circ,$B76)+COUNTIFS(Esc_Turno,'Calc_Mix'!$C$22,Esc_Instr,$B76)&gt;0),"",IF(SUMPRODUCT('Calc_Mix'!$D$22:$W$22,'Matriz_Habilidades'!$D76:$W76)=0,"",SUMPRODUCT('Calc_Mix'!$D$22:$W$22,'Matriz_Habilidades'!$D76:$W76)/'Calc_Mix'!$X$22+ROW()*0.000001))</f>
        <v/>
      </c>
      <c r="Z76" s="34">
        <f>IF(OR($B76="",$C76&lt;&gt;"Ativo",$D76&lt;&gt;'Calc_Mix'!$C$23,'Calc_Mix'!$X$23=0,COUNTIFS(Esc_Turno,'Calc_Mix'!$C$23,Esc_Circ,$B76)+COUNTIFS(Esc_Turno,'Calc_Mix'!$C$23,Esc_Instr,$B76)&gt;0),"",IF(SUMPRODUCT('Calc_Mix'!$D$23:$W$23,'Matriz_Habilidades'!$D76:$W76)=0,"",SUMPRODUCT('Calc_Mix'!$D$23:$W$23,'Matriz_Habilidades'!$D76:$W76)/'Calc_Mix'!$X$23+ROW()*0.000001))</f>
        <v/>
      </c>
      <c r="AA76" s="34">
        <f>IF(OR($B76="",$C76&lt;&gt;"Ativo",$D76&lt;&gt;'Calc_Mix'!$C$24,'Calc_Mix'!$X$24=0,COUNTIFS(Esc_Turno,'Calc_Mix'!$C$24,Esc_Circ,$B76)+COUNTIFS(Esc_Turno,'Calc_Mix'!$C$24,Esc_Instr,$B76)&gt;0),"",IF(SUMPRODUCT('Calc_Mix'!$D$24:$W$24,'Matriz_Habilidades'!$D76:$W76)=0,"",SUMPRODUCT('Calc_Mix'!$D$24:$W$24,'Matriz_Habilidades'!$D76:$W76)/'Calc_Mix'!$X$24+ROW()*0.000001))</f>
        <v/>
      </c>
      <c r="AB76" s="34">
        <f>IF(OR($B76="",$C76&lt;&gt;"Ativo",$D76&lt;&gt;'Calc_Mix'!$C$25,'Calc_Mix'!$X$25=0,COUNTIFS(Esc_Turno,'Calc_Mix'!$C$25,Esc_Circ,$B76)+COUNTIFS(Esc_Turno,'Calc_Mix'!$C$25,Esc_Instr,$B76)&gt;0),"",IF(SUMPRODUCT('Calc_Mix'!$D$25:$W$25,'Matriz_Habilidades'!$D76:$W76)=0,"",SUMPRODUCT('Calc_Mix'!$D$25:$W$25,'Matriz_Habilidades'!$D76:$W76)/'Calc_Mix'!$X$25+ROW()*0.000001))</f>
        <v/>
      </c>
      <c r="AC76" s="34">
        <f>IF(OR($B76="",$C76&lt;&gt;"Ativo",$D76&lt;&gt;'Calc_Mix'!$C$26,'Calc_Mix'!$X$26=0,COUNTIFS(Esc_Turno,'Calc_Mix'!$C$26,Esc_Circ,$B76)+COUNTIFS(Esc_Turno,'Calc_Mix'!$C$26,Esc_Instr,$B76)&gt;0),"",IF(SUMPRODUCT('Calc_Mix'!$D$26:$W$26,'Matriz_Habilidades'!$D76:$W76)=0,"",SUMPRODUCT('Calc_Mix'!$D$26:$W$26,'Matriz_Habilidades'!$D76:$W76)/'Calc_Mix'!$X$26+ROW()*0.000001))</f>
        <v/>
      </c>
      <c r="AD76" s="34">
        <f>IF(OR($B76="",$C76&lt;&gt;"Ativo",$D76&lt;&gt;'Calc_Mix'!$C$27,'Calc_Mix'!$X$27=0,COUNTIFS(Esc_Turno,'Calc_Mix'!$C$27,Esc_Circ,$B76)+COUNTIFS(Esc_Turno,'Calc_Mix'!$C$27,Esc_Instr,$B76)&gt;0),"",IF(SUMPRODUCT('Calc_Mix'!$D$27:$W$27,'Matriz_Habilidades'!$D76:$W76)=0,"",SUMPRODUCT('Calc_Mix'!$D$27:$W$27,'Matriz_Habilidades'!$D76:$W76)/'Calc_Mix'!$X$27+ROW()*0.000001))</f>
        <v/>
      </c>
      <c r="AE76" s="34">
        <f>IF(OR($B76="",$C76&lt;&gt;"Ativo",$D76&lt;&gt;'Calc_Mix'!$C$28,'Calc_Mix'!$X$28=0,COUNTIFS(Esc_Turno,'Calc_Mix'!$C$28,Esc_Circ,$B76)+COUNTIFS(Esc_Turno,'Calc_Mix'!$C$28,Esc_Instr,$B76)&gt;0),"",IF(SUMPRODUCT('Calc_Mix'!$D$28:$W$28,'Matriz_Habilidades'!$D76:$W76)=0,"",SUMPRODUCT('Calc_Mix'!$D$28:$W$28,'Matriz_Habilidades'!$D76:$W76)/'Calc_Mix'!$X$28+ROW()*0.000001))</f>
        <v/>
      </c>
      <c r="AF76" s="34">
        <f>IF(OR($B76="",$C76&lt;&gt;"Ativo",$D76&lt;&gt;'Calc_Mix'!$C$29,'Calc_Mix'!$X$29=0,COUNTIFS(Esc_Turno,'Calc_Mix'!$C$29,Esc_Circ,$B76)+COUNTIFS(Esc_Turno,'Calc_Mix'!$C$29,Esc_Instr,$B76)&gt;0),"",IF(SUMPRODUCT('Calc_Mix'!$D$29:$W$29,'Matriz_Habilidades'!$D76:$W76)=0,"",SUMPRODUCT('Calc_Mix'!$D$29:$W$29,'Matriz_Habilidades'!$D76:$W76)/'Calc_Mix'!$X$29+ROW()*0.000001))</f>
        <v/>
      </c>
      <c r="AG76" s="34">
        <f>IF(OR($B76="",$C76&lt;&gt;"Ativo",$D76&lt;&gt;'Calc_Mix'!$C$30,'Calc_Mix'!$X$30=0,COUNTIFS(Esc_Turno,'Calc_Mix'!$C$30,Esc_Circ,$B76)+COUNTIFS(Esc_Turno,'Calc_Mix'!$C$30,Esc_Instr,$B76)&gt;0),"",IF(SUMPRODUCT('Calc_Mix'!$D$30:$W$30,'Matriz_Habilidades'!$D76:$W76)=0,"",SUMPRODUCT('Calc_Mix'!$D$30:$W$30,'Matriz_Habilidades'!$D76:$W76)/'Calc_Mix'!$X$30+ROW()*0.000001))</f>
        <v/>
      </c>
      <c r="AH76" s="34">
        <f>IF(OR($B76="",$C76&lt;&gt;"Ativo",$D76&lt;&gt;'Calc_Mix'!$C$31,'Calc_Mix'!$X$31=0,COUNTIFS(Esc_Turno,'Calc_Mix'!$C$31,Esc_Circ,$B76)+COUNTIFS(Esc_Turno,'Calc_Mix'!$C$31,Esc_Instr,$B76)&gt;0),"",IF(SUMPRODUCT('Calc_Mix'!$D$31:$W$31,'Matriz_Habilidades'!$D76:$W76)=0,"",SUMPRODUCT('Calc_Mix'!$D$31:$W$31,'Matriz_Habilidades'!$D76:$W76)/'Calc_Mix'!$X$31+ROW()*0.000001))</f>
        <v/>
      </c>
      <c r="AI76" s="34">
        <f>IF(OR($B76="",$C76&lt;&gt;"Ativo",$D76&lt;&gt;'Calc_Mix'!$C$32,'Calc_Mix'!$X$32=0,COUNTIFS(Esc_Turno,'Calc_Mix'!$C$32,Esc_Circ,$B76)+COUNTIFS(Esc_Turno,'Calc_Mix'!$C$32,Esc_Instr,$B76)&gt;0),"",IF(SUMPRODUCT('Calc_Mix'!$D$32:$W$32,'Matriz_Habilidades'!$D76:$W76)=0,"",SUMPRODUCT('Calc_Mix'!$D$32:$W$32,'Matriz_Habilidades'!$D76:$W76)/'Calc_Mix'!$X$32+ROW()*0.000001))</f>
        <v/>
      </c>
      <c r="AJ76" s="34">
        <f>IF(OR($B76="",$C76&lt;&gt;"Ativo",$D76&lt;&gt;'Calc_Mix'!$C$33,'Calc_Mix'!$X$33=0,COUNTIFS(Esc_Turno,'Calc_Mix'!$C$33,Esc_Circ,$B76)+COUNTIFS(Esc_Turno,'Calc_Mix'!$C$33,Esc_Instr,$B76)&gt;0),"",IF(SUMPRODUCT('Calc_Mix'!$D$33:$W$33,'Matriz_Habilidades'!$D76:$W76)=0,"",SUMPRODUCT('Calc_Mix'!$D$33:$W$33,'Matriz_Habilidades'!$D76:$W76)/'Calc_Mix'!$X$33+ROW()*0.000001))</f>
        <v/>
      </c>
      <c r="AK76" s="34">
        <f>IF(OR($B76="",$C76&lt;&gt;"Ativo",$D76&lt;&gt;'Calc_Mix'!$C$34,'Calc_Mix'!$X$34=0,COUNTIFS(Esc_Turno,'Calc_Mix'!$C$34,Esc_Circ,$B76)+COUNTIFS(Esc_Turno,'Calc_Mix'!$C$34,Esc_Instr,$B76)&gt;0),"",IF(SUMPRODUCT('Calc_Mix'!$D$34:$W$34,'Matriz_Habilidades'!$D76:$W76)=0,"",SUMPRODUCT('Calc_Mix'!$D$34:$W$34,'Matriz_Habilidades'!$D76:$W76)/'Calc_Mix'!$X$34+ROW()*0.000001))</f>
        <v/>
      </c>
      <c r="AL76" s="34">
        <f>IF(OR($B76="",$C76&lt;&gt;"Ativo",$D76&lt;&gt;'Calc_Mix'!$C$35,'Calc_Mix'!$X$35=0,COUNTIFS(Esc_Turno,'Calc_Mix'!$C$35,Esc_Circ,$B76)+COUNTIFS(Esc_Turno,'Calc_Mix'!$C$35,Esc_Instr,$B76)&gt;0),"",IF(SUMPRODUCT('Calc_Mix'!$D$35:$W$35,'Matriz_Habilidades'!$D76:$W76)=0,"",SUMPRODUCT('Calc_Mix'!$D$35:$W$35,'Matriz_Habilidades'!$D76:$W76)/'Calc_Mix'!$X$35+ROW()*0.000001))</f>
        <v/>
      </c>
      <c r="AM76" s="34">
        <f>IF(OR($B76="",$C76&lt;&gt;"Ativo",$D76&lt;&gt;'Calc_Mix'!$C$36,'Calc_Mix'!$X$36=0,COUNTIFS(Esc_Turno,'Calc_Mix'!$C$36,Esc_Circ,$B76)+COUNTIFS(Esc_Turno,'Calc_Mix'!$C$36,Esc_Instr,$B76)&gt;0),"",IF(SUMPRODUCT('Calc_Mix'!$D$36:$W$36,'Matriz_Habilidades'!$D76:$W76)=0,"",SUMPRODUCT('Calc_Mix'!$D$36:$W$36,'Matriz_Habilidades'!$D76:$W76)/'Calc_Mix'!$X$36+ROW()*0.000001))</f>
        <v/>
      </c>
      <c r="AN76" s="34">
        <f>IF(OR($B76="",$C76&lt;&gt;"Ativo",$D76&lt;&gt;'Calc_Mix'!$C$37,'Calc_Mix'!$X$37=0,COUNTIFS(Esc_Turno,'Calc_Mix'!$C$37,Esc_Circ,$B76)+COUNTIFS(Esc_Turno,'Calc_Mix'!$C$37,Esc_Instr,$B76)&gt;0),"",IF(SUMPRODUCT('Calc_Mix'!$D$37:$W$37,'Matriz_Habilidades'!$D76:$W76)=0,"",SUMPRODUCT('Calc_Mix'!$D$37:$W$37,'Matriz_Habilidades'!$D76:$W76)/'Calc_Mix'!$X$37+ROW()*0.000001))</f>
        <v/>
      </c>
    </row>
    <row r="77">
      <c r="A77" s="27">
        <f>IF('Matriz_Habilidades'!A77="","",'Matriz_Habilidades'!A77)</f>
        <v/>
      </c>
      <c r="B77" s="28">
        <f>IF('Matriz_Habilidades'!B77="","",'Matriz_Habilidades'!B77)</f>
        <v/>
      </c>
      <c r="C77" s="27">
        <f>IF($A77="","",IFERROR(INDEX(Equipe_Status,MATCH($B77,Equipe_Nome,0)),"?"))</f>
        <v/>
      </c>
      <c r="D77" s="27">
        <f>IF($A77="","",IFERROR(INDEX(Equipe_Turno,MATCH($B77,Equipe_Nome,0)),"?"))</f>
        <v/>
      </c>
      <c r="E77" s="34">
        <f>IF(OR($B77="",$C77&lt;&gt;"Ativo",$D77&lt;&gt;'Calc_Mix'!$C$2,'Calc_Mix'!$X$2=0,COUNTIFS(Esc_Turno,'Calc_Mix'!$C$2,Esc_Circ,$B77)+COUNTIFS(Esc_Turno,'Calc_Mix'!$C$2,Esc_Instr,$B77)&gt;0),"",IF(SUMPRODUCT('Calc_Mix'!$D$2:$W$2,'Matriz_Habilidades'!$D77:$W77)=0,"",SUMPRODUCT('Calc_Mix'!$D$2:$W$2,'Matriz_Habilidades'!$D77:$W77)/'Calc_Mix'!$X$2+ROW()*0.000001))</f>
        <v/>
      </c>
      <c r="F77" s="34">
        <f>IF(OR($B77="",$C77&lt;&gt;"Ativo",$D77&lt;&gt;'Calc_Mix'!$C$3,'Calc_Mix'!$X$3=0,COUNTIFS(Esc_Turno,'Calc_Mix'!$C$3,Esc_Circ,$B77)+COUNTIFS(Esc_Turno,'Calc_Mix'!$C$3,Esc_Instr,$B77)&gt;0),"",IF(SUMPRODUCT('Calc_Mix'!$D$3:$W$3,'Matriz_Habilidades'!$D77:$W77)=0,"",SUMPRODUCT('Calc_Mix'!$D$3:$W$3,'Matriz_Habilidades'!$D77:$W77)/'Calc_Mix'!$X$3+ROW()*0.000001))</f>
        <v/>
      </c>
      <c r="G77" s="34">
        <f>IF(OR($B77="",$C77&lt;&gt;"Ativo",$D77&lt;&gt;'Calc_Mix'!$C$4,'Calc_Mix'!$X$4=0,COUNTIFS(Esc_Turno,'Calc_Mix'!$C$4,Esc_Circ,$B77)+COUNTIFS(Esc_Turno,'Calc_Mix'!$C$4,Esc_Instr,$B77)&gt;0),"",IF(SUMPRODUCT('Calc_Mix'!$D$4:$W$4,'Matriz_Habilidades'!$D77:$W77)=0,"",SUMPRODUCT('Calc_Mix'!$D$4:$W$4,'Matriz_Habilidades'!$D77:$W77)/'Calc_Mix'!$X$4+ROW()*0.000001))</f>
        <v/>
      </c>
      <c r="H77" s="34">
        <f>IF(OR($B77="",$C77&lt;&gt;"Ativo",$D77&lt;&gt;'Calc_Mix'!$C$5,'Calc_Mix'!$X$5=0,COUNTIFS(Esc_Turno,'Calc_Mix'!$C$5,Esc_Circ,$B77)+COUNTIFS(Esc_Turno,'Calc_Mix'!$C$5,Esc_Instr,$B77)&gt;0),"",IF(SUMPRODUCT('Calc_Mix'!$D$5:$W$5,'Matriz_Habilidades'!$D77:$W77)=0,"",SUMPRODUCT('Calc_Mix'!$D$5:$W$5,'Matriz_Habilidades'!$D77:$W77)/'Calc_Mix'!$X$5+ROW()*0.000001))</f>
        <v/>
      </c>
      <c r="I77" s="34">
        <f>IF(OR($B77="",$C77&lt;&gt;"Ativo",$D77&lt;&gt;'Calc_Mix'!$C$6,'Calc_Mix'!$X$6=0,COUNTIFS(Esc_Turno,'Calc_Mix'!$C$6,Esc_Circ,$B77)+COUNTIFS(Esc_Turno,'Calc_Mix'!$C$6,Esc_Instr,$B77)&gt;0),"",IF(SUMPRODUCT('Calc_Mix'!$D$6:$W$6,'Matriz_Habilidades'!$D77:$W77)=0,"",SUMPRODUCT('Calc_Mix'!$D$6:$W$6,'Matriz_Habilidades'!$D77:$W77)/'Calc_Mix'!$X$6+ROW()*0.000001))</f>
        <v/>
      </c>
      <c r="J77" s="34">
        <f>IF(OR($B77="",$C77&lt;&gt;"Ativo",$D77&lt;&gt;'Calc_Mix'!$C$7,'Calc_Mix'!$X$7=0,COUNTIFS(Esc_Turno,'Calc_Mix'!$C$7,Esc_Circ,$B77)+COUNTIFS(Esc_Turno,'Calc_Mix'!$C$7,Esc_Instr,$B77)&gt;0),"",IF(SUMPRODUCT('Calc_Mix'!$D$7:$W$7,'Matriz_Habilidades'!$D77:$W77)=0,"",SUMPRODUCT('Calc_Mix'!$D$7:$W$7,'Matriz_Habilidades'!$D77:$W77)/'Calc_Mix'!$X$7+ROW()*0.000001))</f>
        <v/>
      </c>
      <c r="K77" s="34">
        <f>IF(OR($B77="",$C77&lt;&gt;"Ativo",$D77&lt;&gt;'Calc_Mix'!$C$8,'Calc_Mix'!$X$8=0,COUNTIFS(Esc_Turno,'Calc_Mix'!$C$8,Esc_Circ,$B77)+COUNTIFS(Esc_Turno,'Calc_Mix'!$C$8,Esc_Instr,$B77)&gt;0),"",IF(SUMPRODUCT('Calc_Mix'!$D$8:$W$8,'Matriz_Habilidades'!$D77:$W77)=0,"",SUMPRODUCT('Calc_Mix'!$D$8:$W$8,'Matriz_Habilidades'!$D77:$W77)/'Calc_Mix'!$X$8+ROW()*0.000001))</f>
        <v/>
      </c>
      <c r="L77" s="34">
        <f>IF(OR($B77="",$C77&lt;&gt;"Ativo",$D77&lt;&gt;'Calc_Mix'!$C$9,'Calc_Mix'!$X$9=0,COUNTIFS(Esc_Turno,'Calc_Mix'!$C$9,Esc_Circ,$B77)+COUNTIFS(Esc_Turno,'Calc_Mix'!$C$9,Esc_Instr,$B77)&gt;0),"",IF(SUMPRODUCT('Calc_Mix'!$D$9:$W$9,'Matriz_Habilidades'!$D77:$W77)=0,"",SUMPRODUCT('Calc_Mix'!$D$9:$W$9,'Matriz_Habilidades'!$D77:$W77)/'Calc_Mix'!$X$9+ROW()*0.000001))</f>
        <v/>
      </c>
      <c r="M77" s="34">
        <f>IF(OR($B77="",$C77&lt;&gt;"Ativo",$D77&lt;&gt;'Calc_Mix'!$C$10,'Calc_Mix'!$X$10=0,COUNTIFS(Esc_Turno,'Calc_Mix'!$C$10,Esc_Circ,$B77)+COUNTIFS(Esc_Turno,'Calc_Mix'!$C$10,Esc_Instr,$B77)&gt;0),"",IF(SUMPRODUCT('Calc_Mix'!$D$10:$W$10,'Matriz_Habilidades'!$D77:$W77)=0,"",SUMPRODUCT('Calc_Mix'!$D$10:$W$10,'Matriz_Habilidades'!$D77:$W77)/'Calc_Mix'!$X$10+ROW()*0.000001))</f>
        <v/>
      </c>
      <c r="N77" s="34">
        <f>IF(OR($B77="",$C77&lt;&gt;"Ativo",$D77&lt;&gt;'Calc_Mix'!$C$11,'Calc_Mix'!$X$11=0,COUNTIFS(Esc_Turno,'Calc_Mix'!$C$11,Esc_Circ,$B77)+COUNTIFS(Esc_Turno,'Calc_Mix'!$C$11,Esc_Instr,$B77)&gt;0),"",IF(SUMPRODUCT('Calc_Mix'!$D$11:$W$11,'Matriz_Habilidades'!$D77:$W77)=0,"",SUMPRODUCT('Calc_Mix'!$D$11:$W$11,'Matriz_Habilidades'!$D77:$W77)/'Calc_Mix'!$X$11+ROW()*0.000001))</f>
        <v/>
      </c>
      <c r="O77" s="34">
        <f>IF(OR($B77="",$C77&lt;&gt;"Ativo",$D77&lt;&gt;'Calc_Mix'!$C$12,'Calc_Mix'!$X$12=0,COUNTIFS(Esc_Turno,'Calc_Mix'!$C$12,Esc_Circ,$B77)+COUNTIFS(Esc_Turno,'Calc_Mix'!$C$12,Esc_Instr,$B77)&gt;0),"",IF(SUMPRODUCT('Calc_Mix'!$D$12:$W$12,'Matriz_Habilidades'!$D77:$W77)=0,"",SUMPRODUCT('Calc_Mix'!$D$12:$W$12,'Matriz_Habilidades'!$D77:$W77)/'Calc_Mix'!$X$12+ROW()*0.000001))</f>
        <v/>
      </c>
      <c r="P77" s="34">
        <f>IF(OR($B77="",$C77&lt;&gt;"Ativo",$D77&lt;&gt;'Calc_Mix'!$C$13,'Calc_Mix'!$X$13=0,COUNTIFS(Esc_Turno,'Calc_Mix'!$C$13,Esc_Circ,$B77)+COUNTIFS(Esc_Turno,'Calc_Mix'!$C$13,Esc_Instr,$B77)&gt;0),"",IF(SUMPRODUCT('Calc_Mix'!$D$13:$W$13,'Matriz_Habilidades'!$D77:$W77)=0,"",SUMPRODUCT('Calc_Mix'!$D$13:$W$13,'Matriz_Habilidades'!$D77:$W77)/'Calc_Mix'!$X$13+ROW()*0.000001))</f>
        <v/>
      </c>
      <c r="Q77" s="34">
        <f>IF(OR($B77="",$C77&lt;&gt;"Ativo",$D77&lt;&gt;'Calc_Mix'!$C$14,'Calc_Mix'!$X$14=0,COUNTIFS(Esc_Turno,'Calc_Mix'!$C$14,Esc_Circ,$B77)+COUNTIFS(Esc_Turno,'Calc_Mix'!$C$14,Esc_Instr,$B77)&gt;0),"",IF(SUMPRODUCT('Calc_Mix'!$D$14:$W$14,'Matriz_Habilidades'!$D77:$W77)=0,"",SUMPRODUCT('Calc_Mix'!$D$14:$W$14,'Matriz_Habilidades'!$D77:$W77)/'Calc_Mix'!$X$14+ROW()*0.000001))</f>
        <v/>
      </c>
      <c r="R77" s="34">
        <f>IF(OR($B77="",$C77&lt;&gt;"Ativo",$D77&lt;&gt;'Calc_Mix'!$C$15,'Calc_Mix'!$X$15=0,COUNTIFS(Esc_Turno,'Calc_Mix'!$C$15,Esc_Circ,$B77)+COUNTIFS(Esc_Turno,'Calc_Mix'!$C$15,Esc_Instr,$B77)&gt;0),"",IF(SUMPRODUCT('Calc_Mix'!$D$15:$W$15,'Matriz_Habilidades'!$D77:$W77)=0,"",SUMPRODUCT('Calc_Mix'!$D$15:$W$15,'Matriz_Habilidades'!$D77:$W77)/'Calc_Mix'!$X$15+ROW()*0.000001))</f>
        <v/>
      </c>
      <c r="S77" s="34">
        <f>IF(OR($B77="",$C77&lt;&gt;"Ativo",$D77&lt;&gt;'Calc_Mix'!$C$16,'Calc_Mix'!$X$16=0,COUNTIFS(Esc_Turno,'Calc_Mix'!$C$16,Esc_Circ,$B77)+COUNTIFS(Esc_Turno,'Calc_Mix'!$C$16,Esc_Instr,$B77)&gt;0),"",IF(SUMPRODUCT('Calc_Mix'!$D$16:$W$16,'Matriz_Habilidades'!$D77:$W77)=0,"",SUMPRODUCT('Calc_Mix'!$D$16:$W$16,'Matriz_Habilidades'!$D77:$W77)/'Calc_Mix'!$X$16+ROW()*0.000001))</f>
        <v/>
      </c>
      <c r="T77" s="34">
        <f>IF(OR($B77="",$C77&lt;&gt;"Ativo",$D77&lt;&gt;'Calc_Mix'!$C$17,'Calc_Mix'!$X$17=0,COUNTIFS(Esc_Turno,'Calc_Mix'!$C$17,Esc_Circ,$B77)+COUNTIFS(Esc_Turno,'Calc_Mix'!$C$17,Esc_Instr,$B77)&gt;0),"",IF(SUMPRODUCT('Calc_Mix'!$D$17:$W$17,'Matriz_Habilidades'!$D77:$W77)=0,"",SUMPRODUCT('Calc_Mix'!$D$17:$W$17,'Matriz_Habilidades'!$D77:$W77)/'Calc_Mix'!$X$17+ROW()*0.000001))</f>
        <v/>
      </c>
      <c r="U77" s="34">
        <f>IF(OR($B77="",$C77&lt;&gt;"Ativo",$D77&lt;&gt;'Calc_Mix'!$C$18,'Calc_Mix'!$X$18=0,COUNTIFS(Esc_Turno,'Calc_Mix'!$C$18,Esc_Circ,$B77)+COUNTIFS(Esc_Turno,'Calc_Mix'!$C$18,Esc_Instr,$B77)&gt;0),"",IF(SUMPRODUCT('Calc_Mix'!$D$18:$W$18,'Matriz_Habilidades'!$D77:$W77)=0,"",SUMPRODUCT('Calc_Mix'!$D$18:$W$18,'Matriz_Habilidades'!$D77:$W77)/'Calc_Mix'!$X$18+ROW()*0.000001))</f>
        <v/>
      </c>
      <c r="V77" s="34">
        <f>IF(OR($B77="",$C77&lt;&gt;"Ativo",$D77&lt;&gt;'Calc_Mix'!$C$19,'Calc_Mix'!$X$19=0,COUNTIFS(Esc_Turno,'Calc_Mix'!$C$19,Esc_Circ,$B77)+COUNTIFS(Esc_Turno,'Calc_Mix'!$C$19,Esc_Instr,$B77)&gt;0),"",IF(SUMPRODUCT('Calc_Mix'!$D$19:$W$19,'Matriz_Habilidades'!$D77:$W77)=0,"",SUMPRODUCT('Calc_Mix'!$D$19:$W$19,'Matriz_Habilidades'!$D77:$W77)/'Calc_Mix'!$X$19+ROW()*0.000001))</f>
        <v/>
      </c>
      <c r="W77" s="34">
        <f>IF(OR($B77="",$C77&lt;&gt;"Ativo",$D77&lt;&gt;'Calc_Mix'!$C$20,'Calc_Mix'!$X$20=0,COUNTIFS(Esc_Turno,'Calc_Mix'!$C$20,Esc_Circ,$B77)+COUNTIFS(Esc_Turno,'Calc_Mix'!$C$20,Esc_Instr,$B77)&gt;0),"",IF(SUMPRODUCT('Calc_Mix'!$D$20:$W$20,'Matriz_Habilidades'!$D77:$W77)=0,"",SUMPRODUCT('Calc_Mix'!$D$20:$W$20,'Matriz_Habilidades'!$D77:$W77)/'Calc_Mix'!$X$20+ROW()*0.000001))</f>
        <v/>
      </c>
      <c r="X77" s="34">
        <f>IF(OR($B77="",$C77&lt;&gt;"Ativo",$D77&lt;&gt;'Calc_Mix'!$C$21,'Calc_Mix'!$X$21=0,COUNTIFS(Esc_Turno,'Calc_Mix'!$C$21,Esc_Circ,$B77)+COUNTIFS(Esc_Turno,'Calc_Mix'!$C$21,Esc_Instr,$B77)&gt;0),"",IF(SUMPRODUCT('Calc_Mix'!$D$21:$W$21,'Matriz_Habilidades'!$D77:$W77)=0,"",SUMPRODUCT('Calc_Mix'!$D$21:$W$21,'Matriz_Habilidades'!$D77:$W77)/'Calc_Mix'!$X$21+ROW()*0.000001))</f>
        <v/>
      </c>
      <c r="Y77" s="34">
        <f>IF(OR($B77="",$C77&lt;&gt;"Ativo",$D77&lt;&gt;'Calc_Mix'!$C$22,'Calc_Mix'!$X$22=0,COUNTIFS(Esc_Turno,'Calc_Mix'!$C$22,Esc_Circ,$B77)+COUNTIFS(Esc_Turno,'Calc_Mix'!$C$22,Esc_Instr,$B77)&gt;0),"",IF(SUMPRODUCT('Calc_Mix'!$D$22:$W$22,'Matriz_Habilidades'!$D77:$W77)=0,"",SUMPRODUCT('Calc_Mix'!$D$22:$W$22,'Matriz_Habilidades'!$D77:$W77)/'Calc_Mix'!$X$22+ROW()*0.000001))</f>
        <v/>
      </c>
      <c r="Z77" s="34">
        <f>IF(OR($B77="",$C77&lt;&gt;"Ativo",$D77&lt;&gt;'Calc_Mix'!$C$23,'Calc_Mix'!$X$23=0,COUNTIFS(Esc_Turno,'Calc_Mix'!$C$23,Esc_Circ,$B77)+COUNTIFS(Esc_Turno,'Calc_Mix'!$C$23,Esc_Instr,$B77)&gt;0),"",IF(SUMPRODUCT('Calc_Mix'!$D$23:$W$23,'Matriz_Habilidades'!$D77:$W77)=0,"",SUMPRODUCT('Calc_Mix'!$D$23:$W$23,'Matriz_Habilidades'!$D77:$W77)/'Calc_Mix'!$X$23+ROW()*0.000001))</f>
        <v/>
      </c>
      <c r="AA77" s="34">
        <f>IF(OR($B77="",$C77&lt;&gt;"Ativo",$D77&lt;&gt;'Calc_Mix'!$C$24,'Calc_Mix'!$X$24=0,COUNTIFS(Esc_Turno,'Calc_Mix'!$C$24,Esc_Circ,$B77)+COUNTIFS(Esc_Turno,'Calc_Mix'!$C$24,Esc_Instr,$B77)&gt;0),"",IF(SUMPRODUCT('Calc_Mix'!$D$24:$W$24,'Matriz_Habilidades'!$D77:$W77)=0,"",SUMPRODUCT('Calc_Mix'!$D$24:$W$24,'Matriz_Habilidades'!$D77:$W77)/'Calc_Mix'!$X$24+ROW()*0.000001))</f>
        <v/>
      </c>
      <c r="AB77" s="34">
        <f>IF(OR($B77="",$C77&lt;&gt;"Ativo",$D77&lt;&gt;'Calc_Mix'!$C$25,'Calc_Mix'!$X$25=0,COUNTIFS(Esc_Turno,'Calc_Mix'!$C$25,Esc_Circ,$B77)+COUNTIFS(Esc_Turno,'Calc_Mix'!$C$25,Esc_Instr,$B77)&gt;0),"",IF(SUMPRODUCT('Calc_Mix'!$D$25:$W$25,'Matriz_Habilidades'!$D77:$W77)=0,"",SUMPRODUCT('Calc_Mix'!$D$25:$W$25,'Matriz_Habilidades'!$D77:$W77)/'Calc_Mix'!$X$25+ROW()*0.000001))</f>
        <v/>
      </c>
      <c r="AC77" s="34">
        <f>IF(OR($B77="",$C77&lt;&gt;"Ativo",$D77&lt;&gt;'Calc_Mix'!$C$26,'Calc_Mix'!$X$26=0,COUNTIFS(Esc_Turno,'Calc_Mix'!$C$26,Esc_Circ,$B77)+COUNTIFS(Esc_Turno,'Calc_Mix'!$C$26,Esc_Instr,$B77)&gt;0),"",IF(SUMPRODUCT('Calc_Mix'!$D$26:$W$26,'Matriz_Habilidades'!$D77:$W77)=0,"",SUMPRODUCT('Calc_Mix'!$D$26:$W$26,'Matriz_Habilidades'!$D77:$W77)/'Calc_Mix'!$X$26+ROW()*0.000001))</f>
        <v/>
      </c>
      <c r="AD77" s="34">
        <f>IF(OR($B77="",$C77&lt;&gt;"Ativo",$D77&lt;&gt;'Calc_Mix'!$C$27,'Calc_Mix'!$X$27=0,COUNTIFS(Esc_Turno,'Calc_Mix'!$C$27,Esc_Circ,$B77)+COUNTIFS(Esc_Turno,'Calc_Mix'!$C$27,Esc_Instr,$B77)&gt;0),"",IF(SUMPRODUCT('Calc_Mix'!$D$27:$W$27,'Matriz_Habilidades'!$D77:$W77)=0,"",SUMPRODUCT('Calc_Mix'!$D$27:$W$27,'Matriz_Habilidades'!$D77:$W77)/'Calc_Mix'!$X$27+ROW()*0.000001))</f>
        <v/>
      </c>
      <c r="AE77" s="34">
        <f>IF(OR($B77="",$C77&lt;&gt;"Ativo",$D77&lt;&gt;'Calc_Mix'!$C$28,'Calc_Mix'!$X$28=0,COUNTIFS(Esc_Turno,'Calc_Mix'!$C$28,Esc_Circ,$B77)+COUNTIFS(Esc_Turno,'Calc_Mix'!$C$28,Esc_Instr,$B77)&gt;0),"",IF(SUMPRODUCT('Calc_Mix'!$D$28:$W$28,'Matriz_Habilidades'!$D77:$W77)=0,"",SUMPRODUCT('Calc_Mix'!$D$28:$W$28,'Matriz_Habilidades'!$D77:$W77)/'Calc_Mix'!$X$28+ROW()*0.000001))</f>
        <v/>
      </c>
      <c r="AF77" s="34">
        <f>IF(OR($B77="",$C77&lt;&gt;"Ativo",$D77&lt;&gt;'Calc_Mix'!$C$29,'Calc_Mix'!$X$29=0,COUNTIFS(Esc_Turno,'Calc_Mix'!$C$29,Esc_Circ,$B77)+COUNTIFS(Esc_Turno,'Calc_Mix'!$C$29,Esc_Instr,$B77)&gt;0),"",IF(SUMPRODUCT('Calc_Mix'!$D$29:$W$29,'Matriz_Habilidades'!$D77:$W77)=0,"",SUMPRODUCT('Calc_Mix'!$D$29:$W$29,'Matriz_Habilidades'!$D77:$W77)/'Calc_Mix'!$X$29+ROW()*0.000001))</f>
        <v/>
      </c>
      <c r="AG77" s="34">
        <f>IF(OR($B77="",$C77&lt;&gt;"Ativo",$D77&lt;&gt;'Calc_Mix'!$C$30,'Calc_Mix'!$X$30=0,COUNTIFS(Esc_Turno,'Calc_Mix'!$C$30,Esc_Circ,$B77)+COUNTIFS(Esc_Turno,'Calc_Mix'!$C$30,Esc_Instr,$B77)&gt;0),"",IF(SUMPRODUCT('Calc_Mix'!$D$30:$W$30,'Matriz_Habilidades'!$D77:$W77)=0,"",SUMPRODUCT('Calc_Mix'!$D$30:$W$30,'Matriz_Habilidades'!$D77:$W77)/'Calc_Mix'!$X$30+ROW()*0.000001))</f>
        <v/>
      </c>
      <c r="AH77" s="34">
        <f>IF(OR($B77="",$C77&lt;&gt;"Ativo",$D77&lt;&gt;'Calc_Mix'!$C$31,'Calc_Mix'!$X$31=0,COUNTIFS(Esc_Turno,'Calc_Mix'!$C$31,Esc_Circ,$B77)+COUNTIFS(Esc_Turno,'Calc_Mix'!$C$31,Esc_Instr,$B77)&gt;0),"",IF(SUMPRODUCT('Calc_Mix'!$D$31:$W$31,'Matriz_Habilidades'!$D77:$W77)=0,"",SUMPRODUCT('Calc_Mix'!$D$31:$W$31,'Matriz_Habilidades'!$D77:$W77)/'Calc_Mix'!$X$31+ROW()*0.000001))</f>
        <v/>
      </c>
      <c r="AI77" s="34">
        <f>IF(OR($B77="",$C77&lt;&gt;"Ativo",$D77&lt;&gt;'Calc_Mix'!$C$32,'Calc_Mix'!$X$32=0,COUNTIFS(Esc_Turno,'Calc_Mix'!$C$32,Esc_Circ,$B77)+COUNTIFS(Esc_Turno,'Calc_Mix'!$C$32,Esc_Instr,$B77)&gt;0),"",IF(SUMPRODUCT('Calc_Mix'!$D$32:$W$32,'Matriz_Habilidades'!$D77:$W77)=0,"",SUMPRODUCT('Calc_Mix'!$D$32:$W$32,'Matriz_Habilidades'!$D77:$W77)/'Calc_Mix'!$X$32+ROW()*0.000001))</f>
        <v/>
      </c>
      <c r="AJ77" s="34">
        <f>IF(OR($B77="",$C77&lt;&gt;"Ativo",$D77&lt;&gt;'Calc_Mix'!$C$33,'Calc_Mix'!$X$33=0,COUNTIFS(Esc_Turno,'Calc_Mix'!$C$33,Esc_Circ,$B77)+COUNTIFS(Esc_Turno,'Calc_Mix'!$C$33,Esc_Instr,$B77)&gt;0),"",IF(SUMPRODUCT('Calc_Mix'!$D$33:$W$33,'Matriz_Habilidades'!$D77:$W77)=0,"",SUMPRODUCT('Calc_Mix'!$D$33:$W$33,'Matriz_Habilidades'!$D77:$W77)/'Calc_Mix'!$X$33+ROW()*0.000001))</f>
        <v/>
      </c>
      <c r="AK77" s="34">
        <f>IF(OR($B77="",$C77&lt;&gt;"Ativo",$D77&lt;&gt;'Calc_Mix'!$C$34,'Calc_Mix'!$X$34=0,COUNTIFS(Esc_Turno,'Calc_Mix'!$C$34,Esc_Circ,$B77)+COUNTIFS(Esc_Turno,'Calc_Mix'!$C$34,Esc_Instr,$B77)&gt;0),"",IF(SUMPRODUCT('Calc_Mix'!$D$34:$W$34,'Matriz_Habilidades'!$D77:$W77)=0,"",SUMPRODUCT('Calc_Mix'!$D$34:$W$34,'Matriz_Habilidades'!$D77:$W77)/'Calc_Mix'!$X$34+ROW()*0.000001))</f>
        <v/>
      </c>
      <c r="AL77" s="34">
        <f>IF(OR($B77="",$C77&lt;&gt;"Ativo",$D77&lt;&gt;'Calc_Mix'!$C$35,'Calc_Mix'!$X$35=0,COUNTIFS(Esc_Turno,'Calc_Mix'!$C$35,Esc_Circ,$B77)+COUNTIFS(Esc_Turno,'Calc_Mix'!$C$35,Esc_Instr,$B77)&gt;0),"",IF(SUMPRODUCT('Calc_Mix'!$D$35:$W$35,'Matriz_Habilidades'!$D77:$W77)=0,"",SUMPRODUCT('Calc_Mix'!$D$35:$W$35,'Matriz_Habilidades'!$D77:$W77)/'Calc_Mix'!$X$35+ROW()*0.000001))</f>
        <v/>
      </c>
      <c r="AM77" s="34">
        <f>IF(OR($B77="",$C77&lt;&gt;"Ativo",$D77&lt;&gt;'Calc_Mix'!$C$36,'Calc_Mix'!$X$36=0,COUNTIFS(Esc_Turno,'Calc_Mix'!$C$36,Esc_Circ,$B77)+COUNTIFS(Esc_Turno,'Calc_Mix'!$C$36,Esc_Instr,$B77)&gt;0),"",IF(SUMPRODUCT('Calc_Mix'!$D$36:$W$36,'Matriz_Habilidades'!$D77:$W77)=0,"",SUMPRODUCT('Calc_Mix'!$D$36:$W$36,'Matriz_Habilidades'!$D77:$W77)/'Calc_Mix'!$X$36+ROW()*0.000001))</f>
        <v/>
      </c>
      <c r="AN77" s="34">
        <f>IF(OR($B77="",$C77&lt;&gt;"Ativo",$D77&lt;&gt;'Calc_Mix'!$C$37,'Calc_Mix'!$X$37=0,COUNTIFS(Esc_Turno,'Calc_Mix'!$C$37,Esc_Circ,$B77)+COUNTIFS(Esc_Turno,'Calc_Mix'!$C$37,Esc_Instr,$B77)&gt;0),"",IF(SUMPRODUCT('Calc_Mix'!$D$37:$W$37,'Matriz_Habilidades'!$D77:$W77)=0,"",SUMPRODUCT('Calc_Mix'!$D$37:$W$37,'Matriz_Habilidades'!$D77:$W77)/'Calc_Mix'!$X$37+ROW()*0.000001))</f>
        <v/>
      </c>
    </row>
    <row r="78">
      <c r="A78" s="27">
        <f>IF('Matriz_Habilidades'!A78="","",'Matriz_Habilidades'!A78)</f>
        <v/>
      </c>
      <c r="B78" s="28">
        <f>IF('Matriz_Habilidades'!B78="","",'Matriz_Habilidades'!B78)</f>
        <v/>
      </c>
      <c r="C78" s="27">
        <f>IF($A78="","",IFERROR(INDEX(Equipe_Status,MATCH($B78,Equipe_Nome,0)),"?"))</f>
        <v/>
      </c>
      <c r="D78" s="27">
        <f>IF($A78="","",IFERROR(INDEX(Equipe_Turno,MATCH($B78,Equipe_Nome,0)),"?"))</f>
        <v/>
      </c>
      <c r="E78" s="34">
        <f>IF(OR($B78="",$C78&lt;&gt;"Ativo",$D78&lt;&gt;'Calc_Mix'!$C$2,'Calc_Mix'!$X$2=0,COUNTIFS(Esc_Turno,'Calc_Mix'!$C$2,Esc_Circ,$B78)+COUNTIFS(Esc_Turno,'Calc_Mix'!$C$2,Esc_Instr,$B78)&gt;0),"",IF(SUMPRODUCT('Calc_Mix'!$D$2:$W$2,'Matriz_Habilidades'!$D78:$W78)=0,"",SUMPRODUCT('Calc_Mix'!$D$2:$W$2,'Matriz_Habilidades'!$D78:$W78)/'Calc_Mix'!$X$2+ROW()*0.000001))</f>
        <v/>
      </c>
      <c r="F78" s="34">
        <f>IF(OR($B78="",$C78&lt;&gt;"Ativo",$D78&lt;&gt;'Calc_Mix'!$C$3,'Calc_Mix'!$X$3=0,COUNTIFS(Esc_Turno,'Calc_Mix'!$C$3,Esc_Circ,$B78)+COUNTIFS(Esc_Turno,'Calc_Mix'!$C$3,Esc_Instr,$B78)&gt;0),"",IF(SUMPRODUCT('Calc_Mix'!$D$3:$W$3,'Matriz_Habilidades'!$D78:$W78)=0,"",SUMPRODUCT('Calc_Mix'!$D$3:$W$3,'Matriz_Habilidades'!$D78:$W78)/'Calc_Mix'!$X$3+ROW()*0.000001))</f>
        <v/>
      </c>
      <c r="G78" s="34">
        <f>IF(OR($B78="",$C78&lt;&gt;"Ativo",$D78&lt;&gt;'Calc_Mix'!$C$4,'Calc_Mix'!$X$4=0,COUNTIFS(Esc_Turno,'Calc_Mix'!$C$4,Esc_Circ,$B78)+COUNTIFS(Esc_Turno,'Calc_Mix'!$C$4,Esc_Instr,$B78)&gt;0),"",IF(SUMPRODUCT('Calc_Mix'!$D$4:$W$4,'Matriz_Habilidades'!$D78:$W78)=0,"",SUMPRODUCT('Calc_Mix'!$D$4:$W$4,'Matriz_Habilidades'!$D78:$W78)/'Calc_Mix'!$X$4+ROW()*0.000001))</f>
        <v/>
      </c>
      <c r="H78" s="34">
        <f>IF(OR($B78="",$C78&lt;&gt;"Ativo",$D78&lt;&gt;'Calc_Mix'!$C$5,'Calc_Mix'!$X$5=0,COUNTIFS(Esc_Turno,'Calc_Mix'!$C$5,Esc_Circ,$B78)+COUNTIFS(Esc_Turno,'Calc_Mix'!$C$5,Esc_Instr,$B78)&gt;0),"",IF(SUMPRODUCT('Calc_Mix'!$D$5:$W$5,'Matriz_Habilidades'!$D78:$W78)=0,"",SUMPRODUCT('Calc_Mix'!$D$5:$W$5,'Matriz_Habilidades'!$D78:$W78)/'Calc_Mix'!$X$5+ROW()*0.000001))</f>
        <v/>
      </c>
      <c r="I78" s="34">
        <f>IF(OR($B78="",$C78&lt;&gt;"Ativo",$D78&lt;&gt;'Calc_Mix'!$C$6,'Calc_Mix'!$X$6=0,COUNTIFS(Esc_Turno,'Calc_Mix'!$C$6,Esc_Circ,$B78)+COUNTIFS(Esc_Turno,'Calc_Mix'!$C$6,Esc_Instr,$B78)&gt;0),"",IF(SUMPRODUCT('Calc_Mix'!$D$6:$W$6,'Matriz_Habilidades'!$D78:$W78)=0,"",SUMPRODUCT('Calc_Mix'!$D$6:$W$6,'Matriz_Habilidades'!$D78:$W78)/'Calc_Mix'!$X$6+ROW()*0.000001))</f>
        <v/>
      </c>
      <c r="J78" s="34">
        <f>IF(OR($B78="",$C78&lt;&gt;"Ativo",$D78&lt;&gt;'Calc_Mix'!$C$7,'Calc_Mix'!$X$7=0,COUNTIFS(Esc_Turno,'Calc_Mix'!$C$7,Esc_Circ,$B78)+COUNTIFS(Esc_Turno,'Calc_Mix'!$C$7,Esc_Instr,$B78)&gt;0),"",IF(SUMPRODUCT('Calc_Mix'!$D$7:$W$7,'Matriz_Habilidades'!$D78:$W78)=0,"",SUMPRODUCT('Calc_Mix'!$D$7:$W$7,'Matriz_Habilidades'!$D78:$W78)/'Calc_Mix'!$X$7+ROW()*0.000001))</f>
        <v/>
      </c>
      <c r="K78" s="34">
        <f>IF(OR($B78="",$C78&lt;&gt;"Ativo",$D78&lt;&gt;'Calc_Mix'!$C$8,'Calc_Mix'!$X$8=0,COUNTIFS(Esc_Turno,'Calc_Mix'!$C$8,Esc_Circ,$B78)+COUNTIFS(Esc_Turno,'Calc_Mix'!$C$8,Esc_Instr,$B78)&gt;0),"",IF(SUMPRODUCT('Calc_Mix'!$D$8:$W$8,'Matriz_Habilidades'!$D78:$W78)=0,"",SUMPRODUCT('Calc_Mix'!$D$8:$W$8,'Matriz_Habilidades'!$D78:$W78)/'Calc_Mix'!$X$8+ROW()*0.000001))</f>
        <v/>
      </c>
      <c r="L78" s="34">
        <f>IF(OR($B78="",$C78&lt;&gt;"Ativo",$D78&lt;&gt;'Calc_Mix'!$C$9,'Calc_Mix'!$X$9=0,COUNTIFS(Esc_Turno,'Calc_Mix'!$C$9,Esc_Circ,$B78)+COUNTIFS(Esc_Turno,'Calc_Mix'!$C$9,Esc_Instr,$B78)&gt;0),"",IF(SUMPRODUCT('Calc_Mix'!$D$9:$W$9,'Matriz_Habilidades'!$D78:$W78)=0,"",SUMPRODUCT('Calc_Mix'!$D$9:$W$9,'Matriz_Habilidades'!$D78:$W78)/'Calc_Mix'!$X$9+ROW()*0.000001))</f>
        <v/>
      </c>
      <c r="M78" s="34">
        <f>IF(OR($B78="",$C78&lt;&gt;"Ativo",$D78&lt;&gt;'Calc_Mix'!$C$10,'Calc_Mix'!$X$10=0,COUNTIFS(Esc_Turno,'Calc_Mix'!$C$10,Esc_Circ,$B78)+COUNTIFS(Esc_Turno,'Calc_Mix'!$C$10,Esc_Instr,$B78)&gt;0),"",IF(SUMPRODUCT('Calc_Mix'!$D$10:$W$10,'Matriz_Habilidades'!$D78:$W78)=0,"",SUMPRODUCT('Calc_Mix'!$D$10:$W$10,'Matriz_Habilidades'!$D78:$W78)/'Calc_Mix'!$X$10+ROW()*0.000001))</f>
        <v/>
      </c>
      <c r="N78" s="34">
        <f>IF(OR($B78="",$C78&lt;&gt;"Ativo",$D78&lt;&gt;'Calc_Mix'!$C$11,'Calc_Mix'!$X$11=0,COUNTIFS(Esc_Turno,'Calc_Mix'!$C$11,Esc_Circ,$B78)+COUNTIFS(Esc_Turno,'Calc_Mix'!$C$11,Esc_Instr,$B78)&gt;0),"",IF(SUMPRODUCT('Calc_Mix'!$D$11:$W$11,'Matriz_Habilidades'!$D78:$W78)=0,"",SUMPRODUCT('Calc_Mix'!$D$11:$W$11,'Matriz_Habilidades'!$D78:$W78)/'Calc_Mix'!$X$11+ROW()*0.000001))</f>
        <v/>
      </c>
      <c r="O78" s="34">
        <f>IF(OR($B78="",$C78&lt;&gt;"Ativo",$D78&lt;&gt;'Calc_Mix'!$C$12,'Calc_Mix'!$X$12=0,COUNTIFS(Esc_Turno,'Calc_Mix'!$C$12,Esc_Circ,$B78)+COUNTIFS(Esc_Turno,'Calc_Mix'!$C$12,Esc_Instr,$B78)&gt;0),"",IF(SUMPRODUCT('Calc_Mix'!$D$12:$W$12,'Matriz_Habilidades'!$D78:$W78)=0,"",SUMPRODUCT('Calc_Mix'!$D$12:$W$12,'Matriz_Habilidades'!$D78:$W78)/'Calc_Mix'!$X$12+ROW()*0.000001))</f>
        <v/>
      </c>
      <c r="P78" s="34">
        <f>IF(OR($B78="",$C78&lt;&gt;"Ativo",$D78&lt;&gt;'Calc_Mix'!$C$13,'Calc_Mix'!$X$13=0,COUNTIFS(Esc_Turno,'Calc_Mix'!$C$13,Esc_Circ,$B78)+COUNTIFS(Esc_Turno,'Calc_Mix'!$C$13,Esc_Instr,$B78)&gt;0),"",IF(SUMPRODUCT('Calc_Mix'!$D$13:$W$13,'Matriz_Habilidades'!$D78:$W78)=0,"",SUMPRODUCT('Calc_Mix'!$D$13:$W$13,'Matriz_Habilidades'!$D78:$W78)/'Calc_Mix'!$X$13+ROW()*0.000001))</f>
        <v/>
      </c>
      <c r="Q78" s="34">
        <f>IF(OR($B78="",$C78&lt;&gt;"Ativo",$D78&lt;&gt;'Calc_Mix'!$C$14,'Calc_Mix'!$X$14=0,COUNTIFS(Esc_Turno,'Calc_Mix'!$C$14,Esc_Circ,$B78)+COUNTIFS(Esc_Turno,'Calc_Mix'!$C$14,Esc_Instr,$B78)&gt;0),"",IF(SUMPRODUCT('Calc_Mix'!$D$14:$W$14,'Matriz_Habilidades'!$D78:$W78)=0,"",SUMPRODUCT('Calc_Mix'!$D$14:$W$14,'Matriz_Habilidades'!$D78:$W78)/'Calc_Mix'!$X$14+ROW()*0.000001))</f>
        <v/>
      </c>
      <c r="R78" s="34">
        <f>IF(OR($B78="",$C78&lt;&gt;"Ativo",$D78&lt;&gt;'Calc_Mix'!$C$15,'Calc_Mix'!$X$15=0,COUNTIFS(Esc_Turno,'Calc_Mix'!$C$15,Esc_Circ,$B78)+COUNTIFS(Esc_Turno,'Calc_Mix'!$C$15,Esc_Instr,$B78)&gt;0),"",IF(SUMPRODUCT('Calc_Mix'!$D$15:$W$15,'Matriz_Habilidades'!$D78:$W78)=0,"",SUMPRODUCT('Calc_Mix'!$D$15:$W$15,'Matriz_Habilidades'!$D78:$W78)/'Calc_Mix'!$X$15+ROW()*0.000001))</f>
        <v/>
      </c>
      <c r="S78" s="34">
        <f>IF(OR($B78="",$C78&lt;&gt;"Ativo",$D78&lt;&gt;'Calc_Mix'!$C$16,'Calc_Mix'!$X$16=0,COUNTIFS(Esc_Turno,'Calc_Mix'!$C$16,Esc_Circ,$B78)+COUNTIFS(Esc_Turno,'Calc_Mix'!$C$16,Esc_Instr,$B78)&gt;0),"",IF(SUMPRODUCT('Calc_Mix'!$D$16:$W$16,'Matriz_Habilidades'!$D78:$W78)=0,"",SUMPRODUCT('Calc_Mix'!$D$16:$W$16,'Matriz_Habilidades'!$D78:$W78)/'Calc_Mix'!$X$16+ROW()*0.000001))</f>
        <v/>
      </c>
      <c r="T78" s="34">
        <f>IF(OR($B78="",$C78&lt;&gt;"Ativo",$D78&lt;&gt;'Calc_Mix'!$C$17,'Calc_Mix'!$X$17=0,COUNTIFS(Esc_Turno,'Calc_Mix'!$C$17,Esc_Circ,$B78)+COUNTIFS(Esc_Turno,'Calc_Mix'!$C$17,Esc_Instr,$B78)&gt;0),"",IF(SUMPRODUCT('Calc_Mix'!$D$17:$W$17,'Matriz_Habilidades'!$D78:$W78)=0,"",SUMPRODUCT('Calc_Mix'!$D$17:$W$17,'Matriz_Habilidades'!$D78:$W78)/'Calc_Mix'!$X$17+ROW()*0.000001))</f>
        <v/>
      </c>
      <c r="U78" s="34">
        <f>IF(OR($B78="",$C78&lt;&gt;"Ativo",$D78&lt;&gt;'Calc_Mix'!$C$18,'Calc_Mix'!$X$18=0,COUNTIFS(Esc_Turno,'Calc_Mix'!$C$18,Esc_Circ,$B78)+COUNTIFS(Esc_Turno,'Calc_Mix'!$C$18,Esc_Instr,$B78)&gt;0),"",IF(SUMPRODUCT('Calc_Mix'!$D$18:$W$18,'Matriz_Habilidades'!$D78:$W78)=0,"",SUMPRODUCT('Calc_Mix'!$D$18:$W$18,'Matriz_Habilidades'!$D78:$W78)/'Calc_Mix'!$X$18+ROW()*0.000001))</f>
        <v/>
      </c>
      <c r="V78" s="34">
        <f>IF(OR($B78="",$C78&lt;&gt;"Ativo",$D78&lt;&gt;'Calc_Mix'!$C$19,'Calc_Mix'!$X$19=0,COUNTIFS(Esc_Turno,'Calc_Mix'!$C$19,Esc_Circ,$B78)+COUNTIFS(Esc_Turno,'Calc_Mix'!$C$19,Esc_Instr,$B78)&gt;0),"",IF(SUMPRODUCT('Calc_Mix'!$D$19:$W$19,'Matriz_Habilidades'!$D78:$W78)=0,"",SUMPRODUCT('Calc_Mix'!$D$19:$W$19,'Matriz_Habilidades'!$D78:$W78)/'Calc_Mix'!$X$19+ROW()*0.000001))</f>
        <v/>
      </c>
      <c r="W78" s="34">
        <f>IF(OR($B78="",$C78&lt;&gt;"Ativo",$D78&lt;&gt;'Calc_Mix'!$C$20,'Calc_Mix'!$X$20=0,COUNTIFS(Esc_Turno,'Calc_Mix'!$C$20,Esc_Circ,$B78)+COUNTIFS(Esc_Turno,'Calc_Mix'!$C$20,Esc_Instr,$B78)&gt;0),"",IF(SUMPRODUCT('Calc_Mix'!$D$20:$W$20,'Matriz_Habilidades'!$D78:$W78)=0,"",SUMPRODUCT('Calc_Mix'!$D$20:$W$20,'Matriz_Habilidades'!$D78:$W78)/'Calc_Mix'!$X$20+ROW()*0.000001))</f>
        <v/>
      </c>
      <c r="X78" s="34">
        <f>IF(OR($B78="",$C78&lt;&gt;"Ativo",$D78&lt;&gt;'Calc_Mix'!$C$21,'Calc_Mix'!$X$21=0,COUNTIFS(Esc_Turno,'Calc_Mix'!$C$21,Esc_Circ,$B78)+COUNTIFS(Esc_Turno,'Calc_Mix'!$C$21,Esc_Instr,$B78)&gt;0),"",IF(SUMPRODUCT('Calc_Mix'!$D$21:$W$21,'Matriz_Habilidades'!$D78:$W78)=0,"",SUMPRODUCT('Calc_Mix'!$D$21:$W$21,'Matriz_Habilidades'!$D78:$W78)/'Calc_Mix'!$X$21+ROW()*0.000001))</f>
        <v/>
      </c>
      <c r="Y78" s="34">
        <f>IF(OR($B78="",$C78&lt;&gt;"Ativo",$D78&lt;&gt;'Calc_Mix'!$C$22,'Calc_Mix'!$X$22=0,COUNTIFS(Esc_Turno,'Calc_Mix'!$C$22,Esc_Circ,$B78)+COUNTIFS(Esc_Turno,'Calc_Mix'!$C$22,Esc_Instr,$B78)&gt;0),"",IF(SUMPRODUCT('Calc_Mix'!$D$22:$W$22,'Matriz_Habilidades'!$D78:$W78)=0,"",SUMPRODUCT('Calc_Mix'!$D$22:$W$22,'Matriz_Habilidades'!$D78:$W78)/'Calc_Mix'!$X$22+ROW()*0.000001))</f>
        <v/>
      </c>
      <c r="Z78" s="34">
        <f>IF(OR($B78="",$C78&lt;&gt;"Ativo",$D78&lt;&gt;'Calc_Mix'!$C$23,'Calc_Mix'!$X$23=0,COUNTIFS(Esc_Turno,'Calc_Mix'!$C$23,Esc_Circ,$B78)+COUNTIFS(Esc_Turno,'Calc_Mix'!$C$23,Esc_Instr,$B78)&gt;0),"",IF(SUMPRODUCT('Calc_Mix'!$D$23:$W$23,'Matriz_Habilidades'!$D78:$W78)=0,"",SUMPRODUCT('Calc_Mix'!$D$23:$W$23,'Matriz_Habilidades'!$D78:$W78)/'Calc_Mix'!$X$23+ROW()*0.000001))</f>
        <v/>
      </c>
      <c r="AA78" s="34">
        <f>IF(OR($B78="",$C78&lt;&gt;"Ativo",$D78&lt;&gt;'Calc_Mix'!$C$24,'Calc_Mix'!$X$24=0,COUNTIFS(Esc_Turno,'Calc_Mix'!$C$24,Esc_Circ,$B78)+COUNTIFS(Esc_Turno,'Calc_Mix'!$C$24,Esc_Instr,$B78)&gt;0),"",IF(SUMPRODUCT('Calc_Mix'!$D$24:$W$24,'Matriz_Habilidades'!$D78:$W78)=0,"",SUMPRODUCT('Calc_Mix'!$D$24:$W$24,'Matriz_Habilidades'!$D78:$W78)/'Calc_Mix'!$X$24+ROW()*0.000001))</f>
        <v/>
      </c>
      <c r="AB78" s="34">
        <f>IF(OR($B78="",$C78&lt;&gt;"Ativo",$D78&lt;&gt;'Calc_Mix'!$C$25,'Calc_Mix'!$X$25=0,COUNTIFS(Esc_Turno,'Calc_Mix'!$C$25,Esc_Circ,$B78)+COUNTIFS(Esc_Turno,'Calc_Mix'!$C$25,Esc_Instr,$B78)&gt;0),"",IF(SUMPRODUCT('Calc_Mix'!$D$25:$W$25,'Matriz_Habilidades'!$D78:$W78)=0,"",SUMPRODUCT('Calc_Mix'!$D$25:$W$25,'Matriz_Habilidades'!$D78:$W78)/'Calc_Mix'!$X$25+ROW()*0.000001))</f>
        <v/>
      </c>
      <c r="AC78" s="34">
        <f>IF(OR($B78="",$C78&lt;&gt;"Ativo",$D78&lt;&gt;'Calc_Mix'!$C$26,'Calc_Mix'!$X$26=0,COUNTIFS(Esc_Turno,'Calc_Mix'!$C$26,Esc_Circ,$B78)+COUNTIFS(Esc_Turno,'Calc_Mix'!$C$26,Esc_Instr,$B78)&gt;0),"",IF(SUMPRODUCT('Calc_Mix'!$D$26:$W$26,'Matriz_Habilidades'!$D78:$W78)=0,"",SUMPRODUCT('Calc_Mix'!$D$26:$W$26,'Matriz_Habilidades'!$D78:$W78)/'Calc_Mix'!$X$26+ROW()*0.000001))</f>
        <v/>
      </c>
      <c r="AD78" s="34">
        <f>IF(OR($B78="",$C78&lt;&gt;"Ativo",$D78&lt;&gt;'Calc_Mix'!$C$27,'Calc_Mix'!$X$27=0,COUNTIFS(Esc_Turno,'Calc_Mix'!$C$27,Esc_Circ,$B78)+COUNTIFS(Esc_Turno,'Calc_Mix'!$C$27,Esc_Instr,$B78)&gt;0),"",IF(SUMPRODUCT('Calc_Mix'!$D$27:$W$27,'Matriz_Habilidades'!$D78:$W78)=0,"",SUMPRODUCT('Calc_Mix'!$D$27:$W$27,'Matriz_Habilidades'!$D78:$W78)/'Calc_Mix'!$X$27+ROW()*0.000001))</f>
        <v/>
      </c>
      <c r="AE78" s="34">
        <f>IF(OR($B78="",$C78&lt;&gt;"Ativo",$D78&lt;&gt;'Calc_Mix'!$C$28,'Calc_Mix'!$X$28=0,COUNTIFS(Esc_Turno,'Calc_Mix'!$C$28,Esc_Circ,$B78)+COUNTIFS(Esc_Turno,'Calc_Mix'!$C$28,Esc_Instr,$B78)&gt;0),"",IF(SUMPRODUCT('Calc_Mix'!$D$28:$W$28,'Matriz_Habilidades'!$D78:$W78)=0,"",SUMPRODUCT('Calc_Mix'!$D$28:$W$28,'Matriz_Habilidades'!$D78:$W78)/'Calc_Mix'!$X$28+ROW()*0.000001))</f>
        <v/>
      </c>
      <c r="AF78" s="34">
        <f>IF(OR($B78="",$C78&lt;&gt;"Ativo",$D78&lt;&gt;'Calc_Mix'!$C$29,'Calc_Mix'!$X$29=0,COUNTIFS(Esc_Turno,'Calc_Mix'!$C$29,Esc_Circ,$B78)+COUNTIFS(Esc_Turno,'Calc_Mix'!$C$29,Esc_Instr,$B78)&gt;0),"",IF(SUMPRODUCT('Calc_Mix'!$D$29:$W$29,'Matriz_Habilidades'!$D78:$W78)=0,"",SUMPRODUCT('Calc_Mix'!$D$29:$W$29,'Matriz_Habilidades'!$D78:$W78)/'Calc_Mix'!$X$29+ROW()*0.000001))</f>
        <v/>
      </c>
      <c r="AG78" s="34">
        <f>IF(OR($B78="",$C78&lt;&gt;"Ativo",$D78&lt;&gt;'Calc_Mix'!$C$30,'Calc_Mix'!$X$30=0,COUNTIFS(Esc_Turno,'Calc_Mix'!$C$30,Esc_Circ,$B78)+COUNTIFS(Esc_Turno,'Calc_Mix'!$C$30,Esc_Instr,$B78)&gt;0),"",IF(SUMPRODUCT('Calc_Mix'!$D$30:$W$30,'Matriz_Habilidades'!$D78:$W78)=0,"",SUMPRODUCT('Calc_Mix'!$D$30:$W$30,'Matriz_Habilidades'!$D78:$W78)/'Calc_Mix'!$X$30+ROW()*0.000001))</f>
        <v/>
      </c>
      <c r="AH78" s="34">
        <f>IF(OR($B78="",$C78&lt;&gt;"Ativo",$D78&lt;&gt;'Calc_Mix'!$C$31,'Calc_Mix'!$X$31=0,COUNTIFS(Esc_Turno,'Calc_Mix'!$C$31,Esc_Circ,$B78)+COUNTIFS(Esc_Turno,'Calc_Mix'!$C$31,Esc_Instr,$B78)&gt;0),"",IF(SUMPRODUCT('Calc_Mix'!$D$31:$W$31,'Matriz_Habilidades'!$D78:$W78)=0,"",SUMPRODUCT('Calc_Mix'!$D$31:$W$31,'Matriz_Habilidades'!$D78:$W78)/'Calc_Mix'!$X$31+ROW()*0.000001))</f>
        <v/>
      </c>
      <c r="AI78" s="34">
        <f>IF(OR($B78="",$C78&lt;&gt;"Ativo",$D78&lt;&gt;'Calc_Mix'!$C$32,'Calc_Mix'!$X$32=0,COUNTIFS(Esc_Turno,'Calc_Mix'!$C$32,Esc_Circ,$B78)+COUNTIFS(Esc_Turno,'Calc_Mix'!$C$32,Esc_Instr,$B78)&gt;0),"",IF(SUMPRODUCT('Calc_Mix'!$D$32:$W$32,'Matriz_Habilidades'!$D78:$W78)=0,"",SUMPRODUCT('Calc_Mix'!$D$32:$W$32,'Matriz_Habilidades'!$D78:$W78)/'Calc_Mix'!$X$32+ROW()*0.000001))</f>
        <v/>
      </c>
      <c r="AJ78" s="34">
        <f>IF(OR($B78="",$C78&lt;&gt;"Ativo",$D78&lt;&gt;'Calc_Mix'!$C$33,'Calc_Mix'!$X$33=0,COUNTIFS(Esc_Turno,'Calc_Mix'!$C$33,Esc_Circ,$B78)+COUNTIFS(Esc_Turno,'Calc_Mix'!$C$33,Esc_Instr,$B78)&gt;0),"",IF(SUMPRODUCT('Calc_Mix'!$D$33:$W$33,'Matriz_Habilidades'!$D78:$W78)=0,"",SUMPRODUCT('Calc_Mix'!$D$33:$W$33,'Matriz_Habilidades'!$D78:$W78)/'Calc_Mix'!$X$33+ROW()*0.000001))</f>
        <v/>
      </c>
      <c r="AK78" s="34">
        <f>IF(OR($B78="",$C78&lt;&gt;"Ativo",$D78&lt;&gt;'Calc_Mix'!$C$34,'Calc_Mix'!$X$34=0,COUNTIFS(Esc_Turno,'Calc_Mix'!$C$34,Esc_Circ,$B78)+COUNTIFS(Esc_Turno,'Calc_Mix'!$C$34,Esc_Instr,$B78)&gt;0),"",IF(SUMPRODUCT('Calc_Mix'!$D$34:$W$34,'Matriz_Habilidades'!$D78:$W78)=0,"",SUMPRODUCT('Calc_Mix'!$D$34:$W$34,'Matriz_Habilidades'!$D78:$W78)/'Calc_Mix'!$X$34+ROW()*0.000001))</f>
        <v/>
      </c>
      <c r="AL78" s="34">
        <f>IF(OR($B78="",$C78&lt;&gt;"Ativo",$D78&lt;&gt;'Calc_Mix'!$C$35,'Calc_Mix'!$X$35=0,COUNTIFS(Esc_Turno,'Calc_Mix'!$C$35,Esc_Circ,$B78)+COUNTIFS(Esc_Turno,'Calc_Mix'!$C$35,Esc_Instr,$B78)&gt;0),"",IF(SUMPRODUCT('Calc_Mix'!$D$35:$W$35,'Matriz_Habilidades'!$D78:$W78)=0,"",SUMPRODUCT('Calc_Mix'!$D$35:$W$35,'Matriz_Habilidades'!$D78:$W78)/'Calc_Mix'!$X$35+ROW()*0.000001))</f>
        <v/>
      </c>
      <c r="AM78" s="34">
        <f>IF(OR($B78="",$C78&lt;&gt;"Ativo",$D78&lt;&gt;'Calc_Mix'!$C$36,'Calc_Mix'!$X$36=0,COUNTIFS(Esc_Turno,'Calc_Mix'!$C$36,Esc_Circ,$B78)+COUNTIFS(Esc_Turno,'Calc_Mix'!$C$36,Esc_Instr,$B78)&gt;0),"",IF(SUMPRODUCT('Calc_Mix'!$D$36:$W$36,'Matriz_Habilidades'!$D78:$W78)=0,"",SUMPRODUCT('Calc_Mix'!$D$36:$W$36,'Matriz_Habilidades'!$D78:$W78)/'Calc_Mix'!$X$36+ROW()*0.000001))</f>
        <v/>
      </c>
      <c r="AN78" s="34">
        <f>IF(OR($B78="",$C78&lt;&gt;"Ativo",$D78&lt;&gt;'Calc_Mix'!$C$37,'Calc_Mix'!$X$37=0,COUNTIFS(Esc_Turno,'Calc_Mix'!$C$37,Esc_Circ,$B78)+COUNTIFS(Esc_Turno,'Calc_Mix'!$C$37,Esc_Instr,$B78)&gt;0),"",IF(SUMPRODUCT('Calc_Mix'!$D$37:$W$37,'Matriz_Habilidades'!$D78:$W78)=0,"",SUMPRODUCT('Calc_Mix'!$D$37:$W$37,'Matriz_Habilidades'!$D78:$W78)/'Calc_Mix'!$X$37+ROW()*0.000001))</f>
        <v/>
      </c>
    </row>
    <row r="79">
      <c r="A79" s="27">
        <f>IF('Matriz_Habilidades'!A79="","",'Matriz_Habilidades'!A79)</f>
        <v/>
      </c>
      <c r="B79" s="28">
        <f>IF('Matriz_Habilidades'!B79="","",'Matriz_Habilidades'!B79)</f>
        <v/>
      </c>
      <c r="C79" s="27">
        <f>IF($A79="","",IFERROR(INDEX(Equipe_Status,MATCH($B79,Equipe_Nome,0)),"?"))</f>
        <v/>
      </c>
      <c r="D79" s="27">
        <f>IF($A79="","",IFERROR(INDEX(Equipe_Turno,MATCH($B79,Equipe_Nome,0)),"?"))</f>
        <v/>
      </c>
      <c r="E79" s="34">
        <f>IF(OR($B79="",$C79&lt;&gt;"Ativo",$D79&lt;&gt;'Calc_Mix'!$C$2,'Calc_Mix'!$X$2=0,COUNTIFS(Esc_Turno,'Calc_Mix'!$C$2,Esc_Circ,$B79)+COUNTIFS(Esc_Turno,'Calc_Mix'!$C$2,Esc_Instr,$B79)&gt;0),"",IF(SUMPRODUCT('Calc_Mix'!$D$2:$W$2,'Matriz_Habilidades'!$D79:$W79)=0,"",SUMPRODUCT('Calc_Mix'!$D$2:$W$2,'Matriz_Habilidades'!$D79:$W79)/'Calc_Mix'!$X$2+ROW()*0.000001))</f>
        <v/>
      </c>
      <c r="F79" s="34">
        <f>IF(OR($B79="",$C79&lt;&gt;"Ativo",$D79&lt;&gt;'Calc_Mix'!$C$3,'Calc_Mix'!$X$3=0,COUNTIFS(Esc_Turno,'Calc_Mix'!$C$3,Esc_Circ,$B79)+COUNTIFS(Esc_Turno,'Calc_Mix'!$C$3,Esc_Instr,$B79)&gt;0),"",IF(SUMPRODUCT('Calc_Mix'!$D$3:$W$3,'Matriz_Habilidades'!$D79:$W79)=0,"",SUMPRODUCT('Calc_Mix'!$D$3:$W$3,'Matriz_Habilidades'!$D79:$W79)/'Calc_Mix'!$X$3+ROW()*0.000001))</f>
        <v/>
      </c>
      <c r="G79" s="34">
        <f>IF(OR($B79="",$C79&lt;&gt;"Ativo",$D79&lt;&gt;'Calc_Mix'!$C$4,'Calc_Mix'!$X$4=0,COUNTIFS(Esc_Turno,'Calc_Mix'!$C$4,Esc_Circ,$B79)+COUNTIFS(Esc_Turno,'Calc_Mix'!$C$4,Esc_Instr,$B79)&gt;0),"",IF(SUMPRODUCT('Calc_Mix'!$D$4:$W$4,'Matriz_Habilidades'!$D79:$W79)=0,"",SUMPRODUCT('Calc_Mix'!$D$4:$W$4,'Matriz_Habilidades'!$D79:$W79)/'Calc_Mix'!$X$4+ROW()*0.000001))</f>
        <v/>
      </c>
      <c r="H79" s="34">
        <f>IF(OR($B79="",$C79&lt;&gt;"Ativo",$D79&lt;&gt;'Calc_Mix'!$C$5,'Calc_Mix'!$X$5=0,COUNTIFS(Esc_Turno,'Calc_Mix'!$C$5,Esc_Circ,$B79)+COUNTIFS(Esc_Turno,'Calc_Mix'!$C$5,Esc_Instr,$B79)&gt;0),"",IF(SUMPRODUCT('Calc_Mix'!$D$5:$W$5,'Matriz_Habilidades'!$D79:$W79)=0,"",SUMPRODUCT('Calc_Mix'!$D$5:$W$5,'Matriz_Habilidades'!$D79:$W79)/'Calc_Mix'!$X$5+ROW()*0.000001))</f>
        <v/>
      </c>
      <c r="I79" s="34">
        <f>IF(OR($B79="",$C79&lt;&gt;"Ativo",$D79&lt;&gt;'Calc_Mix'!$C$6,'Calc_Mix'!$X$6=0,COUNTIFS(Esc_Turno,'Calc_Mix'!$C$6,Esc_Circ,$B79)+COUNTIFS(Esc_Turno,'Calc_Mix'!$C$6,Esc_Instr,$B79)&gt;0),"",IF(SUMPRODUCT('Calc_Mix'!$D$6:$W$6,'Matriz_Habilidades'!$D79:$W79)=0,"",SUMPRODUCT('Calc_Mix'!$D$6:$W$6,'Matriz_Habilidades'!$D79:$W79)/'Calc_Mix'!$X$6+ROW()*0.000001))</f>
        <v/>
      </c>
      <c r="J79" s="34">
        <f>IF(OR($B79="",$C79&lt;&gt;"Ativo",$D79&lt;&gt;'Calc_Mix'!$C$7,'Calc_Mix'!$X$7=0,COUNTIFS(Esc_Turno,'Calc_Mix'!$C$7,Esc_Circ,$B79)+COUNTIFS(Esc_Turno,'Calc_Mix'!$C$7,Esc_Instr,$B79)&gt;0),"",IF(SUMPRODUCT('Calc_Mix'!$D$7:$W$7,'Matriz_Habilidades'!$D79:$W79)=0,"",SUMPRODUCT('Calc_Mix'!$D$7:$W$7,'Matriz_Habilidades'!$D79:$W79)/'Calc_Mix'!$X$7+ROW()*0.000001))</f>
        <v/>
      </c>
      <c r="K79" s="34">
        <f>IF(OR($B79="",$C79&lt;&gt;"Ativo",$D79&lt;&gt;'Calc_Mix'!$C$8,'Calc_Mix'!$X$8=0,COUNTIFS(Esc_Turno,'Calc_Mix'!$C$8,Esc_Circ,$B79)+COUNTIFS(Esc_Turno,'Calc_Mix'!$C$8,Esc_Instr,$B79)&gt;0),"",IF(SUMPRODUCT('Calc_Mix'!$D$8:$W$8,'Matriz_Habilidades'!$D79:$W79)=0,"",SUMPRODUCT('Calc_Mix'!$D$8:$W$8,'Matriz_Habilidades'!$D79:$W79)/'Calc_Mix'!$X$8+ROW()*0.000001))</f>
        <v/>
      </c>
      <c r="L79" s="34">
        <f>IF(OR($B79="",$C79&lt;&gt;"Ativo",$D79&lt;&gt;'Calc_Mix'!$C$9,'Calc_Mix'!$X$9=0,COUNTIFS(Esc_Turno,'Calc_Mix'!$C$9,Esc_Circ,$B79)+COUNTIFS(Esc_Turno,'Calc_Mix'!$C$9,Esc_Instr,$B79)&gt;0),"",IF(SUMPRODUCT('Calc_Mix'!$D$9:$W$9,'Matriz_Habilidades'!$D79:$W79)=0,"",SUMPRODUCT('Calc_Mix'!$D$9:$W$9,'Matriz_Habilidades'!$D79:$W79)/'Calc_Mix'!$X$9+ROW()*0.000001))</f>
        <v/>
      </c>
      <c r="M79" s="34">
        <f>IF(OR($B79="",$C79&lt;&gt;"Ativo",$D79&lt;&gt;'Calc_Mix'!$C$10,'Calc_Mix'!$X$10=0,COUNTIFS(Esc_Turno,'Calc_Mix'!$C$10,Esc_Circ,$B79)+COUNTIFS(Esc_Turno,'Calc_Mix'!$C$10,Esc_Instr,$B79)&gt;0),"",IF(SUMPRODUCT('Calc_Mix'!$D$10:$W$10,'Matriz_Habilidades'!$D79:$W79)=0,"",SUMPRODUCT('Calc_Mix'!$D$10:$W$10,'Matriz_Habilidades'!$D79:$W79)/'Calc_Mix'!$X$10+ROW()*0.000001))</f>
        <v/>
      </c>
      <c r="N79" s="34">
        <f>IF(OR($B79="",$C79&lt;&gt;"Ativo",$D79&lt;&gt;'Calc_Mix'!$C$11,'Calc_Mix'!$X$11=0,COUNTIFS(Esc_Turno,'Calc_Mix'!$C$11,Esc_Circ,$B79)+COUNTIFS(Esc_Turno,'Calc_Mix'!$C$11,Esc_Instr,$B79)&gt;0),"",IF(SUMPRODUCT('Calc_Mix'!$D$11:$W$11,'Matriz_Habilidades'!$D79:$W79)=0,"",SUMPRODUCT('Calc_Mix'!$D$11:$W$11,'Matriz_Habilidades'!$D79:$W79)/'Calc_Mix'!$X$11+ROW()*0.000001))</f>
        <v/>
      </c>
      <c r="O79" s="34">
        <f>IF(OR($B79="",$C79&lt;&gt;"Ativo",$D79&lt;&gt;'Calc_Mix'!$C$12,'Calc_Mix'!$X$12=0,COUNTIFS(Esc_Turno,'Calc_Mix'!$C$12,Esc_Circ,$B79)+COUNTIFS(Esc_Turno,'Calc_Mix'!$C$12,Esc_Instr,$B79)&gt;0),"",IF(SUMPRODUCT('Calc_Mix'!$D$12:$W$12,'Matriz_Habilidades'!$D79:$W79)=0,"",SUMPRODUCT('Calc_Mix'!$D$12:$W$12,'Matriz_Habilidades'!$D79:$W79)/'Calc_Mix'!$X$12+ROW()*0.000001))</f>
        <v/>
      </c>
      <c r="P79" s="34">
        <f>IF(OR($B79="",$C79&lt;&gt;"Ativo",$D79&lt;&gt;'Calc_Mix'!$C$13,'Calc_Mix'!$X$13=0,COUNTIFS(Esc_Turno,'Calc_Mix'!$C$13,Esc_Circ,$B79)+COUNTIFS(Esc_Turno,'Calc_Mix'!$C$13,Esc_Instr,$B79)&gt;0),"",IF(SUMPRODUCT('Calc_Mix'!$D$13:$W$13,'Matriz_Habilidades'!$D79:$W79)=0,"",SUMPRODUCT('Calc_Mix'!$D$13:$W$13,'Matriz_Habilidades'!$D79:$W79)/'Calc_Mix'!$X$13+ROW()*0.000001))</f>
        <v/>
      </c>
      <c r="Q79" s="34">
        <f>IF(OR($B79="",$C79&lt;&gt;"Ativo",$D79&lt;&gt;'Calc_Mix'!$C$14,'Calc_Mix'!$X$14=0,COUNTIFS(Esc_Turno,'Calc_Mix'!$C$14,Esc_Circ,$B79)+COUNTIFS(Esc_Turno,'Calc_Mix'!$C$14,Esc_Instr,$B79)&gt;0),"",IF(SUMPRODUCT('Calc_Mix'!$D$14:$W$14,'Matriz_Habilidades'!$D79:$W79)=0,"",SUMPRODUCT('Calc_Mix'!$D$14:$W$14,'Matriz_Habilidades'!$D79:$W79)/'Calc_Mix'!$X$14+ROW()*0.000001))</f>
        <v/>
      </c>
      <c r="R79" s="34">
        <f>IF(OR($B79="",$C79&lt;&gt;"Ativo",$D79&lt;&gt;'Calc_Mix'!$C$15,'Calc_Mix'!$X$15=0,COUNTIFS(Esc_Turno,'Calc_Mix'!$C$15,Esc_Circ,$B79)+COUNTIFS(Esc_Turno,'Calc_Mix'!$C$15,Esc_Instr,$B79)&gt;0),"",IF(SUMPRODUCT('Calc_Mix'!$D$15:$W$15,'Matriz_Habilidades'!$D79:$W79)=0,"",SUMPRODUCT('Calc_Mix'!$D$15:$W$15,'Matriz_Habilidades'!$D79:$W79)/'Calc_Mix'!$X$15+ROW()*0.000001))</f>
        <v/>
      </c>
      <c r="S79" s="34">
        <f>IF(OR($B79="",$C79&lt;&gt;"Ativo",$D79&lt;&gt;'Calc_Mix'!$C$16,'Calc_Mix'!$X$16=0,COUNTIFS(Esc_Turno,'Calc_Mix'!$C$16,Esc_Circ,$B79)+COUNTIFS(Esc_Turno,'Calc_Mix'!$C$16,Esc_Instr,$B79)&gt;0),"",IF(SUMPRODUCT('Calc_Mix'!$D$16:$W$16,'Matriz_Habilidades'!$D79:$W79)=0,"",SUMPRODUCT('Calc_Mix'!$D$16:$W$16,'Matriz_Habilidades'!$D79:$W79)/'Calc_Mix'!$X$16+ROW()*0.000001))</f>
        <v/>
      </c>
      <c r="T79" s="34">
        <f>IF(OR($B79="",$C79&lt;&gt;"Ativo",$D79&lt;&gt;'Calc_Mix'!$C$17,'Calc_Mix'!$X$17=0,COUNTIFS(Esc_Turno,'Calc_Mix'!$C$17,Esc_Circ,$B79)+COUNTIFS(Esc_Turno,'Calc_Mix'!$C$17,Esc_Instr,$B79)&gt;0),"",IF(SUMPRODUCT('Calc_Mix'!$D$17:$W$17,'Matriz_Habilidades'!$D79:$W79)=0,"",SUMPRODUCT('Calc_Mix'!$D$17:$W$17,'Matriz_Habilidades'!$D79:$W79)/'Calc_Mix'!$X$17+ROW()*0.000001))</f>
        <v/>
      </c>
      <c r="U79" s="34">
        <f>IF(OR($B79="",$C79&lt;&gt;"Ativo",$D79&lt;&gt;'Calc_Mix'!$C$18,'Calc_Mix'!$X$18=0,COUNTIFS(Esc_Turno,'Calc_Mix'!$C$18,Esc_Circ,$B79)+COUNTIFS(Esc_Turno,'Calc_Mix'!$C$18,Esc_Instr,$B79)&gt;0),"",IF(SUMPRODUCT('Calc_Mix'!$D$18:$W$18,'Matriz_Habilidades'!$D79:$W79)=0,"",SUMPRODUCT('Calc_Mix'!$D$18:$W$18,'Matriz_Habilidades'!$D79:$W79)/'Calc_Mix'!$X$18+ROW()*0.000001))</f>
        <v/>
      </c>
      <c r="V79" s="34">
        <f>IF(OR($B79="",$C79&lt;&gt;"Ativo",$D79&lt;&gt;'Calc_Mix'!$C$19,'Calc_Mix'!$X$19=0,COUNTIFS(Esc_Turno,'Calc_Mix'!$C$19,Esc_Circ,$B79)+COUNTIFS(Esc_Turno,'Calc_Mix'!$C$19,Esc_Instr,$B79)&gt;0),"",IF(SUMPRODUCT('Calc_Mix'!$D$19:$W$19,'Matriz_Habilidades'!$D79:$W79)=0,"",SUMPRODUCT('Calc_Mix'!$D$19:$W$19,'Matriz_Habilidades'!$D79:$W79)/'Calc_Mix'!$X$19+ROW()*0.000001))</f>
        <v/>
      </c>
      <c r="W79" s="34">
        <f>IF(OR($B79="",$C79&lt;&gt;"Ativo",$D79&lt;&gt;'Calc_Mix'!$C$20,'Calc_Mix'!$X$20=0,COUNTIFS(Esc_Turno,'Calc_Mix'!$C$20,Esc_Circ,$B79)+COUNTIFS(Esc_Turno,'Calc_Mix'!$C$20,Esc_Instr,$B79)&gt;0),"",IF(SUMPRODUCT('Calc_Mix'!$D$20:$W$20,'Matriz_Habilidades'!$D79:$W79)=0,"",SUMPRODUCT('Calc_Mix'!$D$20:$W$20,'Matriz_Habilidades'!$D79:$W79)/'Calc_Mix'!$X$20+ROW()*0.000001))</f>
        <v/>
      </c>
      <c r="X79" s="34">
        <f>IF(OR($B79="",$C79&lt;&gt;"Ativo",$D79&lt;&gt;'Calc_Mix'!$C$21,'Calc_Mix'!$X$21=0,COUNTIFS(Esc_Turno,'Calc_Mix'!$C$21,Esc_Circ,$B79)+COUNTIFS(Esc_Turno,'Calc_Mix'!$C$21,Esc_Instr,$B79)&gt;0),"",IF(SUMPRODUCT('Calc_Mix'!$D$21:$W$21,'Matriz_Habilidades'!$D79:$W79)=0,"",SUMPRODUCT('Calc_Mix'!$D$21:$W$21,'Matriz_Habilidades'!$D79:$W79)/'Calc_Mix'!$X$21+ROW()*0.000001))</f>
        <v/>
      </c>
      <c r="Y79" s="34">
        <f>IF(OR($B79="",$C79&lt;&gt;"Ativo",$D79&lt;&gt;'Calc_Mix'!$C$22,'Calc_Mix'!$X$22=0,COUNTIFS(Esc_Turno,'Calc_Mix'!$C$22,Esc_Circ,$B79)+COUNTIFS(Esc_Turno,'Calc_Mix'!$C$22,Esc_Instr,$B79)&gt;0),"",IF(SUMPRODUCT('Calc_Mix'!$D$22:$W$22,'Matriz_Habilidades'!$D79:$W79)=0,"",SUMPRODUCT('Calc_Mix'!$D$22:$W$22,'Matriz_Habilidades'!$D79:$W79)/'Calc_Mix'!$X$22+ROW()*0.000001))</f>
        <v/>
      </c>
      <c r="Z79" s="34">
        <f>IF(OR($B79="",$C79&lt;&gt;"Ativo",$D79&lt;&gt;'Calc_Mix'!$C$23,'Calc_Mix'!$X$23=0,COUNTIFS(Esc_Turno,'Calc_Mix'!$C$23,Esc_Circ,$B79)+COUNTIFS(Esc_Turno,'Calc_Mix'!$C$23,Esc_Instr,$B79)&gt;0),"",IF(SUMPRODUCT('Calc_Mix'!$D$23:$W$23,'Matriz_Habilidades'!$D79:$W79)=0,"",SUMPRODUCT('Calc_Mix'!$D$23:$W$23,'Matriz_Habilidades'!$D79:$W79)/'Calc_Mix'!$X$23+ROW()*0.000001))</f>
        <v/>
      </c>
      <c r="AA79" s="34">
        <f>IF(OR($B79="",$C79&lt;&gt;"Ativo",$D79&lt;&gt;'Calc_Mix'!$C$24,'Calc_Mix'!$X$24=0,COUNTIFS(Esc_Turno,'Calc_Mix'!$C$24,Esc_Circ,$B79)+COUNTIFS(Esc_Turno,'Calc_Mix'!$C$24,Esc_Instr,$B79)&gt;0),"",IF(SUMPRODUCT('Calc_Mix'!$D$24:$W$24,'Matriz_Habilidades'!$D79:$W79)=0,"",SUMPRODUCT('Calc_Mix'!$D$24:$W$24,'Matriz_Habilidades'!$D79:$W79)/'Calc_Mix'!$X$24+ROW()*0.000001))</f>
        <v/>
      </c>
      <c r="AB79" s="34">
        <f>IF(OR($B79="",$C79&lt;&gt;"Ativo",$D79&lt;&gt;'Calc_Mix'!$C$25,'Calc_Mix'!$X$25=0,COUNTIFS(Esc_Turno,'Calc_Mix'!$C$25,Esc_Circ,$B79)+COUNTIFS(Esc_Turno,'Calc_Mix'!$C$25,Esc_Instr,$B79)&gt;0),"",IF(SUMPRODUCT('Calc_Mix'!$D$25:$W$25,'Matriz_Habilidades'!$D79:$W79)=0,"",SUMPRODUCT('Calc_Mix'!$D$25:$W$25,'Matriz_Habilidades'!$D79:$W79)/'Calc_Mix'!$X$25+ROW()*0.000001))</f>
        <v/>
      </c>
      <c r="AC79" s="34">
        <f>IF(OR($B79="",$C79&lt;&gt;"Ativo",$D79&lt;&gt;'Calc_Mix'!$C$26,'Calc_Mix'!$X$26=0,COUNTIFS(Esc_Turno,'Calc_Mix'!$C$26,Esc_Circ,$B79)+COUNTIFS(Esc_Turno,'Calc_Mix'!$C$26,Esc_Instr,$B79)&gt;0),"",IF(SUMPRODUCT('Calc_Mix'!$D$26:$W$26,'Matriz_Habilidades'!$D79:$W79)=0,"",SUMPRODUCT('Calc_Mix'!$D$26:$W$26,'Matriz_Habilidades'!$D79:$W79)/'Calc_Mix'!$X$26+ROW()*0.000001))</f>
        <v/>
      </c>
      <c r="AD79" s="34">
        <f>IF(OR($B79="",$C79&lt;&gt;"Ativo",$D79&lt;&gt;'Calc_Mix'!$C$27,'Calc_Mix'!$X$27=0,COUNTIFS(Esc_Turno,'Calc_Mix'!$C$27,Esc_Circ,$B79)+COUNTIFS(Esc_Turno,'Calc_Mix'!$C$27,Esc_Instr,$B79)&gt;0),"",IF(SUMPRODUCT('Calc_Mix'!$D$27:$W$27,'Matriz_Habilidades'!$D79:$W79)=0,"",SUMPRODUCT('Calc_Mix'!$D$27:$W$27,'Matriz_Habilidades'!$D79:$W79)/'Calc_Mix'!$X$27+ROW()*0.000001))</f>
        <v/>
      </c>
      <c r="AE79" s="34">
        <f>IF(OR($B79="",$C79&lt;&gt;"Ativo",$D79&lt;&gt;'Calc_Mix'!$C$28,'Calc_Mix'!$X$28=0,COUNTIFS(Esc_Turno,'Calc_Mix'!$C$28,Esc_Circ,$B79)+COUNTIFS(Esc_Turno,'Calc_Mix'!$C$28,Esc_Instr,$B79)&gt;0),"",IF(SUMPRODUCT('Calc_Mix'!$D$28:$W$28,'Matriz_Habilidades'!$D79:$W79)=0,"",SUMPRODUCT('Calc_Mix'!$D$28:$W$28,'Matriz_Habilidades'!$D79:$W79)/'Calc_Mix'!$X$28+ROW()*0.000001))</f>
        <v/>
      </c>
      <c r="AF79" s="34">
        <f>IF(OR($B79="",$C79&lt;&gt;"Ativo",$D79&lt;&gt;'Calc_Mix'!$C$29,'Calc_Mix'!$X$29=0,COUNTIFS(Esc_Turno,'Calc_Mix'!$C$29,Esc_Circ,$B79)+COUNTIFS(Esc_Turno,'Calc_Mix'!$C$29,Esc_Instr,$B79)&gt;0),"",IF(SUMPRODUCT('Calc_Mix'!$D$29:$W$29,'Matriz_Habilidades'!$D79:$W79)=0,"",SUMPRODUCT('Calc_Mix'!$D$29:$W$29,'Matriz_Habilidades'!$D79:$W79)/'Calc_Mix'!$X$29+ROW()*0.000001))</f>
        <v/>
      </c>
      <c r="AG79" s="34">
        <f>IF(OR($B79="",$C79&lt;&gt;"Ativo",$D79&lt;&gt;'Calc_Mix'!$C$30,'Calc_Mix'!$X$30=0,COUNTIFS(Esc_Turno,'Calc_Mix'!$C$30,Esc_Circ,$B79)+COUNTIFS(Esc_Turno,'Calc_Mix'!$C$30,Esc_Instr,$B79)&gt;0),"",IF(SUMPRODUCT('Calc_Mix'!$D$30:$W$30,'Matriz_Habilidades'!$D79:$W79)=0,"",SUMPRODUCT('Calc_Mix'!$D$30:$W$30,'Matriz_Habilidades'!$D79:$W79)/'Calc_Mix'!$X$30+ROW()*0.000001))</f>
        <v/>
      </c>
      <c r="AH79" s="34">
        <f>IF(OR($B79="",$C79&lt;&gt;"Ativo",$D79&lt;&gt;'Calc_Mix'!$C$31,'Calc_Mix'!$X$31=0,COUNTIFS(Esc_Turno,'Calc_Mix'!$C$31,Esc_Circ,$B79)+COUNTIFS(Esc_Turno,'Calc_Mix'!$C$31,Esc_Instr,$B79)&gt;0),"",IF(SUMPRODUCT('Calc_Mix'!$D$31:$W$31,'Matriz_Habilidades'!$D79:$W79)=0,"",SUMPRODUCT('Calc_Mix'!$D$31:$W$31,'Matriz_Habilidades'!$D79:$W79)/'Calc_Mix'!$X$31+ROW()*0.000001))</f>
        <v/>
      </c>
      <c r="AI79" s="34">
        <f>IF(OR($B79="",$C79&lt;&gt;"Ativo",$D79&lt;&gt;'Calc_Mix'!$C$32,'Calc_Mix'!$X$32=0,COUNTIFS(Esc_Turno,'Calc_Mix'!$C$32,Esc_Circ,$B79)+COUNTIFS(Esc_Turno,'Calc_Mix'!$C$32,Esc_Instr,$B79)&gt;0),"",IF(SUMPRODUCT('Calc_Mix'!$D$32:$W$32,'Matriz_Habilidades'!$D79:$W79)=0,"",SUMPRODUCT('Calc_Mix'!$D$32:$W$32,'Matriz_Habilidades'!$D79:$W79)/'Calc_Mix'!$X$32+ROW()*0.000001))</f>
        <v/>
      </c>
      <c r="AJ79" s="34">
        <f>IF(OR($B79="",$C79&lt;&gt;"Ativo",$D79&lt;&gt;'Calc_Mix'!$C$33,'Calc_Mix'!$X$33=0,COUNTIFS(Esc_Turno,'Calc_Mix'!$C$33,Esc_Circ,$B79)+COUNTIFS(Esc_Turno,'Calc_Mix'!$C$33,Esc_Instr,$B79)&gt;0),"",IF(SUMPRODUCT('Calc_Mix'!$D$33:$W$33,'Matriz_Habilidades'!$D79:$W79)=0,"",SUMPRODUCT('Calc_Mix'!$D$33:$W$33,'Matriz_Habilidades'!$D79:$W79)/'Calc_Mix'!$X$33+ROW()*0.000001))</f>
        <v/>
      </c>
      <c r="AK79" s="34">
        <f>IF(OR($B79="",$C79&lt;&gt;"Ativo",$D79&lt;&gt;'Calc_Mix'!$C$34,'Calc_Mix'!$X$34=0,COUNTIFS(Esc_Turno,'Calc_Mix'!$C$34,Esc_Circ,$B79)+COUNTIFS(Esc_Turno,'Calc_Mix'!$C$34,Esc_Instr,$B79)&gt;0),"",IF(SUMPRODUCT('Calc_Mix'!$D$34:$W$34,'Matriz_Habilidades'!$D79:$W79)=0,"",SUMPRODUCT('Calc_Mix'!$D$34:$W$34,'Matriz_Habilidades'!$D79:$W79)/'Calc_Mix'!$X$34+ROW()*0.000001))</f>
        <v/>
      </c>
      <c r="AL79" s="34">
        <f>IF(OR($B79="",$C79&lt;&gt;"Ativo",$D79&lt;&gt;'Calc_Mix'!$C$35,'Calc_Mix'!$X$35=0,COUNTIFS(Esc_Turno,'Calc_Mix'!$C$35,Esc_Circ,$B79)+COUNTIFS(Esc_Turno,'Calc_Mix'!$C$35,Esc_Instr,$B79)&gt;0),"",IF(SUMPRODUCT('Calc_Mix'!$D$35:$W$35,'Matriz_Habilidades'!$D79:$W79)=0,"",SUMPRODUCT('Calc_Mix'!$D$35:$W$35,'Matriz_Habilidades'!$D79:$W79)/'Calc_Mix'!$X$35+ROW()*0.000001))</f>
        <v/>
      </c>
      <c r="AM79" s="34">
        <f>IF(OR($B79="",$C79&lt;&gt;"Ativo",$D79&lt;&gt;'Calc_Mix'!$C$36,'Calc_Mix'!$X$36=0,COUNTIFS(Esc_Turno,'Calc_Mix'!$C$36,Esc_Circ,$B79)+COUNTIFS(Esc_Turno,'Calc_Mix'!$C$36,Esc_Instr,$B79)&gt;0),"",IF(SUMPRODUCT('Calc_Mix'!$D$36:$W$36,'Matriz_Habilidades'!$D79:$W79)=0,"",SUMPRODUCT('Calc_Mix'!$D$36:$W$36,'Matriz_Habilidades'!$D79:$W79)/'Calc_Mix'!$X$36+ROW()*0.000001))</f>
        <v/>
      </c>
      <c r="AN79" s="34">
        <f>IF(OR($B79="",$C79&lt;&gt;"Ativo",$D79&lt;&gt;'Calc_Mix'!$C$37,'Calc_Mix'!$X$37=0,COUNTIFS(Esc_Turno,'Calc_Mix'!$C$37,Esc_Circ,$B79)+COUNTIFS(Esc_Turno,'Calc_Mix'!$C$37,Esc_Instr,$B79)&gt;0),"",IF(SUMPRODUCT('Calc_Mix'!$D$37:$W$37,'Matriz_Habilidades'!$D79:$W79)=0,"",SUMPRODUCT('Calc_Mix'!$D$37:$W$37,'Matriz_Habilidades'!$D79:$W79)/'Calc_Mix'!$X$37+ROW()*0.000001))</f>
        <v/>
      </c>
    </row>
    <row r="80">
      <c r="A80" s="27">
        <f>IF('Matriz_Habilidades'!A80="","",'Matriz_Habilidades'!A80)</f>
        <v/>
      </c>
      <c r="B80" s="28">
        <f>IF('Matriz_Habilidades'!B80="","",'Matriz_Habilidades'!B80)</f>
        <v/>
      </c>
      <c r="C80" s="27">
        <f>IF($A80="","",IFERROR(INDEX(Equipe_Status,MATCH($B80,Equipe_Nome,0)),"?"))</f>
        <v/>
      </c>
      <c r="D80" s="27">
        <f>IF($A80="","",IFERROR(INDEX(Equipe_Turno,MATCH($B80,Equipe_Nome,0)),"?"))</f>
        <v/>
      </c>
      <c r="E80" s="34">
        <f>IF(OR($B80="",$C80&lt;&gt;"Ativo",$D80&lt;&gt;'Calc_Mix'!$C$2,'Calc_Mix'!$X$2=0,COUNTIFS(Esc_Turno,'Calc_Mix'!$C$2,Esc_Circ,$B80)+COUNTIFS(Esc_Turno,'Calc_Mix'!$C$2,Esc_Instr,$B80)&gt;0),"",IF(SUMPRODUCT('Calc_Mix'!$D$2:$W$2,'Matriz_Habilidades'!$D80:$W80)=0,"",SUMPRODUCT('Calc_Mix'!$D$2:$W$2,'Matriz_Habilidades'!$D80:$W80)/'Calc_Mix'!$X$2+ROW()*0.000001))</f>
        <v/>
      </c>
      <c r="F80" s="34">
        <f>IF(OR($B80="",$C80&lt;&gt;"Ativo",$D80&lt;&gt;'Calc_Mix'!$C$3,'Calc_Mix'!$X$3=0,COUNTIFS(Esc_Turno,'Calc_Mix'!$C$3,Esc_Circ,$B80)+COUNTIFS(Esc_Turno,'Calc_Mix'!$C$3,Esc_Instr,$B80)&gt;0),"",IF(SUMPRODUCT('Calc_Mix'!$D$3:$W$3,'Matriz_Habilidades'!$D80:$W80)=0,"",SUMPRODUCT('Calc_Mix'!$D$3:$W$3,'Matriz_Habilidades'!$D80:$W80)/'Calc_Mix'!$X$3+ROW()*0.000001))</f>
        <v/>
      </c>
      <c r="G80" s="34">
        <f>IF(OR($B80="",$C80&lt;&gt;"Ativo",$D80&lt;&gt;'Calc_Mix'!$C$4,'Calc_Mix'!$X$4=0,COUNTIFS(Esc_Turno,'Calc_Mix'!$C$4,Esc_Circ,$B80)+COUNTIFS(Esc_Turno,'Calc_Mix'!$C$4,Esc_Instr,$B80)&gt;0),"",IF(SUMPRODUCT('Calc_Mix'!$D$4:$W$4,'Matriz_Habilidades'!$D80:$W80)=0,"",SUMPRODUCT('Calc_Mix'!$D$4:$W$4,'Matriz_Habilidades'!$D80:$W80)/'Calc_Mix'!$X$4+ROW()*0.000001))</f>
        <v/>
      </c>
      <c r="H80" s="34">
        <f>IF(OR($B80="",$C80&lt;&gt;"Ativo",$D80&lt;&gt;'Calc_Mix'!$C$5,'Calc_Mix'!$X$5=0,COUNTIFS(Esc_Turno,'Calc_Mix'!$C$5,Esc_Circ,$B80)+COUNTIFS(Esc_Turno,'Calc_Mix'!$C$5,Esc_Instr,$B80)&gt;0),"",IF(SUMPRODUCT('Calc_Mix'!$D$5:$W$5,'Matriz_Habilidades'!$D80:$W80)=0,"",SUMPRODUCT('Calc_Mix'!$D$5:$W$5,'Matriz_Habilidades'!$D80:$W80)/'Calc_Mix'!$X$5+ROW()*0.000001))</f>
        <v/>
      </c>
      <c r="I80" s="34">
        <f>IF(OR($B80="",$C80&lt;&gt;"Ativo",$D80&lt;&gt;'Calc_Mix'!$C$6,'Calc_Mix'!$X$6=0,COUNTIFS(Esc_Turno,'Calc_Mix'!$C$6,Esc_Circ,$B80)+COUNTIFS(Esc_Turno,'Calc_Mix'!$C$6,Esc_Instr,$B80)&gt;0),"",IF(SUMPRODUCT('Calc_Mix'!$D$6:$W$6,'Matriz_Habilidades'!$D80:$W80)=0,"",SUMPRODUCT('Calc_Mix'!$D$6:$W$6,'Matriz_Habilidades'!$D80:$W80)/'Calc_Mix'!$X$6+ROW()*0.000001))</f>
        <v/>
      </c>
      <c r="J80" s="34">
        <f>IF(OR($B80="",$C80&lt;&gt;"Ativo",$D80&lt;&gt;'Calc_Mix'!$C$7,'Calc_Mix'!$X$7=0,COUNTIFS(Esc_Turno,'Calc_Mix'!$C$7,Esc_Circ,$B80)+COUNTIFS(Esc_Turno,'Calc_Mix'!$C$7,Esc_Instr,$B80)&gt;0),"",IF(SUMPRODUCT('Calc_Mix'!$D$7:$W$7,'Matriz_Habilidades'!$D80:$W80)=0,"",SUMPRODUCT('Calc_Mix'!$D$7:$W$7,'Matriz_Habilidades'!$D80:$W80)/'Calc_Mix'!$X$7+ROW()*0.000001))</f>
        <v/>
      </c>
      <c r="K80" s="34">
        <f>IF(OR($B80="",$C80&lt;&gt;"Ativo",$D80&lt;&gt;'Calc_Mix'!$C$8,'Calc_Mix'!$X$8=0,COUNTIFS(Esc_Turno,'Calc_Mix'!$C$8,Esc_Circ,$B80)+COUNTIFS(Esc_Turno,'Calc_Mix'!$C$8,Esc_Instr,$B80)&gt;0),"",IF(SUMPRODUCT('Calc_Mix'!$D$8:$W$8,'Matriz_Habilidades'!$D80:$W80)=0,"",SUMPRODUCT('Calc_Mix'!$D$8:$W$8,'Matriz_Habilidades'!$D80:$W80)/'Calc_Mix'!$X$8+ROW()*0.000001))</f>
        <v/>
      </c>
      <c r="L80" s="34">
        <f>IF(OR($B80="",$C80&lt;&gt;"Ativo",$D80&lt;&gt;'Calc_Mix'!$C$9,'Calc_Mix'!$X$9=0,COUNTIFS(Esc_Turno,'Calc_Mix'!$C$9,Esc_Circ,$B80)+COUNTIFS(Esc_Turno,'Calc_Mix'!$C$9,Esc_Instr,$B80)&gt;0),"",IF(SUMPRODUCT('Calc_Mix'!$D$9:$W$9,'Matriz_Habilidades'!$D80:$W80)=0,"",SUMPRODUCT('Calc_Mix'!$D$9:$W$9,'Matriz_Habilidades'!$D80:$W80)/'Calc_Mix'!$X$9+ROW()*0.000001))</f>
        <v/>
      </c>
      <c r="M80" s="34">
        <f>IF(OR($B80="",$C80&lt;&gt;"Ativo",$D80&lt;&gt;'Calc_Mix'!$C$10,'Calc_Mix'!$X$10=0,COUNTIFS(Esc_Turno,'Calc_Mix'!$C$10,Esc_Circ,$B80)+COUNTIFS(Esc_Turno,'Calc_Mix'!$C$10,Esc_Instr,$B80)&gt;0),"",IF(SUMPRODUCT('Calc_Mix'!$D$10:$W$10,'Matriz_Habilidades'!$D80:$W80)=0,"",SUMPRODUCT('Calc_Mix'!$D$10:$W$10,'Matriz_Habilidades'!$D80:$W80)/'Calc_Mix'!$X$10+ROW()*0.000001))</f>
        <v/>
      </c>
      <c r="N80" s="34">
        <f>IF(OR($B80="",$C80&lt;&gt;"Ativo",$D80&lt;&gt;'Calc_Mix'!$C$11,'Calc_Mix'!$X$11=0,COUNTIFS(Esc_Turno,'Calc_Mix'!$C$11,Esc_Circ,$B80)+COUNTIFS(Esc_Turno,'Calc_Mix'!$C$11,Esc_Instr,$B80)&gt;0),"",IF(SUMPRODUCT('Calc_Mix'!$D$11:$W$11,'Matriz_Habilidades'!$D80:$W80)=0,"",SUMPRODUCT('Calc_Mix'!$D$11:$W$11,'Matriz_Habilidades'!$D80:$W80)/'Calc_Mix'!$X$11+ROW()*0.000001))</f>
        <v/>
      </c>
      <c r="O80" s="34">
        <f>IF(OR($B80="",$C80&lt;&gt;"Ativo",$D80&lt;&gt;'Calc_Mix'!$C$12,'Calc_Mix'!$X$12=0,COUNTIFS(Esc_Turno,'Calc_Mix'!$C$12,Esc_Circ,$B80)+COUNTIFS(Esc_Turno,'Calc_Mix'!$C$12,Esc_Instr,$B80)&gt;0),"",IF(SUMPRODUCT('Calc_Mix'!$D$12:$W$12,'Matriz_Habilidades'!$D80:$W80)=0,"",SUMPRODUCT('Calc_Mix'!$D$12:$W$12,'Matriz_Habilidades'!$D80:$W80)/'Calc_Mix'!$X$12+ROW()*0.000001))</f>
        <v/>
      </c>
      <c r="P80" s="34">
        <f>IF(OR($B80="",$C80&lt;&gt;"Ativo",$D80&lt;&gt;'Calc_Mix'!$C$13,'Calc_Mix'!$X$13=0,COUNTIFS(Esc_Turno,'Calc_Mix'!$C$13,Esc_Circ,$B80)+COUNTIFS(Esc_Turno,'Calc_Mix'!$C$13,Esc_Instr,$B80)&gt;0),"",IF(SUMPRODUCT('Calc_Mix'!$D$13:$W$13,'Matriz_Habilidades'!$D80:$W80)=0,"",SUMPRODUCT('Calc_Mix'!$D$13:$W$13,'Matriz_Habilidades'!$D80:$W80)/'Calc_Mix'!$X$13+ROW()*0.000001))</f>
        <v/>
      </c>
      <c r="Q80" s="34">
        <f>IF(OR($B80="",$C80&lt;&gt;"Ativo",$D80&lt;&gt;'Calc_Mix'!$C$14,'Calc_Mix'!$X$14=0,COUNTIFS(Esc_Turno,'Calc_Mix'!$C$14,Esc_Circ,$B80)+COUNTIFS(Esc_Turno,'Calc_Mix'!$C$14,Esc_Instr,$B80)&gt;0),"",IF(SUMPRODUCT('Calc_Mix'!$D$14:$W$14,'Matriz_Habilidades'!$D80:$W80)=0,"",SUMPRODUCT('Calc_Mix'!$D$14:$W$14,'Matriz_Habilidades'!$D80:$W80)/'Calc_Mix'!$X$14+ROW()*0.000001))</f>
        <v/>
      </c>
      <c r="R80" s="34">
        <f>IF(OR($B80="",$C80&lt;&gt;"Ativo",$D80&lt;&gt;'Calc_Mix'!$C$15,'Calc_Mix'!$X$15=0,COUNTIFS(Esc_Turno,'Calc_Mix'!$C$15,Esc_Circ,$B80)+COUNTIFS(Esc_Turno,'Calc_Mix'!$C$15,Esc_Instr,$B80)&gt;0),"",IF(SUMPRODUCT('Calc_Mix'!$D$15:$W$15,'Matriz_Habilidades'!$D80:$W80)=0,"",SUMPRODUCT('Calc_Mix'!$D$15:$W$15,'Matriz_Habilidades'!$D80:$W80)/'Calc_Mix'!$X$15+ROW()*0.000001))</f>
        <v/>
      </c>
      <c r="S80" s="34">
        <f>IF(OR($B80="",$C80&lt;&gt;"Ativo",$D80&lt;&gt;'Calc_Mix'!$C$16,'Calc_Mix'!$X$16=0,COUNTIFS(Esc_Turno,'Calc_Mix'!$C$16,Esc_Circ,$B80)+COUNTIFS(Esc_Turno,'Calc_Mix'!$C$16,Esc_Instr,$B80)&gt;0),"",IF(SUMPRODUCT('Calc_Mix'!$D$16:$W$16,'Matriz_Habilidades'!$D80:$W80)=0,"",SUMPRODUCT('Calc_Mix'!$D$16:$W$16,'Matriz_Habilidades'!$D80:$W80)/'Calc_Mix'!$X$16+ROW()*0.000001))</f>
        <v/>
      </c>
      <c r="T80" s="34">
        <f>IF(OR($B80="",$C80&lt;&gt;"Ativo",$D80&lt;&gt;'Calc_Mix'!$C$17,'Calc_Mix'!$X$17=0,COUNTIFS(Esc_Turno,'Calc_Mix'!$C$17,Esc_Circ,$B80)+COUNTIFS(Esc_Turno,'Calc_Mix'!$C$17,Esc_Instr,$B80)&gt;0),"",IF(SUMPRODUCT('Calc_Mix'!$D$17:$W$17,'Matriz_Habilidades'!$D80:$W80)=0,"",SUMPRODUCT('Calc_Mix'!$D$17:$W$17,'Matriz_Habilidades'!$D80:$W80)/'Calc_Mix'!$X$17+ROW()*0.000001))</f>
        <v/>
      </c>
      <c r="U80" s="34">
        <f>IF(OR($B80="",$C80&lt;&gt;"Ativo",$D80&lt;&gt;'Calc_Mix'!$C$18,'Calc_Mix'!$X$18=0,COUNTIFS(Esc_Turno,'Calc_Mix'!$C$18,Esc_Circ,$B80)+COUNTIFS(Esc_Turno,'Calc_Mix'!$C$18,Esc_Instr,$B80)&gt;0),"",IF(SUMPRODUCT('Calc_Mix'!$D$18:$W$18,'Matriz_Habilidades'!$D80:$W80)=0,"",SUMPRODUCT('Calc_Mix'!$D$18:$W$18,'Matriz_Habilidades'!$D80:$W80)/'Calc_Mix'!$X$18+ROW()*0.000001))</f>
        <v/>
      </c>
      <c r="V80" s="34">
        <f>IF(OR($B80="",$C80&lt;&gt;"Ativo",$D80&lt;&gt;'Calc_Mix'!$C$19,'Calc_Mix'!$X$19=0,COUNTIFS(Esc_Turno,'Calc_Mix'!$C$19,Esc_Circ,$B80)+COUNTIFS(Esc_Turno,'Calc_Mix'!$C$19,Esc_Instr,$B80)&gt;0),"",IF(SUMPRODUCT('Calc_Mix'!$D$19:$W$19,'Matriz_Habilidades'!$D80:$W80)=0,"",SUMPRODUCT('Calc_Mix'!$D$19:$W$19,'Matriz_Habilidades'!$D80:$W80)/'Calc_Mix'!$X$19+ROW()*0.000001))</f>
        <v/>
      </c>
      <c r="W80" s="34">
        <f>IF(OR($B80="",$C80&lt;&gt;"Ativo",$D80&lt;&gt;'Calc_Mix'!$C$20,'Calc_Mix'!$X$20=0,COUNTIFS(Esc_Turno,'Calc_Mix'!$C$20,Esc_Circ,$B80)+COUNTIFS(Esc_Turno,'Calc_Mix'!$C$20,Esc_Instr,$B80)&gt;0),"",IF(SUMPRODUCT('Calc_Mix'!$D$20:$W$20,'Matriz_Habilidades'!$D80:$W80)=0,"",SUMPRODUCT('Calc_Mix'!$D$20:$W$20,'Matriz_Habilidades'!$D80:$W80)/'Calc_Mix'!$X$20+ROW()*0.000001))</f>
        <v/>
      </c>
      <c r="X80" s="34">
        <f>IF(OR($B80="",$C80&lt;&gt;"Ativo",$D80&lt;&gt;'Calc_Mix'!$C$21,'Calc_Mix'!$X$21=0,COUNTIFS(Esc_Turno,'Calc_Mix'!$C$21,Esc_Circ,$B80)+COUNTIFS(Esc_Turno,'Calc_Mix'!$C$21,Esc_Instr,$B80)&gt;0),"",IF(SUMPRODUCT('Calc_Mix'!$D$21:$W$21,'Matriz_Habilidades'!$D80:$W80)=0,"",SUMPRODUCT('Calc_Mix'!$D$21:$W$21,'Matriz_Habilidades'!$D80:$W80)/'Calc_Mix'!$X$21+ROW()*0.000001))</f>
        <v/>
      </c>
      <c r="Y80" s="34">
        <f>IF(OR($B80="",$C80&lt;&gt;"Ativo",$D80&lt;&gt;'Calc_Mix'!$C$22,'Calc_Mix'!$X$22=0,COUNTIFS(Esc_Turno,'Calc_Mix'!$C$22,Esc_Circ,$B80)+COUNTIFS(Esc_Turno,'Calc_Mix'!$C$22,Esc_Instr,$B80)&gt;0),"",IF(SUMPRODUCT('Calc_Mix'!$D$22:$W$22,'Matriz_Habilidades'!$D80:$W80)=0,"",SUMPRODUCT('Calc_Mix'!$D$22:$W$22,'Matriz_Habilidades'!$D80:$W80)/'Calc_Mix'!$X$22+ROW()*0.000001))</f>
        <v/>
      </c>
      <c r="Z80" s="34">
        <f>IF(OR($B80="",$C80&lt;&gt;"Ativo",$D80&lt;&gt;'Calc_Mix'!$C$23,'Calc_Mix'!$X$23=0,COUNTIFS(Esc_Turno,'Calc_Mix'!$C$23,Esc_Circ,$B80)+COUNTIFS(Esc_Turno,'Calc_Mix'!$C$23,Esc_Instr,$B80)&gt;0),"",IF(SUMPRODUCT('Calc_Mix'!$D$23:$W$23,'Matriz_Habilidades'!$D80:$W80)=0,"",SUMPRODUCT('Calc_Mix'!$D$23:$W$23,'Matriz_Habilidades'!$D80:$W80)/'Calc_Mix'!$X$23+ROW()*0.000001))</f>
        <v/>
      </c>
      <c r="AA80" s="34">
        <f>IF(OR($B80="",$C80&lt;&gt;"Ativo",$D80&lt;&gt;'Calc_Mix'!$C$24,'Calc_Mix'!$X$24=0,COUNTIFS(Esc_Turno,'Calc_Mix'!$C$24,Esc_Circ,$B80)+COUNTIFS(Esc_Turno,'Calc_Mix'!$C$24,Esc_Instr,$B80)&gt;0),"",IF(SUMPRODUCT('Calc_Mix'!$D$24:$W$24,'Matriz_Habilidades'!$D80:$W80)=0,"",SUMPRODUCT('Calc_Mix'!$D$24:$W$24,'Matriz_Habilidades'!$D80:$W80)/'Calc_Mix'!$X$24+ROW()*0.000001))</f>
        <v/>
      </c>
      <c r="AB80" s="34">
        <f>IF(OR($B80="",$C80&lt;&gt;"Ativo",$D80&lt;&gt;'Calc_Mix'!$C$25,'Calc_Mix'!$X$25=0,COUNTIFS(Esc_Turno,'Calc_Mix'!$C$25,Esc_Circ,$B80)+COUNTIFS(Esc_Turno,'Calc_Mix'!$C$25,Esc_Instr,$B80)&gt;0),"",IF(SUMPRODUCT('Calc_Mix'!$D$25:$W$25,'Matriz_Habilidades'!$D80:$W80)=0,"",SUMPRODUCT('Calc_Mix'!$D$25:$W$25,'Matriz_Habilidades'!$D80:$W80)/'Calc_Mix'!$X$25+ROW()*0.000001))</f>
        <v/>
      </c>
      <c r="AC80" s="34">
        <f>IF(OR($B80="",$C80&lt;&gt;"Ativo",$D80&lt;&gt;'Calc_Mix'!$C$26,'Calc_Mix'!$X$26=0,COUNTIFS(Esc_Turno,'Calc_Mix'!$C$26,Esc_Circ,$B80)+COUNTIFS(Esc_Turno,'Calc_Mix'!$C$26,Esc_Instr,$B80)&gt;0),"",IF(SUMPRODUCT('Calc_Mix'!$D$26:$W$26,'Matriz_Habilidades'!$D80:$W80)=0,"",SUMPRODUCT('Calc_Mix'!$D$26:$W$26,'Matriz_Habilidades'!$D80:$W80)/'Calc_Mix'!$X$26+ROW()*0.000001))</f>
        <v/>
      </c>
      <c r="AD80" s="34">
        <f>IF(OR($B80="",$C80&lt;&gt;"Ativo",$D80&lt;&gt;'Calc_Mix'!$C$27,'Calc_Mix'!$X$27=0,COUNTIFS(Esc_Turno,'Calc_Mix'!$C$27,Esc_Circ,$B80)+COUNTIFS(Esc_Turno,'Calc_Mix'!$C$27,Esc_Instr,$B80)&gt;0),"",IF(SUMPRODUCT('Calc_Mix'!$D$27:$W$27,'Matriz_Habilidades'!$D80:$W80)=0,"",SUMPRODUCT('Calc_Mix'!$D$27:$W$27,'Matriz_Habilidades'!$D80:$W80)/'Calc_Mix'!$X$27+ROW()*0.000001))</f>
        <v/>
      </c>
      <c r="AE80" s="34">
        <f>IF(OR($B80="",$C80&lt;&gt;"Ativo",$D80&lt;&gt;'Calc_Mix'!$C$28,'Calc_Mix'!$X$28=0,COUNTIFS(Esc_Turno,'Calc_Mix'!$C$28,Esc_Circ,$B80)+COUNTIFS(Esc_Turno,'Calc_Mix'!$C$28,Esc_Instr,$B80)&gt;0),"",IF(SUMPRODUCT('Calc_Mix'!$D$28:$W$28,'Matriz_Habilidades'!$D80:$W80)=0,"",SUMPRODUCT('Calc_Mix'!$D$28:$W$28,'Matriz_Habilidades'!$D80:$W80)/'Calc_Mix'!$X$28+ROW()*0.000001))</f>
        <v/>
      </c>
      <c r="AF80" s="34">
        <f>IF(OR($B80="",$C80&lt;&gt;"Ativo",$D80&lt;&gt;'Calc_Mix'!$C$29,'Calc_Mix'!$X$29=0,COUNTIFS(Esc_Turno,'Calc_Mix'!$C$29,Esc_Circ,$B80)+COUNTIFS(Esc_Turno,'Calc_Mix'!$C$29,Esc_Instr,$B80)&gt;0),"",IF(SUMPRODUCT('Calc_Mix'!$D$29:$W$29,'Matriz_Habilidades'!$D80:$W80)=0,"",SUMPRODUCT('Calc_Mix'!$D$29:$W$29,'Matriz_Habilidades'!$D80:$W80)/'Calc_Mix'!$X$29+ROW()*0.000001))</f>
        <v/>
      </c>
      <c r="AG80" s="34">
        <f>IF(OR($B80="",$C80&lt;&gt;"Ativo",$D80&lt;&gt;'Calc_Mix'!$C$30,'Calc_Mix'!$X$30=0,COUNTIFS(Esc_Turno,'Calc_Mix'!$C$30,Esc_Circ,$B80)+COUNTIFS(Esc_Turno,'Calc_Mix'!$C$30,Esc_Instr,$B80)&gt;0),"",IF(SUMPRODUCT('Calc_Mix'!$D$30:$W$30,'Matriz_Habilidades'!$D80:$W80)=0,"",SUMPRODUCT('Calc_Mix'!$D$30:$W$30,'Matriz_Habilidades'!$D80:$W80)/'Calc_Mix'!$X$30+ROW()*0.000001))</f>
        <v/>
      </c>
      <c r="AH80" s="34">
        <f>IF(OR($B80="",$C80&lt;&gt;"Ativo",$D80&lt;&gt;'Calc_Mix'!$C$31,'Calc_Mix'!$X$31=0,COUNTIFS(Esc_Turno,'Calc_Mix'!$C$31,Esc_Circ,$B80)+COUNTIFS(Esc_Turno,'Calc_Mix'!$C$31,Esc_Instr,$B80)&gt;0),"",IF(SUMPRODUCT('Calc_Mix'!$D$31:$W$31,'Matriz_Habilidades'!$D80:$W80)=0,"",SUMPRODUCT('Calc_Mix'!$D$31:$W$31,'Matriz_Habilidades'!$D80:$W80)/'Calc_Mix'!$X$31+ROW()*0.000001))</f>
        <v/>
      </c>
      <c r="AI80" s="34">
        <f>IF(OR($B80="",$C80&lt;&gt;"Ativo",$D80&lt;&gt;'Calc_Mix'!$C$32,'Calc_Mix'!$X$32=0,COUNTIFS(Esc_Turno,'Calc_Mix'!$C$32,Esc_Circ,$B80)+COUNTIFS(Esc_Turno,'Calc_Mix'!$C$32,Esc_Instr,$B80)&gt;0),"",IF(SUMPRODUCT('Calc_Mix'!$D$32:$W$32,'Matriz_Habilidades'!$D80:$W80)=0,"",SUMPRODUCT('Calc_Mix'!$D$32:$W$32,'Matriz_Habilidades'!$D80:$W80)/'Calc_Mix'!$X$32+ROW()*0.000001))</f>
        <v/>
      </c>
      <c r="AJ80" s="34">
        <f>IF(OR($B80="",$C80&lt;&gt;"Ativo",$D80&lt;&gt;'Calc_Mix'!$C$33,'Calc_Mix'!$X$33=0,COUNTIFS(Esc_Turno,'Calc_Mix'!$C$33,Esc_Circ,$B80)+COUNTIFS(Esc_Turno,'Calc_Mix'!$C$33,Esc_Instr,$B80)&gt;0),"",IF(SUMPRODUCT('Calc_Mix'!$D$33:$W$33,'Matriz_Habilidades'!$D80:$W80)=0,"",SUMPRODUCT('Calc_Mix'!$D$33:$W$33,'Matriz_Habilidades'!$D80:$W80)/'Calc_Mix'!$X$33+ROW()*0.000001))</f>
        <v/>
      </c>
      <c r="AK80" s="34">
        <f>IF(OR($B80="",$C80&lt;&gt;"Ativo",$D80&lt;&gt;'Calc_Mix'!$C$34,'Calc_Mix'!$X$34=0,COUNTIFS(Esc_Turno,'Calc_Mix'!$C$34,Esc_Circ,$B80)+COUNTIFS(Esc_Turno,'Calc_Mix'!$C$34,Esc_Instr,$B80)&gt;0),"",IF(SUMPRODUCT('Calc_Mix'!$D$34:$W$34,'Matriz_Habilidades'!$D80:$W80)=0,"",SUMPRODUCT('Calc_Mix'!$D$34:$W$34,'Matriz_Habilidades'!$D80:$W80)/'Calc_Mix'!$X$34+ROW()*0.000001))</f>
        <v/>
      </c>
      <c r="AL80" s="34">
        <f>IF(OR($B80="",$C80&lt;&gt;"Ativo",$D80&lt;&gt;'Calc_Mix'!$C$35,'Calc_Mix'!$X$35=0,COUNTIFS(Esc_Turno,'Calc_Mix'!$C$35,Esc_Circ,$B80)+COUNTIFS(Esc_Turno,'Calc_Mix'!$C$35,Esc_Instr,$B80)&gt;0),"",IF(SUMPRODUCT('Calc_Mix'!$D$35:$W$35,'Matriz_Habilidades'!$D80:$W80)=0,"",SUMPRODUCT('Calc_Mix'!$D$35:$W$35,'Matriz_Habilidades'!$D80:$W80)/'Calc_Mix'!$X$35+ROW()*0.000001))</f>
        <v/>
      </c>
      <c r="AM80" s="34">
        <f>IF(OR($B80="",$C80&lt;&gt;"Ativo",$D80&lt;&gt;'Calc_Mix'!$C$36,'Calc_Mix'!$X$36=0,COUNTIFS(Esc_Turno,'Calc_Mix'!$C$36,Esc_Circ,$B80)+COUNTIFS(Esc_Turno,'Calc_Mix'!$C$36,Esc_Instr,$B80)&gt;0),"",IF(SUMPRODUCT('Calc_Mix'!$D$36:$W$36,'Matriz_Habilidades'!$D80:$W80)=0,"",SUMPRODUCT('Calc_Mix'!$D$36:$W$36,'Matriz_Habilidades'!$D80:$W80)/'Calc_Mix'!$X$36+ROW()*0.000001))</f>
        <v/>
      </c>
      <c r="AN80" s="34">
        <f>IF(OR($B80="",$C80&lt;&gt;"Ativo",$D80&lt;&gt;'Calc_Mix'!$C$37,'Calc_Mix'!$X$37=0,COUNTIFS(Esc_Turno,'Calc_Mix'!$C$37,Esc_Circ,$B80)+COUNTIFS(Esc_Turno,'Calc_Mix'!$C$37,Esc_Instr,$B80)&gt;0),"",IF(SUMPRODUCT('Calc_Mix'!$D$37:$W$37,'Matriz_Habilidades'!$D80:$W80)=0,"",SUMPRODUCT('Calc_Mix'!$D$37:$W$37,'Matriz_Habilidades'!$D80:$W80)/'Calc_Mix'!$X$37+ROW()*0.000001))</f>
        <v/>
      </c>
    </row>
    <row r="81">
      <c r="A81" s="27">
        <f>IF('Matriz_Habilidades'!A81="","",'Matriz_Habilidades'!A81)</f>
        <v/>
      </c>
      <c r="B81" s="28">
        <f>IF('Matriz_Habilidades'!B81="","",'Matriz_Habilidades'!B81)</f>
        <v/>
      </c>
      <c r="C81" s="27">
        <f>IF($A81="","",IFERROR(INDEX(Equipe_Status,MATCH($B81,Equipe_Nome,0)),"?"))</f>
        <v/>
      </c>
      <c r="D81" s="27">
        <f>IF($A81="","",IFERROR(INDEX(Equipe_Turno,MATCH($B81,Equipe_Nome,0)),"?"))</f>
        <v/>
      </c>
      <c r="E81" s="34">
        <f>IF(OR($B81="",$C81&lt;&gt;"Ativo",$D81&lt;&gt;'Calc_Mix'!$C$2,'Calc_Mix'!$X$2=0,COUNTIFS(Esc_Turno,'Calc_Mix'!$C$2,Esc_Circ,$B81)+COUNTIFS(Esc_Turno,'Calc_Mix'!$C$2,Esc_Instr,$B81)&gt;0),"",IF(SUMPRODUCT('Calc_Mix'!$D$2:$W$2,'Matriz_Habilidades'!$D81:$W81)=0,"",SUMPRODUCT('Calc_Mix'!$D$2:$W$2,'Matriz_Habilidades'!$D81:$W81)/'Calc_Mix'!$X$2+ROW()*0.000001))</f>
        <v/>
      </c>
      <c r="F81" s="34">
        <f>IF(OR($B81="",$C81&lt;&gt;"Ativo",$D81&lt;&gt;'Calc_Mix'!$C$3,'Calc_Mix'!$X$3=0,COUNTIFS(Esc_Turno,'Calc_Mix'!$C$3,Esc_Circ,$B81)+COUNTIFS(Esc_Turno,'Calc_Mix'!$C$3,Esc_Instr,$B81)&gt;0),"",IF(SUMPRODUCT('Calc_Mix'!$D$3:$W$3,'Matriz_Habilidades'!$D81:$W81)=0,"",SUMPRODUCT('Calc_Mix'!$D$3:$W$3,'Matriz_Habilidades'!$D81:$W81)/'Calc_Mix'!$X$3+ROW()*0.000001))</f>
        <v/>
      </c>
      <c r="G81" s="34">
        <f>IF(OR($B81="",$C81&lt;&gt;"Ativo",$D81&lt;&gt;'Calc_Mix'!$C$4,'Calc_Mix'!$X$4=0,COUNTIFS(Esc_Turno,'Calc_Mix'!$C$4,Esc_Circ,$B81)+COUNTIFS(Esc_Turno,'Calc_Mix'!$C$4,Esc_Instr,$B81)&gt;0),"",IF(SUMPRODUCT('Calc_Mix'!$D$4:$W$4,'Matriz_Habilidades'!$D81:$W81)=0,"",SUMPRODUCT('Calc_Mix'!$D$4:$W$4,'Matriz_Habilidades'!$D81:$W81)/'Calc_Mix'!$X$4+ROW()*0.000001))</f>
        <v/>
      </c>
      <c r="H81" s="34">
        <f>IF(OR($B81="",$C81&lt;&gt;"Ativo",$D81&lt;&gt;'Calc_Mix'!$C$5,'Calc_Mix'!$X$5=0,COUNTIFS(Esc_Turno,'Calc_Mix'!$C$5,Esc_Circ,$B81)+COUNTIFS(Esc_Turno,'Calc_Mix'!$C$5,Esc_Instr,$B81)&gt;0),"",IF(SUMPRODUCT('Calc_Mix'!$D$5:$W$5,'Matriz_Habilidades'!$D81:$W81)=0,"",SUMPRODUCT('Calc_Mix'!$D$5:$W$5,'Matriz_Habilidades'!$D81:$W81)/'Calc_Mix'!$X$5+ROW()*0.000001))</f>
        <v/>
      </c>
      <c r="I81" s="34">
        <f>IF(OR($B81="",$C81&lt;&gt;"Ativo",$D81&lt;&gt;'Calc_Mix'!$C$6,'Calc_Mix'!$X$6=0,COUNTIFS(Esc_Turno,'Calc_Mix'!$C$6,Esc_Circ,$B81)+COUNTIFS(Esc_Turno,'Calc_Mix'!$C$6,Esc_Instr,$B81)&gt;0),"",IF(SUMPRODUCT('Calc_Mix'!$D$6:$W$6,'Matriz_Habilidades'!$D81:$W81)=0,"",SUMPRODUCT('Calc_Mix'!$D$6:$W$6,'Matriz_Habilidades'!$D81:$W81)/'Calc_Mix'!$X$6+ROW()*0.000001))</f>
        <v/>
      </c>
      <c r="J81" s="34">
        <f>IF(OR($B81="",$C81&lt;&gt;"Ativo",$D81&lt;&gt;'Calc_Mix'!$C$7,'Calc_Mix'!$X$7=0,COUNTIFS(Esc_Turno,'Calc_Mix'!$C$7,Esc_Circ,$B81)+COUNTIFS(Esc_Turno,'Calc_Mix'!$C$7,Esc_Instr,$B81)&gt;0),"",IF(SUMPRODUCT('Calc_Mix'!$D$7:$W$7,'Matriz_Habilidades'!$D81:$W81)=0,"",SUMPRODUCT('Calc_Mix'!$D$7:$W$7,'Matriz_Habilidades'!$D81:$W81)/'Calc_Mix'!$X$7+ROW()*0.000001))</f>
        <v/>
      </c>
      <c r="K81" s="34">
        <f>IF(OR($B81="",$C81&lt;&gt;"Ativo",$D81&lt;&gt;'Calc_Mix'!$C$8,'Calc_Mix'!$X$8=0,COUNTIFS(Esc_Turno,'Calc_Mix'!$C$8,Esc_Circ,$B81)+COUNTIFS(Esc_Turno,'Calc_Mix'!$C$8,Esc_Instr,$B81)&gt;0),"",IF(SUMPRODUCT('Calc_Mix'!$D$8:$W$8,'Matriz_Habilidades'!$D81:$W81)=0,"",SUMPRODUCT('Calc_Mix'!$D$8:$W$8,'Matriz_Habilidades'!$D81:$W81)/'Calc_Mix'!$X$8+ROW()*0.000001))</f>
        <v/>
      </c>
      <c r="L81" s="34">
        <f>IF(OR($B81="",$C81&lt;&gt;"Ativo",$D81&lt;&gt;'Calc_Mix'!$C$9,'Calc_Mix'!$X$9=0,COUNTIFS(Esc_Turno,'Calc_Mix'!$C$9,Esc_Circ,$B81)+COUNTIFS(Esc_Turno,'Calc_Mix'!$C$9,Esc_Instr,$B81)&gt;0),"",IF(SUMPRODUCT('Calc_Mix'!$D$9:$W$9,'Matriz_Habilidades'!$D81:$W81)=0,"",SUMPRODUCT('Calc_Mix'!$D$9:$W$9,'Matriz_Habilidades'!$D81:$W81)/'Calc_Mix'!$X$9+ROW()*0.000001))</f>
        <v/>
      </c>
      <c r="M81" s="34">
        <f>IF(OR($B81="",$C81&lt;&gt;"Ativo",$D81&lt;&gt;'Calc_Mix'!$C$10,'Calc_Mix'!$X$10=0,COUNTIFS(Esc_Turno,'Calc_Mix'!$C$10,Esc_Circ,$B81)+COUNTIFS(Esc_Turno,'Calc_Mix'!$C$10,Esc_Instr,$B81)&gt;0),"",IF(SUMPRODUCT('Calc_Mix'!$D$10:$W$10,'Matriz_Habilidades'!$D81:$W81)=0,"",SUMPRODUCT('Calc_Mix'!$D$10:$W$10,'Matriz_Habilidades'!$D81:$W81)/'Calc_Mix'!$X$10+ROW()*0.000001))</f>
        <v/>
      </c>
      <c r="N81" s="34">
        <f>IF(OR($B81="",$C81&lt;&gt;"Ativo",$D81&lt;&gt;'Calc_Mix'!$C$11,'Calc_Mix'!$X$11=0,COUNTIFS(Esc_Turno,'Calc_Mix'!$C$11,Esc_Circ,$B81)+COUNTIFS(Esc_Turno,'Calc_Mix'!$C$11,Esc_Instr,$B81)&gt;0),"",IF(SUMPRODUCT('Calc_Mix'!$D$11:$W$11,'Matriz_Habilidades'!$D81:$W81)=0,"",SUMPRODUCT('Calc_Mix'!$D$11:$W$11,'Matriz_Habilidades'!$D81:$W81)/'Calc_Mix'!$X$11+ROW()*0.000001))</f>
        <v/>
      </c>
      <c r="O81" s="34">
        <f>IF(OR($B81="",$C81&lt;&gt;"Ativo",$D81&lt;&gt;'Calc_Mix'!$C$12,'Calc_Mix'!$X$12=0,COUNTIFS(Esc_Turno,'Calc_Mix'!$C$12,Esc_Circ,$B81)+COUNTIFS(Esc_Turno,'Calc_Mix'!$C$12,Esc_Instr,$B81)&gt;0),"",IF(SUMPRODUCT('Calc_Mix'!$D$12:$W$12,'Matriz_Habilidades'!$D81:$W81)=0,"",SUMPRODUCT('Calc_Mix'!$D$12:$W$12,'Matriz_Habilidades'!$D81:$W81)/'Calc_Mix'!$X$12+ROW()*0.000001))</f>
        <v/>
      </c>
      <c r="P81" s="34">
        <f>IF(OR($B81="",$C81&lt;&gt;"Ativo",$D81&lt;&gt;'Calc_Mix'!$C$13,'Calc_Mix'!$X$13=0,COUNTIFS(Esc_Turno,'Calc_Mix'!$C$13,Esc_Circ,$B81)+COUNTIFS(Esc_Turno,'Calc_Mix'!$C$13,Esc_Instr,$B81)&gt;0),"",IF(SUMPRODUCT('Calc_Mix'!$D$13:$W$13,'Matriz_Habilidades'!$D81:$W81)=0,"",SUMPRODUCT('Calc_Mix'!$D$13:$W$13,'Matriz_Habilidades'!$D81:$W81)/'Calc_Mix'!$X$13+ROW()*0.000001))</f>
        <v/>
      </c>
      <c r="Q81" s="34">
        <f>IF(OR($B81="",$C81&lt;&gt;"Ativo",$D81&lt;&gt;'Calc_Mix'!$C$14,'Calc_Mix'!$X$14=0,COUNTIFS(Esc_Turno,'Calc_Mix'!$C$14,Esc_Circ,$B81)+COUNTIFS(Esc_Turno,'Calc_Mix'!$C$14,Esc_Instr,$B81)&gt;0),"",IF(SUMPRODUCT('Calc_Mix'!$D$14:$W$14,'Matriz_Habilidades'!$D81:$W81)=0,"",SUMPRODUCT('Calc_Mix'!$D$14:$W$14,'Matriz_Habilidades'!$D81:$W81)/'Calc_Mix'!$X$14+ROW()*0.000001))</f>
        <v/>
      </c>
      <c r="R81" s="34">
        <f>IF(OR($B81="",$C81&lt;&gt;"Ativo",$D81&lt;&gt;'Calc_Mix'!$C$15,'Calc_Mix'!$X$15=0,COUNTIFS(Esc_Turno,'Calc_Mix'!$C$15,Esc_Circ,$B81)+COUNTIFS(Esc_Turno,'Calc_Mix'!$C$15,Esc_Instr,$B81)&gt;0),"",IF(SUMPRODUCT('Calc_Mix'!$D$15:$W$15,'Matriz_Habilidades'!$D81:$W81)=0,"",SUMPRODUCT('Calc_Mix'!$D$15:$W$15,'Matriz_Habilidades'!$D81:$W81)/'Calc_Mix'!$X$15+ROW()*0.000001))</f>
        <v/>
      </c>
      <c r="S81" s="34">
        <f>IF(OR($B81="",$C81&lt;&gt;"Ativo",$D81&lt;&gt;'Calc_Mix'!$C$16,'Calc_Mix'!$X$16=0,COUNTIFS(Esc_Turno,'Calc_Mix'!$C$16,Esc_Circ,$B81)+COUNTIFS(Esc_Turno,'Calc_Mix'!$C$16,Esc_Instr,$B81)&gt;0),"",IF(SUMPRODUCT('Calc_Mix'!$D$16:$W$16,'Matriz_Habilidades'!$D81:$W81)=0,"",SUMPRODUCT('Calc_Mix'!$D$16:$W$16,'Matriz_Habilidades'!$D81:$W81)/'Calc_Mix'!$X$16+ROW()*0.000001))</f>
        <v/>
      </c>
      <c r="T81" s="34">
        <f>IF(OR($B81="",$C81&lt;&gt;"Ativo",$D81&lt;&gt;'Calc_Mix'!$C$17,'Calc_Mix'!$X$17=0,COUNTIFS(Esc_Turno,'Calc_Mix'!$C$17,Esc_Circ,$B81)+COUNTIFS(Esc_Turno,'Calc_Mix'!$C$17,Esc_Instr,$B81)&gt;0),"",IF(SUMPRODUCT('Calc_Mix'!$D$17:$W$17,'Matriz_Habilidades'!$D81:$W81)=0,"",SUMPRODUCT('Calc_Mix'!$D$17:$W$17,'Matriz_Habilidades'!$D81:$W81)/'Calc_Mix'!$X$17+ROW()*0.000001))</f>
        <v/>
      </c>
      <c r="U81" s="34">
        <f>IF(OR($B81="",$C81&lt;&gt;"Ativo",$D81&lt;&gt;'Calc_Mix'!$C$18,'Calc_Mix'!$X$18=0,COUNTIFS(Esc_Turno,'Calc_Mix'!$C$18,Esc_Circ,$B81)+COUNTIFS(Esc_Turno,'Calc_Mix'!$C$18,Esc_Instr,$B81)&gt;0),"",IF(SUMPRODUCT('Calc_Mix'!$D$18:$W$18,'Matriz_Habilidades'!$D81:$W81)=0,"",SUMPRODUCT('Calc_Mix'!$D$18:$W$18,'Matriz_Habilidades'!$D81:$W81)/'Calc_Mix'!$X$18+ROW()*0.000001))</f>
        <v/>
      </c>
      <c r="V81" s="34">
        <f>IF(OR($B81="",$C81&lt;&gt;"Ativo",$D81&lt;&gt;'Calc_Mix'!$C$19,'Calc_Mix'!$X$19=0,COUNTIFS(Esc_Turno,'Calc_Mix'!$C$19,Esc_Circ,$B81)+COUNTIFS(Esc_Turno,'Calc_Mix'!$C$19,Esc_Instr,$B81)&gt;0),"",IF(SUMPRODUCT('Calc_Mix'!$D$19:$W$19,'Matriz_Habilidades'!$D81:$W81)=0,"",SUMPRODUCT('Calc_Mix'!$D$19:$W$19,'Matriz_Habilidades'!$D81:$W81)/'Calc_Mix'!$X$19+ROW()*0.000001))</f>
        <v/>
      </c>
      <c r="W81" s="34">
        <f>IF(OR($B81="",$C81&lt;&gt;"Ativo",$D81&lt;&gt;'Calc_Mix'!$C$20,'Calc_Mix'!$X$20=0,COUNTIFS(Esc_Turno,'Calc_Mix'!$C$20,Esc_Circ,$B81)+COUNTIFS(Esc_Turno,'Calc_Mix'!$C$20,Esc_Instr,$B81)&gt;0),"",IF(SUMPRODUCT('Calc_Mix'!$D$20:$W$20,'Matriz_Habilidades'!$D81:$W81)=0,"",SUMPRODUCT('Calc_Mix'!$D$20:$W$20,'Matriz_Habilidades'!$D81:$W81)/'Calc_Mix'!$X$20+ROW()*0.000001))</f>
        <v/>
      </c>
      <c r="X81" s="34">
        <f>IF(OR($B81="",$C81&lt;&gt;"Ativo",$D81&lt;&gt;'Calc_Mix'!$C$21,'Calc_Mix'!$X$21=0,COUNTIFS(Esc_Turno,'Calc_Mix'!$C$21,Esc_Circ,$B81)+COUNTIFS(Esc_Turno,'Calc_Mix'!$C$21,Esc_Instr,$B81)&gt;0),"",IF(SUMPRODUCT('Calc_Mix'!$D$21:$W$21,'Matriz_Habilidades'!$D81:$W81)=0,"",SUMPRODUCT('Calc_Mix'!$D$21:$W$21,'Matriz_Habilidades'!$D81:$W81)/'Calc_Mix'!$X$21+ROW()*0.000001))</f>
        <v/>
      </c>
      <c r="Y81" s="34">
        <f>IF(OR($B81="",$C81&lt;&gt;"Ativo",$D81&lt;&gt;'Calc_Mix'!$C$22,'Calc_Mix'!$X$22=0,COUNTIFS(Esc_Turno,'Calc_Mix'!$C$22,Esc_Circ,$B81)+COUNTIFS(Esc_Turno,'Calc_Mix'!$C$22,Esc_Instr,$B81)&gt;0),"",IF(SUMPRODUCT('Calc_Mix'!$D$22:$W$22,'Matriz_Habilidades'!$D81:$W81)=0,"",SUMPRODUCT('Calc_Mix'!$D$22:$W$22,'Matriz_Habilidades'!$D81:$W81)/'Calc_Mix'!$X$22+ROW()*0.000001))</f>
        <v/>
      </c>
      <c r="Z81" s="34">
        <f>IF(OR($B81="",$C81&lt;&gt;"Ativo",$D81&lt;&gt;'Calc_Mix'!$C$23,'Calc_Mix'!$X$23=0,COUNTIFS(Esc_Turno,'Calc_Mix'!$C$23,Esc_Circ,$B81)+COUNTIFS(Esc_Turno,'Calc_Mix'!$C$23,Esc_Instr,$B81)&gt;0),"",IF(SUMPRODUCT('Calc_Mix'!$D$23:$W$23,'Matriz_Habilidades'!$D81:$W81)=0,"",SUMPRODUCT('Calc_Mix'!$D$23:$W$23,'Matriz_Habilidades'!$D81:$W81)/'Calc_Mix'!$X$23+ROW()*0.000001))</f>
        <v/>
      </c>
      <c r="AA81" s="34">
        <f>IF(OR($B81="",$C81&lt;&gt;"Ativo",$D81&lt;&gt;'Calc_Mix'!$C$24,'Calc_Mix'!$X$24=0,COUNTIFS(Esc_Turno,'Calc_Mix'!$C$24,Esc_Circ,$B81)+COUNTIFS(Esc_Turno,'Calc_Mix'!$C$24,Esc_Instr,$B81)&gt;0),"",IF(SUMPRODUCT('Calc_Mix'!$D$24:$W$24,'Matriz_Habilidades'!$D81:$W81)=0,"",SUMPRODUCT('Calc_Mix'!$D$24:$W$24,'Matriz_Habilidades'!$D81:$W81)/'Calc_Mix'!$X$24+ROW()*0.000001))</f>
        <v/>
      </c>
      <c r="AB81" s="34">
        <f>IF(OR($B81="",$C81&lt;&gt;"Ativo",$D81&lt;&gt;'Calc_Mix'!$C$25,'Calc_Mix'!$X$25=0,COUNTIFS(Esc_Turno,'Calc_Mix'!$C$25,Esc_Circ,$B81)+COUNTIFS(Esc_Turno,'Calc_Mix'!$C$25,Esc_Instr,$B81)&gt;0),"",IF(SUMPRODUCT('Calc_Mix'!$D$25:$W$25,'Matriz_Habilidades'!$D81:$W81)=0,"",SUMPRODUCT('Calc_Mix'!$D$25:$W$25,'Matriz_Habilidades'!$D81:$W81)/'Calc_Mix'!$X$25+ROW()*0.000001))</f>
        <v/>
      </c>
      <c r="AC81" s="34">
        <f>IF(OR($B81="",$C81&lt;&gt;"Ativo",$D81&lt;&gt;'Calc_Mix'!$C$26,'Calc_Mix'!$X$26=0,COUNTIFS(Esc_Turno,'Calc_Mix'!$C$26,Esc_Circ,$B81)+COUNTIFS(Esc_Turno,'Calc_Mix'!$C$26,Esc_Instr,$B81)&gt;0),"",IF(SUMPRODUCT('Calc_Mix'!$D$26:$W$26,'Matriz_Habilidades'!$D81:$W81)=0,"",SUMPRODUCT('Calc_Mix'!$D$26:$W$26,'Matriz_Habilidades'!$D81:$W81)/'Calc_Mix'!$X$26+ROW()*0.000001))</f>
        <v/>
      </c>
      <c r="AD81" s="34">
        <f>IF(OR($B81="",$C81&lt;&gt;"Ativo",$D81&lt;&gt;'Calc_Mix'!$C$27,'Calc_Mix'!$X$27=0,COUNTIFS(Esc_Turno,'Calc_Mix'!$C$27,Esc_Circ,$B81)+COUNTIFS(Esc_Turno,'Calc_Mix'!$C$27,Esc_Instr,$B81)&gt;0),"",IF(SUMPRODUCT('Calc_Mix'!$D$27:$W$27,'Matriz_Habilidades'!$D81:$W81)=0,"",SUMPRODUCT('Calc_Mix'!$D$27:$W$27,'Matriz_Habilidades'!$D81:$W81)/'Calc_Mix'!$X$27+ROW()*0.000001))</f>
        <v/>
      </c>
      <c r="AE81" s="34">
        <f>IF(OR($B81="",$C81&lt;&gt;"Ativo",$D81&lt;&gt;'Calc_Mix'!$C$28,'Calc_Mix'!$X$28=0,COUNTIFS(Esc_Turno,'Calc_Mix'!$C$28,Esc_Circ,$B81)+COUNTIFS(Esc_Turno,'Calc_Mix'!$C$28,Esc_Instr,$B81)&gt;0),"",IF(SUMPRODUCT('Calc_Mix'!$D$28:$W$28,'Matriz_Habilidades'!$D81:$W81)=0,"",SUMPRODUCT('Calc_Mix'!$D$28:$W$28,'Matriz_Habilidades'!$D81:$W81)/'Calc_Mix'!$X$28+ROW()*0.000001))</f>
        <v/>
      </c>
      <c r="AF81" s="34">
        <f>IF(OR($B81="",$C81&lt;&gt;"Ativo",$D81&lt;&gt;'Calc_Mix'!$C$29,'Calc_Mix'!$X$29=0,COUNTIFS(Esc_Turno,'Calc_Mix'!$C$29,Esc_Circ,$B81)+COUNTIFS(Esc_Turno,'Calc_Mix'!$C$29,Esc_Instr,$B81)&gt;0),"",IF(SUMPRODUCT('Calc_Mix'!$D$29:$W$29,'Matriz_Habilidades'!$D81:$W81)=0,"",SUMPRODUCT('Calc_Mix'!$D$29:$W$29,'Matriz_Habilidades'!$D81:$W81)/'Calc_Mix'!$X$29+ROW()*0.000001))</f>
        <v/>
      </c>
      <c r="AG81" s="34">
        <f>IF(OR($B81="",$C81&lt;&gt;"Ativo",$D81&lt;&gt;'Calc_Mix'!$C$30,'Calc_Mix'!$X$30=0,COUNTIFS(Esc_Turno,'Calc_Mix'!$C$30,Esc_Circ,$B81)+COUNTIFS(Esc_Turno,'Calc_Mix'!$C$30,Esc_Instr,$B81)&gt;0),"",IF(SUMPRODUCT('Calc_Mix'!$D$30:$W$30,'Matriz_Habilidades'!$D81:$W81)=0,"",SUMPRODUCT('Calc_Mix'!$D$30:$W$30,'Matriz_Habilidades'!$D81:$W81)/'Calc_Mix'!$X$30+ROW()*0.000001))</f>
        <v/>
      </c>
      <c r="AH81" s="34">
        <f>IF(OR($B81="",$C81&lt;&gt;"Ativo",$D81&lt;&gt;'Calc_Mix'!$C$31,'Calc_Mix'!$X$31=0,COUNTIFS(Esc_Turno,'Calc_Mix'!$C$31,Esc_Circ,$B81)+COUNTIFS(Esc_Turno,'Calc_Mix'!$C$31,Esc_Instr,$B81)&gt;0),"",IF(SUMPRODUCT('Calc_Mix'!$D$31:$W$31,'Matriz_Habilidades'!$D81:$W81)=0,"",SUMPRODUCT('Calc_Mix'!$D$31:$W$31,'Matriz_Habilidades'!$D81:$W81)/'Calc_Mix'!$X$31+ROW()*0.000001))</f>
        <v/>
      </c>
      <c r="AI81" s="34">
        <f>IF(OR($B81="",$C81&lt;&gt;"Ativo",$D81&lt;&gt;'Calc_Mix'!$C$32,'Calc_Mix'!$X$32=0,COUNTIFS(Esc_Turno,'Calc_Mix'!$C$32,Esc_Circ,$B81)+COUNTIFS(Esc_Turno,'Calc_Mix'!$C$32,Esc_Instr,$B81)&gt;0),"",IF(SUMPRODUCT('Calc_Mix'!$D$32:$W$32,'Matriz_Habilidades'!$D81:$W81)=0,"",SUMPRODUCT('Calc_Mix'!$D$32:$W$32,'Matriz_Habilidades'!$D81:$W81)/'Calc_Mix'!$X$32+ROW()*0.000001))</f>
        <v/>
      </c>
      <c r="AJ81" s="34">
        <f>IF(OR($B81="",$C81&lt;&gt;"Ativo",$D81&lt;&gt;'Calc_Mix'!$C$33,'Calc_Mix'!$X$33=0,COUNTIFS(Esc_Turno,'Calc_Mix'!$C$33,Esc_Circ,$B81)+COUNTIFS(Esc_Turno,'Calc_Mix'!$C$33,Esc_Instr,$B81)&gt;0),"",IF(SUMPRODUCT('Calc_Mix'!$D$33:$W$33,'Matriz_Habilidades'!$D81:$W81)=0,"",SUMPRODUCT('Calc_Mix'!$D$33:$W$33,'Matriz_Habilidades'!$D81:$W81)/'Calc_Mix'!$X$33+ROW()*0.000001))</f>
        <v/>
      </c>
      <c r="AK81" s="34">
        <f>IF(OR($B81="",$C81&lt;&gt;"Ativo",$D81&lt;&gt;'Calc_Mix'!$C$34,'Calc_Mix'!$X$34=0,COUNTIFS(Esc_Turno,'Calc_Mix'!$C$34,Esc_Circ,$B81)+COUNTIFS(Esc_Turno,'Calc_Mix'!$C$34,Esc_Instr,$B81)&gt;0),"",IF(SUMPRODUCT('Calc_Mix'!$D$34:$W$34,'Matriz_Habilidades'!$D81:$W81)=0,"",SUMPRODUCT('Calc_Mix'!$D$34:$W$34,'Matriz_Habilidades'!$D81:$W81)/'Calc_Mix'!$X$34+ROW()*0.000001))</f>
        <v/>
      </c>
      <c r="AL81" s="34">
        <f>IF(OR($B81="",$C81&lt;&gt;"Ativo",$D81&lt;&gt;'Calc_Mix'!$C$35,'Calc_Mix'!$X$35=0,COUNTIFS(Esc_Turno,'Calc_Mix'!$C$35,Esc_Circ,$B81)+COUNTIFS(Esc_Turno,'Calc_Mix'!$C$35,Esc_Instr,$B81)&gt;0),"",IF(SUMPRODUCT('Calc_Mix'!$D$35:$W$35,'Matriz_Habilidades'!$D81:$W81)=0,"",SUMPRODUCT('Calc_Mix'!$D$35:$W$35,'Matriz_Habilidades'!$D81:$W81)/'Calc_Mix'!$X$35+ROW()*0.000001))</f>
        <v/>
      </c>
      <c r="AM81" s="34">
        <f>IF(OR($B81="",$C81&lt;&gt;"Ativo",$D81&lt;&gt;'Calc_Mix'!$C$36,'Calc_Mix'!$X$36=0,COUNTIFS(Esc_Turno,'Calc_Mix'!$C$36,Esc_Circ,$B81)+COUNTIFS(Esc_Turno,'Calc_Mix'!$C$36,Esc_Instr,$B81)&gt;0),"",IF(SUMPRODUCT('Calc_Mix'!$D$36:$W$36,'Matriz_Habilidades'!$D81:$W81)=0,"",SUMPRODUCT('Calc_Mix'!$D$36:$W$36,'Matriz_Habilidades'!$D81:$W81)/'Calc_Mix'!$X$36+ROW()*0.000001))</f>
        <v/>
      </c>
      <c r="AN81" s="34">
        <f>IF(OR($B81="",$C81&lt;&gt;"Ativo",$D81&lt;&gt;'Calc_Mix'!$C$37,'Calc_Mix'!$X$37=0,COUNTIFS(Esc_Turno,'Calc_Mix'!$C$37,Esc_Circ,$B81)+COUNTIFS(Esc_Turno,'Calc_Mix'!$C$37,Esc_Instr,$B81)&gt;0),"",IF(SUMPRODUCT('Calc_Mix'!$D$37:$W$37,'Matriz_Habilidades'!$D81:$W81)=0,"",SUMPRODUCT('Calc_Mix'!$D$37:$W$37,'Matriz_Habilidades'!$D81:$W81)/'Calc_Mix'!$X$37+ROW()*0.000001))</f>
        <v/>
      </c>
    </row>
    <row r="82">
      <c r="A82" s="27">
        <f>IF('Matriz_Habilidades'!A82="","",'Matriz_Habilidades'!A82)</f>
        <v/>
      </c>
      <c r="B82" s="28">
        <f>IF('Matriz_Habilidades'!B82="","",'Matriz_Habilidades'!B82)</f>
        <v/>
      </c>
      <c r="C82" s="27">
        <f>IF($A82="","",IFERROR(INDEX(Equipe_Status,MATCH($B82,Equipe_Nome,0)),"?"))</f>
        <v/>
      </c>
      <c r="D82" s="27">
        <f>IF($A82="","",IFERROR(INDEX(Equipe_Turno,MATCH($B82,Equipe_Nome,0)),"?"))</f>
        <v/>
      </c>
      <c r="E82" s="34">
        <f>IF(OR($B82="",$C82&lt;&gt;"Ativo",$D82&lt;&gt;'Calc_Mix'!$C$2,'Calc_Mix'!$X$2=0,COUNTIFS(Esc_Turno,'Calc_Mix'!$C$2,Esc_Circ,$B82)+COUNTIFS(Esc_Turno,'Calc_Mix'!$C$2,Esc_Instr,$B82)&gt;0),"",IF(SUMPRODUCT('Calc_Mix'!$D$2:$W$2,'Matriz_Habilidades'!$D82:$W82)=0,"",SUMPRODUCT('Calc_Mix'!$D$2:$W$2,'Matriz_Habilidades'!$D82:$W82)/'Calc_Mix'!$X$2+ROW()*0.000001))</f>
        <v/>
      </c>
      <c r="F82" s="34">
        <f>IF(OR($B82="",$C82&lt;&gt;"Ativo",$D82&lt;&gt;'Calc_Mix'!$C$3,'Calc_Mix'!$X$3=0,COUNTIFS(Esc_Turno,'Calc_Mix'!$C$3,Esc_Circ,$B82)+COUNTIFS(Esc_Turno,'Calc_Mix'!$C$3,Esc_Instr,$B82)&gt;0),"",IF(SUMPRODUCT('Calc_Mix'!$D$3:$W$3,'Matriz_Habilidades'!$D82:$W82)=0,"",SUMPRODUCT('Calc_Mix'!$D$3:$W$3,'Matriz_Habilidades'!$D82:$W82)/'Calc_Mix'!$X$3+ROW()*0.000001))</f>
        <v/>
      </c>
      <c r="G82" s="34">
        <f>IF(OR($B82="",$C82&lt;&gt;"Ativo",$D82&lt;&gt;'Calc_Mix'!$C$4,'Calc_Mix'!$X$4=0,COUNTIFS(Esc_Turno,'Calc_Mix'!$C$4,Esc_Circ,$B82)+COUNTIFS(Esc_Turno,'Calc_Mix'!$C$4,Esc_Instr,$B82)&gt;0),"",IF(SUMPRODUCT('Calc_Mix'!$D$4:$W$4,'Matriz_Habilidades'!$D82:$W82)=0,"",SUMPRODUCT('Calc_Mix'!$D$4:$W$4,'Matriz_Habilidades'!$D82:$W82)/'Calc_Mix'!$X$4+ROW()*0.000001))</f>
        <v/>
      </c>
      <c r="H82" s="34">
        <f>IF(OR($B82="",$C82&lt;&gt;"Ativo",$D82&lt;&gt;'Calc_Mix'!$C$5,'Calc_Mix'!$X$5=0,COUNTIFS(Esc_Turno,'Calc_Mix'!$C$5,Esc_Circ,$B82)+COUNTIFS(Esc_Turno,'Calc_Mix'!$C$5,Esc_Instr,$B82)&gt;0),"",IF(SUMPRODUCT('Calc_Mix'!$D$5:$W$5,'Matriz_Habilidades'!$D82:$W82)=0,"",SUMPRODUCT('Calc_Mix'!$D$5:$W$5,'Matriz_Habilidades'!$D82:$W82)/'Calc_Mix'!$X$5+ROW()*0.000001))</f>
        <v/>
      </c>
      <c r="I82" s="34">
        <f>IF(OR($B82="",$C82&lt;&gt;"Ativo",$D82&lt;&gt;'Calc_Mix'!$C$6,'Calc_Mix'!$X$6=0,COUNTIFS(Esc_Turno,'Calc_Mix'!$C$6,Esc_Circ,$B82)+COUNTIFS(Esc_Turno,'Calc_Mix'!$C$6,Esc_Instr,$B82)&gt;0),"",IF(SUMPRODUCT('Calc_Mix'!$D$6:$W$6,'Matriz_Habilidades'!$D82:$W82)=0,"",SUMPRODUCT('Calc_Mix'!$D$6:$W$6,'Matriz_Habilidades'!$D82:$W82)/'Calc_Mix'!$X$6+ROW()*0.000001))</f>
        <v/>
      </c>
      <c r="J82" s="34">
        <f>IF(OR($B82="",$C82&lt;&gt;"Ativo",$D82&lt;&gt;'Calc_Mix'!$C$7,'Calc_Mix'!$X$7=0,COUNTIFS(Esc_Turno,'Calc_Mix'!$C$7,Esc_Circ,$B82)+COUNTIFS(Esc_Turno,'Calc_Mix'!$C$7,Esc_Instr,$B82)&gt;0),"",IF(SUMPRODUCT('Calc_Mix'!$D$7:$W$7,'Matriz_Habilidades'!$D82:$W82)=0,"",SUMPRODUCT('Calc_Mix'!$D$7:$W$7,'Matriz_Habilidades'!$D82:$W82)/'Calc_Mix'!$X$7+ROW()*0.000001))</f>
        <v/>
      </c>
      <c r="K82" s="34">
        <f>IF(OR($B82="",$C82&lt;&gt;"Ativo",$D82&lt;&gt;'Calc_Mix'!$C$8,'Calc_Mix'!$X$8=0,COUNTIFS(Esc_Turno,'Calc_Mix'!$C$8,Esc_Circ,$B82)+COUNTIFS(Esc_Turno,'Calc_Mix'!$C$8,Esc_Instr,$B82)&gt;0),"",IF(SUMPRODUCT('Calc_Mix'!$D$8:$W$8,'Matriz_Habilidades'!$D82:$W82)=0,"",SUMPRODUCT('Calc_Mix'!$D$8:$W$8,'Matriz_Habilidades'!$D82:$W82)/'Calc_Mix'!$X$8+ROW()*0.000001))</f>
        <v/>
      </c>
      <c r="L82" s="34">
        <f>IF(OR($B82="",$C82&lt;&gt;"Ativo",$D82&lt;&gt;'Calc_Mix'!$C$9,'Calc_Mix'!$X$9=0,COUNTIFS(Esc_Turno,'Calc_Mix'!$C$9,Esc_Circ,$B82)+COUNTIFS(Esc_Turno,'Calc_Mix'!$C$9,Esc_Instr,$B82)&gt;0),"",IF(SUMPRODUCT('Calc_Mix'!$D$9:$W$9,'Matriz_Habilidades'!$D82:$W82)=0,"",SUMPRODUCT('Calc_Mix'!$D$9:$W$9,'Matriz_Habilidades'!$D82:$W82)/'Calc_Mix'!$X$9+ROW()*0.000001))</f>
        <v/>
      </c>
      <c r="M82" s="34">
        <f>IF(OR($B82="",$C82&lt;&gt;"Ativo",$D82&lt;&gt;'Calc_Mix'!$C$10,'Calc_Mix'!$X$10=0,COUNTIFS(Esc_Turno,'Calc_Mix'!$C$10,Esc_Circ,$B82)+COUNTIFS(Esc_Turno,'Calc_Mix'!$C$10,Esc_Instr,$B82)&gt;0),"",IF(SUMPRODUCT('Calc_Mix'!$D$10:$W$10,'Matriz_Habilidades'!$D82:$W82)=0,"",SUMPRODUCT('Calc_Mix'!$D$10:$W$10,'Matriz_Habilidades'!$D82:$W82)/'Calc_Mix'!$X$10+ROW()*0.000001))</f>
        <v/>
      </c>
      <c r="N82" s="34">
        <f>IF(OR($B82="",$C82&lt;&gt;"Ativo",$D82&lt;&gt;'Calc_Mix'!$C$11,'Calc_Mix'!$X$11=0,COUNTIFS(Esc_Turno,'Calc_Mix'!$C$11,Esc_Circ,$B82)+COUNTIFS(Esc_Turno,'Calc_Mix'!$C$11,Esc_Instr,$B82)&gt;0),"",IF(SUMPRODUCT('Calc_Mix'!$D$11:$W$11,'Matriz_Habilidades'!$D82:$W82)=0,"",SUMPRODUCT('Calc_Mix'!$D$11:$W$11,'Matriz_Habilidades'!$D82:$W82)/'Calc_Mix'!$X$11+ROW()*0.000001))</f>
        <v/>
      </c>
      <c r="O82" s="34">
        <f>IF(OR($B82="",$C82&lt;&gt;"Ativo",$D82&lt;&gt;'Calc_Mix'!$C$12,'Calc_Mix'!$X$12=0,COUNTIFS(Esc_Turno,'Calc_Mix'!$C$12,Esc_Circ,$B82)+COUNTIFS(Esc_Turno,'Calc_Mix'!$C$12,Esc_Instr,$B82)&gt;0),"",IF(SUMPRODUCT('Calc_Mix'!$D$12:$W$12,'Matriz_Habilidades'!$D82:$W82)=0,"",SUMPRODUCT('Calc_Mix'!$D$12:$W$12,'Matriz_Habilidades'!$D82:$W82)/'Calc_Mix'!$X$12+ROW()*0.000001))</f>
        <v/>
      </c>
      <c r="P82" s="34">
        <f>IF(OR($B82="",$C82&lt;&gt;"Ativo",$D82&lt;&gt;'Calc_Mix'!$C$13,'Calc_Mix'!$X$13=0,COUNTIFS(Esc_Turno,'Calc_Mix'!$C$13,Esc_Circ,$B82)+COUNTIFS(Esc_Turno,'Calc_Mix'!$C$13,Esc_Instr,$B82)&gt;0),"",IF(SUMPRODUCT('Calc_Mix'!$D$13:$W$13,'Matriz_Habilidades'!$D82:$W82)=0,"",SUMPRODUCT('Calc_Mix'!$D$13:$W$13,'Matriz_Habilidades'!$D82:$W82)/'Calc_Mix'!$X$13+ROW()*0.000001))</f>
        <v/>
      </c>
      <c r="Q82" s="34">
        <f>IF(OR($B82="",$C82&lt;&gt;"Ativo",$D82&lt;&gt;'Calc_Mix'!$C$14,'Calc_Mix'!$X$14=0,COUNTIFS(Esc_Turno,'Calc_Mix'!$C$14,Esc_Circ,$B82)+COUNTIFS(Esc_Turno,'Calc_Mix'!$C$14,Esc_Instr,$B82)&gt;0),"",IF(SUMPRODUCT('Calc_Mix'!$D$14:$W$14,'Matriz_Habilidades'!$D82:$W82)=0,"",SUMPRODUCT('Calc_Mix'!$D$14:$W$14,'Matriz_Habilidades'!$D82:$W82)/'Calc_Mix'!$X$14+ROW()*0.000001))</f>
        <v/>
      </c>
      <c r="R82" s="34">
        <f>IF(OR($B82="",$C82&lt;&gt;"Ativo",$D82&lt;&gt;'Calc_Mix'!$C$15,'Calc_Mix'!$X$15=0,COUNTIFS(Esc_Turno,'Calc_Mix'!$C$15,Esc_Circ,$B82)+COUNTIFS(Esc_Turno,'Calc_Mix'!$C$15,Esc_Instr,$B82)&gt;0),"",IF(SUMPRODUCT('Calc_Mix'!$D$15:$W$15,'Matriz_Habilidades'!$D82:$W82)=0,"",SUMPRODUCT('Calc_Mix'!$D$15:$W$15,'Matriz_Habilidades'!$D82:$W82)/'Calc_Mix'!$X$15+ROW()*0.000001))</f>
        <v/>
      </c>
      <c r="S82" s="34">
        <f>IF(OR($B82="",$C82&lt;&gt;"Ativo",$D82&lt;&gt;'Calc_Mix'!$C$16,'Calc_Mix'!$X$16=0,COUNTIFS(Esc_Turno,'Calc_Mix'!$C$16,Esc_Circ,$B82)+COUNTIFS(Esc_Turno,'Calc_Mix'!$C$16,Esc_Instr,$B82)&gt;0),"",IF(SUMPRODUCT('Calc_Mix'!$D$16:$W$16,'Matriz_Habilidades'!$D82:$W82)=0,"",SUMPRODUCT('Calc_Mix'!$D$16:$W$16,'Matriz_Habilidades'!$D82:$W82)/'Calc_Mix'!$X$16+ROW()*0.000001))</f>
        <v/>
      </c>
      <c r="T82" s="34">
        <f>IF(OR($B82="",$C82&lt;&gt;"Ativo",$D82&lt;&gt;'Calc_Mix'!$C$17,'Calc_Mix'!$X$17=0,COUNTIFS(Esc_Turno,'Calc_Mix'!$C$17,Esc_Circ,$B82)+COUNTIFS(Esc_Turno,'Calc_Mix'!$C$17,Esc_Instr,$B82)&gt;0),"",IF(SUMPRODUCT('Calc_Mix'!$D$17:$W$17,'Matriz_Habilidades'!$D82:$W82)=0,"",SUMPRODUCT('Calc_Mix'!$D$17:$W$17,'Matriz_Habilidades'!$D82:$W82)/'Calc_Mix'!$X$17+ROW()*0.000001))</f>
        <v/>
      </c>
      <c r="U82" s="34">
        <f>IF(OR($B82="",$C82&lt;&gt;"Ativo",$D82&lt;&gt;'Calc_Mix'!$C$18,'Calc_Mix'!$X$18=0,COUNTIFS(Esc_Turno,'Calc_Mix'!$C$18,Esc_Circ,$B82)+COUNTIFS(Esc_Turno,'Calc_Mix'!$C$18,Esc_Instr,$B82)&gt;0),"",IF(SUMPRODUCT('Calc_Mix'!$D$18:$W$18,'Matriz_Habilidades'!$D82:$W82)=0,"",SUMPRODUCT('Calc_Mix'!$D$18:$W$18,'Matriz_Habilidades'!$D82:$W82)/'Calc_Mix'!$X$18+ROW()*0.000001))</f>
        <v/>
      </c>
      <c r="V82" s="34">
        <f>IF(OR($B82="",$C82&lt;&gt;"Ativo",$D82&lt;&gt;'Calc_Mix'!$C$19,'Calc_Mix'!$X$19=0,COUNTIFS(Esc_Turno,'Calc_Mix'!$C$19,Esc_Circ,$B82)+COUNTIFS(Esc_Turno,'Calc_Mix'!$C$19,Esc_Instr,$B82)&gt;0),"",IF(SUMPRODUCT('Calc_Mix'!$D$19:$W$19,'Matriz_Habilidades'!$D82:$W82)=0,"",SUMPRODUCT('Calc_Mix'!$D$19:$W$19,'Matriz_Habilidades'!$D82:$W82)/'Calc_Mix'!$X$19+ROW()*0.000001))</f>
        <v/>
      </c>
      <c r="W82" s="34">
        <f>IF(OR($B82="",$C82&lt;&gt;"Ativo",$D82&lt;&gt;'Calc_Mix'!$C$20,'Calc_Mix'!$X$20=0,COUNTIFS(Esc_Turno,'Calc_Mix'!$C$20,Esc_Circ,$B82)+COUNTIFS(Esc_Turno,'Calc_Mix'!$C$20,Esc_Instr,$B82)&gt;0),"",IF(SUMPRODUCT('Calc_Mix'!$D$20:$W$20,'Matriz_Habilidades'!$D82:$W82)=0,"",SUMPRODUCT('Calc_Mix'!$D$20:$W$20,'Matriz_Habilidades'!$D82:$W82)/'Calc_Mix'!$X$20+ROW()*0.000001))</f>
        <v/>
      </c>
      <c r="X82" s="34">
        <f>IF(OR($B82="",$C82&lt;&gt;"Ativo",$D82&lt;&gt;'Calc_Mix'!$C$21,'Calc_Mix'!$X$21=0,COUNTIFS(Esc_Turno,'Calc_Mix'!$C$21,Esc_Circ,$B82)+COUNTIFS(Esc_Turno,'Calc_Mix'!$C$21,Esc_Instr,$B82)&gt;0),"",IF(SUMPRODUCT('Calc_Mix'!$D$21:$W$21,'Matriz_Habilidades'!$D82:$W82)=0,"",SUMPRODUCT('Calc_Mix'!$D$21:$W$21,'Matriz_Habilidades'!$D82:$W82)/'Calc_Mix'!$X$21+ROW()*0.000001))</f>
        <v/>
      </c>
      <c r="Y82" s="34">
        <f>IF(OR($B82="",$C82&lt;&gt;"Ativo",$D82&lt;&gt;'Calc_Mix'!$C$22,'Calc_Mix'!$X$22=0,COUNTIFS(Esc_Turno,'Calc_Mix'!$C$22,Esc_Circ,$B82)+COUNTIFS(Esc_Turno,'Calc_Mix'!$C$22,Esc_Instr,$B82)&gt;0),"",IF(SUMPRODUCT('Calc_Mix'!$D$22:$W$22,'Matriz_Habilidades'!$D82:$W82)=0,"",SUMPRODUCT('Calc_Mix'!$D$22:$W$22,'Matriz_Habilidades'!$D82:$W82)/'Calc_Mix'!$X$22+ROW()*0.000001))</f>
        <v/>
      </c>
      <c r="Z82" s="34">
        <f>IF(OR($B82="",$C82&lt;&gt;"Ativo",$D82&lt;&gt;'Calc_Mix'!$C$23,'Calc_Mix'!$X$23=0,COUNTIFS(Esc_Turno,'Calc_Mix'!$C$23,Esc_Circ,$B82)+COUNTIFS(Esc_Turno,'Calc_Mix'!$C$23,Esc_Instr,$B82)&gt;0),"",IF(SUMPRODUCT('Calc_Mix'!$D$23:$W$23,'Matriz_Habilidades'!$D82:$W82)=0,"",SUMPRODUCT('Calc_Mix'!$D$23:$W$23,'Matriz_Habilidades'!$D82:$W82)/'Calc_Mix'!$X$23+ROW()*0.000001))</f>
        <v/>
      </c>
      <c r="AA82" s="34">
        <f>IF(OR($B82="",$C82&lt;&gt;"Ativo",$D82&lt;&gt;'Calc_Mix'!$C$24,'Calc_Mix'!$X$24=0,COUNTIFS(Esc_Turno,'Calc_Mix'!$C$24,Esc_Circ,$B82)+COUNTIFS(Esc_Turno,'Calc_Mix'!$C$24,Esc_Instr,$B82)&gt;0),"",IF(SUMPRODUCT('Calc_Mix'!$D$24:$W$24,'Matriz_Habilidades'!$D82:$W82)=0,"",SUMPRODUCT('Calc_Mix'!$D$24:$W$24,'Matriz_Habilidades'!$D82:$W82)/'Calc_Mix'!$X$24+ROW()*0.000001))</f>
        <v/>
      </c>
      <c r="AB82" s="34">
        <f>IF(OR($B82="",$C82&lt;&gt;"Ativo",$D82&lt;&gt;'Calc_Mix'!$C$25,'Calc_Mix'!$X$25=0,COUNTIFS(Esc_Turno,'Calc_Mix'!$C$25,Esc_Circ,$B82)+COUNTIFS(Esc_Turno,'Calc_Mix'!$C$25,Esc_Instr,$B82)&gt;0),"",IF(SUMPRODUCT('Calc_Mix'!$D$25:$W$25,'Matriz_Habilidades'!$D82:$W82)=0,"",SUMPRODUCT('Calc_Mix'!$D$25:$W$25,'Matriz_Habilidades'!$D82:$W82)/'Calc_Mix'!$X$25+ROW()*0.000001))</f>
        <v/>
      </c>
      <c r="AC82" s="34">
        <f>IF(OR($B82="",$C82&lt;&gt;"Ativo",$D82&lt;&gt;'Calc_Mix'!$C$26,'Calc_Mix'!$X$26=0,COUNTIFS(Esc_Turno,'Calc_Mix'!$C$26,Esc_Circ,$B82)+COUNTIFS(Esc_Turno,'Calc_Mix'!$C$26,Esc_Instr,$B82)&gt;0),"",IF(SUMPRODUCT('Calc_Mix'!$D$26:$W$26,'Matriz_Habilidades'!$D82:$W82)=0,"",SUMPRODUCT('Calc_Mix'!$D$26:$W$26,'Matriz_Habilidades'!$D82:$W82)/'Calc_Mix'!$X$26+ROW()*0.000001))</f>
        <v/>
      </c>
      <c r="AD82" s="34">
        <f>IF(OR($B82="",$C82&lt;&gt;"Ativo",$D82&lt;&gt;'Calc_Mix'!$C$27,'Calc_Mix'!$X$27=0,COUNTIFS(Esc_Turno,'Calc_Mix'!$C$27,Esc_Circ,$B82)+COUNTIFS(Esc_Turno,'Calc_Mix'!$C$27,Esc_Instr,$B82)&gt;0),"",IF(SUMPRODUCT('Calc_Mix'!$D$27:$W$27,'Matriz_Habilidades'!$D82:$W82)=0,"",SUMPRODUCT('Calc_Mix'!$D$27:$W$27,'Matriz_Habilidades'!$D82:$W82)/'Calc_Mix'!$X$27+ROW()*0.000001))</f>
        <v/>
      </c>
      <c r="AE82" s="34">
        <f>IF(OR($B82="",$C82&lt;&gt;"Ativo",$D82&lt;&gt;'Calc_Mix'!$C$28,'Calc_Mix'!$X$28=0,COUNTIFS(Esc_Turno,'Calc_Mix'!$C$28,Esc_Circ,$B82)+COUNTIFS(Esc_Turno,'Calc_Mix'!$C$28,Esc_Instr,$B82)&gt;0),"",IF(SUMPRODUCT('Calc_Mix'!$D$28:$W$28,'Matriz_Habilidades'!$D82:$W82)=0,"",SUMPRODUCT('Calc_Mix'!$D$28:$W$28,'Matriz_Habilidades'!$D82:$W82)/'Calc_Mix'!$X$28+ROW()*0.000001))</f>
        <v/>
      </c>
      <c r="AF82" s="34">
        <f>IF(OR($B82="",$C82&lt;&gt;"Ativo",$D82&lt;&gt;'Calc_Mix'!$C$29,'Calc_Mix'!$X$29=0,COUNTIFS(Esc_Turno,'Calc_Mix'!$C$29,Esc_Circ,$B82)+COUNTIFS(Esc_Turno,'Calc_Mix'!$C$29,Esc_Instr,$B82)&gt;0),"",IF(SUMPRODUCT('Calc_Mix'!$D$29:$W$29,'Matriz_Habilidades'!$D82:$W82)=0,"",SUMPRODUCT('Calc_Mix'!$D$29:$W$29,'Matriz_Habilidades'!$D82:$W82)/'Calc_Mix'!$X$29+ROW()*0.000001))</f>
        <v/>
      </c>
      <c r="AG82" s="34">
        <f>IF(OR($B82="",$C82&lt;&gt;"Ativo",$D82&lt;&gt;'Calc_Mix'!$C$30,'Calc_Mix'!$X$30=0,COUNTIFS(Esc_Turno,'Calc_Mix'!$C$30,Esc_Circ,$B82)+COUNTIFS(Esc_Turno,'Calc_Mix'!$C$30,Esc_Instr,$B82)&gt;0),"",IF(SUMPRODUCT('Calc_Mix'!$D$30:$W$30,'Matriz_Habilidades'!$D82:$W82)=0,"",SUMPRODUCT('Calc_Mix'!$D$30:$W$30,'Matriz_Habilidades'!$D82:$W82)/'Calc_Mix'!$X$30+ROW()*0.000001))</f>
        <v/>
      </c>
      <c r="AH82" s="34">
        <f>IF(OR($B82="",$C82&lt;&gt;"Ativo",$D82&lt;&gt;'Calc_Mix'!$C$31,'Calc_Mix'!$X$31=0,COUNTIFS(Esc_Turno,'Calc_Mix'!$C$31,Esc_Circ,$B82)+COUNTIFS(Esc_Turno,'Calc_Mix'!$C$31,Esc_Instr,$B82)&gt;0),"",IF(SUMPRODUCT('Calc_Mix'!$D$31:$W$31,'Matriz_Habilidades'!$D82:$W82)=0,"",SUMPRODUCT('Calc_Mix'!$D$31:$W$31,'Matriz_Habilidades'!$D82:$W82)/'Calc_Mix'!$X$31+ROW()*0.000001))</f>
        <v/>
      </c>
      <c r="AI82" s="34">
        <f>IF(OR($B82="",$C82&lt;&gt;"Ativo",$D82&lt;&gt;'Calc_Mix'!$C$32,'Calc_Mix'!$X$32=0,COUNTIFS(Esc_Turno,'Calc_Mix'!$C$32,Esc_Circ,$B82)+COUNTIFS(Esc_Turno,'Calc_Mix'!$C$32,Esc_Instr,$B82)&gt;0),"",IF(SUMPRODUCT('Calc_Mix'!$D$32:$W$32,'Matriz_Habilidades'!$D82:$W82)=0,"",SUMPRODUCT('Calc_Mix'!$D$32:$W$32,'Matriz_Habilidades'!$D82:$W82)/'Calc_Mix'!$X$32+ROW()*0.000001))</f>
        <v/>
      </c>
      <c r="AJ82" s="34">
        <f>IF(OR($B82="",$C82&lt;&gt;"Ativo",$D82&lt;&gt;'Calc_Mix'!$C$33,'Calc_Mix'!$X$33=0,COUNTIFS(Esc_Turno,'Calc_Mix'!$C$33,Esc_Circ,$B82)+COUNTIFS(Esc_Turno,'Calc_Mix'!$C$33,Esc_Instr,$B82)&gt;0),"",IF(SUMPRODUCT('Calc_Mix'!$D$33:$W$33,'Matriz_Habilidades'!$D82:$W82)=0,"",SUMPRODUCT('Calc_Mix'!$D$33:$W$33,'Matriz_Habilidades'!$D82:$W82)/'Calc_Mix'!$X$33+ROW()*0.000001))</f>
        <v/>
      </c>
      <c r="AK82" s="34">
        <f>IF(OR($B82="",$C82&lt;&gt;"Ativo",$D82&lt;&gt;'Calc_Mix'!$C$34,'Calc_Mix'!$X$34=0,COUNTIFS(Esc_Turno,'Calc_Mix'!$C$34,Esc_Circ,$B82)+COUNTIFS(Esc_Turno,'Calc_Mix'!$C$34,Esc_Instr,$B82)&gt;0),"",IF(SUMPRODUCT('Calc_Mix'!$D$34:$W$34,'Matriz_Habilidades'!$D82:$W82)=0,"",SUMPRODUCT('Calc_Mix'!$D$34:$W$34,'Matriz_Habilidades'!$D82:$W82)/'Calc_Mix'!$X$34+ROW()*0.000001))</f>
        <v/>
      </c>
      <c r="AL82" s="34">
        <f>IF(OR($B82="",$C82&lt;&gt;"Ativo",$D82&lt;&gt;'Calc_Mix'!$C$35,'Calc_Mix'!$X$35=0,COUNTIFS(Esc_Turno,'Calc_Mix'!$C$35,Esc_Circ,$B82)+COUNTIFS(Esc_Turno,'Calc_Mix'!$C$35,Esc_Instr,$B82)&gt;0),"",IF(SUMPRODUCT('Calc_Mix'!$D$35:$W$35,'Matriz_Habilidades'!$D82:$W82)=0,"",SUMPRODUCT('Calc_Mix'!$D$35:$W$35,'Matriz_Habilidades'!$D82:$W82)/'Calc_Mix'!$X$35+ROW()*0.000001))</f>
        <v/>
      </c>
      <c r="AM82" s="34">
        <f>IF(OR($B82="",$C82&lt;&gt;"Ativo",$D82&lt;&gt;'Calc_Mix'!$C$36,'Calc_Mix'!$X$36=0,COUNTIFS(Esc_Turno,'Calc_Mix'!$C$36,Esc_Circ,$B82)+COUNTIFS(Esc_Turno,'Calc_Mix'!$C$36,Esc_Instr,$B82)&gt;0),"",IF(SUMPRODUCT('Calc_Mix'!$D$36:$W$36,'Matriz_Habilidades'!$D82:$W82)=0,"",SUMPRODUCT('Calc_Mix'!$D$36:$W$36,'Matriz_Habilidades'!$D82:$W82)/'Calc_Mix'!$X$36+ROW()*0.000001))</f>
        <v/>
      </c>
      <c r="AN82" s="34">
        <f>IF(OR($B82="",$C82&lt;&gt;"Ativo",$D82&lt;&gt;'Calc_Mix'!$C$37,'Calc_Mix'!$X$37=0,COUNTIFS(Esc_Turno,'Calc_Mix'!$C$37,Esc_Circ,$B82)+COUNTIFS(Esc_Turno,'Calc_Mix'!$C$37,Esc_Instr,$B82)&gt;0),"",IF(SUMPRODUCT('Calc_Mix'!$D$37:$W$37,'Matriz_Habilidades'!$D82:$W82)=0,"",SUMPRODUCT('Calc_Mix'!$D$37:$W$37,'Matriz_Habilidades'!$D82:$W82)/'Calc_Mix'!$X$37+ROW()*0.000001))</f>
        <v/>
      </c>
    </row>
    <row r="83">
      <c r="A83" s="27">
        <f>IF('Matriz_Habilidades'!A83="","",'Matriz_Habilidades'!A83)</f>
        <v/>
      </c>
      <c r="B83" s="28">
        <f>IF('Matriz_Habilidades'!B83="","",'Matriz_Habilidades'!B83)</f>
        <v/>
      </c>
      <c r="C83" s="27">
        <f>IF($A83="","",IFERROR(INDEX(Equipe_Status,MATCH($B83,Equipe_Nome,0)),"?"))</f>
        <v/>
      </c>
      <c r="D83" s="27">
        <f>IF($A83="","",IFERROR(INDEX(Equipe_Turno,MATCH($B83,Equipe_Nome,0)),"?"))</f>
        <v/>
      </c>
      <c r="E83" s="34">
        <f>IF(OR($B83="",$C83&lt;&gt;"Ativo",$D83&lt;&gt;'Calc_Mix'!$C$2,'Calc_Mix'!$X$2=0,COUNTIFS(Esc_Turno,'Calc_Mix'!$C$2,Esc_Circ,$B83)+COUNTIFS(Esc_Turno,'Calc_Mix'!$C$2,Esc_Instr,$B83)&gt;0),"",IF(SUMPRODUCT('Calc_Mix'!$D$2:$W$2,'Matriz_Habilidades'!$D83:$W83)=0,"",SUMPRODUCT('Calc_Mix'!$D$2:$W$2,'Matriz_Habilidades'!$D83:$W83)/'Calc_Mix'!$X$2+ROW()*0.000001))</f>
        <v/>
      </c>
      <c r="F83" s="34">
        <f>IF(OR($B83="",$C83&lt;&gt;"Ativo",$D83&lt;&gt;'Calc_Mix'!$C$3,'Calc_Mix'!$X$3=0,COUNTIFS(Esc_Turno,'Calc_Mix'!$C$3,Esc_Circ,$B83)+COUNTIFS(Esc_Turno,'Calc_Mix'!$C$3,Esc_Instr,$B83)&gt;0),"",IF(SUMPRODUCT('Calc_Mix'!$D$3:$W$3,'Matriz_Habilidades'!$D83:$W83)=0,"",SUMPRODUCT('Calc_Mix'!$D$3:$W$3,'Matriz_Habilidades'!$D83:$W83)/'Calc_Mix'!$X$3+ROW()*0.000001))</f>
        <v/>
      </c>
      <c r="G83" s="34">
        <f>IF(OR($B83="",$C83&lt;&gt;"Ativo",$D83&lt;&gt;'Calc_Mix'!$C$4,'Calc_Mix'!$X$4=0,COUNTIFS(Esc_Turno,'Calc_Mix'!$C$4,Esc_Circ,$B83)+COUNTIFS(Esc_Turno,'Calc_Mix'!$C$4,Esc_Instr,$B83)&gt;0),"",IF(SUMPRODUCT('Calc_Mix'!$D$4:$W$4,'Matriz_Habilidades'!$D83:$W83)=0,"",SUMPRODUCT('Calc_Mix'!$D$4:$W$4,'Matriz_Habilidades'!$D83:$W83)/'Calc_Mix'!$X$4+ROW()*0.000001))</f>
        <v/>
      </c>
      <c r="H83" s="34">
        <f>IF(OR($B83="",$C83&lt;&gt;"Ativo",$D83&lt;&gt;'Calc_Mix'!$C$5,'Calc_Mix'!$X$5=0,COUNTIFS(Esc_Turno,'Calc_Mix'!$C$5,Esc_Circ,$B83)+COUNTIFS(Esc_Turno,'Calc_Mix'!$C$5,Esc_Instr,$B83)&gt;0),"",IF(SUMPRODUCT('Calc_Mix'!$D$5:$W$5,'Matriz_Habilidades'!$D83:$W83)=0,"",SUMPRODUCT('Calc_Mix'!$D$5:$W$5,'Matriz_Habilidades'!$D83:$W83)/'Calc_Mix'!$X$5+ROW()*0.000001))</f>
        <v/>
      </c>
      <c r="I83" s="34">
        <f>IF(OR($B83="",$C83&lt;&gt;"Ativo",$D83&lt;&gt;'Calc_Mix'!$C$6,'Calc_Mix'!$X$6=0,COUNTIFS(Esc_Turno,'Calc_Mix'!$C$6,Esc_Circ,$B83)+COUNTIFS(Esc_Turno,'Calc_Mix'!$C$6,Esc_Instr,$B83)&gt;0),"",IF(SUMPRODUCT('Calc_Mix'!$D$6:$W$6,'Matriz_Habilidades'!$D83:$W83)=0,"",SUMPRODUCT('Calc_Mix'!$D$6:$W$6,'Matriz_Habilidades'!$D83:$W83)/'Calc_Mix'!$X$6+ROW()*0.000001))</f>
        <v/>
      </c>
      <c r="J83" s="34">
        <f>IF(OR($B83="",$C83&lt;&gt;"Ativo",$D83&lt;&gt;'Calc_Mix'!$C$7,'Calc_Mix'!$X$7=0,COUNTIFS(Esc_Turno,'Calc_Mix'!$C$7,Esc_Circ,$B83)+COUNTIFS(Esc_Turno,'Calc_Mix'!$C$7,Esc_Instr,$B83)&gt;0),"",IF(SUMPRODUCT('Calc_Mix'!$D$7:$W$7,'Matriz_Habilidades'!$D83:$W83)=0,"",SUMPRODUCT('Calc_Mix'!$D$7:$W$7,'Matriz_Habilidades'!$D83:$W83)/'Calc_Mix'!$X$7+ROW()*0.000001))</f>
        <v/>
      </c>
      <c r="K83" s="34">
        <f>IF(OR($B83="",$C83&lt;&gt;"Ativo",$D83&lt;&gt;'Calc_Mix'!$C$8,'Calc_Mix'!$X$8=0,COUNTIFS(Esc_Turno,'Calc_Mix'!$C$8,Esc_Circ,$B83)+COUNTIFS(Esc_Turno,'Calc_Mix'!$C$8,Esc_Instr,$B83)&gt;0),"",IF(SUMPRODUCT('Calc_Mix'!$D$8:$W$8,'Matriz_Habilidades'!$D83:$W83)=0,"",SUMPRODUCT('Calc_Mix'!$D$8:$W$8,'Matriz_Habilidades'!$D83:$W83)/'Calc_Mix'!$X$8+ROW()*0.000001))</f>
        <v/>
      </c>
      <c r="L83" s="34">
        <f>IF(OR($B83="",$C83&lt;&gt;"Ativo",$D83&lt;&gt;'Calc_Mix'!$C$9,'Calc_Mix'!$X$9=0,COUNTIFS(Esc_Turno,'Calc_Mix'!$C$9,Esc_Circ,$B83)+COUNTIFS(Esc_Turno,'Calc_Mix'!$C$9,Esc_Instr,$B83)&gt;0),"",IF(SUMPRODUCT('Calc_Mix'!$D$9:$W$9,'Matriz_Habilidades'!$D83:$W83)=0,"",SUMPRODUCT('Calc_Mix'!$D$9:$W$9,'Matriz_Habilidades'!$D83:$W83)/'Calc_Mix'!$X$9+ROW()*0.000001))</f>
        <v/>
      </c>
      <c r="M83" s="34">
        <f>IF(OR($B83="",$C83&lt;&gt;"Ativo",$D83&lt;&gt;'Calc_Mix'!$C$10,'Calc_Mix'!$X$10=0,COUNTIFS(Esc_Turno,'Calc_Mix'!$C$10,Esc_Circ,$B83)+COUNTIFS(Esc_Turno,'Calc_Mix'!$C$10,Esc_Instr,$B83)&gt;0),"",IF(SUMPRODUCT('Calc_Mix'!$D$10:$W$10,'Matriz_Habilidades'!$D83:$W83)=0,"",SUMPRODUCT('Calc_Mix'!$D$10:$W$10,'Matriz_Habilidades'!$D83:$W83)/'Calc_Mix'!$X$10+ROW()*0.000001))</f>
        <v/>
      </c>
      <c r="N83" s="34">
        <f>IF(OR($B83="",$C83&lt;&gt;"Ativo",$D83&lt;&gt;'Calc_Mix'!$C$11,'Calc_Mix'!$X$11=0,COUNTIFS(Esc_Turno,'Calc_Mix'!$C$11,Esc_Circ,$B83)+COUNTIFS(Esc_Turno,'Calc_Mix'!$C$11,Esc_Instr,$B83)&gt;0),"",IF(SUMPRODUCT('Calc_Mix'!$D$11:$W$11,'Matriz_Habilidades'!$D83:$W83)=0,"",SUMPRODUCT('Calc_Mix'!$D$11:$W$11,'Matriz_Habilidades'!$D83:$W83)/'Calc_Mix'!$X$11+ROW()*0.000001))</f>
        <v/>
      </c>
      <c r="O83" s="34">
        <f>IF(OR($B83="",$C83&lt;&gt;"Ativo",$D83&lt;&gt;'Calc_Mix'!$C$12,'Calc_Mix'!$X$12=0,COUNTIFS(Esc_Turno,'Calc_Mix'!$C$12,Esc_Circ,$B83)+COUNTIFS(Esc_Turno,'Calc_Mix'!$C$12,Esc_Instr,$B83)&gt;0),"",IF(SUMPRODUCT('Calc_Mix'!$D$12:$W$12,'Matriz_Habilidades'!$D83:$W83)=0,"",SUMPRODUCT('Calc_Mix'!$D$12:$W$12,'Matriz_Habilidades'!$D83:$W83)/'Calc_Mix'!$X$12+ROW()*0.000001))</f>
        <v/>
      </c>
      <c r="P83" s="34">
        <f>IF(OR($B83="",$C83&lt;&gt;"Ativo",$D83&lt;&gt;'Calc_Mix'!$C$13,'Calc_Mix'!$X$13=0,COUNTIFS(Esc_Turno,'Calc_Mix'!$C$13,Esc_Circ,$B83)+COUNTIFS(Esc_Turno,'Calc_Mix'!$C$13,Esc_Instr,$B83)&gt;0),"",IF(SUMPRODUCT('Calc_Mix'!$D$13:$W$13,'Matriz_Habilidades'!$D83:$W83)=0,"",SUMPRODUCT('Calc_Mix'!$D$13:$W$13,'Matriz_Habilidades'!$D83:$W83)/'Calc_Mix'!$X$13+ROW()*0.000001))</f>
        <v/>
      </c>
      <c r="Q83" s="34">
        <f>IF(OR($B83="",$C83&lt;&gt;"Ativo",$D83&lt;&gt;'Calc_Mix'!$C$14,'Calc_Mix'!$X$14=0,COUNTIFS(Esc_Turno,'Calc_Mix'!$C$14,Esc_Circ,$B83)+COUNTIFS(Esc_Turno,'Calc_Mix'!$C$14,Esc_Instr,$B83)&gt;0),"",IF(SUMPRODUCT('Calc_Mix'!$D$14:$W$14,'Matriz_Habilidades'!$D83:$W83)=0,"",SUMPRODUCT('Calc_Mix'!$D$14:$W$14,'Matriz_Habilidades'!$D83:$W83)/'Calc_Mix'!$X$14+ROW()*0.000001))</f>
        <v/>
      </c>
      <c r="R83" s="34">
        <f>IF(OR($B83="",$C83&lt;&gt;"Ativo",$D83&lt;&gt;'Calc_Mix'!$C$15,'Calc_Mix'!$X$15=0,COUNTIFS(Esc_Turno,'Calc_Mix'!$C$15,Esc_Circ,$B83)+COUNTIFS(Esc_Turno,'Calc_Mix'!$C$15,Esc_Instr,$B83)&gt;0),"",IF(SUMPRODUCT('Calc_Mix'!$D$15:$W$15,'Matriz_Habilidades'!$D83:$W83)=0,"",SUMPRODUCT('Calc_Mix'!$D$15:$W$15,'Matriz_Habilidades'!$D83:$W83)/'Calc_Mix'!$X$15+ROW()*0.000001))</f>
        <v/>
      </c>
      <c r="S83" s="34">
        <f>IF(OR($B83="",$C83&lt;&gt;"Ativo",$D83&lt;&gt;'Calc_Mix'!$C$16,'Calc_Mix'!$X$16=0,COUNTIFS(Esc_Turno,'Calc_Mix'!$C$16,Esc_Circ,$B83)+COUNTIFS(Esc_Turno,'Calc_Mix'!$C$16,Esc_Instr,$B83)&gt;0),"",IF(SUMPRODUCT('Calc_Mix'!$D$16:$W$16,'Matriz_Habilidades'!$D83:$W83)=0,"",SUMPRODUCT('Calc_Mix'!$D$16:$W$16,'Matriz_Habilidades'!$D83:$W83)/'Calc_Mix'!$X$16+ROW()*0.000001))</f>
        <v/>
      </c>
      <c r="T83" s="34">
        <f>IF(OR($B83="",$C83&lt;&gt;"Ativo",$D83&lt;&gt;'Calc_Mix'!$C$17,'Calc_Mix'!$X$17=0,COUNTIFS(Esc_Turno,'Calc_Mix'!$C$17,Esc_Circ,$B83)+COUNTIFS(Esc_Turno,'Calc_Mix'!$C$17,Esc_Instr,$B83)&gt;0),"",IF(SUMPRODUCT('Calc_Mix'!$D$17:$W$17,'Matriz_Habilidades'!$D83:$W83)=0,"",SUMPRODUCT('Calc_Mix'!$D$17:$W$17,'Matriz_Habilidades'!$D83:$W83)/'Calc_Mix'!$X$17+ROW()*0.000001))</f>
        <v/>
      </c>
      <c r="U83" s="34">
        <f>IF(OR($B83="",$C83&lt;&gt;"Ativo",$D83&lt;&gt;'Calc_Mix'!$C$18,'Calc_Mix'!$X$18=0,COUNTIFS(Esc_Turno,'Calc_Mix'!$C$18,Esc_Circ,$B83)+COUNTIFS(Esc_Turno,'Calc_Mix'!$C$18,Esc_Instr,$B83)&gt;0),"",IF(SUMPRODUCT('Calc_Mix'!$D$18:$W$18,'Matriz_Habilidades'!$D83:$W83)=0,"",SUMPRODUCT('Calc_Mix'!$D$18:$W$18,'Matriz_Habilidades'!$D83:$W83)/'Calc_Mix'!$X$18+ROW()*0.000001))</f>
        <v/>
      </c>
      <c r="V83" s="34">
        <f>IF(OR($B83="",$C83&lt;&gt;"Ativo",$D83&lt;&gt;'Calc_Mix'!$C$19,'Calc_Mix'!$X$19=0,COUNTIFS(Esc_Turno,'Calc_Mix'!$C$19,Esc_Circ,$B83)+COUNTIFS(Esc_Turno,'Calc_Mix'!$C$19,Esc_Instr,$B83)&gt;0),"",IF(SUMPRODUCT('Calc_Mix'!$D$19:$W$19,'Matriz_Habilidades'!$D83:$W83)=0,"",SUMPRODUCT('Calc_Mix'!$D$19:$W$19,'Matriz_Habilidades'!$D83:$W83)/'Calc_Mix'!$X$19+ROW()*0.000001))</f>
        <v/>
      </c>
      <c r="W83" s="34">
        <f>IF(OR($B83="",$C83&lt;&gt;"Ativo",$D83&lt;&gt;'Calc_Mix'!$C$20,'Calc_Mix'!$X$20=0,COUNTIFS(Esc_Turno,'Calc_Mix'!$C$20,Esc_Circ,$B83)+COUNTIFS(Esc_Turno,'Calc_Mix'!$C$20,Esc_Instr,$B83)&gt;0),"",IF(SUMPRODUCT('Calc_Mix'!$D$20:$W$20,'Matriz_Habilidades'!$D83:$W83)=0,"",SUMPRODUCT('Calc_Mix'!$D$20:$W$20,'Matriz_Habilidades'!$D83:$W83)/'Calc_Mix'!$X$20+ROW()*0.000001))</f>
        <v/>
      </c>
      <c r="X83" s="34">
        <f>IF(OR($B83="",$C83&lt;&gt;"Ativo",$D83&lt;&gt;'Calc_Mix'!$C$21,'Calc_Mix'!$X$21=0,COUNTIFS(Esc_Turno,'Calc_Mix'!$C$21,Esc_Circ,$B83)+COUNTIFS(Esc_Turno,'Calc_Mix'!$C$21,Esc_Instr,$B83)&gt;0),"",IF(SUMPRODUCT('Calc_Mix'!$D$21:$W$21,'Matriz_Habilidades'!$D83:$W83)=0,"",SUMPRODUCT('Calc_Mix'!$D$21:$W$21,'Matriz_Habilidades'!$D83:$W83)/'Calc_Mix'!$X$21+ROW()*0.000001))</f>
        <v/>
      </c>
      <c r="Y83" s="34">
        <f>IF(OR($B83="",$C83&lt;&gt;"Ativo",$D83&lt;&gt;'Calc_Mix'!$C$22,'Calc_Mix'!$X$22=0,COUNTIFS(Esc_Turno,'Calc_Mix'!$C$22,Esc_Circ,$B83)+COUNTIFS(Esc_Turno,'Calc_Mix'!$C$22,Esc_Instr,$B83)&gt;0),"",IF(SUMPRODUCT('Calc_Mix'!$D$22:$W$22,'Matriz_Habilidades'!$D83:$W83)=0,"",SUMPRODUCT('Calc_Mix'!$D$22:$W$22,'Matriz_Habilidades'!$D83:$W83)/'Calc_Mix'!$X$22+ROW()*0.000001))</f>
        <v/>
      </c>
      <c r="Z83" s="34">
        <f>IF(OR($B83="",$C83&lt;&gt;"Ativo",$D83&lt;&gt;'Calc_Mix'!$C$23,'Calc_Mix'!$X$23=0,COUNTIFS(Esc_Turno,'Calc_Mix'!$C$23,Esc_Circ,$B83)+COUNTIFS(Esc_Turno,'Calc_Mix'!$C$23,Esc_Instr,$B83)&gt;0),"",IF(SUMPRODUCT('Calc_Mix'!$D$23:$W$23,'Matriz_Habilidades'!$D83:$W83)=0,"",SUMPRODUCT('Calc_Mix'!$D$23:$W$23,'Matriz_Habilidades'!$D83:$W83)/'Calc_Mix'!$X$23+ROW()*0.000001))</f>
        <v/>
      </c>
      <c r="AA83" s="34">
        <f>IF(OR($B83="",$C83&lt;&gt;"Ativo",$D83&lt;&gt;'Calc_Mix'!$C$24,'Calc_Mix'!$X$24=0,COUNTIFS(Esc_Turno,'Calc_Mix'!$C$24,Esc_Circ,$B83)+COUNTIFS(Esc_Turno,'Calc_Mix'!$C$24,Esc_Instr,$B83)&gt;0),"",IF(SUMPRODUCT('Calc_Mix'!$D$24:$W$24,'Matriz_Habilidades'!$D83:$W83)=0,"",SUMPRODUCT('Calc_Mix'!$D$24:$W$24,'Matriz_Habilidades'!$D83:$W83)/'Calc_Mix'!$X$24+ROW()*0.000001))</f>
        <v/>
      </c>
      <c r="AB83" s="34">
        <f>IF(OR($B83="",$C83&lt;&gt;"Ativo",$D83&lt;&gt;'Calc_Mix'!$C$25,'Calc_Mix'!$X$25=0,COUNTIFS(Esc_Turno,'Calc_Mix'!$C$25,Esc_Circ,$B83)+COUNTIFS(Esc_Turno,'Calc_Mix'!$C$25,Esc_Instr,$B83)&gt;0),"",IF(SUMPRODUCT('Calc_Mix'!$D$25:$W$25,'Matriz_Habilidades'!$D83:$W83)=0,"",SUMPRODUCT('Calc_Mix'!$D$25:$W$25,'Matriz_Habilidades'!$D83:$W83)/'Calc_Mix'!$X$25+ROW()*0.000001))</f>
        <v/>
      </c>
      <c r="AC83" s="34">
        <f>IF(OR($B83="",$C83&lt;&gt;"Ativo",$D83&lt;&gt;'Calc_Mix'!$C$26,'Calc_Mix'!$X$26=0,COUNTIFS(Esc_Turno,'Calc_Mix'!$C$26,Esc_Circ,$B83)+COUNTIFS(Esc_Turno,'Calc_Mix'!$C$26,Esc_Instr,$B83)&gt;0),"",IF(SUMPRODUCT('Calc_Mix'!$D$26:$W$26,'Matriz_Habilidades'!$D83:$W83)=0,"",SUMPRODUCT('Calc_Mix'!$D$26:$W$26,'Matriz_Habilidades'!$D83:$W83)/'Calc_Mix'!$X$26+ROW()*0.000001))</f>
        <v/>
      </c>
      <c r="AD83" s="34">
        <f>IF(OR($B83="",$C83&lt;&gt;"Ativo",$D83&lt;&gt;'Calc_Mix'!$C$27,'Calc_Mix'!$X$27=0,COUNTIFS(Esc_Turno,'Calc_Mix'!$C$27,Esc_Circ,$B83)+COUNTIFS(Esc_Turno,'Calc_Mix'!$C$27,Esc_Instr,$B83)&gt;0),"",IF(SUMPRODUCT('Calc_Mix'!$D$27:$W$27,'Matriz_Habilidades'!$D83:$W83)=0,"",SUMPRODUCT('Calc_Mix'!$D$27:$W$27,'Matriz_Habilidades'!$D83:$W83)/'Calc_Mix'!$X$27+ROW()*0.000001))</f>
        <v/>
      </c>
      <c r="AE83" s="34">
        <f>IF(OR($B83="",$C83&lt;&gt;"Ativo",$D83&lt;&gt;'Calc_Mix'!$C$28,'Calc_Mix'!$X$28=0,COUNTIFS(Esc_Turno,'Calc_Mix'!$C$28,Esc_Circ,$B83)+COUNTIFS(Esc_Turno,'Calc_Mix'!$C$28,Esc_Instr,$B83)&gt;0),"",IF(SUMPRODUCT('Calc_Mix'!$D$28:$W$28,'Matriz_Habilidades'!$D83:$W83)=0,"",SUMPRODUCT('Calc_Mix'!$D$28:$W$28,'Matriz_Habilidades'!$D83:$W83)/'Calc_Mix'!$X$28+ROW()*0.000001))</f>
        <v/>
      </c>
      <c r="AF83" s="34">
        <f>IF(OR($B83="",$C83&lt;&gt;"Ativo",$D83&lt;&gt;'Calc_Mix'!$C$29,'Calc_Mix'!$X$29=0,COUNTIFS(Esc_Turno,'Calc_Mix'!$C$29,Esc_Circ,$B83)+COUNTIFS(Esc_Turno,'Calc_Mix'!$C$29,Esc_Instr,$B83)&gt;0),"",IF(SUMPRODUCT('Calc_Mix'!$D$29:$W$29,'Matriz_Habilidades'!$D83:$W83)=0,"",SUMPRODUCT('Calc_Mix'!$D$29:$W$29,'Matriz_Habilidades'!$D83:$W83)/'Calc_Mix'!$X$29+ROW()*0.000001))</f>
        <v/>
      </c>
      <c r="AG83" s="34">
        <f>IF(OR($B83="",$C83&lt;&gt;"Ativo",$D83&lt;&gt;'Calc_Mix'!$C$30,'Calc_Mix'!$X$30=0,COUNTIFS(Esc_Turno,'Calc_Mix'!$C$30,Esc_Circ,$B83)+COUNTIFS(Esc_Turno,'Calc_Mix'!$C$30,Esc_Instr,$B83)&gt;0),"",IF(SUMPRODUCT('Calc_Mix'!$D$30:$W$30,'Matriz_Habilidades'!$D83:$W83)=0,"",SUMPRODUCT('Calc_Mix'!$D$30:$W$30,'Matriz_Habilidades'!$D83:$W83)/'Calc_Mix'!$X$30+ROW()*0.000001))</f>
        <v/>
      </c>
      <c r="AH83" s="34">
        <f>IF(OR($B83="",$C83&lt;&gt;"Ativo",$D83&lt;&gt;'Calc_Mix'!$C$31,'Calc_Mix'!$X$31=0,COUNTIFS(Esc_Turno,'Calc_Mix'!$C$31,Esc_Circ,$B83)+COUNTIFS(Esc_Turno,'Calc_Mix'!$C$31,Esc_Instr,$B83)&gt;0),"",IF(SUMPRODUCT('Calc_Mix'!$D$31:$W$31,'Matriz_Habilidades'!$D83:$W83)=0,"",SUMPRODUCT('Calc_Mix'!$D$31:$W$31,'Matriz_Habilidades'!$D83:$W83)/'Calc_Mix'!$X$31+ROW()*0.000001))</f>
        <v/>
      </c>
      <c r="AI83" s="34">
        <f>IF(OR($B83="",$C83&lt;&gt;"Ativo",$D83&lt;&gt;'Calc_Mix'!$C$32,'Calc_Mix'!$X$32=0,COUNTIFS(Esc_Turno,'Calc_Mix'!$C$32,Esc_Circ,$B83)+COUNTIFS(Esc_Turno,'Calc_Mix'!$C$32,Esc_Instr,$B83)&gt;0),"",IF(SUMPRODUCT('Calc_Mix'!$D$32:$W$32,'Matriz_Habilidades'!$D83:$W83)=0,"",SUMPRODUCT('Calc_Mix'!$D$32:$W$32,'Matriz_Habilidades'!$D83:$W83)/'Calc_Mix'!$X$32+ROW()*0.000001))</f>
        <v/>
      </c>
      <c r="AJ83" s="34">
        <f>IF(OR($B83="",$C83&lt;&gt;"Ativo",$D83&lt;&gt;'Calc_Mix'!$C$33,'Calc_Mix'!$X$33=0,COUNTIFS(Esc_Turno,'Calc_Mix'!$C$33,Esc_Circ,$B83)+COUNTIFS(Esc_Turno,'Calc_Mix'!$C$33,Esc_Instr,$B83)&gt;0),"",IF(SUMPRODUCT('Calc_Mix'!$D$33:$W$33,'Matriz_Habilidades'!$D83:$W83)=0,"",SUMPRODUCT('Calc_Mix'!$D$33:$W$33,'Matriz_Habilidades'!$D83:$W83)/'Calc_Mix'!$X$33+ROW()*0.000001))</f>
        <v/>
      </c>
      <c r="AK83" s="34">
        <f>IF(OR($B83="",$C83&lt;&gt;"Ativo",$D83&lt;&gt;'Calc_Mix'!$C$34,'Calc_Mix'!$X$34=0,COUNTIFS(Esc_Turno,'Calc_Mix'!$C$34,Esc_Circ,$B83)+COUNTIFS(Esc_Turno,'Calc_Mix'!$C$34,Esc_Instr,$B83)&gt;0),"",IF(SUMPRODUCT('Calc_Mix'!$D$34:$W$34,'Matriz_Habilidades'!$D83:$W83)=0,"",SUMPRODUCT('Calc_Mix'!$D$34:$W$34,'Matriz_Habilidades'!$D83:$W83)/'Calc_Mix'!$X$34+ROW()*0.000001))</f>
        <v/>
      </c>
      <c r="AL83" s="34">
        <f>IF(OR($B83="",$C83&lt;&gt;"Ativo",$D83&lt;&gt;'Calc_Mix'!$C$35,'Calc_Mix'!$X$35=0,COUNTIFS(Esc_Turno,'Calc_Mix'!$C$35,Esc_Circ,$B83)+COUNTIFS(Esc_Turno,'Calc_Mix'!$C$35,Esc_Instr,$B83)&gt;0),"",IF(SUMPRODUCT('Calc_Mix'!$D$35:$W$35,'Matriz_Habilidades'!$D83:$W83)=0,"",SUMPRODUCT('Calc_Mix'!$D$35:$W$35,'Matriz_Habilidades'!$D83:$W83)/'Calc_Mix'!$X$35+ROW()*0.000001))</f>
        <v/>
      </c>
      <c r="AM83" s="34">
        <f>IF(OR($B83="",$C83&lt;&gt;"Ativo",$D83&lt;&gt;'Calc_Mix'!$C$36,'Calc_Mix'!$X$36=0,COUNTIFS(Esc_Turno,'Calc_Mix'!$C$36,Esc_Circ,$B83)+COUNTIFS(Esc_Turno,'Calc_Mix'!$C$36,Esc_Instr,$B83)&gt;0),"",IF(SUMPRODUCT('Calc_Mix'!$D$36:$W$36,'Matriz_Habilidades'!$D83:$W83)=0,"",SUMPRODUCT('Calc_Mix'!$D$36:$W$36,'Matriz_Habilidades'!$D83:$W83)/'Calc_Mix'!$X$36+ROW()*0.000001))</f>
        <v/>
      </c>
      <c r="AN83" s="34">
        <f>IF(OR($B83="",$C83&lt;&gt;"Ativo",$D83&lt;&gt;'Calc_Mix'!$C$37,'Calc_Mix'!$X$37=0,COUNTIFS(Esc_Turno,'Calc_Mix'!$C$37,Esc_Circ,$B83)+COUNTIFS(Esc_Turno,'Calc_Mix'!$C$37,Esc_Instr,$B83)&gt;0),"",IF(SUMPRODUCT('Calc_Mix'!$D$37:$W$37,'Matriz_Habilidades'!$D83:$W83)=0,"",SUMPRODUCT('Calc_Mix'!$D$37:$W$37,'Matriz_Habilidades'!$D83:$W83)/'Calc_Mix'!$X$37+ROW()*0.000001))</f>
        <v/>
      </c>
    </row>
    <row r="84">
      <c r="A84" s="27">
        <f>IF('Matriz_Habilidades'!A84="","",'Matriz_Habilidades'!A84)</f>
        <v/>
      </c>
      <c r="B84" s="28">
        <f>IF('Matriz_Habilidades'!B84="","",'Matriz_Habilidades'!B84)</f>
        <v/>
      </c>
      <c r="C84" s="27">
        <f>IF($A84="","",IFERROR(INDEX(Equipe_Status,MATCH($B84,Equipe_Nome,0)),"?"))</f>
        <v/>
      </c>
      <c r="D84" s="27">
        <f>IF($A84="","",IFERROR(INDEX(Equipe_Turno,MATCH($B84,Equipe_Nome,0)),"?"))</f>
        <v/>
      </c>
      <c r="E84" s="34">
        <f>IF(OR($B84="",$C84&lt;&gt;"Ativo",$D84&lt;&gt;'Calc_Mix'!$C$2,'Calc_Mix'!$X$2=0,COUNTIFS(Esc_Turno,'Calc_Mix'!$C$2,Esc_Circ,$B84)+COUNTIFS(Esc_Turno,'Calc_Mix'!$C$2,Esc_Instr,$B84)&gt;0),"",IF(SUMPRODUCT('Calc_Mix'!$D$2:$W$2,'Matriz_Habilidades'!$D84:$W84)=0,"",SUMPRODUCT('Calc_Mix'!$D$2:$W$2,'Matriz_Habilidades'!$D84:$W84)/'Calc_Mix'!$X$2+ROW()*0.000001))</f>
        <v/>
      </c>
      <c r="F84" s="34">
        <f>IF(OR($B84="",$C84&lt;&gt;"Ativo",$D84&lt;&gt;'Calc_Mix'!$C$3,'Calc_Mix'!$X$3=0,COUNTIFS(Esc_Turno,'Calc_Mix'!$C$3,Esc_Circ,$B84)+COUNTIFS(Esc_Turno,'Calc_Mix'!$C$3,Esc_Instr,$B84)&gt;0),"",IF(SUMPRODUCT('Calc_Mix'!$D$3:$W$3,'Matriz_Habilidades'!$D84:$W84)=0,"",SUMPRODUCT('Calc_Mix'!$D$3:$W$3,'Matriz_Habilidades'!$D84:$W84)/'Calc_Mix'!$X$3+ROW()*0.000001))</f>
        <v/>
      </c>
      <c r="G84" s="34">
        <f>IF(OR($B84="",$C84&lt;&gt;"Ativo",$D84&lt;&gt;'Calc_Mix'!$C$4,'Calc_Mix'!$X$4=0,COUNTIFS(Esc_Turno,'Calc_Mix'!$C$4,Esc_Circ,$B84)+COUNTIFS(Esc_Turno,'Calc_Mix'!$C$4,Esc_Instr,$B84)&gt;0),"",IF(SUMPRODUCT('Calc_Mix'!$D$4:$W$4,'Matriz_Habilidades'!$D84:$W84)=0,"",SUMPRODUCT('Calc_Mix'!$D$4:$W$4,'Matriz_Habilidades'!$D84:$W84)/'Calc_Mix'!$X$4+ROW()*0.000001))</f>
        <v/>
      </c>
      <c r="H84" s="34">
        <f>IF(OR($B84="",$C84&lt;&gt;"Ativo",$D84&lt;&gt;'Calc_Mix'!$C$5,'Calc_Mix'!$X$5=0,COUNTIFS(Esc_Turno,'Calc_Mix'!$C$5,Esc_Circ,$B84)+COUNTIFS(Esc_Turno,'Calc_Mix'!$C$5,Esc_Instr,$B84)&gt;0),"",IF(SUMPRODUCT('Calc_Mix'!$D$5:$W$5,'Matriz_Habilidades'!$D84:$W84)=0,"",SUMPRODUCT('Calc_Mix'!$D$5:$W$5,'Matriz_Habilidades'!$D84:$W84)/'Calc_Mix'!$X$5+ROW()*0.000001))</f>
        <v/>
      </c>
      <c r="I84" s="34">
        <f>IF(OR($B84="",$C84&lt;&gt;"Ativo",$D84&lt;&gt;'Calc_Mix'!$C$6,'Calc_Mix'!$X$6=0,COUNTIFS(Esc_Turno,'Calc_Mix'!$C$6,Esc_Circ,$B84)+COUNTIFS(Esc_Turno,'Calc_Mix'!$C$6,Esc_Instr,$B84)&gt;0),"",IF(SUMPRODUCT('Calc_Mix'!$D$6:$W$6,'Matriz_Habilidades'!$D84:$W84)=0,"",SUMPRODUCT('Calc_Mix'!$D$6:$W$6,'Matriz_Habilidades'!$D84:$W84)/'Calc_Mix'!$X$6+ROW()*0.000001))</f>
        <v/>
      </c>
      <c r="J84" s="34">
        <f>IF(OR($B84="",$C84&lt;&gt;"Ativo",$D84&lt;&gt;'Calc_Mix'!$C$7,'Calc_Mix'!$X$7=0,COUNTIFS(Esc_Turno,'Calc_Mix'!$C$7,Esc_Circ,$B84)+COUNTIFS(Esc_Turno,'Calc_Mix'!$C$7,Esc_Instr,$B84)&gt;0),"",IF(SUMPRODUCT('Calc_Mix'!$D$7:$W$7,'Matriz_Habilidades'!$D84:$W84)=0,"",SUMPRODUCT('Calc_Mix'!$D$7:$W$7,'Matriz_Habilidades'!$D84:$W84)/'Calc_Mix'!$X$7+ROW()*0.000001))</f>
        <v/>
      </c>
      <c r="K84" s="34">
        <f>IF(OR($B84="",$C84&lt;&gt;"Ativo",$D84&lt;&gt;'Calc_Mix'!$C$8,'Calc_Mix'!$X$8=0,COUNTIFS(Esc_Turno,'Calc_Mix'!$C$8,Esc_Circ,$B84)+COUNTIFS(Esc_Turno,'Calc_Mix'!$C$8,Esc_Instr,$B84)&gt;0),"",IF(SUMPRODUCT('Calc_Mix'!$D$8:$W$8,'Matriz_Habilidades'!$D84:$W84)=0,"",SUMPRODUCT('Calc_Mix'!$D$8:$W$8,'Matriz_Habilidades'!$D84:$W84)/'Calc_Mix'!$X$8+ROW()*0.000001))</f>
        <v/>
      </c>
      <c r="L84" s="34">
        <f>IF(OR($B84="",$C84&lt;&gt;"Ativo",$D84&lt;&gt;'Calc_Mix'!$C$9,'Calc_Mix'!$X$9=0,COUNTIFS(Esc_Turno,'Calc_Mix'!$C$9,Esc_Circ,$B84)+COUNTIFS(Esc_Turno,'Calc_Mix'!$C$9,Esc_Instr,$B84)&gt;0),"",IF(SUMPRODUCT('Calc_Mix'!$D$9:$W$9,'Matriz_Habilidades'!$D84:$W84)=0,"",SUMPRODUCT('Calc_Mix'!$D$9:$W$9,'Matriz_Habilidades'!$D84:$W84)/'Calc_Mix'!$X$9+ROW()*0.000001))</f>
        <v/>
      </c>
      <c r="M84" s="34">
        <f>IF(OR($B84="",$C84&lt;&gt;"Ativo",$D84&lt;&gt;'Calc_Mix'!$C$10,'Calc_Mix'!$X$10=0,COUNTIFS(Esc_Turno,'Calc_Mix'!$C$10,Esc_Circ,$B84)+COUNTIFS(Esc_Turno,'Calc_Mix'!$C$10,Esc_Instr,$B84)&gt;0),"",IF(SUMPRODUCT('Calc_Mix'!$D$10:$W$10,'Matriz_Habilidades'!$D84:$W84)=0,"",SUMPRODUCT('Calc_Mix'!$D$10:$W$10,'Matriz_Habilidades'!$D84:$W84)/'Calc_Mix'!$X$10+ROW()*0.000001))</f>
        <v/>
      </c>
      <c r="N84" s="34">
        <f>IF(OR($B84="",$C84&lt;&gt;"Ativo",$D84&lt;&gt;'Calc_Mix'!$C$11,'Calc_Mix'!$X$11=0,COUNTIFS(Esc_Turno,'Calc_Mix'!$C$11,Esc_Circ,$B84)+COUNTIFS(Esc_Turno,'Calc_Mix'!$C$11,Esc_Instr,$B84)&gt;0),"",IF(SUMPRODUCT('Calc_Mix'!$D$11:$W$11,'Matriz_Habilidades'!$D84:$W84)=0,"",SUMPRODUCT('Calc_Mix'!$D$11:$W$11,'Matriz_Habilidades'!$D84:$W84)/'Calc_Mix'!$X$11+ROW()*0.000001))</f>
        <v/>
      </c>
      <c r="O84" s="34">
        <f>IF(OR($B84="",$C84&lt;&gt;"Ativo",$D84&lt;&gt;'Calc_Mix'!$C$12,'Calc_Mix'!$X$12=0,COUNTIFS(Esc_Turno,'Calc_Mix'!$C$12,Esc_Circ,$B84)+COUNTIFS(Esc_Turno,'Calc_Mix'!$C$12,Esc_Instr,$B84)&gt;0),"",IF(SUMPRODUCT('Calc_Mix'!$D$12:$W$12,'Matriz_Habilidades'!$D84:$W84)=0,"",SUMPRODUCT('Calc_Mix'!$D$12:$W$12,'Matriz_Habilidades'!$D84:$W84)/'Calc_Mix'!$X$12+ROW()*0.000001))</f>
        <v/>
      </c>
      <c r="P84" s="34">
        <f>IF(OR($B84="",$C84&lt;&gt;"Ativo",$D84&lt;&gt;'Calc_Mix'!$C$13,'Calc_Mix'!$X$13=0,COUNTIFS(Esc_Turno,'Calc_Mix'!$C$13,Esc_Circ,$B84)+COUNTIFS(Esc_Turno,'Calc_Mix'!$C$13,Esc_Instr,$B84)&gt;0),"",IF(SUMPRODUCT('Calc_Mix'!$D$13:$W$13,'Matriz_Habilidades'!$D84:$W84)=0,"",SUMPRODUCT('Calc_Mix'!$D$13:$W$13,'Matriz_Habilidades'!$D84:$W84)/'Calc_Mix'!$X$13+ROW()*0.000001))</f>
        <v/>
      </c>
      <c r="Q84" s="34">
        <f>IF(OR($B84="",$C84&lt;&gt;"Ativo",$D84&lt;&gt;'Calc_Mix'!$C$14,'Calc_Mix'!$X$14=0,COUNTIFS(Esc_Turno,'Calc_Mix'!$C$14,Esc_Circ,$B84)+COUNTIFS(Esc_Turno,'Calc_Mix'!$C$14,Esc_Instr,$B84)&gt;0),"",IF(SUMPRODUCT('Calc_Mix'!$D$14:$W$14,'Matriz_Habilidades'!$D84:$W84)=0,"",SUMPRODUCT('Calc_Mix'!$D$14:$W$14,'Matriz_Habilidades'!$D84:$W84)/'Calc_Mix'!$X$14+ROW()*0.000001))</f>
        <v/>
      </c>
      <c r="R84" s="34">
        <f>IF(OR($B84="",$C84&lt;&gt;"Ativo",$D84&lt;&gt;'Calc_Mix'!$C$15,'Calc_Mix'!$X$15=0,COUNTIFS(Esc_Turno,'Calc_Mix'!$C$15,Esc_Circ,$B84)+COUNTIFS(Esc_Turno,'Calc_Mix'!$C$15,Esc_Instr,$B84)&gt;0),"",IF(SUMPRODUCT('Calc_Mix'!$D$15:$W$15,'Matriz_Habilidades'!$D84:$W84)=0,"",SUMPRODUCT('Calc_Mix'!$D$15:$W$15,'Matriz_Habilidades'!$D84:$W84)/'Calc_Mix'!$X$15+ROW()*0.000001))</f>
        <v/>
      </c>
      <c r="S84" s="34">
        <f>IF(OR($B84="",$C84&lt;&gt;"Ativo",$D84&lt;&gt;'Calc_Mix'!$C$16,'Calc_Mix'!$X$16=0,COUNTIFS(Esc_Turno,'Calc_Mix'!$C$16,Esc_Circ,$B84)+COUNTIFS(Esc_Turno,'Calc_Mix'!$C$16,Esc_Instr,$B84)&gt;0),"",IF(SUMPRODUCT('Calc_Mix'!$D$16:$W$16,'Matriz_Habilidades'!$D84:$W84)=0,"",SUMPRODUCT('Calc_Mix'!$D$16:$W$16,'Matriz_Habilidades'!$D84:$W84)/'Calc_Mix'!$X$16+ROW()*0.000001))</f>
        <v/>
      </c>
      <c r="T84" s="34">
        <f>IF(OR($B84="",$C84&lt;&gt;"Ativo",$D84&lt;&gt;'Calc_Mix'!$C$17,'Calc_Mix'!$X$17=0,COUNTIFS(Esc_Turno,'Calc_Mix'!$C$17,Esc_Circ,$B84)+COUNTIFS(Esc_Turno,'Calc_Mix'!$C$17,Esc_Instr,$B84)&gt;0),"",IF(SUMPRODUCT('Calc_Mix'!$D$17:$W$17,'Matriz_Habilidades'!$D84:$W84)=0,"",SUMPRODUCT('Calc_Mix'!$D$17:$W$17,'Matriz_Habilidades'!$D84:$W84)/'Calc_Mix'!$X$17+ROW()*0.000001))</f>
        <v/>
      </c>
      <c r="U84" s="34">
        <f>IF(OR($B84="",$C84&lt;&gt;"Ativo",$D84&lt;&gt;'Calc_Mix'!$C$18,'Calc_Mix'!$X$18=0,COUNTIFS(Esc_Turno,'Calc_Mix'!$C$18,Esc_Circ,$B84)+COUNTIFS(Esc_Turno,'Calc_Mix'!$C$18,Esc_Instr,$B84)&gt;0),"",IF(SUMPRODUCT('Calc_Mix'!$D$18:$W$18,'Matriz_Habilidades'!$D84:$W84)=0,"",SUMPRODUCT('Calc_Mix'!$D$18:$W$18,'Matriz_Habilidades'!$D84:$W84)/'Calc_Mix'!$X$18+ROW()*0.000001))</f>
        <v/>
      </c>
      <c r="V84" s="34">
        <f>IF(OR($B84="",$C84&lt;&gt;"Ativo",$D84&lt;&gt;'Calc_Mix'!$C$19,'Calc_Mix'!$X$19=0,COUNTIFS(Esc_Turno,'Calc_Mix'!$C$19,Esc_Circ,$B84)+COUNTIFS(Esc_Turno,'Calc_Mix'!$C$19,Esc_Instr,$B84)&gt;0),"",IF(SUMPRODUCT('Calc_Mix'!$D$19:$W$19,'Matriz_Habilidades'!$D84:$W84)=0,"",SUMPRODUCT('Calc_Mix'!$D$19:$W$19,'Matriz_Habilidades'!$D84:$W84)/'Calc_Mix'!$X$19+ROW()*0.000001))</f>
        <v/>
      </c>
      <c r="W84" s="34">
        <f>IF(OR($B84="",$C84&lt;&gt;"Ativo",$D84&lt;&gt;'Calc_Mix'!$C$20,'Calc_Mix'!$X$20=0,COUNTIFS(Esc_Turno,'Calc_Mix'!$C$20,Esc_Circ,$B84)+COUNTIFS(Esc_Turno,'Calc_Mix'!$C$20,Esc_Instr,$B84)&gt;0),"",IF(SUMPRODUCT('Calc_Mix'!$D$20:$W$20,'Matriz_Habilidades'!$D84:$W84)=0,"",SUMPRODUCT('Calc_Mix'!$D$20:$W$20,'Matriz_Habilidades'!$D84:$W84)/'Calc_Mix'!$X$20+ROW()*0.000001))</f>
        <v/>
      </c>
      <c r="X84" s="34">
        <f>IF(OR($B84="",$C84&lt;&gt;"Ativo",$D84&lt;&gt;'Calc_Mix'!$C$21,'Calc_Mix'!$X$21=0,COUNTIFS(Esc_Turno,'Calc_Mix'!$C$21,Esc_Circ,$B84)+COUNTIFS(Esc_Turno,'Calc_Mix'!$C$21,Esc_Instr,$B84)&gt;0),"",IF(SUMPRODUCT('Calc_Mix'!$D$21:$W$21,'Matriz_Habilidades'!$D84:$W84)=0,"",SUMPRODUCT('Calc_Mix'!$D$21:$W$21,'Matriz_Habilidades'!$D84:$W84)/'Calc_Mix'!$X$21+ROW()*0.000001))</f>
        <v/>
      </c>
      <c r="Y84" s="34">
        <f>IF(OR($B84="",$C84&lt;&gt;"Ativo",$D84&lt;&gt;'Calc_Mix'!$C$22,'Calc_Mix'!$X$22=0,COUNTIFS(Esc_Turno,'Calc_Mix'!$C$22,Esc_Circ,$B84)+COUNTIFS(Esc_Turno,'Calc_Mix'!$C$22,Esc_Instr,$B84)&gt;0),"",IF(SUMPRODUCT('Calc_Mix'!$D$22:$W$22,'Matriz_Habilidades'!$D84:$W84)=0,"",SUMPRODUCT('Calc_Mix'!$D$22:$W$22,'Matriz_Habilidades'!$D84:$W84)/'Calc_Mix'!$X$22+ROW()*0.000001))</f>
        <v/>
      </c>
      <c r="Z84" s="34">
        <f>IF(OR($B84="",$C84&lt;&gt;"Ativo",$D84&lt;&gt;'Calc_Mix'!$C$23,'Calc_Mix'!$X$23=0,COUNTIFS(Esc_Turno,'Calc_Mix'!$C$23,Esc_Circ,$B84)+COUNTIFS(Esc_Turno,'Calc_Mix'!$C$23,Esc_Instr,$B84)&gt;0),"",IF(SUMPRODUCT('Calc_Mix'!$D$23:$W$23,'Matriz_Habilidades'!$D84:$W84)=0,"",SUMPRODUCT('Calc_Mix'!$D$23:$W$23,'Matriz_Habilidades'!$D84:$W84)/'Calc_Mix'!$X$23+ROW()*0.000001))</f>
        <v/>
      </c>
      <c r="AA84" s="34">
        <f>IF(OR($B84="",$C84&lt;&gt;"Ativo",$D84&lt;&gt;'Calc_Mix'!$C$24,'Calc_Mix'!$X$24=0,COUNTIFS(Esc_Turno,'Calc_Mix'!$C$24,Esc_Circ,$B84)+COUNTIFS(Esc_Turno,'Calc_Mix'!$C$24,Esc_Instr,$B84)&gt;0),"",IF(SUMPRODUCT('Calc_Mix'!$D$24:$W$24,'Matriz_Habilidades'!$D84:$W84)=0,"",SUMPRODUCT('Calc_Mix'!$D$24:$W$24,'Matriz_Habilidades'!$D84:$W84)/'Calc_Mix'!$X$24+ROW()*0.000001))</f>
        <v/>
      </c>
      <c r="AB84" s="34">
        <f>IF(OR($B84="",$C84&lt;&gt;"Ativo",$D84&lt;&gt;'Calc_Mix'!$C$25,'Calc_Mix'!$X$25=0,COUNTIFS(Esc_Turno,'Calc_Mix'!$C$25,Esc_Circ,$B84)+COUNTIFS(Esc_Turno,'Calc_Mix'!$C$25,Esc_Instr,$B84)&gt;0),"",IF(SUMPRODUCT('Calc_Mix'!$D$25:$W$25,'Matriz_Habilidades'!$D84:$W84)=0,"",SUMPRODUCT('Calc_Mix'!$D$25:$W$25,'Matriz_Habilidades'!$D84:$W84)/'Calc_Mix'!$X$25+ROW()*0.000001))</f>
        <v/>
      </c>
      <c r="AC84" s="34">
        <f>IF(OR($B84="",$C84&lt;&gt;"Ativo",$D84&lt;&gt;'Calc_Mix'!$C$26,'Calc_Mix'!$X$26=0,COUNTIFS(Esc_Turno,'Calc_Mix'!$C$26,Esc_Circ,$B84)+COUNTIFS(Esc_Turno,'Calc_Mix'!$C$26,Esc_Instr,$B84)&gt;0),"",IF(SUMPRODUCT('Calc_Mix'!$D$26:$W$26,'Matriz_Habilidades'!$D84:$W84)=0,"",SUMPRODUCT('Calc_Mix'!$D$26:$W$26,'Matriz_Habilidades'!$D84:$W84)/'Calc_Mix'!$X$26+ROW()*0.000001))</f>
        <v/>
      </c>
      <c r="AD84" s="34">
        <f>IF(OR($B84="",$C84&lt;&gt;"Ativo",$D84&lt;&gt;'Calc_Mix'!$C$27,'Calc_Mix'!$X$27=0,COUNTIFS(Esc_Turno,'Calc_Mix'!$C$27,Esc_Circ,$B84)+COUNTIFS(Esc_Turno,'Calc_Mix'!$C$27,Esc_Instr,$B84)&gt;0),"",IF(SUMPRODUCT('Calc_Mix'!$D$27:$W$27,'Matriz_Habilidades'!$D84:$W84)=0,"",SUMPRODUCT('Calc_Mix'!$D$27:$W$27,'Matriz_Habilidades'!$D84:$W84)/'Calc_Mix'!$X$27+ROW()*0.000001))</f>
        <v/>
      </c>
      <c r="AE84" s="34">
        <f>IF(OR($B84="",$C84&lt;&gt;"Ativo",$D84&lt;&gt;'Calc_Mix'!$C$28,'Calc_Mix'!$X$28=0,COUNTIFS(Esc_Turno,'Calc_Mix'!$C$28,Esc_Circ,$B84)+COUNTIFS(Esc_Turno,'Calc_Mix'!$C$28,Esc_Instr,$B84)&gt;0),"",IF(SUMPRODUCT('Calc_Mix'!$D$28:$W$28,'Matriz_Habilidades'!$D84:$W84)=0,"",SUMPRODUCT('Calc_Mix'!$D$28:$W$28,'Matriz_Habilidades'!$D84:$W84)/'Calc_Mix'!$X$28+ROW()*0.000001))</f>
        <v/>
      </c>
      <c r="AF84" s="34">
        <f>IF(OR($B84="",$C84&lt;&gt;"Ativo",$D84&lt;&gt;'Calc_Mix'!$C$29,'Calc_Mix'!$X$29=0,COUNTIFS(Esc_Turno,'Calc_Mix'!$C$29,Esc_Circ,$B84)+COUNTIFS(Esc_Turno,'Calc_Mix'!$C$29,Esc_Instr,$B84)&gt;0),"",IF(SUMPRODUCT('Calc_Mix'!$D$29:$W$29,'Matriz_Habilidades'!$D84:$W84)=0,"",SUMPRODUCT('Calc_Mix'!$D$29:$W$29,'Matriz_Habilidades'!$D84:$W84)/'Calc_Mix'!$X$29+ROW()*0.000001))</f>
        <v/>
      </c>
      <c r="AG84" s="34">
        <f>IF(OR($B84="",$C84&lt;&gt;"Ativo",$D84&lt;&gt;'Calc_Mix'!$C$30,'Calc_Mix'!$X$30=0,COUNTIFS(Esc_Turno,'Calc_Mix'!$C$30,Esc_Circ,$B84)+COUNTIFS(Esc_Turno,'Calc_Mix'!$C$30,Esc_Instr,$B84)&gt;0),"",IF(SUMPRODUCT('Calc_Mix'!$D$30:$W$30,'Matriz_Habilidades'!$D84:$W84)=0,"",SUMPRODUCT('Calc_Mix'!$D$30:$W$30,'Matriz_Habilidades'!$D84:$W84)/'Calc_Mix'!$X$30+ROW()*0.000001))</f>
        <v/>
      </c>
      <c r="AH84" s="34">
        <f>IF(OR($B84="",$C84&lt;&gt;"Ativo",$D84&lt;&gt;'Calc_Mix'!$C$31,'Calc_Mix'!$X$31=0,COUNTIFS(Esc_Turno,'Calc_Mix'!$C$31,Esc_Circ,$B84)+COUNTIFS(Esc_Turno,'Calc_Mix'!$C$31,Esc_Instr,$B84)&gt;0),"",IF(SUMPRODUCT('Calc_Mix'!$D$31:$W$31,'Matriz_Habilidades'!$D84:$W84)=0,"",SUMPRODUCT('Calc_Mix'!$D$31:$W$31,'Matriz_Habilidades'!$D84:$W84)/'Calc_Mix'!$X$31+ROW()*0.000001))</f>
        <v/>
      </c>
      <c r="AI84" s="34">
        <f>IF(OR($B84="",$C84&lt;&gt;"Ativo",$D84&lt;&gt;'Calc_Mix'!$C$32,'Calc_Mix'!$X$32=0,COUNTIFS(Esc_Turno,'Calc_Mix'!$C$32,Esc_Circ,$B84)+COUNTIFS(Esc_Turno,'Calc_Mix'!$C$32,Esc_Instr,$B84)&gt;0),"",IF(SUMPRODUCT('Calc_Mix'!$D$32:$W$32,'Matriz_Habilidades'!$D84:$W84)=0,"",SUMPRODUCT('Calc_Mix'!$D$32:$W$32,'Matriz_Habilidades'!$D84:$W84)/'Calc_Mix'!$X$32+ROW()*0.000001))</f>
        <v/>
      </c>
      <c r="AJ84" s="34">
        <f>IF(OR($B84="",$C84&lt;&gt;"Ativo",$D84&lt;&gt;'Calc_Mix'!$C$33,'Calc_Mix'!$X$33=0,COUNTIFS(Esc_Turno,'Calc_Mix'!$C$33,Esc_Circ,$B84)+COUNTIFS(Esc_Turno,'Calc_Mix'!$C$33,Esc_Instr,$B84)&gt;0),"",IF(SUMPRODUCT('Calc_Mix'!$D$33:$W$33,'Matriz_Habilidades'!$D84:$W84)=0,"",SUMPRODUCT('Calc_Mix'!$D$33:$W$33,'Matriz_Habilidades'!$D84:$W84)/'Calc_Mix'!$X$33+ROW()*0.000001))</f>
        <v/>
      </c>
      <c r="AK84" s="34">
        <f>IF(OR($B84="",$C84&lt;&gt;"Ativo",$D84&lt;&gt;'Calc_Mix'!$C$34,'Calc_Mix'!$X$34=0,COUNTIFS(Esc_Turno,'Calc_Mix'!$C$34,Esc_Circ,$B84)+COUNTIFS(Esc_Turno,'Calc_Mix'!$C$34,Esc_Instr,$B84)&gt;0),"",IF(SUMPRODUCT('Calc_Mix'!$D$34:$W$34,'Matriz_Habilidades'!$D84:$W84)=0,"",SUMPRODUCT('Calc_Mix'!$D$34:$W$34,'Matriz_Habilidades'!$D84:$W84)/'Calc_Mix'!$X$34+ROW()*0.000001))</f>
        <v/>
      </c>
      <c r="AL84" s="34">
        <f>IF(OR($B84="",$C84&lt;&gt;"Ativo",$D84&lt;&gt;'Calc_Mix'!$C$35,'Calc_Mix'!$X$35=0,COUNTIFS(Esc_Turno,'Calc_Mix'!$C$35,Esc_Circ,$B84)+COUNTIFS(Esc_Turno,'Calc_Mix'!$C$35,Esc_Instr,$B84)&gt;0),"",IF(SUMPRODUCT('Calc_Mix'!$D$35:$W$35,'Matriz_Habilidades'!$D84:$W84)=0,"",SUMPRODUCT('Calc_Mix'!$D$35:$W$35,'Matriz_Habilidades'!$D84:$W84)/'Calc_Mix'!$X$35+ROW()*0.000001))</f>
        <v/>
      </c>
      <c r="AM84" s="34">
        <f>IF(OR($B84="",$C84&lt;&gt;"Ativo",$D84&lt;&gt;'Calc_Mix'!$C$36,'Calc_Mix'!$X$36=0,COUNTIFS(Esc_Turno,'Calc_Mix'!$C$36,Esc_Circ,$B84)+COUNTIFS(Esc_Turno,'Calc_Mix'!$C$36,Esc_Instr,$B84)&gt;0),"",IF(SUMPRODUCT('Calc_Mix'!$D$36:$W$36,'Matriz_Habilidades'!$D84:$W84)=0,"",SUMPRODUCT('Calc_Mix'!$D$36:$W$36,'Matriz_Habilidades'!$D84:$W84)/'Calc_Mix'!$X$36+ROW()*0.000001))</f>
        <v/>
      </c>
      <c r="AN84" s="34">
        <f>IF(OR($B84="",$C84&lt;&gt;"Ativo",$D84&lt;&gt;'Calc_Mix'!$C$37,'Calc_Mix'!$X$37=0,COUNTIFS(Esc_Turno,'Calc_Mix'!$C$37,Esc_Circ,$B84)+COUNTIFS(Esc_Turno,'Calc_Mix'!$C$37,Esc_Instr,$B84)&gt;0),"",IF(SUMPRODUCT('Calc_Mix'!$D$37:$W$37,'Matriz_Habilidades'!$D84:$W84)=0,"",SUMPRODUCT('Calc_Mix'!$D$37:$W$37,'Matriz_Habilidades'!$D84:$W84)/'Calc_Mix'!$X$37+ROW()*0.000001))</f>
        <v/>
      </c>
    </row>
    <row r="85">
      <c r="A85" s="27">
        <f>IF('Matriz_Habilidades'!A85="","",'Matriz_Habilidades'!A85)</f>
        <v/>
      </c>
      <c r="B85" s="28">
        <f>IF('Matriz_Habilidades'!B85="","",'Matriz_Habilidades'!B85)</f>
        <v/>
      </c>
      <c r="C85" s="27">
        <f>IF($A85="","",IFERROR(INDEX(Equipe_Status,MATCH($B85,Equipe_Nome,0)),"?"))</f>
        <v/>
      </c>
      <c r="D85" s="27">
        <f>IF($A85="","",IFERROR(INDEX(Equipe_Turno,MATCH($B85,Equipe_Nome,0)),"?"))</f>
        <v/>
      </c>
      <c r="E85" s="34">
        <f>IF(OR($B85="",$C85&lt;&gt;"Ativo",$D85&lt;&gt;'Calc_Mix'!$C$2,'Calc_Mix'!$X$2=0,COUNTIFS(Esc_Turno,'Calc_Mix'!$C$2,Esc_Circ,$B85)+COUNTIFS(Esc_Turno,'Calc_Mix'!$C$2,Esc_Instr,$B85)&gt;0),"",IF(SUMPRODUCT('Calc_Mix'!$D$2:$W$2,'Matriz_Habilidades'!$D85:$W85)=0,"",SUMPRODUCT('Calc_Mix'!$D$2:$W$2,'Matriz_Habilidades'!$D85:$W85)/'Calc_Mix'!$X$2+ROW()*0.000001))</f>
        <v/>
      </c>
      <c r="F85" s="34">
        <f>IF(OR($B85="",$C85&lt;&gt;"Ativo",$D85&lt;&gt;'Calc_Mix'!$C$3,'Calc_Mix'!$X$3=0,COUNTIFS(Esc_Turno,'Calc_Mix'!$C$3,Esc_Circ,$B85)+COUNTIFS(Esc_Turno,'Calc_Mix'!$C$3,Esc_Instr,$B85)&gt;0),"",IF(SUMPRODUCT('Calc_Mix'!$D$3:$W$3,'Matriz_Habilidades'!$D85:$W85)=0,"",SUMPRODUCT('Calc_Mix'!$D$3:$W$3,'Matriz_Habilidades'!$D85:$W85)/'Calc_Mix'!$X$3+ROW()*0.000001))</f>
        <v/>
      </c>
      <c r="G85" s="34">
        <f>IF(OR($B85="",$C85&lt;&gt;"Ativo",$D85&lt;&gt;'Calc_Mix'!$C$4,'Calc_Mix'!$X$4=0,COUNTIFS(Esc_Turno,'Calc_Mix'!$C$4,Esc_Circ,$B85)+COUNTIFS(Esc_Turno,'Calc_Mix'!$C$4,Esc_Instr,$B85)&gt;0),"",IF(SUMPRODUCT('Calc_Mix'!$D$4:$W$4,'Matriz_Habilidades'!$D85:$W85)=0,"",SUMPRODUCT('Calc_Mix'!$D$4:$W$4,'Matriz_Habilidades'!$D85:$W85)/'Calc_Mix'!$X$4+ROW()*0.000001))</f>
        <v/>
      </c>
      <c r="H85" s="34">
        <f>IF(OR($B85="",$C85&lt;&gt;"Ativo",$D85&lt;&gt;'Calc_Mix'!$C$5,'Calc_Mix'!$X$5=0,COUNTIFS(Esc_Turno,'Calc_Mix'!$C$5,Esc_Circ,$B85)+COUNTIFS(Esc_Turno,'Calc_Mix'!$C$5,Esc_Instr,$B85)&gt;0),"",IF(SUMPRODUCT('Calc_Mix'!$D$5:$W$5,'Matriz_Habilidades'!$D85:$W85)=0,"",SUMPRODUCT('Calc_Mix'!$D$5:$W$5,'Matriz_Habilidades'!$D85:$W85)/'Calc_Mix'!$X$5+ROW()*0.000001))</f>
        <v/>
      </c>
      <c r="I85" s="34">
        <f>IF(OR($B85="",$C85&lt;&gt;"Ativo",$D85&lt;&gt;'Calc_Mix'!$C$6,'Calc_Mix'!$X$6=0,COUNTIFS(Esc_Turno,'Calc_Mix'!$C$6,Esc_Circ,$B85)+COUNTIFS(Esc_Turno,'Calc_Mix'!$C$6,Esc_Instr,$B85)&gt;0),"",IF(SUMPRODUCT('Calc_Mix'!$D$6:$W$6,'Matriz_Habilidades'!$D85:$W85)=0,"",SUMPRODUCT('Calc_Mix'!$D$6:$W$6,'Matriz_Habilidades'!$D85:$W85)/'Calc_Mix'!$X$6+ROW()*0.000001))</f>
        <v/>
      </c>
      <c r="J85" s="34">
        <f>IF(OR($B85="",$C85&lt;&gt;"Ativo",$D85&lt;&gt;'Calc_Mix'!$C$7,'Calc_Mix'!$X$7=0,COUNTIFS(Esc_Turno,'Calc_Mix'!$C$7,Esc_Circ,$B85)+COUNTIFS(Esc_Turno,'Calc_Mix'!$C$7,Esc_Instr,$B85)&gt;0),"",IF(SUMPRODUCT('Calc_Mix'!$D$7:$W$7,'Matriz_Habilidades'!$D85:$W85)=0,"",SUMPRODUCT('Calc_Mix'!$D$7:$W$7,'Matriz_Habilidades'!$D85:$W85)/'Calc_Mix'!$X$7+ROW()*0.000001))</f>
        <v/>
      </c>
      <c r="K85" s="34">
        <f>IF(OR($B85="",$C85&lt;&gt;"Ativo",$D85&lt;&gt;'Calc_Mix'!$C$8,'Calc_Mix'!$X$8=0,COUNTIFS(Esc_Turno,'Calc_Mix'!$C$8,Esc_Circ,$B85)+COUNTIFS(Esc_Turno,'Calc_Mix'!$C$8,Esc_Instr,$B85)&gt;0),"",IF(SUMPRODUCT('Calc_Mix'!$D$8:$W$8,'Matriz_Habilidades'!$D85:$W85)=0,"",SUMPRODUCT('Calc_Mix'!$D$8:$W$8,'Matriz_Habilidades'!$D85:$W85)/'Calc_Mix'!$X$8+ROW()*0.000001))</f>
        <v/>
      </c>
      <c r="L85" s="34">
        <f>IF(OR($B85="",$C85&lt;&gt;"Ativo",$D85&lt;&gt;'Calc_Mix'!$C$9,'Calc_Mix'!$X$9=0,COUNTIFS(Esc_Turno,'Calc_Mix'!$C$9,Esc_Circ,$B85)+COUNTIFS(Esc_Turno,'Calc_Mix'!$C$9,Esc_Instr,$B85)&gt;0),"",IF(SUMPRODUCT('Calc_Mix'!$D$9:$W$9,'Matriz_Habilidades'!$D85:$W85)=0,"",SUMPRODUCT('Calc_Mix'!$D$9:$W$9,'Matriz_Habilidades'!$D85:$W85)/'Calc_Mix'!$X$9+ROW()*0.000001))</f>
        <v/>
      </c>
      <c r="M85" s="34">
        <f>IF(OR($B85="",$C85&lt;&gt;"Ativo",$D85&lt;&gt;'Calc_Mix'!$C$10,'Calc_Mix'!$X$10=0,COUNTIFS(Esc_Turno,'Calc_Mix'!$C$10,Esc_Circ,$B85)+COUNTIFS(Esc_Turno,'Calc_Mix'!$C$10,Esc_Instr,$B85)&gt;0),"",IF(SUMPRODUCT('Calc_Mix'!$D$10:$W$10,'Matriz_Habilidades'!$D85:$W85)=0,"",SUMPRODUCT('Calc_Mix'!$D$10:$W$10,'Matriz_Habilidades'!$D85:$W85)/'Calc_Mix'!$X$10+ROW()*0.000001))</f>
        <v/>
      </c>
      <c r="N85" s="34">
        <f>IF(OR($B85="",$C85&lt;&gt;"Ativo",$D85&lt;&gt;'Calc_Mix'!$C$11,'Calc_Mix'!$X$11=0,COUNTIFS(Esc_Turno,'Calc_Mix'!$C$11,Esc_Circ,$B85)+COUNTIFS(Esc_Turno,'Calc_Mix'!$C$11,Esc_Instr,$B85)&gt;0),"",IF(SUMPRODUCT('Calc_Mix'!$D$11:$W$11,'Matriz_Habilidades'!$D85:$W85)=0,"",SUMPRODUCT('Calc_Mix'!$D$11:$W$11,'Matriz_Habilidades'!$D85:$W85)/'Calc_Mix'!$X$11+ROW()*0.000001))</f>
        <v/>
      </c>
      <c r="O85" s="34">
        <f>IF(OR($B85="",$C85&lt;&gt;"Ativo",$D85&lt;&gt;'Calc_Mix'!$C$12,'Calc_Mix'!$X$12=0,COUNTIFS(Esc_Turno,'Calc_Mix'!$C$12,Esc_Circ,$B85)+COUNTIFS(Esc_Turno,'Calc_Mix'!$C$12,Esc_Instr,$B85)&gt;0),"",IF(SUMPRODUCT('Calc_Mix'!$D$12:$W$12,'Matriz_Habilidades'!$D85:$W85)=0,"",SUMPRODUCT('Calc_Mix'!$D$12:$W$12,'Matriz_Habilidades'!$D85:$W85)/'Calc_Mix'!$X$12+ROW()*0.000001))</f>
        <v/>
      </c>
      <c r="P85" s="34">
        <f>IF(OR($B85="",$C85&lt;&gt;"Ativo",$D85&lt;&gt;'Calc_Mix'!$C$13,'Calc_Mix'!$X$13=0,COUNTIFS(Esc_Turno,'Calc_Mix'!$C$13,Esc_Circ,$B85)+COUNTIFS(Esc_Turno,'Calc_Mix'!$C$13,Esc_Instr,$B85)&gt;0),"",IF(SUMPRODUCT('Calc_Mix'!$D$13:$W$13,'Matriz_Habilidades'!$D85:$W85)=0,"",SUMPRODUCT('Calc_Mix'!$D$13:$W$13,'Matriz_Habilidades'!$D85:$W85)/'Calc_Mix'!$X$13+ROW()*0.000001))</f>
        <v/>
      </c>
      <c r="Q85" s="34">
        <f>IF(OR($B85="",$C85&lt;&gt;"Ativo",$D85&lt;&gt;'Calc_Mix'!$C$14,'Calc_Mix'!$X$14=0,COUNTIFS(Esc_Turno,'Calc_Mix'!$C$14,Esc_Circ,$B85)+COUNTIFS(Esc_Turno,'Calc_Mix'!$C$14,Esc_Instr,$B85)&gt;0),"",IF(SUMPRODUCT('Calc_Mix'!$D$14:$W$14,'Matriz_Habilidades'!$D85:$W85)=0,"",SUMPRODUCT('Calc_Mix'!$D$14:$W$14,'Matriz_Habilidades'!$D85:$W85)/'Calc_Mix'!$X$14+ROW()*0.000001))</f>
        <v/>
      </c>
      <c r="R85" s="34">
        <f>IF(OR($B85="",$C85&lt;&gt;"Ativo",$D85&lt;&gt;'Calc_Mix'!$C$15,'Calc_Mix'!$X$15=0,COUNTIFS(Esc_Turno,'Calc_Mix'!$C$15,Esc_Circ,$B85)+COUNTIFS(Esc_Turno,'Calc_Mix'!$C$15,Esc_Instr,$B85)&gt;0),"",IF(SUMPRODUCT('Calc_Mix'!$D$15:$W$15,'Matriz_Habilidades'!$D85:$W85)=0,"",SUMPRODUCT('Calc_Mix'!$D$15:$W$15,'Matriz_Habilidades'!$D85:$W85)/'Calc_Mix'!$X$15+ROW()*0.000001))</f>
        <v/>
      </c>
      <c r="S85" s="34">
        <f>IF(OR($B85="",$C85&lt;&gt;"Ativo",$D85&lt;&gt;'Calc_Mix'!$C$16,'Calc_Mix'!$X$16=0,COUNTIFS(Esc_Turno,'Calc_Mix'!$C$16,Esc_Circ,$B85)+COUNTIFS(Esc_Turno,'Calc_Mix'!$C$16,Esc_Instr,$B85)&gt;0),"",IF(SUMPRODUCT('Calc_Mix'!$D$16:$W$16,'Matriz_Habilidades'!$D85:$W85)=0,"",SUMPRODUCT('Calc_Mix'!$D$16:$W$16,'Matriz_Habilidades'!$D85:$W85)/'Calc_Mix'!$X$16+ROW()*0.000001))</f>
        <v/>
      </c>
      <c r="T85" s="34">
        <f>IF(OR($B85="",$C85&lt;&gt;"Ativo",$D85&lt;&gt;'Calc_Mix'!$C$17,'Calc_Mix'!$X$17=0,COUNTIFS(Esc_Turno,'Calc_Mix'!$C$17,Esc_Circ,$B85)+COUNTIFS(Esc_Turno,'Calc_Mix'!$C$17,Esc_Instr,$B85)&gt;0),"",IF(SUMPRODUCT('Calc_Mix'!$D$17:$W$17,'Matriz_Habilidades'!$D85:$W85)=0,"",SUMPRODUCT('Calc_Mix'!$D$17:$W$17,'Matriz_Habilidades'!$D85:$W85)/'Calc_Mix'!$X$17+ROW()*0.000001))</f>
        <v/>
      </c>
      <c r="U85" s="34">
        <f>IF(OR($B85="",$C85&lt;&gt;"Ativo",$D85&lt;&gt;'Calc_Mix'!$C$18,'Calc_Mix'!$X$18=0,COUNTIFS(Esc_Turno,'Calc_Mix'!$C$18,Esc_Circ,$B85)+COUNTIFS(Esc_Turno,'Calc_Mix'!$C$18,Esc_Instr,$B85)&gt;0),"",IF(SUMPRODUCT('Calc_Mix'!$D$18:$W$18,'Matriz_Habilidades'!$D85:$W85)=0,"",SUMPRODUCT('Calc_Mix'!$D$18:$W$18,'Matriz_Habilidades'!$D85:$W85)/'Calc_Mix'!$X$18+ROW()*0.000001))</f>
        <v/>
      </c>
      <c r="V85" s="34">
        <f>IF(OR($B85="",$C85&lt;&gt;"Ativo",$D85&lt;&gt;'Calc_Mix'!$C$19,'Calc_Mix'!$X$19=0,COUNTIFS(Esc_Turno,'Calc_Mix'!$C$19,Esc_Circ,$B85)+COUNTIFS(Esc_Turno,'Calc_Mix'!$C$19,Esc_Instr,$B85)&gt;0),"",IF(SUMPRODUCT('Calc_Mix'!$D$19:$W$19,'Matriz_Habilidades'!$D85:$W85)=0,"",SUMPRODUCT('Calc_Mix'!$D$19:$W$19,'Matriz_Habilidades'!$D85:$W85)/'Calc_Mix'!$X$19+ROW()*0.000001))</f>
        <v/>
      </c>
      <c r="W85" s="34">
        <f>IF(OR($B85="",$C85&lt;&gt;"Ativo",$D85&lt;&gt;'Calc_Mix'!$C$20,'Calc_Mix'!$X$20=0,COUNTIFS(Esc_Turno,'Calc_Mix'!$C$20,Esc_Circ,$B85)+COUNTIFS(Esc_Turno,'Calc_Mix'!$C$20,Esc_Instr,$B85)&gt;0),"",IF(SUMPRODUCT('Calc_Mix'!$D$20:$W$20,'Matriz_Habilidades'!$D85:$W85)=0,"",SUMPRODUCT('Calc_Mix'!$D$20:$W$20,'Matriz_Habilidades'!$D85:$W85)/'Calc_Mix'!$X$20+ROW()*0.000001))</f>
        <v/>
      </c>
      <c r="X85" s="34">
        <f>IF(OR($B85="",$C85&lt;&gt;"Ativo",$D85&lt;&gt;'Calc_Mix'!$C$21,'Calc_Mix'!$X$21=0,COUNTIFS(Esc_Turno,'Calc_Mix'!$C$21,Esc_Circ,$B85)+COUNTIFS(Esc_Turno,'Calc_Mix'!$C$21,Esc_Instr,$B85)&gt;0),"",IF(SUMPRODUCT('Calc_Mix'!$D$21:$W$21,'Matriz_Habilidades'!$D85:$W85)=0,"",SUMPRODUCT('Calc_Mix'!$D$21:$W$21,'Matriz_Habilidades'!$D85:$W85)/'Calc_Mix'!$X$21+ROW()*0.000001))</f>
        <v/>
      </c>
      <c r="Y85" s="34">
        <f>IF(OR($B85="",$C85&lt;&gt;"Ativo",$D85&lt;&gt;'Calc_Mix'!$C$22,'Calc_Mix'!$X$22=0,COUNTIFS(Esc_Turno,'Calc_Mix'!$C$22,Esc_Circ,$B85)+COUNTIFS(Esc_Turno,'Calc_Mix'!$C$22,Esc_Instr,$B85)&gt;0),"",IF(SUMPRODUCT('Calc_Mix'!$D$22:$W$22,'Matriz_Habilidades'!$D85:$W85)=0,"",SUMPRODUCT('Calc_Mix'!$D$22:$W$22,'Matriz_Habilidades'!$D85:$W85)/'Calc_Mix'!$X$22+ROW()*0.000001))</f>
        <v/>
      </c>
      <c r="Z85" s="34">
        <f>IF(OR($B85="",$C85&lt;&gt;"Ativo",$D85&lt;&gt;'Calc_Mix'!$C$23,'Calc_Mix'!$X$23=0,COUNTIFS(Esc_Turno,'Calc_Mix'!$C$23,Esc_Circ,$B85)+COUNTIFS(Esc_Turno,'Calc_Mix'!$C$23,Esc_Instr,$B85)&gt;0),"",IF(SUMPRODUCT('Calc_Mix'!$D$23:$W$23,'Matriz_Habilidades'!$D85:$W85)=0,"",SUMPRODUCT('Calc_Mix'!$D$23:$W$23,'Matriz_Habilidades'!$D85:$W85)/'Calc_Mix'!$X$23+ROW()*0.000001))</f>
        <v/>
      </c>
      <c r="AA85" s="34">
        <f>IF(OR($B85="",$C85&lt;&gt;"Ativo",$D85&lt;&gt;'Calc_Mix'!$C$24,'Calc_Mix'!$X$24=0,COUNTIFS(Esc_Turno,'Calc_Mix'!$C$24,Esc_Circ,$B85)+COUNTIFS(Esc_Turno,'Calc_Mix'!$C$24,Esc_Instr,$B85)&gt;0),"",IF(SUMPRODUCT('Calc_Mix'!$D$24:$W$24,'Matriz_Habilidades'!$D85:$W85)=0,"",SUMPRODUCT('Calc_Mix'!$D$24:$W$24,'Matriz_Habilidades'!$D85:$W85)/'Calc_Mix'!$X$24+ROW()*0.000001))</f>
        <v/>
      </c>
      <c r="AB85" s="34">
        <f>IF(OR($B85="",$C85&lt;&gt;"Ativo",$D85&lt;&gt;'Calc_Mix'!$C$25,'Calc_Mix'!$X$25=0,COUNTIFS(Esc_Turno,'Calc_Mix'!$C$25,Esc_Circ,$B85)+COUNTIFS(Esc_Turno,'Calc_Mix'!$C$25,Esc_Instr,$B85)&gt;0),"",IF(SUMPRODUCT('Calc_Mix'!$D$25:$W$25,'Matriz_Habilidades'!$D85:$W85)=0,"",SUMPRODUCT('Calc_Mix'!$D$25:$W$25,'Matriz_Habilidades'!$D85:$W85)/'Calc_Mix'!$X$25+ROW()*0.000001))</f>
        <v/>
      </c>
      <c r="AC85" s="34">
        <f>IF(OR($B85="",$C85&lt;&gt;"Ativo",$D85&lt;&gt;'Calc_Mix'!$C$26,'Calc_Mix'!$X$26=0,COUNTIFS(Esc_Turno,'Calc_Mix'!$C$26,Esc_Circ,$B85)+COUNTIFS(Esc_Turno,'Calc_Mix'!$C$26,Esc_Instr,$B85)&gt;0),"",IF(SUMPRODUCT('Calc_Mix'!$D$26:$W$26,'Matriz_Habilidades'!$D85:$W85)=0,"",SUMPRODUCT('Calc_Mix'!$D$26:$W$26,'Matriz_Habilidades'!$D85:$W85)/'Calc_Mix'!$X$26+ROW()*0.000001))</f>
        <v/>
      </c>
      <c r="AD85" s="34">
        <f>IF(OR($B85="",$C85&lt;&gt;"Ativo",$D85&lt;&gt;'Calc_Mix'!$C$27,'Calc_Mix'!$X$27=0,COUNTIFS(Esc_Turno,'Calc_Mix'!$C$27,Esc_Circ,$B85)+COUNTIFS(Esc_Turno,'Calc_Mix'!$C$27,Esc_Instr,$B85)&gt;0),"",IF(SUMPRODUCT('Calc_Mix'!$D$27:$W$27,'Matriz_Habilidades'!$D85:$W85)=0,"",SUMPRODUCT('Calc_Mix'!$D$27:$W$27,'Matriz_Habilidades'!$D85:$W85)/'Calc_Mix'!$X$27+ROW()*0.000001))</f>
        <v/>
      </c>
      <c r="AE85" s="34">
        <f>IF(OR($B85="",$C85&lt;&gt;"Ativo",$D85&lt;&gt;'Calc_Mix'!$C$28,'Calc_Mix'!$X$28=0,COUNTIFS(Esc_Turno,'Calc_Mix'!$C$28,Esc_Circ,$B85)+COUNTIFS(Esc_Turno,'Calc_Mix'!$C$28,Esc_Instr,$B85)&gt;0),"",IF(SUMPRODUCT('Calc_Mix'!$D$28:$W$28,'Matriz_Habilidades'!$D85:$W85)=0,"",SUMPRODUCT('Calc_Mix'!$D$28:$W$28,'Matriz_Habilidades'!$D85:$W85)/'Calc_Mix'!$X$28+ROW()*0.000001))</f>
        <v/>
      </c>
      <c r="AF85" s="34">
        <f>IF(OR($B85="",$C85&lt;&gt;"Ativo",$D85&lt;&gt;'Calc_Mix'!$C$29,'Calc_Mix'!$X$29=0,COUNTIFS(Esc_Turno,'Calc_Mix'!$C$29,Esc_Circ,$B85)+COUNTIFS(Esc_Turno,'Calc_Mix'!$C$29,Esc_Instr,$B85)&gt;0),"",IF(SUMPRODUCT('Calc_Mix'!$D$29:$W$29,'Matriz_Habilidades'!$D85:$W85)=0,"",SUMPRODUCT('Calc_Mix'!$D$29:$W$29,'Matriz_Habilidades'!$D85:$W85)/'Calc_Mix'!$X$29+ROW()*0.000001))</f>
        <v/>
      </c>
      <c r="AG85" s="34">
        <f>IF(OR($B85="",$C85&lt;&gt;"Ativo",$D85&lt;&gt;'Calc_Mix'!$C$30,'Calc_Mix'!$X$30=0,COUNTIFS(Esc_Turno,'Calc_Mix'!$C$30,Esc_Circ,$B85)+COUNTIFS(Esc_Turno,'Calc_Mix'!$C$30,Esc_Instr,$B85)&gt;0),"",IF(SUMPRODUCT('Calc_Mix'!$D$30:$W$30,'Matriz_Habilidades'!$D85:$W85)=0,"",SUMPRODUCT('Calc_Mix'!$D$30:$W$30,'Matriz_Habilidades'!$D85:$W85)/'Calc_Mix'!$X$30+ROW()*0.000001))</f>
        <v/>
      </c>
      <c r="AH85" s="34">
        <f>IF(OR($B85="",$C85&lt;&gt;"Ativo",$D85&lt;&gt;'Calc_Mix'!$C$31,'Calc_Mix'!$X$31=0,COUNTIFS(Esc_Turno,'Calc_Mix'!$C$31,Esc_Circ,$B85)+COUNTIFS(Esc_Turno,'Calc_Mix'!$C$31,Esc_Instr,$B85)&gt;0),"",IF(SUMPRODUCT('Calc_Mix'!$D$31:$W$31,'Matriz_Habilidades'!$D85:$W85)=0,"",SUMPRODUCT('Calc_Mix'!$D$31:$W$31,'Matriz_Habilidades'!$D85:$W85)/'Calc_Mix'!$X$31+ROW()*0.000001))</f>
        <v/>
      </c>
      <c r="AI85" s="34">
        <f>IF(OR($B85="",$C85&lt;&gt;"Ativo",$D85&lt;&gt;'Calc_Mix'!$C$32,'Calc_Mix'!$X$32=0,COUNTIFS(Esc_Turno,'Calc_Mix'!$C$32,Esc_Circ,$B85)+COUNTIFS(Esc_Turno,'Calc_Mix'!$C$32,Esc_Instr,$B85)&gt;0),"",IF(SUMPRODUCT('Calc_Mix'!$D$32:$W$32,'Matriz_Habilidades'!$D85:$W85)=0,"",SUMPRODUCT('Calc_Mix'!$D$32:$W$32,'Matriz_Habilidades'!$D85:$W85)/'Calc_Mix'!$X$32+ROW()*0.000001))</f>
        <v/>
      </c>
      <c r="AJ85" s="34">
        <f>IF(OR($B85="",$C85&lt;&gt;"Ativo",$D85&lt;&gt;'Calc_Mix'!$C$33,'Calc_Mix'!$X$33=0,COUNTIFS(Esc_Turno,'Calc_Mix'!$C$33,Esc_Circ,$B85)+COUNTIFS(Esc_Turno,'Calc_Mix'!$C$33,Esc_Instr,$B85)&gt;0),"",IF(SUMPRODUCT('Calc_Mix'!$D$33:$W$33,'Matriz_Habilidades'!$D85:$W85)=0,"",SUMPRODUCT('Calc_Mix'!$D$33:$W$33,'Matriz_Habilidades'!$D85:$W85)/'Calc_Mix'!$X$33+ROW()*0.000001))</f>
        <v/>
      </c>
      <c r="AK85" s="34">
        <f>IF(OR($B85="",$C85&lt;&gt;"Ativo",$D85&lt;&gt;'Calc_Mix'!$C$34,'Calc_Mix'!$X$34=0,COUNTIFS(Esc_Turno,'Calc_Mix'!$C$34,Esc_Circ,$B85)+COUNTIFS(Esc_Turno,'Calc_Mix'!$C$34,Esc_Instr,$B85)&gt;0),"",IF(SUMPRODUCT('Calc_Mix'!$D$34:$W$34,'Matriz_Habilidades'!$D85:$W85)=0,"",SUMPRODUCT('Calc_Mix'!$D$34:$W$34,'Matriz_Habilidades'!$D85:$W85)/'Calc_Mix'!$X$34+ROW()*0.000001))</f>
        <v/>
      </c>
      <c r="AL85" s="34">
        <f>IF(OR($B85="",$C85&lt;&gt;"Ativo",$D85&lt;&gt;'Calc_Mix'!$C$35,'Calc_Mix'!$X$35=0,COUNTIFS(Esc_Turno,'Calc_Mix'!$C$35,Esc_Circ,$B85)+COUNTIFS(Esc_Turno,'Calc_Mix'!$C$35,Esc_Instr,$B85)&gt;0),"",IF(SUMPRODUCT('Calc_Mix'!$D$35:$W$35,'Matriz_Habilidades'!$D85:$W85)=0,"",SUMPRODUCT('Calc_Mix'!$D$35:$W$35,'Matriz_Habilidades'!$D85:$W85)/'Calc_Mix'!$X$35+ROW()*0.000001))</f>
        <v/>
      </c>
      <c r="AM85" s="34">
        <f>IF(OR($B85="",$C85&lt;&gt;"Ativo",$D85&lt;&gt;'Calc_Mix'!$C$36,'Calc_Mix'!$X$36=0,COUNTIFS(Esc_Turno,'Calc_Mix'!$C$36,Esc_Circ,$B85)+COUNTIFS(Esc_Turno,'Calc_Mix'!$C$36,Esc_Instr,$B85)&gt;0),"",IF(SUMPRODUCT('Calc_Mix'!$D$36:$W$36,'Matriz_Habilidades'!$D85:$W85)=0,"",SUMPRODUCT('Calc_Mix'!$D$36:$W$36,'Matriz_Habilidades'!$D85:$W85)/'Calc_Mix'!$X$36+ROW()*0.000001))</f>
        <v/>
      </c>
      <c r="AN85" s="34">
        <f>IF(OR($B85="",$C85&lt;&gt;"Ativo",$D85&lt;&gt;'Calc_Mix'!$C$37,'Calc_Mix'!$X$37=0,COUNTIFS(Esc_Turno,'Calc_Mix'!$C$37,Esc_Circ,$B85)+COUNTIFS(Esc_Turno,'Calc_Mix'!$C$37,Esc_Instr,$B85)&gt;0),"",IF(SUMPRODUCT('Calc_Mix'!$D$37:$W$37,'Matriz_Habilidades'!$D85:$W85)=0,"",SUMPRODUCT('Calc_Mix'!$D$37:$W$37,'Matriz_Habilidades'!$D85:$W85)/'Calc_Mix'!$X$37+ROW()*0.000001))</f>
        <v/>
      </c>
    </row>
    <row r="86">
      <c r="A86" s="27">
        <f>IF('Matriz_Habilidades'!A86="","",'Matriz_Habilidades'!A86)</f>
        <v/>
      </c>
      <c r="B86" s="28">
        <f>IF('Matriz_Habilidades'!B86="","",'Matriz_Habilidades'!B86)</f>
        <v/>
      </c>
      <c r="C86" s="27">
        <f>IF($A86="","",IFERROR(INDEX(Equipe_Status,MATCH($B86,Equipe_Nome,0)),"?"))</f>
        <v/>
      </c>
      <c r="D86" s="27">
        <f>IF($A86="","",IFERROR(INDEX(Equipe_Turno,MATCH($B86,Equipe_Nome,0)),"?"))</f>
        <v/>
      </c>
      <c r="E86" s="34">
        <f>IF(OR($B86="",$C86&lt;&gt;"Ativo",$D86&lt;&gt;'Calc_Mix'!$C$2,'Calc_Mix'!$X$2=0,COUNTIFS(Esc_Turno,'Calc_Mix'!$C$2,Esc_Circ,$B86)+COUNTIFS(Esc_Turno,'Calc_Mix'!$C$2,Esc_Instr,$B86)&gt;0),"",IF(SUMPRODUCT('Calc_Mix'!$D$2:$W$2,'Matriz_Habilidades'!$D86:$W86)=0,"",SUMPRODUCT('Calc_Mix'!$D$2:$W$2,'Matriz_Habilidades'!$D86:$W86)/'Calc_Mix'!$X$2+ROW()*0.000001))</f>
        <v/>
      </c>
      <c r="F86" s="34">
        <f>IF(OR($B86="",$C86&lt;&gt;"Ativo",$D86&lt;&gt;'Calc_Mix'!$C$3,'Calc_Mix'!$X$3=0,COUNTIFS(Esc_Turno,'Calc_Mix'!$C$3,Esc_Circ,$B86)+COUNTIFS(Esc_Turno,'Calc_Mix'!$C$3,Esc_Instr,$B86)&gt;0),"",IF(SUMPRODUCT('Calc_Mix'!$D$3:$W$3,'Matriz_Habilidades'!$D86:$W86)=0,"",SUMPRODUCT('Calc_Mix'!$D$3:$W$3,'Matriz_Habilidades'!$D86:$W86)/'Calc_Mix'!$X$3+ROW()*0.000001))</f>
        <v/>
      </c>
      <c r="G86" s="34">
        <f>IF(OR($B86="",$C86&lt;&gt;"Ativo",$D86&lt;&gt;'Calc_Mix'!$C$4,'Calc_Mix'!$X$4=0,COUNTIFS(Esc_Turno,'Calc_Mix'!$C$4,Esc_Circ,$B86)+COUNTIFS(Esc_Turno,'Calc_Mix'!$C$4,Esc_Instr,$B86)&gt;0),"",IF(SUMPRODUCT('Calc_Mix'!$D$4:$W$4,'Matriz_Habilidades'!$D86:$W86)=0,"",SUMPRODUCT('Calc_Mix'!$D$4:$W$4,'Matriz_Habilidades'!$D86:$W86)/'Calc_Mix'!$X$4+ROW()*0.000001))</f>
        <v/>
      </c>
      <c r="H86" s="34">
        <f>IF(OR($B86="",$C86&lt;&gt;"Ativo",$D86&lt;&gt;'Calc_Mix'!$C$5,'Calc_Mix'!$X$5=0,COUNTIFS(Esc_Turno,'Calc_Mix'!$C$5,Esc_Circ,$B86)+COUNTIFS(Esc_Turno,'Calc_Mix'!$C$5,Esc_Instr,$B86)&gt;0),"",IF(SUMPRODUCT('Calc_Mix'!$D$5:$W$5,'Matriz_Habilidades'!$D86:$W86)=0,"",SUMPRODUCT('Calc_Mix'!$D$5:$W$5,'Matriz_Habilidades'!$D86:$W86)/'Calc_Mix'!$X$5+ROW()*0.000001))</f>
        <v/>
      </c>
      <c r="I86" s="34">
        <f>IF(OR($B86="",$C86&lt;&gt;"Ativo",$D86&lt;&gt;'Calc_Mix'!$C$6,'Calc_Mix'!$X$6=0,COUNTIFS(Esc_Turno,'Calc_Mix'!$C$6,Esc_Circ,$B86)+COUNTIFS(Esc_Turno,'Calc_Mix'!$C$6,Esc_Instr,$B86)&gt;0),"",IF(SUMPRODUCT('Calc_Mix'!$D$6:$W$6,'Matriz_Habilidades'!$D86:$W86)=0,"",SUMPRODUCT('Calc_Mix'!$D$6:$W$6,'Matriz_Habilidades'!$D86:$W86)/'Calc_Mix'!$X$6+ROW()*0.000001))</f>
        <v/>
      </c>
      <c r="J86" s="34">
        <f>IF(OR($B86="",$C86&lt;&gt;"Ativo",$D86&lt;&gt;'Calc_Mix'!$C$7,'Calc_Mix'!$X$7=0,COUNTIFS(Esc_Turno,'Calc_Mix'!$C$7,Esc_Circ,$B86)+COUNTIFS(Esc_Turno,'Calc_Mix'!$C$7,Esc_Instr,$B86)&gt;0),"",IF(SUMPRODUCT('Calc_Mix'!$D$7:$W$7,'Matriz_Habilidades'!$D86:$W86)=0,"",SUMPRODUCT('Calc_Mix'!$D$7:$W$7,'Matriz_Habilidades'!$D86:$W86)/'Calc_Mix'!$X$7+ROW()*0.000001))</f>
        <v/>
      </c>
      <c r="K86" s="34">
        <f>IF(OR($B86="",$C86&lt;&gt;"Ativo",$D86&lt;&gt;'Calc_Mix'!$C$8,'Calc_Mix'!$X$8=0,COUNTIFS(Esc_Turno,'Calc_Mix'!$C$8,Esc_Circ,$B86)+COUNTIFS(Esc_Turno,'Calc_Mix'!$C$8,Esc_Instr,$B86)&gt;0),"",IF(SUMPRODUCT('Calc_Mix'!$D$8:$W$8,'Matriz_Habilidades'!$D86:$W86)=0,"",SUMPRODUCT('Calc_Mix'!$D$8:$W$8,'Matriz_Habilidades'!$D86:$W86)/'Calc_Mix'!$X$8+ROW()*0.000001))</f>
        <v/>
      </c>
      <c r="L86" s="34">
        <f>IF(OR($B86="",$C86&lt;&gt;"Ativo",$D86&lt;&gt;'Calc_Mix'!$C$9,'Calc_Mix'!$X$9=0,COUNTIFS(Esc_Turno,'Calc_Mix'!$C$9,Esc_Circ,$B86)+COUNTIFS(Esc_Turno,'Calc_Mix'!$C$9,Esc_Instr,$B86)&gt;0),"",IF(SUMPRODUCT('Calc_Mix'!$D$9:$W$9,'Matriz_Habilidades'!$D86:$W86)=0,"",SUMPRODUCT('Calc_Mix'!$D$9:$W$9,'Matriz_Habilidades'!$D86:$W86)/'Calc_Mix'!$X$9+ROW()*0.000001))</f>
        <v/>
      </c>
      <c r="M86" s="34">
        <f>IF(OR($B86="",$C86&lt;&gt;"Ativo",$D86&lt;&gt;'Calc_Mix'!$C$10,'Calc_Mix'!$X$10=0,COUNTIFS(Esc_Turno,'Calc_Mix'!$C$10,Esc_Circ,$B86)+COUNTIFS(Esc_Turno,'Calc_Mix'!$C$10,Esc_Instr,$B86)&gt;0),"",IF(SUMPRODUCT('Calc_Mix'!$D$10:$W$10,'Matriz_Habilidades'!$D86:$W86)=0,"",SUMPRODUCT('Calc_Mix'!$D$10:$W$10,'Matriz_Habilidades'!$D86:$W86)/'Calc_Mix'!$X$10+ROW()*0.000001))</f>
        <v/>
      </c>
      <c r="N86" s="34">
        <f>IF(OR($B86="",$C86&lt;&gt;"Ativo",$D86&lt;&gt;'Calc_Mix'!$C$11,'Calc_Mix'!$X$11=0,COUNTIFS(Esc_Turno,'Calc_Mix'!$C$11,Esc_Circ,$B86)+COUNTIFS(Esc_Turno,'Calc_Mix'!$C$11,Esc_Instr,$B86)&gt;0),"",IF(SUMPRODUCT('Calc_Mix'!$D$11:$W$11,'Matriz_Habilidades'!$D86:$W86)=0,"",SUMPRODUCT('Calc_Mix'!$D$11:$W$11,'Matriz_Habilidades'!$D86:$W86)/'Calc_Mix'!$X$11+ROW()*0.000001))</f>
        <v/>
      </c>
      <c r="O86" s="34">
        <f>IF(OR($B86="",$C86&lt;&gt;"Ativo",$D86&lt;&gt;'Calc_Mix'!$C$12,'Calc_Mix'!$X$12=0,COUNTIFS(Esc_Turno,'Calc_Mix'!$C$12,Esc_Circ,$B86)+COUNTIFS(Esc_Turno,'Calc_Mix'!$C$12,Esc_Instr,$B86)&gt;0),"",IF(SUMPRODUCT('Calc_Mix'!$D$12:$W$12,'Matriz_Habilidades'!$D86:$W86)=0,"",SUMPRODUCT('Calc_Mix'!$D$12:$W$12,'Matriz_Habilidades'!$D86:$W86)/'Calc_Mix'!$X$12+ROW()*0.000001))</f>
        <v/>
      </c>
      <c r="P86" s="34">
        <f>IF(OR($B86="",$C86&lt;&gt;"Ativo",$D86&lt;&gt;'Calc_Mix'!$C$13,'Calc_Mix'!$X$13=0,COUNTIFS(Esc_Turno,'Calc_Mix'!$C$13,Esc_Circ,$B86)+COUNTIFS(Esc_Turno,'Calc_Mix'!$C$13,Esc_Instr,$B86)&gt;0),"",IF(SUMPRODUCT('Calc_Mix'!$D$13:$W$13,'Matriz_Habilidades'!$D86:$W86)=0,"",SUMPRODUCT('Calc_Mix'!$D$13:$W$13,'Matriz_Habilidades'!$D86:$W86)/'Calc_Mix'!$X$13+ROW()*0.000001))</f>
        <v/>
      </c>
      <c r="Q86" s="34">
        <f>IF(OR($B86="",$C86&lt;&gt;"Ativo",$D86&lt;&gt;'Calc_Mix'!$C$14,'Calc_Mix'!$X$14=0,COUNTIFS(Esc_Turno,'Calc_Mix'!$C$14,Esc_Circ,$B86)+COUNTIFS(Esc_Turno,'Calc_Mix'!$C$14,Esc_Instr,$B86)&gt;0),"",IF(SUMPRODUCT('Calc_Mix'!$D$14:$W$14,'Matriz_Habilidades'!$D86:$W86)=0,"",SUMPRODUCT('Calc_Mix'!$D$14:$W$14,'Matriz_Habilidades'!$D86:$W86)/'Calc_Mix'!$X$14+ROW()*0.000001))</f>
        <v/>
      </c>
      <c r="R86" s="34">
        <f>IF(OR($B86="",$C86&lt;&gt;"Ativo",$D86&lt;&gt;'Calc_Mix'!$C$15,'Calc_Mix'!$X$15=0,COUNTIFS(Esc_Turno,'Calc_Mix'!$C$15,Esc_Circ,$B86)+COUNTIFS(Esc_Turno,'Calc_Mix'!$C$15,Esc_Instr,$B86)&gt;0),"",IF(SUMPRODUCT('Calc_Mix'!$D$15:$W$15,'Matriz_Habilidades'!$D86:$W86)=0,"",SUMPRODUCT('Calc_Mix'!$D$15:$W$15,'Matriz_Habilidades'!$D86:$W86)/'Calc_Mix'!$X$15+ROW()*0.000001))</f>
        <v/>
      </c>
      <c r="S86" s="34">
        <f>IF(OR($B86="",$C86&lt;&gt;"Ativo",$D86&lt;&gt;'Calc_Mix'!$C$16,'Calc_Mix'!$X$16=0,COUNTIFS(Esc_Turno,'Calc_Mix'!$C$16,Esc_Circ,$B86)+COUNTIFS(Esc_Turno,'Calc_Mix'!$C$16,Esc_Instr,$B86)&gt;0),"",IF(SUMPRODUCT('Calc_Mix'!$D$16:$W$16,'Matriz_Habilidades'!$D86:$W86)=0,"",SUMPRODUCT('Calc_Mix'!$D$16:$W$16,'Matriz_Habilidades'!$D86:$W86)/'Calc_Mix'!$X$16+ROW()*0.000001))</f>
        <v/>
      </c>
      <c r="T86" s="34">
        <f>IF(OR($B86="",$C86&lt;&gt;"Ativo",$D86&lt;&gt;'Calc_Mix'!$C$17,'Calc_Mix'!$X$17=0,COUNTIFS(Esc_Turno,'Calc_Mix'!$C$17,Esc_Circ,$B86)+COUNTIFS(Esc_Turno,'Calc_Mix'!$C$17,Esc_Instr,$B86)&gt;0),"",IF(SUMPRODUCT('Calc_Mix'!$D$17:$W$17,'Matriz_Habilidades'!$D86:$W86)=0,"",SUMPRODUCT('Calc_Mix'!$D$17:$W$17,'Matriz_Habilidades'!$D86:$W86)/'Calc_Mix'!$X$17+ROW()*0.000001))</f>
        <v/>
      </c>
      <c r="U86" s="34">
        <f>IF(OR($B86="",$C86&lt;&gt;"Ativo",$D86&lt;&gt;'Calc_Mix'!$C$18,'Calc_Mix'!$X$18=0,COUNTIFS(Esc_Turno,'Calc_Mix'!$C$18,Esc_Circ,$B86)+COUNTIFS(Esc_Turno,'Calc_Mix'!$C$18,Esc_Instr,$B86)&gt;0),"",IF(SUMPRODUCT('Calc_Mix'!$D$18:$W$18,'Matriz_Habilidades'!$D86:$W86)=0,"",SUMPRODUCT('Calc_Mix'!$D$18:$W$18,'Matriz_Habilidades'!$D86:$W86)/'Calc_Mix'!$X$18+ROW()*0.000001))</f>
        <v/>
      </c>
      <c r="V86" s="34">
        <f>IF(OR($B86="",$C86&lt;&gt;"Ativo",$D86&lt;&gt;'Calc_Mix'!$C$19,'Calc_Mix'!$X$19=0,COUNTIFS(Esc_Turno,'Calc_Mix'!$C$19,Esc_Circ,$B86)+COUNTIFS(Esc_Turno,'Calc_Mix'!$C$19,Esc_Instr,$B86)&gt;0),"",IF(SUMPRODUCT('Calc_Mix'!$D$19:$W$19,'Matriz_Habilidades'!$D86:$W86)=0,"",SUMPRODUCT('Calc_Mix'!$D$19:$W$19,'Matriz_Habilidades'!$D86:$W86)/'Calc_Mix'!$X$19+ROW()*0.000001))</f>
        <v/>
      </c>
      <c r="W86" s="34">
        <f>IF(OR($B86="",$C86&lt;&gt;"Ativo",$D86&lt;&gt;'Calc_Mix'!$C$20,'Calc_Mix'!$X$20=0,COUNTIFS(Esc_Turno,'Calc_Mix'!$C$20,Esc_Circ,$B86)+COUNTIFS(Esc_Turno,'Calc_Mix'!$C$20,Esc_Instr,$B86)&gt;0),"",IF(SUMPRODUCT('Calc_Mix'!$D$20:$W$20,'Matriz_Habilidades'!$D86:$W86)=0,"",SUMPRODUCT('Calc_Mix'!$D$20:$W$20,'Matriz_Habilidades'!$D86:$W86)/'Calc_Mix'!$X$20+ROW()*0.000001))</f>
        <v/>
      </c>
      <c r="X86" s="34">
        <f>IF(OR($B86="",$C86&lt;&gt;"Ativo",$D86&lt;&gt;'Calc_Mix'!$C$21,'Calc_Mix'!$X$21=0,COUNTIFS(Esc_Turno,'Calc_Mix'!$C$21,Esc_Circ,$B86)+COUNTIFS(Esc_Turno,'Calc_Mix'!$C$21,Esc_Instr,$B86)&gt;0),"",IF(SUMPRODUCT('Calc_Mix'!$D$21:$W$21,'Matriz_Habilidades'!$D86:$W86)=0,"",SUMPRODUCT('Calc_Mix'!$D$21:$W$21,'Matriz_Habilidades'!$D86:$W86)/'Calc_Mix'!$X$21+ROW()*0.000001))</f>
        <v/>
      </c>
      <c r="Y86" s="34">
        <f>IF(OR($B86="",$C86&lt;&gt;"Ativo",$D86&lt;&gt;'Calc_Mix'!$C$22,'Calc_Mix'!$X$22=0,COUNTIFS(Esc_Turno,'Calc_Mix'!$C$22,Esc_Circ,$B86)+COUNTIFS(Esc_Turno,'Calc_Mix'!$C$22,Esc_Instr,$B86)&gt;0),"",IF(SUMPRODUCT('Calc_Mix'!$D$22:$W$22,'Matriz_Habilidades'!$D86:$W86)=0,"",SUMPRODUCT('Calc_Mix'!$D$22:$W$22,'Matriz_Habilidades'!$D86:$W86)/'Calc_Mix'!$X$22+ROW()*0.000001))</f>
        <v/>
      </c>
      <c r="Z86" s="34">
        <f>IF(OR($B86="",$C86&lt;&gt;"Ativo",$D86&lt;&gt;'Calc_Mix'!$C$23,'Calc_Mix'!$X$23=0,COUNTIFS(Esc_Turno,'Calc_Mix'!$C$23,Esc_Circ,$B86)+COUNTIFS(Esc_Turno,'Calc_Mix'!$C$23,Esc_Instr,$B86)&gt;0),"",IF(SUMPRODUCT('Calc_Mix'!$D$23:$W$23,'Matriz_Habilidades'!$D86:$W86)=0,"",SUMPRODUCT('Calc_Mix'!$D$23:$W$23,'Matriz_Habilidades'!$D86:$W86)/'Calc_Mix'!$X$23+ROW()*0.000001))</f>
        <v/>
      </c>
      <c r="AA86" s="34">
        <f>IF(OR($B86="",$C86&lt;&gt;"Ativo",$D86&lt;&gt;'Calc_Mix'!$C$24,'Calc_Mix'!$X$24=0,COUNTIFS(Esc_Turno,'Calc_Mix'!$C$24,Esc_Circ,$B86)+COUNTIFS(Esc_Turno,'Calc_Mix'!$C$24,Esc_Instr,$B86)&gt;0),"",IF(SUMPRODUCT('Calc_Mix'!$D$24:$W$24,'Matriz_Habilidades'!$D86:$W86)=0,"",SUMPRODUCT('Calc_Mix'!$D$24:$W$24,'Matriz_Habilidades'!$D86:$W86)/'Calc_Mix'!$X$24+ROW()*0.000001))</f>
        <v/>
      </c>
      <c r="AB86" s="34">
        <f>IF(OR($B86="",$C86&lt;&gt;"Ativo",$D86&lt;&gt;'Calc_Mix'!$C$25,'Calc_Mix'!$X$25=0,COUNTIFS(Esc_Turno,'Calc_Mix'!$C$25,Esc_Circ,$B86)+COUNTIFS(Esc_Turno,'Calc_Mix'!$C$25,Esc_Instr,$B86)&gt;0),"",IF(SUMPRODUCT('Calc_Mix'!$D$25:$W$25,'Matriz_Habilidades'!$D86:$W86)=0,"",SUMPRODUCT('Calc_Mix'!$D$25:$W$25,'Matriz_Habilidades'!$D86:$W86)/'Calc_Mix'!$X$25+ROW()*0.000001))</f>
        <v/>
      </c>
      <c r="AC86" s="34">
        <f>IF(OR($B86="",$C86&lt;&gt;"Ativo",$D86&lt;&gt;'Calc_Mix'!$C$26,'Calc_Mix'!$X$26=0,COUNTIFS(Esc_Turno,'Calc_Mix'!$C$26,Esc_Circ,$B86)+COUNTIFS(Esc_Turno,'Calc_Mix'!$C$26,Esc_Instr,$B86)&gt;0),"",IF(SUMPRODUCT('Calc_Mix'!$D$26:$W$26,'Matriz_Habilidades'!$D86:$W86)=0,"",SUMPRODUCT('Calc_Mix'!$D$26:$W$26,'Matriz_Habilidades'!$D86:$W86)/'Calc_Mix'!$X$26+ROW()*0.000001))</f>
        <v/>
      </c>
      <c r="AD86" s="34">
        <f>IF(OR($B86="",$C86&lt;&gt;"Ativo",$D86&lt;&gt;'Calc_Mix'!$C$27,'Calc_Mix'!$X$27=0,COUNTIFS(Esc_Turno,'Calc_Mix'!$C$27,Esc_Circ,$B86)+COUNTIFS(Esc_Turno,'Calc_Mix'!$C$27,Esc_Instr,$B86)&gt;0),"",IF(SUMPRODUCT('Calc_Mix'!$D$27:$W$27,'Matriz_Habilidades'!$D86:$W86)=0,"",SUMPRODUCT('Calc_Mix'!$D$27:$W$27,'Matriz_Habilidades'!$D86:$W86)/'Calc_Mix'!$X$27+ROW()*0.000001))</f>
        <v/>
      </c>
      <c r="AE86" s="34">
        <f>IF(OR($B86="",$C86&lt;&gt;"Ativo",$D86&lt;&gt;'Calc_Mix'!$C$28,'Calc_Mix'!$X$28=0,COUNTIFS(Esc_Turno,'Calc_Mix'!$C$28,Esc_Circ,$B86)+COUNTIFS(Esc_Turno,'Calc_Mix'!$C$28,Esc_Instr,$B86)&gt;0),"",IF(SUMPRODUCT('Calc_Mix'!$D$28:$W$28,'Matriz_Habilidades'!$D86:$W86)=0,"",SUMPRODUCT('Calc_Mix'!$D$28:$W$28,'Matriz_Habilidades'!$D86:$W86)/'Calc_Mix'!$X$28+ROW()*0.000001))</f>
        <v/>
      </c>
      <c r="AF86" s="34">
        <f>IF(OR($B86="",$C86&lt;&gt;"Ativo",$D86&lt;&gt;'Calc_Mix'!$C$29,'Calc_Mix'!$X$29=0,COUNTIFS(Esc_Turno,'Calc_Mix'!$C$29,Esc_Circ,$B86)+COUNTIFS(Esc_Turno,'Calc_Mix'!$C$29,Esc_Instr,$B86)&gt;0),"",IF(SUMPRODUCT('Calc_Mix'!$D$29:$W$29,'Matriz_Habilidades'!$D86:$W86)=0,"",SUMPRODUCT('Calc_Mix'!$D$29:$W$29,'Matriz_Habilidades'!$D86:$W86)/'Calc_Mix'!$X$29+ROW()*0.000001))</f>
        <v/>
      </c>
      <c r="AG86" s="34">
        <f>IF(OR($B86="",$C86&lt;&gt;"Ativo",$D86&lt;&gt;'Calc_Mix'!$C$30,'Calc_Mix'!$X$30=0,COUNTIFS(Esc_Turno,'Calc_Mix'!$C$30,Esc_Circ,$B86)+COUNTIFS(Esc_Turno,'Calc_Mix'!$C$30,Esc_Instr,$B86)&gt;0),"",IF(SUMPRODUCT('Calc_Mix'!$D$30:$W$30,'Matriz_Habilidades'!$D86:$W86)=0,"",SUMPRODUCT('Calc_Mix'!$D$30:$W$30,'Matriz_Habilidades'!$D86:$W86)/'Calc_Mix'!$X$30+ROW()*0.000001))</f>
        <v/>
      </c>
      <c r="AH86" s="34">
        <f>IF(OR($B86="",$C86&lt;&gt;"Ativo",$D86&lt;&gt;'Calc_Mix'!$C$31,'Calc_Mix'!$X$31=0,COUNTIFS(Esc_Turno,'Calc_Mix'!$C$31,Esc_Circ,$B86)+COUNTIFS(Esc_Turno,'Calc_Mix'!$C$31,Esc_Instr,$B86)&gt;0),"",IF(SUMPRODUCT('Calc_Mix'!$D$31:$W$31,'Matriz_Habilidades'!$D86:$W86)=0,"",SUMPRODUCT('Calc_Mix'!$D$31:$W$31,'Matriz_Habilidades'!$D86:$W86)/'Calc_Mix'!$X$31+ROW()*0.000001))</f>
        <v/>
      </c>
      <c r="AI86" s="34">
        <f>IF(OR($B86="",$C86&lt;&gt;"Ativo",$D86&lt;&gt;'Calc_Mix'!$C$32,'Calc_Mix'!$X$32=0,COUNTIFS(Esc_Turno,'Calc_Mix'!$C$32,Esc_Circ,$B86)+COUNTIFS(Esc_Turno,'Calc_Mix'!$C$32,Esc_Instr,$B86)&gt;0),"",IF(SUMPRODUCT('Calc_Mix'!$D$32:$W$32,'Matriz_Habilidades'!$D86:$W86)=0,"",SUMPRODUCT('Calc_Mix'!$D$32:$W$32,'Matriz_Habilidades'!$D86:$W86)/'Calc_Mix'!$X$32+ROW()*0.000001))</f>
        <v/>
      </c>
      <c r="AJ86" s="34">
        <f>IF(OR($B86="",$C86&lt;&gt;"Ativo",$D86&lt;&gt;'Calc_Mix'!$C$33,'Calc_Mix'!$X$33=0,COUNTIFS(Esc_Turno,'Calc_Mix'!$C$33,Esc_Circ,$B86)+COUNTIFS(Esc_Turno,'Calc_Mix'!$C$33,Esc_Instr,$B86)&gt;0),"",IF(SUMPRODUCT('Calc_Mix'!$D$33:$W$33,'Matriz_Habilidades'!$D86:$W86)=0,"",SUMPRODUCT('Calc_Mix'!$D$33:$W$33,'Matriz_Habilidades'!$D86:$W86)/'Calc_Mix'!$X$33+ROW()*0.000001))</f>
        <v/>
      </c>
      <c r="AK86" s="34">
        <f>IF(OR($B86="",$C86&lt;&gt;"Ativo",$D86&lt;&gt;'Calc_Mix'!$C$34,'Calc_Mix'!$X$34=0,COUNTIFS(Esc_Turno,'Calc_Mix'!$C$34,Esc_Circ,$B86)+COUNTIFS(Esc_Turno,'Calc_Mix'!$C$34,Esc_Instr,$B86)&gt;0),"",IF(SUMPRODUCT('Calc_Mix'!$D$34:$W$34,'Matriz_Habilidades'!$D86:$W86)=0,"",SUMPRODUCT('Calc_Mix'!$D$34:$W$34,'Matriz_Habilidades'!$D86:$W86)/'Calc_Mix'!$X$34+ROW()*0.000001))</f>
        <v/>
      </c>
      <c r="AL86" s="34">
        <f>IF(OR($B86="",$C86&lt;&gt;"Ativo",$D86&lt;&gt;'Calc_Mix'!$C$35,'Calc_Mix'!$X$35=0,COUNTIFS(Esc_Turno,'Calc_Mix'!$C$35,Esc_Circ,$B86)+COUNTIFS(Esc_Turno,'Calc_Mix'!$C$35,Esc_Instr,$B86)&gt;0),"",IF(SUMPRODUCT('Calc_Mix'!$D$35:$W$35,'Matriz_Habilidades'!$D86:$W86)=0,"",SUMPRODUCT('Calc_Mix'!$D$35:$W$35,'Matriz_Habilidades'!$D86:$W86)/'Calc_Mix'!$X$35+ROW()*0.000001))</f>
        <v/>
      </c>
      <c r="AM86" s="34">
        <f>IF(OR($B86="",$C86&lt;&gt;"Ativo",$D86&lt;&gt;'Calc_Mix'!$C$36,'Calc_Mix'!$X$36=0,COUNTIFS(Esc_Turno,'Calc_Mix'!$C$36,Esc_Circ,$B86)+COUNTIFS(Esc_Turno,'Calc_Mix'!$C$36,Esc_Instr,$B86)&gt;0),"",IF(SUMPRODUCT('Calc_Mix'!$D$36:$W$36,'Matriz_Habilidades'!$D86:$W86)=0,"",SUMPRODUCT('Calc_Mix'!$D$36:$W$36,'Matriz_Habilidades'!$D86:$W86)/'Calc_Mix'!$X$36+ROW()*0.000001))</f>
        <v/>
      </c>
      <c r="AN86" s="34">
        <f>IF(OR($B86="",$C86&lt;&gt;"Ativo",$D86&lt;&gt;'Calc_Mix'!$C$37,'Calc_Mix'!$X$37=0,COUNTIFS(Esc_Turno,'Calc_Mix'!$C$37,Esc_Circ,$B86)+COUNTIFS(Esc_Turno,'Calc_Mix'!$C$37,Esc_Instr,$B86)&gt;0),"",IF(SUMPRODUCT('Calc_Mix'!$D$37:$W$37,'Matriz_Habilidades'!$D86:$W86)=0,"",SUMPRODUCT('Calc_Mix'!$D$37:$W$37,'Matriz_Habilidades'!$D86:$W86)/'Calc_Mix'!$X$37+ROW()*0.000001))</f>
        <v/>
      </c>
    </row>
    <row r="87">
      <c r="A87" s="27">
        <f>IF('Matriz_Habilidades'!A87="","",'Matriz_Habilidades'!A87)</f>
        <v/>
      </c>
      <c r="B87" s="28">
        <f>IF('Matriz_Habilidades'!B87="","",'Matriz_Habilidades'!B87)</f>
        <v/>
      </c>
      <c r="C87" s="27">
        <f>IF($A87="","",IFERROR(INDEX(Equipe_Status,MATCH($B87,Equipe_Nome,0)),"?"))</f>
        <v/>
      </c>
      <c r="D87" s="27">
        <f>IF($A87="","",IFERROR(INDEX(Equipe_Turno,MATCH($B87,Equipe_Nome,0)),"?"))</f>
        <v/>
      </c>
      <c r="E87" s="34">
        <f>IF(OR($B87="",$C87&lt;&gt;"Ativo",$D87&lt;&gt;'Calc_Mix'!$C$2,'Calc_Mix'!$X$2=0,COUNTIFS(Esc_Turno,'Calc_Mix'!$C$2,Esc_Circ,$B87)+COUNTIFS(Esc_Turno,'Calc_Mix'!$C$2,Esc_Instr,$B87)&gt;0),"",IF(SUMPRODUCT('Calc_Mix'!$D$2:$W$2,'Matriz_Habilidades'!$D87:$W87)=0,"",SUMPRODUCT('Calc_Mix'!$D$2:$W$2,'Matriz_Habilidades'!$D87:$W87)/'Calc_Mix'!$X$2+ROW()*0.000001))</f>
        <v/>
      </c>
      <c r="F87" s="34">
        <f>IF(OR($B87="",$C87&lt;&gt;"Ativo",$D87&lt;&gt;'Calc_Mix'!$C$3,'Calc_Mix'!$X$3=0,COUNTIFS(Esc_Turno,'Calc_Mix'!$C$3,Esc_Circ,$B87)+COUNTIFS(Esc_Turno,'Calc_Mix'!$C$3,Esc_Instr,$B87)&gt;0),"",IF(SUMPRODUCT('Calc_Mix'!$D$3:$W$3,'Matriz_Habilidades'!$D87:$W87)=0,"",SUMPRODUCT('Calc_Mix'!$D$3:$W$3,'Matriz_Habilidades'!$D87:$W87)/'Calc_Mix'!$X$3+ROW()*0.000001))</f>
        <v/>
      </c>
      <c r="G87" s="34">
        <f>IF(OR($B87="",$C87&lt;&gt;"Ativo",$D87&lt;&gt;'Calc_Mix'!$C$4,'Calc_Mix'!$X$4=0,COUNTIFS(Esc_Turno,'Calc_Mix'!$C$4,Esc_Circ,$B87)+COUNTIFS(Esc_Turno,'Calc_Mix'!$C$4,Esc_Instr,$B87)&gt;0),"",IF(SUMPRODUCT('Calc_Mix'!$D$4:$W$4,'Matriz_Habilidades'!$D87:$W87)=0,"",SUMPRODUCT('Calc_Mix'!$D$4:$W$4,'Matriz_Habilidades'!$D87:$W87)/'Calc_Mix'!$X$4+ROW()*0.000001))</f>
        <v/>
      </c>
      <c r="H87" s="34">
        <f>IF(OR($B87="",$C87&lt;&gt;"Ativo",$D87&lt;&gt;'Calc_Mix'!$C$5,'Calc_Mix'!$X$5=0,COUNTIFS(Esc_Turno,'Calc_Mix'!$C$5,Esc_Circ,$B87)+COUNTIFS(Esc_Turno,'Calc_Mix'!$C$5,Esc_Instr,$B87)&gt;0),"",IF(SUMPRODUCT('Calc_Mix'!$D$5:$W$5,'Matriz_Habilidades'!$D87:$W87)=0,"",SUMPRODUCT('Calc_Mix'!$D$5:$W$5,'Matriz_Habilidades'!$D87:$W87)/'Calc_Mix'!$X$5+ROW()*0.000001))</f>
        <v/>
      </c>
      <c r="I87" s="34">
        <f>IF(OR($B87="",$C87&lt;&gt;"Ativo",$D87&lt;&gt;'Calc_Mix'!$C$6,'Calc_Mix'!$X$6=0,COUNTIFS(Esc_Turno,'Calc_Mix'!$C$6,Esc_Circ,$B87)+COUNTIFS(Esc_Turno,'Calc_Mix'!$C$6,Esc_Instr,$B87)&gt;0),"",IF(SUMPRODUCT('Calc_Mix'!$D$6:$W$6,'Matriz_Habilidades'!$D87:$W87)=0,"",SUMPRODUCT('Calc_Mix'!$D$6:$W$6,'Matriz_Habilidades'!$D87:$W87)/'Calc_Mix'!$X$6+ROW()*0.000001))</f>
        <v/>
      </c>
      <c r="J87" s="34">
        <f>IF(OR($B87="",$C87&lt;&gt;"Ativo",$D87&lt;&gt;'Calc_Mix'!$C$7,'Calc_Mix'!$X$7=0,COUNTIFS(Esc_Turno,'Calc_Mix'!$C$7,Esc_Circ,$B87)+COUNTIFS(Esc_Turno,'Calc_Mix'!$C$7,Esc_Instr,$B87)&gt;0),"",IF(SUMPRODUCT('Calc_Mix'!$D$7:$W$7,'Matriz_Habilidades'!$D87:$W87)=0,"",SUMPRODUCT('Calc_Mix'!$D$7:$W$7,'Matriz_Habilidades'!$D87:$W87)/'Calc_Mix'!$X$7+ROW()*0.000001))</f>
        <v/>
      </c>
      <c r="K87" s="34">
        <f>IF(OR($B87="",$C87&lt;&gt;"Ativo",$D87&lt;&gt;'Calc_Mix'!$C$8,'Calc_Mix'!$X$8=0,COUNTIFS(Esc_Turno,'Calc_Mix'!$C$8,Esc_Circ,$B87)+COUNTIFS(Esc_Turno,'Calc_Mix'!$C$8,Esc_Instr,$B87)&gt;0),"",IF(SUMPRODUCT('Calc_Mix'!$D$8:$W$8,'Matriz_Habilidades'!$D87:$W87)=0,"",SUMPRODUCT('Calc_Mix'!$D$8:$W$8,'Matriz_Habilidades'!$D87:$W87)/'Calc_Mix'!$X$8+ROW()*0.000001))</f>
        <v/>
      </c>
      <c r="L87" s="34">
        <f>IF(OR($B87="",$C87&lt;&gt;"Ativo",$D87&lt;&gt;'Calc_Mix'!$C$9,'Calc_Mix'!$X$9=0,COUNTIFS(Esc_Turno,'Calc_Mix'!$C$9,Esc_Circ,$B87)+COUNTIFS(Esc_Turno,'Calc_Mix'!$C$9,Esc_Instr,$B87)&gt;0),"",IF(SUMPRODUCT('Calc_Mix'!$D$9:$W$9,'Matriz_Habilidades'!$D87:$W87)=0,"",SUMPRODUCT('Calc_Mix'!$D$9:$W$9,'Matriz_Habilidades'!$D87:$W87)/'Calc_Mix'!$X$9+ROW()*0.000001))</f>
        <v/>
      </c>
      <c r="M87" s="34">
        <f>IF(OR($B87="",$C87&lt;&gt;"Ativo",$D87&lt;&gt;'Calc_Mix'!$C$10,'Calc_Mix'!$X$10=0,COUNTIFS(Esc_Turno,'Calc_Mix'!$C$10,Esc_Circ,$B87)+COUNTIFS(Esc_Turno,'Calc_Mix'!$C$10,Esc_Instr,$B87)&gt;0),"",IF(SUMPRODUCT('Calc_Mix'!$D$10:$W$10,'Matriz_Habilidades'!$D87:$W87)=0,"",SUMPRODUCT('Calc_Mix'!$D$10:$W$10,'Matriz_Habilidades'!$D87:$W87)/'Calc_Mix'!$X$10+ROW()*0.000001))</f>
        <v/>
      </c>
      <c r="N87" s="34">
        <f>IF(OR($B87="",$C87&lt;&gt;"Ativo",$D87&lt;&gt;'Calc_Mix'!$C$11,'Calc_Mix'!$X$11=0,COUNTIFS(Esc_Turno,'Calc_Mix'!$C$11,Esc_Circ,$B87)+COUNTIFS(Esc_Turno,'Calc_Mix'!$C$11,Esc_Instr,$B87)&gt;0),"",IF(SUMPRODUCT('Calc_Mix'!$D$11:$W$11,'Matriz_Habilidades'!$D87:$W87)=0,"",SUMPRODUCT('Calc_Mix'!$D$11:$W$11,'Matriz_Habilidades'!$D87:$W87)/'Calc_Mix'!$X$11+ROW()*0.000001))</f>
        <v/>
      </c>
      <c r="O87" s="34">
        <f>IF(OR($B87="",$C87&lt;&gt;"Ativo",$D87&lt;&gt;'Calc_Mix'!$C$12,'Calc_Mix'!$X$12=0,COUNTIFS(Esc_Turno,'Calc_Mix'!$C$12,Esc_Circ,$B87)+COUNTIFS(Esc_Turno,'Calc_Mix'!$C$12,Esc_Instr,$B87)&gt;0),"",IF(SUMPRODUCT('Calc_Mix'!$D$12:$W$12,'Matriz_Habilidades'!$D87:$W87)=0,"",SUMPRODUCT('Calc_Mix'!$D$12:$W$12,'Matriz_Habilidades'!$D87:$W87)/'Calc_Mix'!$X$12+ROW()*0.000001))</f>
        <v/>
      </c>
      <c r="P87" s="34">
        <f>IF(OR($B87="",$C87&lt;&gt;"Ativo",$D87&lt;&gt;'Calc_Mix'!$C$13,'Calc_Mix'!$X$13=0,COUNTIFS(Esc_Turno,'Calc_Mix'!$C$13,Esc_Circ,$B87)+COUNTIFS(Esc_Turno,'Calc_Mix'!$C$13,Esc_Instr,$B87)&gt;0),"",IF(SUMPRODUCT('Calc_Mix'!$D$13:$W$13,'Matriz_Habilidades'!$D87:$W87)=0,"",SUMPRODUCT('Calc_Mix'!$D$13:$W$13,'Matriz_Habilidades'!$D87:$W87)/'Calc_Mix'!$X$13+ROW()*0.000001))</f>
        <v/>
      </c>
      <c r="Q87" s="34">
        <f>IF(OR($B87="",$C87&lt;&gt;"Ativo",$D87&lt;&gt;'Calc_Mix'!$C$14,'Calc_Mix'!$X$14=0,COUNTIFS(Esc_Turno,'Calc_Mix'!$C$14,Esc_Circ,$B87)+COUNTIFS(Esc_Turno,'Calc_Mix'!$C$14,Esc_Instr,$B87)&gt;0),"",IF(SUMPRODUCT('Calc_Mix'!$D$14:$W$14,'Matriz_Habilidades'!$D87:$W87)=0,"",SUMPRODUCT('Calc_Mix'!$D$14:$W$14,'Matriz_Habilidades'!$D87:$W87)/'Calc_Mix'!$X$14+ROW()*0.000001))</f>
        <v/>
      </c>
      <c r="R87" s="34">
        <f>IF(OR($B87="",$C87&lt;&gt;"Ativo",$D87&lt;&gt;'Calc_Mix'!$C$15,'Calc_Mix'!$X$15=0,COUNTIFS(Esc_Turno,'Calc_Mix'!$C$15,Esc_Circ,$B87)+COUNTIFS(Esc_Turno,'Calc_Mix'!$C$15,Esc_Instr,$B87)&gt;0),"",IF(SUMPRODUCT('Calc_Mix'!$D$15:$W$15,'Matriz_Habilidades'!$D87:$W87)=0,"",SUMPRODUCT('Calc_Mix'!$D$15:$W$15,'Matriz_Habilidades'!$D87:$W87)/'Calc_Mix'!$X$15+ROW()*0.000001))</f>
        <v/>
      </c>
      <c r="S87" s="34">
        <f>IF(OR($B87="",$C87&lt;&gt;"Ativo",$D87&lt;&gt;'Calc_Mix'!$C$16,'Calc_Mix'!$X$16=0,COUNTIFS(Esc_Turno,'Calc_Mix'!$C$16,Esc_Circ,$B87)+COUNTIFS(Esc_Turno,'Calc_Mix'!$C$16,Esc_Instr,$B87)&gt;0),"",IF(SUMPRODUCT('Calc_Mix'!$D$16:$W$16,'Matriz_Habilidades'!$D87:$W87)=0,"",SUMPRODUCT('Calc_Mix'!$D$16:$W$16,'Matriz_Habilidades'!$D87:$W87)/'Calc_Mix'!$X$16+ROW()*0.000001))</f>
        <v/>
      </c>
      <c r="T87" s="34">
        <f>IF(OR($B87="",$C87&lt;&gt;"Ativo",$D87&lt;&gt;'Calc_Mix'!$C$17,'Calc_Mix'!$X$17=0,COUNTIFS(Esc_Turno,'Calc_Mix'!$C$17,Esc_Circ,$B87)+COUNTIFS(Esc_Turno,'Calc_Mix'!$C$17,Esc_Instr,$B87)&gt;0),"",IF(SUMPRODUCT('Calc_Mix'!$D$17:$W$17,'Matriz_Habilidades'!$D87:$W87)=0,"",SUMPRODUCT('Calc_Mix'!$D$17:$W$17,'Matriz_Habilidades'!$D87:$W87)/'Calc_Mix'!$X$17+ROW()*0.000001))</f>
        <v/>
      </c>
      <c r="U87" s="34">
        <f>IF(OR($B87="",$C87&lt;&gt;"Ativo",$D87&lt;&gt;'Calc_Mix'!$C$18,'Calc_Mix'!$X$18=0,COUNTIFS(Esc_Turno,'Calc_Mix'!$C$18,Esc_Circ,$B87)+COUNTIFS(Esc_Turno,'Calc_Mix'!$C$18,Esc_Instr,$B87)&gt;0),"",IF(SUMPRODUCT('Calc_Mix'!$D$18:$W$18,'Matriz_Habilidades'!$D87:$W87)=0,"",SUMPRODUCT('Calc_Mix'!$D$18:$W$18,'Matriz_Habilidades'!$D87:$W87)/'Calc_Mix'!$X$18+ROW()*0.000001))</f>
        <v/>
      </c>
      <c r="V87" s="34">
        <f>IF(OR($B87="",$C87&lt;&gt;"Ativo",$D87&lt;&gt;'Calc_Mix'!$C$19,'Calc_Mix'!$X$19=0,COUNTIFS(Esc_Turno,'Calc_Mix'!$C$19,Esc_Circ,$B87)+COUNTIFS(Esc_Turno,'Calc_Mix'!$C$19,Esc_Instr,$B87)&gt;0),"",IF(SUMPRODUCT('Calc_Mix'!$D$19:$W$19,'Matriz_Habilidades'!$D87:$W87)=0,"",SUMPRODUCT('Calc_Mix'!$D$19:$W$19,'Matriz_Habilidades'!$D87:$W87)/'Calc_Mix'!$X$19+ROW()*0.000001))</f>
        <v/>
      </c>
      <c r="W87" s="34">
        <f>IF(OR($B87="",$C87&lt;&gt;"Ativo",$D87&lt;&gt;'Calc_Mix'!$C$20,'Calc_Mix'!$X$20=0,COUNTIFS(Esc_Turno,'Calc_Mix'!$C$20,Esc_Circ,$B87)+COUNTIFS(Esc_Turno,'Calc_Mix'!$C$20,Esc_Instr,$B87)&gt;0),"",IF(SUMPRODUCT('Calc_Mix'!$D$20:$W$20,'Matriz_Habilidades'!$D87:$W87)=0,"",SUMPRODUCT('Calc_Mix'!$D$20:$W$20,'Matriz_Habilidades'!$D87:$W87)/'Calc_Mix'!$X$20+ROW()*0.000001))</f>
        <v/>
      </c>
      <c r="X87" s="34">
        <f>IF(OR($B87="",$C87&lt;&gt;"Ativo",$D87&lt;&gt;'Calc_Mix'!$C$21,'Calc_Mix'!$X$21=0,COUNTIFS(Esc_Turno,'Calc_Mix'!$C$21,Esc_Circ,$B87)+COUNTIFS(Esc_Turno,'Calc_Mix'!$C$21,Esc_Instr,$B87)&gt;0),"",IF(SUMPRODUCT('Calc_Mix'!$D$21:$W$21,'Matriz_Habilidades'!$D87:$W87)=0,"",SUMPRODUCT('Calc_Mix'!$D$21:$W$21,'Matriz_Habilidades'!$D87:$W87)/'Calc_Mix'!$X$21+ROW()*0.000001))</f>
        <v/>
      </c>
      <c r="Y87" s="34">
        <f>IF(OR($B87="",$C87&lt;&gt;"Ativo",$D87&lt;&gt;'Calc_Mix'!$C$22,'Calc_Mix'!$X$22=0,COUNTIFS(Esc_Turno,'Calc_Mix'!$C$22,Esc_Circ,$B87)+COUNTIFS(Esc_Turno,'Calc_Mix'!$C$22,Esc_Instr,$B87)&gt;0),"",IF(SUMPRODUCT('Calc_Mix'!$D$22:$W$22,'Matriz_Habilidades'!$D87:$W87)=0,"",SUMPRODUCT('Calc_Mix'!$D$22:$W$22,'Matriz_Habilidades'!$D87:$W87)/'Calc_Mix'!$X$22+ROW()*0.000001))</f>
        <v/>
      </c>
      <c r="Z87" s="34">
        <f>IF(OR($B87="",$C87&lt;&gt;"Ativo",$D87&lt;&gt;'Calc_Mix'!$C$23,'Calc_Mix'!$X$23=0,COUNTIFS(Esc_Turno,'Calc_Mix'!$C$23,Esc_Circ,$B87)+COUNTIFS(Esc_Turno,'Calc_Mix'!$C$23,Esc_Instr,$B87)&gt;0),"",IF(SUMPRODUCT('Calc_Mix'!$D$23:$W$23,'Matriz_Habilidades'!$D87:$W87)=0,"",SUMPRODUCT('Calc_Mix'!$D$23:$W$23,'Matriz_Habilidades'!$D87:$W87)/'Calc_Mix'!$X$23+ROW()*0.000001))</f>
        <v/>
      </c>
      <c r="AA87" s="34">
        <f>IF(OR($B87="",$C87&lt;&gt;"Ativo",$D87&lt;&gt;'Calc_Mix'!$C$24,'Calc_Mix'!$X$24=0,COUNTIFS(Esc_Turno,'Calc_Mix'!$C$24,Esc_Circ,$B87)+COUNTIFS(Esc_Turno,'Calc_Mix'!$C$24,Esc_Instr,$B87)&gt;0),"",IF(SUMPRODUCT('Calc_Mix'!$D$24:$W$24,'Matriz_Habilidades'!$D87:$W87)=0,"",SUMPRODUCT('Calc_Mix'!$D$24:$W$24,'Matriz_Habilidades'!$D87:$W87)/'Calc_Mix'!$X$24+ROW()*0.000001))</f>
        <v/>
      </c>
      <c r="AB87" s="34">
        <f>IF(OR($B87="",$C87&lt;&gt;"Ativo",$D87&lt;&gt;'Calc_Mix'!$C$25,'Calc_Mix'!$X$25=0,COUNTIFS(Esc_Turno,'Calc_Mix'!$C$25,Esc_Circ,$B87)+COUNTIFS(Esc_Turno,'Calc_Mix'!$C$25,Esc_Instr,$B87)&gt;0),"",IF(SUMPRODUCT('Calc_Mix'!$D$25:$W$25,'Matriz_Habilidades'!$D87:$W87)=0,"",SUMPRODUCT('Calc_Mix'!$D$25:$W$25,'Matriz_Habilidades'!$D87:$W87)/'Calc_Mix'!$X$25+ROW()*0.000001))</f>
        <v/>
      </c>
      <c r="AC87" s="34">
        <f>IF(OR($B87="",$C87&lt;&gt;"Ativo",$D87&lt;&gt;'Calc_Mix'!$C$26,'Calc_Mix'!$X$26=0,COUNTIFS(Esc_Turno,'Calc_Mix'!$C$26,Esc_Circ,$B87)+COUNTIFS(Esc_Turno,'Calc_Mix'!$C$26,Esc_Instr,$B87)&gt;0),"",IF(SUMPRODUCT('Calc_Mix'!$D$26:$W$26,'Matriz_Habilidades'!$D87:$W87)=0,"",SUMPRODUCT('Calc_Mix'!$D$26:$W$26,'Matriz_Habilidades'!$D87:$W87)/'Calc_Mix'!$X$26+ROW()*0.000001))</f>
        <v/>
      </c>
      <c r="AD87" s="34">
        <f>IF(OR($B87="",$C87&lt;&gt;"Ativo",$D87&lt;&gt;'Calc_Mix'!$C$27,'Calc_Mix'!$X$27=0,COUNTIFS(Esc_Turno,'Calc_Mix'!$C$27,Esc_Circ,$B87)+COUNTIFS(Esc_Turno,'Calc_Mix'!$C$27,Esc_Instr,$B87)&gt;0),"",IF(SUMPRODUCT('Calc_Mix'!$D$27:$W$27,'Matriz_Habilidades'!$D87:$W87)=0,"",SUMPRODUCT('Calc_Mix'!$D$27:$W$27,'Matriz_Habilidades'!$D87:$W87)/'Calc_Mix'!$X$27+ROW()*0.000001))</f>
        <v/>
      </c>
      <c r="AE87" s="34">
        <f>IF(OR($B87="",$C87&lt;&gt;"Ativo",$D87&lt;&gt;'Calc_Mix'!$C$28,'Calc_Mix'!$X$28=0,COUNTIFS(Esc_Turno,'Calc_Mix'!$C$28,Esc_Circ,$B87)+COUNTIFS(Esc_Turno,'Calc_Mix'!$C$28,Esc_Instr,$B87)&gt;0),"",IF(SUMPRODUCT('Calc_Mix'!$D$28:$W$28,'Matriz_Habilidades'!$D87:$W87)=0,"",SUMPRODUCT('Calc_Mix'!$D$28:$W$28,'Matriz_Habilidades'!$D87:$W87)/'Calc_Mix'!$X$28+ROW()*0.000001))</f>
        <v/>
      </c>
      <c r="AF87" s="34">
        <f>IF(OR($B87="",$C87&lt;&gt;"Ativo",$D87&lt;&gt;'Calc_Mix'!$C$29,'Calc_Mix'!$X$29=0,COUNTIFS(Esc_Turno,'Calc_Mix'!$C$29,Esc_Circ,$B87)+COUNTIFS(Esc_Turno,'Calc_Mix'!$C$29,Esc_Instr,$B87)&gt;0),"",IF(SUMPRODUCT('Calc_Mix'!$D$29:$W$29,'Matriz_Habilidades'!$D87:$W87)=0,"",SUMPRODUCT('Calc_Mix'!$D$29:$W$29,'Matriz_Habilidades'!$D87:$W87)/'Calc_Mix'!$X$29+ROW()*0.000001))</f>
        <v/>
      </c>
      <c r="AG87" s="34">
        <f>IF(OR($B87="",$C87&lt;&gt;"Ativo",$D87&lt;&gt;'Calc_Mix'!$C$30,'Calc_Mix'!$X$30=0,COUNTIFS(Esc_Turno,'Calc_Mix'!$C$30,Esc_Circ,$B87)+COUNTIFS(Esc_Turno,'Calc_Mix'!$C$30,Esc_Instr,$B87)&gt;0),"",IF(SUMPRODUCT('Calc_Mix'!$D$30:$W$30,'Matriz_Habilidades'!$D87:$W87)=0,"",SUMPRODUCT('Calc_Mix'!$D$30:$W$30,'Matriz_Habilidades'!$D87:$W87)/'Calc_Mix'!$X$30+ROW()*0.000001))</f>
        <v/>
      </c>
      <c r="AH87" s="34">
        <f>IF(OR($B87="",$C87&lt;&gt;"Ativo",$D87&lt;&gt;'Calc_Mix'!$C$31,'Calc_Mix'!$X$31=0,COUNTIFS(Esc_Turno,'Calc_Mix'!$C$31,Esc_Circ,$B87)+COUNTIFS(Esc_Turno,'Calc_Mix'!$C$31,Esc_Instr,$B87)&gt;0),"",IF(SUMPRODUCT('Calc_Mix'!$D$31:$W$31,'Matriz_Habilidades'!$D87:$W87)=0,"",SUMPRODUCT('Calc_Mix'!$D$31:$W$31,'Matriz_Habilidades'!$D87:$W87)/'Calc_Mix'!$X$31+ROW()*0.000001))</f>
        <v/>
      </c>
      <c r="AI87" s="34">
        <f>IF(OR($B87="",$C87&lt;&gt;"Ativo",$D87&lt;&gt;'Calc_Mix'!$C$32,'Calc_Mix'!$X$32=0,COUNTIFS(Esc_Turno,'Calc_Mix'!$C$32,Esc_Circ,$B87)+COUNTIFS(Esc_Turno,'Calc_Mix'!$C$32,Esc_Instr,$B87)&gt;0),"",IF(SUMPRODUCT('Calc_Mix'!$D$32:$W$32,'Matriz_Habilidades'!$D87:$W87)=0,"",SUMPRODUCT('Calc_Mix'!$D$32:$W$32,'Matriz_Habilidades'!$D87:$W87)/'Calc_Mix'!$X$32+ROW()*0.000001))</f>
        <v/>
      </c>
      <c r="AJ87" s="34">
        <f>IF(OR($B87="",$C87&lt;&gt;"Ativo",$D87&lt;&gt;'Calc_Mix'!$C$33,'Calc_Mix'!$X$33=0,COUNTIFS(Esc_Turno,'Calc_Mix'!$C$33,Esc_Circ,$B87)+COUNTIFS(Esc_Turno,'Calc_Mix'!$C$33,Esc_Instr,$B87)&gt;0),"",IF(SUMPRODUCT('Calc_Mix'!$D$33:$W$33,'Matriz_Habilidades'!$D87:$W87)=0,"",SUMPRODUCT('Calc_Mix'!$D$33:$W$33,'Matriz_Habilidades'!$D87:$W87)/'Calc_Mix'!$X$33+ROW()*0.000001))</f>
        <v/>
      </c>
      <c r="AK87" s="34">
        <f>IF(OR($B87="",$C87&lt;&gt;"Ativo",$D87&lt;&gt;'Calc_Mix'!$C$34,'Calc_Mix'!$X$34=0,COUNTIFS(Esc_Turno,'Calc_Mix'!$C$34,Esc_Circ,$B87)+COUNTIFS(Esc_Turno,'Calc_Mix'!$C$34,Esc_Instr,$B87)&gt;0),"",IF(SUMPRODUCT('Calc_Mix'!$D$34:$W$34,'Matriz_Habilidades'!$D87:$W87)=0,"",SUMPRODUCT('Calc_Mix'!$D$34:$W$34,'Matriz_Habilidades'!$D87:$W87)/'Calc_Mix'!$X$34+ROW()*0.000001))</f>
        <v/>
      </c>
      <c r="AL87" s="34">
        <f>IF(OR($B87="",$C87&lt;&gt;"Ativo",$D87&lt;&gt;'Calc_Mix'!$C$35,'Calc_Mix'!$X$35=0,COUNTIFS(Esc_Turno,'Calc_Mix'!$C$35,Esc_Circ,$B87)+COUNTIFS(Esc_Turno,'Calc_Mix'!$C$35,Esc_Instr,$B87)&gt;0),"",IF(SUMPRODUCT('Calc_Mix'!$D$35:$W$35,'Matriz_Habilidades'!$D87:$W87)=0,"",SUMPRODUCT('Calc_Mix'!$D$35:$W$35,'Matriz_Habilidades'!$D87:$W87)/'Calc_Mix'!$X$35+ROW()*0.000001))</f>
        <v/>
      </c>
      <c r="AM87" s="34">
        <f>IF(OR($B87="",$C87&lt;&gt;"Ativo",$D87&lt;&gt;'Calc_Mix'!$C$36,'Calc_Mix'!$X$36=0,COUNTIFS(Esc_Turno,'Calc_Mix'!$C$36,Esc_Circ,$B87)+COUNTIFS(Esc_Turno,'Calc_Mix'!$C$36,Esc_Instr,$B87)&gt;0),"",IF(SUMPRODUCT('Calc_Mix'!$D$36:$W$36,'Matriz_Habilidades'!$D87:$W87)=0,"",SUMPRODUCT('Calc_Mix'!$D$36:$W$36,'Matriz_Habilidades'!$D87:$W87)/'Calc_Mix'!$X$36+ROW()*0.000001))</f>
        <v/>
      </c>
      <c r="AN87" s="34">
        <f>IF(OR($B87="",$C87&lt;&gt;"Ativo",$D87&lt;&gt;'Calc_Mix'!$C$37,'Calc_Mix'!$X$37=0,COUNTIFS(Esc_Turno,'Calc_Mix'!$C$37,Esc_Circ,$B87)+COUNTIFS(Esc_Turno,'Calc_Mix'!$C$37,Esc_Instr,$B87)&gt;0),"",IF(SUMPRODUCT('Calc_Mix'!$D$37:$W$37,'Matriz_Habilidades'!$D87:$W87)=0,"",SUMPRODUCT('Calc_Mix'!$D$37:$W$37,'Matriz_Habilidades'!$D87:$W87)/'Calc_Mix'!$X$37+ROW()*0.000001))</f>
        <v/>
      </c>
    </row>
    <row r="88">
      <c r="A88" s="27">
        <f>IF('Matriz_Habilidades'!A88="","",'Matriz_Habilidades'!A88)</f>
        <v/>
      </c>
      <c r="B88" s="28">
        <f>IF('Matriz_Habilidades'!B88="","",'Matriz_Habilidades'!B88)</f>
        <v/>
      </c>
      <c r="C88" s="27">
        <f>IF($A88="","",IFERROR(INDEX(Equipe_Status,MATCH($B88,Equipe_Nome,0)),"?"))</f>
        <v/>
      </c>
      <c r="D88" s="27">
        <f>IF($A88="","",IFERROR(INDEX(Equipe_Turno,MATCH($B88,Equipe_Nome,0)),"?"))</f>
        <v/>
      </c>
      <c r="E88" s="34">
        <f>IF(OR($B88="",$C88&lt;&gt;"Ativo",$D88&lt;&gt;'Calc_Mix'!$C$2,'Calc_Mix'!$X$2=0,COUNTIFS(Esc_Turno,'Calc_Mix'!$C$2,Esc_Circ,$B88)+COUNTIFS(Esc_Turno,'Calc_Mix'!$C$2,Esc_Instr,$B88)&gt;0),"",IF(SUMPRODUCT('Calc_Mix'!$D$2:$W$2,'Matriz_Habilidades'!$D88:$W88)=0,"",SUMPRODUCT('Calc_Mix'!$D$2:$W$2,'Matriz_Habilidades'!$D88:$W88)/'Calc_Mix'!$X$2+ROW()*0.000001))</f>
        <v/>
      </c>
      <c r="F88" s="34">
        <f>IF(OR($B88="",$C88&lt;&gt;"Ativo",$D88&lt;&gt;'Calc_Mix'!$C$3,'Calc_Mix'!$X$3=0,COUNTIFS(Esc_Turno,'Calc_Mix'!$C$3,Esc_Circ,$B88)+COUNTIFS(Esc_Turno,'Calc_Mix'!$C$3,Esc_Instr,$B88)&gt;0),"",IF(SUMPRODUCT('Calc_Mix'!$D$3:$W$3,'Matriz_Habilidades'!$D88:$W88)=0,"",SUMPRODUCT('Calc_Mix'!$D$3:$W$3,'Matriz_Habilidades'!$D88:$W88)/'Calc_Mix'!$X$3+ROW()*0.000001))</f>
        <v/>
      </c>
      <c r="G88" s="34">
        <f>IF(OR($B88="",$C88&lt;&gt;"Ativo",$D88&lt;&gt;'Calc_Mix'!$C$4,'Calc_Mix'!$X$4=0,COUNTIFS(Esc_Turno,'Calc_Mix'!$C$4,Esc_Circ,$B88)+COUNTIFS(Esc_Turno,'Calc_Mix'!$C$4,Esc_Instr,$B88)&gt;0),"",IF(SUMPRODUCT('Calc_Mix'!$D$4:$W$4,'Matriz_Habilidades'!$D88:$W88)=0,"",SUMPRODUCT('Calc_Mix'!$D$4:$W$4,'Matriz_Habilidades'!$D88:$W88)/'Calc_Mix'!$X$4+ROW()*0.000001))</f>
        <v/>
      </c>
      <c r="H88" s="34">
        <f>IF(OR($B88="",$C88&lt;&gt;"Ativo",$D88&lt;&gt;'Calc_Mix'!$C$5,'Calc_Mix'!$X$5=0,COUNTIFS(Esc_Turno,'Calc_Mix'!$C$5,Esc_Circ,$B88)+COUNTIFS(Esc_Turno,'Calc_Mix'!$C$5,Esc_Instr,$B88)&gt;0),"",IF(SUMPRODUCT('Calc_Mix'!$D$5:$W$5,'Matriz_Habilidades'!$D88:$W88)=0,"",SUMPRODUCT('Calc_Mix'!$D$5:$W$5,'Matriz_Habilidades'!$D88:$W88)/'Calc_Mix'!$X$5+ROW()*0.000001))</f>
        <v/>
      </c>
      <c r="I88" s="34">
        <f>IF(OR($B88="",$C88&lt;&gt;"Ativo",$D88&lt;&gt;'Calc_Mix'!$C$6,'Calc_Mix'!$X$6=0,COUNTIFS(Esc_Turno,'Calc_Mix'!$C$6,Esc_Circ,$B88)+COUNTIFS(Esc_Turno,'Calc_Mix'!$C$6,Esc_Instr,$B88)&gt;0),"",IF(SUMPRODUCT('Calc_Mix'!$D$6:$W$6,'Matriz_Habilidades'!$D88:$W88)=0,"",SUMPRODUCT('Calc_Mix'!$D$6:$W$6,'Matriz_Habilidades'!$D88:$W88)/'Calc_Mix'!$X$6+ROW()*0.000001))</f>
        <v/>
      </c>
      <c r="J88" s="34">
        <f>IF(OR($B88="",$C88&lt;&gt;"Ativo",$D88&lt;&gt;'Calc_Mix'!$C$7,'Calc_Mix'!$X$7=0,COUNTIFS(Esc_Turno,'Calc_Mix'!$C$7,Esc_Circ,$B88)+COUNTIFS(Esc_Turno,'Calc_Mix'!$C$7,Esc_Instr,$B88)&gt;0),"",IF(SUMPRODUCT('Calc_Mix'!$D$7:$W$7,'Matriz_Habilidades'!$D88:$W88)=0,"",SUMPRODUCT('Calc_Mix'!$D$7:$W$7,'Matriz_Habilidades'!$D88:$W88)/'Calc_Mix'!$X$7+ROW()*0.000001))</f>
        <v/>
      </c>
      <c r="K88" s="34">
        <f>IF(OR($B88="",$C88&lt;&gt;"Ativo",$D88&lt;&gt;'Calc_Mix'!$C$8,'Calc_Mix'!$X$8=0,COUNTIFS(Esc_Turno,'Calc_Mix'!$C$8,Esc_Circ,$B88)+COUNTIFS(Esc_Turno,'Calc_Mix'!$C$8,Esc_Instr,$B88)&gt;0),"",IF(SUMPRODUCT('Calc_Mix'!$D$8:$W$8,'Matriz_Habilidades'!$D88:$W88)=0,"",SUMPRODUCT('Calc_Mix'!$D$8:$W$8,'Matriz_Habilidades'!$D88:$W88)/'Calc_Mix'!$X$8+ROW()*0.000001))</f>
        <v/>
      </c>
      <c r="L88" s="34">
        <f>IF(OR($B88="",$C88&lt;&gt;"Ativo",$D88&lt;&gt;'Calc_Mix'!$C$9,'Calc_Mix'!$X$9=0,COUNTIFS(Esc_Turno,'Calc_Mix'!$C$9,Esc_Circ,$B88)+COUNTIFS(Esc_Turno,'Calc_Mix'!$C$9,Esc_Instr,$B88)&gt;0),"",IF(SUMPRODUCT('Calc_Mix'!$D$9:$W$9,'Matriz_Habilidades'!$D88:$W88)=0,"",SUMPRODUCT('Calc_Mix'!$D$9:$W$9,'Matriz_Habilidades'!$D88:$W88)/'Calc_Mix'!$X$9+ROW()*0.000001))</f>
        <v/>
      </c>
      <c r="M88" s="34">
        <f>IF(OR($B88="",$C88&lt;&gt;"Ativo",$D88&lt;&gt;'Calc_Mix'!$C$10,'Calc_Mix'!$X$10=0,COUNTIFS(Esc_Turno,'Calc_Mix'!$C$10,Esc_Circ,$B88)+COUNTIFS(Esc_Turno,'Calc_Mix'!$C$10,Esc_Instr,$B88)&gt;0),"",IF(SUMPRODUCT('Calc_Mix'!$D$10:$W$10,'Matriz_Habilidades'!$D88:$W88)=0,"",SUMPRODUCT('Calc_Mix'!$D$10:$W$10,'Matriz_Habilidades'!$D88:$W88)/'Calc_Mix'!$X$10+ROW()*0.000001))</f>
        <v/>
      </c>
      <c r="N88" s="34">
        <f>IF(OR($B88="",$C88&lt;&gt;"Ativo",$D88&lt;&gt;'Calc_Mix'!$C$11,'Calc_Mix'!$X$11=0,COUNTIFS(Esc_Turno,'Calc_Mix'!$C$11,Esc_Circ,$B88)+COUNTIFS(Esc_Turno,'Calc_Mix'!$C$11,Esc_Instr,$B88)&gt;0),"",IF(SUMPRODUCT('Calc_Mix'!$D$11:$W$11,'Matriz_Habilidades'!$D88:$W88)=0,"",SUMPRODUCT('Calc_Mix'!$D$11:$W$11,'Matriz_Habilidades'!$D88:$W88)/'Calc_Mix'!$X$11+ROW()*0.000001))</f>
        <v/>
      </c>
      <c r="O88" s="34">
        <f>IF(OR($B88="",$C88&lt;&gt;"Ativo",$D88&lt;&gt;'Calc_Mix'!$C$12,'Calc_Mix'!$X$12=0,COUNTIFS(Esc_Turno,'Calc_Mix'!$C$12,Esc_Circ,$B88)+COUNTIFS(Esc_Turno,'Calc_Mix'!$C$12,Esc_Instr,$B88)&gt;0),"",IF(SUMPRODUCT('Calc_Mix'!$D$12:$W$12,'Matriz_Habilidades'!$D88:$W88)=0,"",SUMPRODUCT('Calc_Mix'!$D$12:$W$12,'Matriz_Habilidades'!$D88:$W88)/'Calc_Mix'!$X$12+ROW()*0.000001))</f>
        <v/>
      </c>
      <c r="P88" s="34">
        <f>IF(OR($B88="",$C88&lt;&gt;"Ativo",$D88&lt;&gt;'Calc_Mix'!$C$13,'Calc_Mix'!$X$13=0,COUNTIFS(Esc_Turno,'Calc_Mix'!$C$13,Esc_Circ,$B88)+COUNTIFS(Esc_Turno,'Calc_Mix'!$C$13,Esc_Instr,$B88)&gt;0),"",IF(SUMPRODUCT('Calc_Mix'!$D$13:$W$13,'Matriz_Habilidades'!$D88:$W88)=0,"",SUMPRODUCT('Calc_Mix'!$D$13:$W$13,'Matriz_Habilidades'!$D88:$W88)/'Calc_Mix'!$X$13+ROW()*0.000001))</f>
        <v/>
      </c>
      <c r="Q88" s="34">
        <f>IF(OR($B88="",$C88&lt;&gt;"Ativo",$D88&lt;&gt;'Calc_Mix'!$C$14,'Calc_Mix'!$X$14=0,COUNTIFS(Esc_Turno,'Calc_Mix'!$C$14,Esc_Circ,$B88)+COUNTIFS(Esc_Turno,'Calc_Mix'!$C$14,Esc_Instr,$B88)&gt;0),"",IF(SUMPRODUCT('Calc_Mix'!$D$14:$W$14,'Matriz_Habilidades'!$D88:$W88)=0,"",SUMPRODUCT('Calc_Mix'!$D$14:$W$14,'Matriz_Habilidades'!$D88:$W88)/'Calc_Mix'!$X$14+ROW()*0.000001))</f>
        <v/>
      </c>
      <c r="R88" s="34">
        <f>IF(OR($B88="",$C88&lt;&gt;"Ativo",$D88&lt;&gt;'Calc_Mix'!$C$15,'Calc_Mix'!$X$15=0,COUNTIFS(Esc_Turno,'Calc_Mix'!$C$15,Esc_Circ,$B88)+COUNTIFS(Esc_Turno,'Calc_Mix'!$C$15,Esc_Instr,$B88)&gt;0),"",IF(SUMPRODUCT('Calc_Mix'!$D$15:$W$15,'Matriz_Habilidades'!$D88:$W88)=0,"",SUMPRODUCT('Calc_Mix'!$D$15:$W$15,'Matriz_Habilidades'!$D88:$W88)/'Calc_Mix'!$X$15+ROW()*0.000001))</f>
        <v/>
      </c>
      <c r="S88" s="34">
        <f>IF(OR($B88="",$C88&lt;&gt;"Ativo",$D88&lt;&gt;'Calc_Mix'!$C$16,'Calc_Mix'!$X$16=0,COUNTIFS(Esc_Turno,'Calc_Mix'!$C$16,Esc_Circ,$B88)+COUNTIFS(Esc_Turno,'Calc_Mix'!$C$16,Esc_Instr,$B88)&gt;0),"",IF(SUMPRODUCT('Calc_Mix'!$D$16:$W$16,'Matriz_Habilidades'!$D88:$W88)=0,"",SUMPRODUCT('Calc_Mix'!$D$16:$W$16,'Matriz_Habilidades'!$D88:$W88)/'Calc_Mix'!$X$16+ROW()*0.000001))</f>
        <v/>
      </c>
      <c r="T88" s="34">
        <f>IF(OR($B88="",$C88&lt;&gt;"Ativo",$D88&lt;&gt;'Calc_Mix'!$C$17,'Calc_Mix'!$X$17=0,COUNTIFS(Esc_Turno,'Calc_Mix'!$C$17,Esc_Circ,$B88)+COUNTIFS(Esc_Turno,'Calc_Mix'!$C$17,Esc_Instr,$B88)&gt;0),"",IF(SUMPRODUCT('Calc_Mix'!$D$17:$W$17,'Matriz_Habilidades'!$D88:$W88)=0,"",SUMPRODUCT('Calc_Mix'!$D$17:$W$17,'Matriz_Habilidades'!$D88:$W88)/'Calc_Mix'!$X$17+ROW()*0.000001))</f>
        <v/>
      </c>
      <c r="U88" s="34">
        <f>IF(OR($B88="",$C88&lt;&gt;"Ativo",$D88&lt;&gt;'Calc_Mix'!$C$18,'Calc_Mix'!$X$18=0,COUNTIFS(Esc_Turno,'Calc_Mix'!$C$18,Esc_Circ,$B88)+COUNTIFS(Esc_Turno,'Calc_Mix'!$C$18,Esc_Instr,$B88)&gt;0),"",IF(SUMPRODUCT('Calc_Mix'!$D$18:$W$18,'Matriz_Habilidades'!$D88:$W88)=0,"",SUMPRODUCT('Calc_Mix'!$D$18:$W$18,'Matriz_Habilidades'!$D88:$W88)/'Calc_Mix'!$X$18+ROW()*0.000001))</f>
        <v/>
      </c>
      <c r="V88" s="34">
        <f>IF(OR($B88="",$C88&lt;&gt;"Ativo",$D88&lt;&gt;'Calc_Mix'!$C$19,'Calc_Mix'!$X$19=0,COUNTIFS(Esc_Turno,'Calc_Mix'!$C$19,Esc_Circ,$B88)+COUNTIFS(Esc_Turno,'Calc_Mix'!$C$19,Esc_Instr,$B88)&gt;0),"",IF(SUMPRODUCT('Calc_Mix'!$D$19:$W$19,'Matriz_Habilidades'!$D88:$W88)=0,"",SUMPRODUCT('Calc_Mix'!$D$19:$W$19,'Matriz_Habilidades'!$D88:$W88)/'Calc_Mix'!$X$19+ROW()*0.000001))</f>
        <v/>
      </c>
      <c r="W88" s="34">
        <f>IF(OR($B88="",$C88&lt;&gt;"Ativo",$D88&lt;&gt;'Calc_Mix'!$C$20,'Calc_Mix'!$X$20=0,COUNTIFS(Esc_Turno,'Calc_Mix'!$C$20,Esc_Circ,$B88)+COUNTIFS(Esc_Turno,'Calc_Mix'!$C$20,Esc_Instr,$B88)&gt;0),"",IF(SUMPRODUCT('Calc_Mix'!$D$20:$W$20,'Matriz_Habilidades'!$D88:$W88)=0,"",SUMPRODUCT('Calc_Mix'!$D$20:$W$20,'Matriz_Habilidades'!$D88:$W88)/'Calc_Mix'!$X$20+ROW()*0.000001))</f>
        <v/>
      </c>
      <c r="X88" s="34">
        <f>IF(OR($B88="",$C88&lt;&gt;"Ativo",$D88&lt;&gt;'Calc_Mix'!$C$21,'Calc_Mix'!$X$21=0,COUNTIFS(Esc_Turno,'Calc_Mix'!$C$21,Esc_Circ,$B88)+COUNTIFS(Esc_Turno,'Calc_Mix'!$C$21,Esc_Instr,$B88)&gt;0),"",IF(SUMPRODUCT('Calc_Mix'!$D$21:$W$21,'Matriz_Habilidades'!$D88:$W88)=0,"",SUMPRODUCT('Calc_Mix'!$D$21:$W$21,'Matriz_Habilidades'!$D88:$W88)/'Calc_Mix'!$X$21+ROW()*0.000001))</f>
        <v/>
      </c>
      <c r="Y88" s="34">
        <f>IF(OR($B88="",$C88&lt;&gt;"Ativo",$D88&lt;&gt;'Calc_Mix'!$C$22,'Calc_Mix'!$X$22=0,COUNTIFS(Esc_Turno,'Calc_Mix'!$C$22,Esc_Circ,$B88)+COUNTIFS(Esc_Turno,'Calc_Mix'!$C$22,Esc_Instr,$B88)&gt;0),"",IF(SUMPRODUCT('Calc_Mix'!$D$22:$W$22,'Matriz_Habilidades'!$D88:$W88)=0,"",SUMPRODUCT('Calc_Mix'!$D$22:$W$22,'Matriz_Habilidades'!$D88:$W88)/'Calc_Mix'!$X$22+ROW()*0.000001))</f>
        <v/>
      </c>
      <c r="Z88" s="34">
        <f>IF(OR($B88="",$C88&lt;&gt;"Ativo",$D88&lt;&gt;'Calc_Mix'!$C$23,'Calc_Mix'!$X$23=0,COUNTIFS(Esc_Turno,'Calc_Mix'!$C$23,Esc_Circ,$B88)+COUNTIFS(Esc_Turno,'Calc_Mix'!$C$23,Esc_Instr,$B88)&gt;0),"",IF(SUMPRODUCT('Calc_Mix'!$D$23:$W$23,'Matriz_Habilidades'!$D88:$W88)=0,"",SUMPRODUCT('Calc_Mix'!$D$23:$W$23,'Matriz_Habilidades'!$D88:$W88)/'Calc_Mix'!$X$23+ROW()*0.000001))</f>
        <v/>
      </c>
      <c r="AA88" s="34">
        <f>IF(OR($B88="",$C88&lt;&gt;"Ativo",$D88&lt;&gt;'Calc_Mix'!$C$24,'Calc_Mix'!$X$24=0,COUNTIFS(Esc_Turno,'Calc_Mix'!$C$24,Esc_Circ,$B88)+COUNTIFS(Esc_Turno,'Calc_Mix'!$C$24,Esc_Instr,$B88)&gt;0),"",IF(SUMPRODUCT('Calc_Mix'!$D$24:$W$24,'Matriz_Habilidades'!$D88:$W88)=0,"",SUMPRODUCT('Calc_Mix'!$D$24:$W$24,'Matriz_Habilidades'!$D88:$W88)/'Calc_Mix'!$X$24+ROW()*0.000001))</f>
        <v/>
      </c>
      <c r="AB88" s="34">
        <f>IF(OR($B88="",$C88&lt;&gt;"Ativo",$D88&lt;&gt;'Calc_Mix'!$C$25,'Calc_Mix'!$X$25=0,COUNTIFS(Esc_Turno,'Calc_Mix'!$C$25,Esc_Circ,$B88)+COUNTIFS(Esc_Turno,'Calc_Mix'!$C$25,Esc_Instr,$B88)&gt;0),"",IF(SUMPRODUCT('Calc_Mix'!$D$25:$W$25,'Matriz_Habilidades'!$D88:$W88)=0,"",SUMPRODUCT('Calc_Mix'!$D$25:$W$25,'Matriz_Habilidades'!$D88:$W88)/'Calc_Mix'!$X$25+ROW()*0.000001))</f>
        <v/>
      </c>
      <c r="AC88" s="34">
        <f>IF(OR($B88="",$C88&lt;&gt;"Ativo",$D88&lt;&gt;'Calc_Mix'!$C$26,'Calc_Mix'!$X$26=0,COUNTIFS(Esc_Turno,'Calc_Mix'!$C$26,Esc_Circ,$B88)+COUNTIFS(Esc_Turno,'Calc_Mix'!$C$26,Esc_Instr,$B88)&gt;0),"",IF(SUMPRODUCT('Calc_Mix'!$D$26:$W$26,'Matriz_Habilidades'!$D88:$W88)=0,"",SUMPRODUCT('Calc_Mix'!$D$26:$W$26,'Matriz_Habilidades'!$D88:$W88)/'Calc_Mix'!$X$26+ROW()*0.000001))</f>
        <v/>
      </c>
      <c r="AD88" s="34">
        <f>IF(OR($B88="",$C88&lt;&gt;"Ativo",$D88&lt;&gt;'Calc_Mix'!$C$27,'Calc_Mix'!$X$27=0,COUNTIFS(Esc_Turno,'Calc_Mix'!$C$27,Esc_Circ,$B88)+COUNTIFS(Esc_Turno,'Calc_Mix'!$C$27,Esc_Instr,$B88)&gt;0),"",IF(SUMPRODUCT('Calc_Mix'!$D$27:$W$27,'Matriz_Habilidades'!$D88:$W88)=0,"",SUMPRODUCT('Calc_Mix'!$D$27:$W$27,'Matriz_Habilidades'!$D88:$W88)/'Calc_Mix'!$X$27+ROW()*0.000001))</f>
        <v/>
      </c>
      <c r="AE88" s="34">
        <f>IF(OR($B88="",$C88&lt;&gt;"Ativo",$D88&lt;&gt;'Calc_Mix'!$C$28,'Calc_Mix'!$X$28=0,COUNTIFS(Esc_Turno,'Calc_Mix'!$C$28,Esc_Circ,$B88)+COUNTIFS(Esc_Turno,'Calc_Mix'!$C$28,Esc_Instr,$B88)&gt;0),"",IF(SUMPRODUCT('Calc_Mix'!$D$28:$W$28,'Matriz_Habilidades'!$D88:$W88)=0,"",SUMPRODUCT('Calc_Mix'!$D$28:$W$28,'Matriz_Habilidades'!$D88:$W88)/'Calc_Mix'!$X$28+ROW()*0.000001))</f>
        <v/>
      </c>
      <c r="AF88" s="34">
        <f>IF(OR($B88="",$C88&lt;&gt;"Ativo",$D88&lt;&gt;'Calc_Mix'!$C$29,'Calc_Mix'!$X$29=0,COUNTIFS(Esc_Turno,'Calc_Mix'!$C$29,Esc_Circ,$B88)+COUNTIFS(Esc_Turno,'Calc_Mix'!$C$29,Esc_Instr,$B88)&gt;0),"",IF(SUMPRODUCT('Calc_Mix'!$D$29:$W$29,'Matriz_Habilidades'!$D88:$W88)=0,"",SUMPRODUCT('Calc_Mix'!$D$29:$W$29,'Matriz_Habilidades'!$D88:$W88)/'Calc_Mix'!$X$29+ROW()*0.000001))</f>
        <v/>
      </c>
      <c r="AG88" s="34">
        <f>IF(OR($B88="",$C88&lt;&gt;"Ativo",$D88&lt;&gt;'Calc_Mix'!$C$30,'Calc_Mix'!$X$30=0,COUNTIFS(Esc_Turno,'Calc_Mix'!$C$30,Esc_Circ,$B88)+COUNTIFS(Esc_Turno,'Calc_Mix'!$C$30,Esc_Instr,$B88)&gt;0),"",IF(SUMPRODUCT('Calc_Mix'!$D$30:$W$30,'Matriz_Habilidades'!$D88:$W88)=0,"",SUMPRODUCT('Calc_Mix'!$D$30:$W$30,'Matriz_Habilidades'!$D88:$W88)/'Calc_Mix'!$X$30+ROW()*0.000001))</f>
        <v/>
      </c>
      <c r="AH88" s="34">
        <f>IF(OR($B88="",$C88&lt;&gt;"Ativo",$D88&lt;&gt;'Calc_Mix'!$C$31,'Calc_Mix'!$X$31=0,COUNTIFS(Esc_Turno,'Calc_Mix'!$C$31,Esc_Circ,$B88)+COUNTIFS(Esc_Turno,'Calc_Mix'!$C$31,Esc_Instr,$B88)&gt;0),"",IF(SUMPRODUCT('Calc_Mix'!$D$31:$W$31,'Matriz_Habilidades'!$D88:$W88)=0,"",SUMPRODUCT('Calc_Mix'!$D$31:$W$31,'Matriz_Habilidades'!$D88:$W88)/'Calc_Mix'!$X$31+ROW()*0.000001))</f>
        <v/>
      </c>
      <c r="AI88" s="34">
        <f>IF(OR($B88="",$C88&lt;&gt;"Ativo",$D88&lt;&gt;'Calc_Mix'!$C$32,'Calc_Mix'!$X$32=0,COUNTIFS(Esc_Turno,'Calc_Mix'!$C$32,Esc_Circ,$B88)+COUNTIFS(Esc_Turno,'Calc_Mix'!$C$32,Esc_Instr,$B88)&gt;0),"",IF(SUMPRODUCT('Calc_Mix'!$D$32:$W$32,'Matriz_Habilidades'!$D88:$W88)=0,"",SUMPRODUCT('Calc_Mix'!$D$32:$W$32,'Matriz_Habilidades'!$D88:$W88)/'Calc_Mix'!$X$32+ROW()*0.000001))</f>
        <v/>
      </c>
      <c r="AJ88" s="34">
        <f>IF(OR($B88="",$C88&lt;&gt;"Ativo",$D88&lt;&gt;'Calc_Mix'!$C$33,'Calc_Mix'!$X$33=0,COUNTIFS(Esc_Turno,'Calc_Mix'!$C$33,Esc_Circ,$B88)+COUNTIFS(Esc_Turno,'Calc_Mix'!$C$33,Esc_Instr,$B88)&gt;0),"",IF(SUMPRODUCT('Calc_Mix'!$D$33:$W$33,'Matriz_Habilidades'!$D88:$W88)=0,"",SUMPRODUCT('Calc_Mix'!$D$33:$W$33,'Matriz_Habilidades'!$D88:$W88)/'Calc_Mix'!$X$33+ROW()*0.000001))</f>
        <v/>
      </c>
      <c r="AK88" s="34">
        <f>IF(OR($B88="",$C88&lt;&gt;"Ativo",$D88&lt;&gt;'Calc_Mix'!$C$34,'Calc_Mix'!$X$34=0,COUNTIFS(Esc_Turno,'Calc_Mix'!$C$34,Esc_Circ,$B88)+COUNTIFS(Esc_Turno,'Calc_Mix'!$C$34,Esc_Instr,$B88)&gt;0),"",IF(SUMPRODUCT('Calc_Mix'!$D$34:$W$34,'Matriz_Habilidades'!$D88:$W88)=0,"",SUMPRODUCT('Calc_Mix'!$D$34:$W$34,'Matriz_Habilidades'!$D88:$W88)/'Calc_Mix'!$X$34+ROW()*0.000001))</f>
        <v/>
      </c>
      <c r="AL88" s="34">
        <f>IF(OR($B88="",$C88&lt;&gt;"Ativo",$D88&lt;&gt;'Calc_Mix'!$C$35,'Calc_Mix'!$X$35=0,COUNTIFS(Esc_Turno,'Calc_Mix'!$C$35,Esc_Circ,$B88)+COUNTIFS(Esc_Turno,'Calc_Mix'!$C$35,Esc_Instr,$B88)&gt;0),"",IF(SUMPRODUCT('Calc_Mix'!$D$35:$W$35,'Matriz_Habilidades'!$D88:$W88)=0,"",SUMPRODUCT('Calc_Mix'!$D$35:$W$35,'Matriz_Habilidades'!$D88:$W88)/'Calc_Mix'!$X$35+ROW()*0.000001))</f>
        <v/>
      </c>
      <c r="AM88" s="34">
        <f>IF(OR($B88="",$C88&lt;&gt;"Ativo",$D88&lt;&gt;'Calc_Mix'!$C$36,'Calc_Mix'!$X$36=0,COUNTIFS(Esc_Turno,'Calc_Mix'!$C$36,Esc_Circ,$B88)+COUNTIFS(Esc_Turno,'Calc_Mix'!$C$36,Esc_Instr,$B88)&gt;0),"",IF(SUMPRODUCT('Calc_Mix'!$D$36:$W$36,'Matriz_Habilidades'!$D88:$W88)=0,"",SUMPRODUCT('Calc_Mix'!$D$36:$W$36,'Matriz_Habilidades'!$D88:$W88)/'Calc_Mix'!$X$36+ROW()*0.000001))</f>
        <v/>
      </c>
      <c r="AN88" s="34">
        <f>IF(OR($B88="",$C88&lt;&gt;"Ativo",$D88&lt;&gt;'Calc_Mix'!$C$37,'Calc_Mix'!$X$37=0,COUNTIFS(Esc_Turno,'Calc_Mix'!$C$37,Esc_Circ,$B88)+COUNTIFS(Esc_Turno,'Calc_Mix'!$C$37,Esc_Instr,$B88)&gt;0),"",IF(SUMPRODUCT('Calc_Mix'!$D$37:$W$37,'Matriz_Habilidades'!$D88:$W88)=0,"",SUMPRODUCT('Calc_Mix'!$D$37:$W$37,'Matriz_Habilidades'!$D88:$W88)/'Calc_Mix'!$X$37+ROW()*0.000001))</f>
        <v/>
      </c>
    </row>
    <row r="89">
      <c r="A89" s="27">
        <f>IF('Matriz_Habilidades'!A89="","",'Matriz_Habilidades'!A89)</f>
        <v/>
      </c>
      <c r="B89" s="28">
        <f>IF('Matriz_Habilidades'!B89="","",'Matriz_Habilidades'!B89)</f>
        <v/>
      </c>
      <c r="C89" s="27">
        <f>IF($A89="","",IFERROR(INDEX(Equipe_Status,MATCH($B89,Equipe_Nome,0)),"?"))</f>
        <v/>
      </c>
      <c r="D89" s="27">
        <f>IF($A89="","",IFERROR(INDEX(Equipe_Turno,MATCH($B89,Equipe_Nome,0)),"?"))</f>
        <v/>
      </c>
      <c r="E89" s="34">
        <f>IF(OR($B89="",$C89&lt;&gt;"Ativo",$D89&lt;&gt;'Calc_Mix'!$C$2,'Calc_Mix'!$X$2=0,COUNTIFS(Esc_Turno,'Calc_Mix'!$C$2,Esc_Circ,$B89)+COUNTIFS(Esc_Turno,'Calc_Mix'!$C$2,Esc_Instr,$B89)&gt;0),"",IF(SUMPRODUCT('Calc_Mix'!$D$2:$W$2,'Matriz_Habilidades'!$D89:$W89)=0,"",SUMPRODUCT('Calc_Mix'!$D$2:$W$2,'Matriz_Habilidades'!$D89:$W89)/'Calc_Mix'!$X$2+ROW()*0.000001))</f>
        <v/>
      </c>
      <c r="F89" s="34">
        <f>IF(OR($B89="",$C89&lt;&gt;"Ativo",$D89&lt;&gt;'Calc_Mix'!$C$3,'Calc_Mix'!$X$3=0,COUNTIFS(Esc_Turno,'Calc_Mix'!$C$3,Esc_Circ,$B89)+COUNTIFS(Esc_Turno,'Calc_Mix'!$C$3,Esc_Instr,$B89)&gt;0),"",IF(SUMPRODUCT('Calc_Mix'!$D$3:$W$3,'Matriz_Habilidades'!$D89:$W89)=0,"",SUMPRODUCT('Calc_Mix'!$D$3:$W$3,'Matriz_Habilidades'!$D89:$W89)/'Calc_Mix'!$X$3+ROW()*0.000001))</f>
        <v/>
      </c>
      <c r="G89" s="34">
        <f>IF(OR($B89="",$C89&lt;&gt;"Ativo",$D89&lt;&gt;'Calc_Mix'!$C$4,'Calc_Mix'!$X$4=0,COUNTIFS(Esc_Turno,'Calc_Mix'!$C$4,Esc_Circ,$B89)+COUNTIFS(Esc_Turno,'Calc_Mix'!$C$4,Esc_Instr,$B89)&gt;0),"",IF(SUMPRODUCT('Calc_Mix'!$D$4:$W$4,'Matriz_Habilidades'!$D89:$W89)=0,"",SUMPRODUCT('Calc_Mix'!$D$4:$W$4,'Matriz_Habilidades'!$D89:$W89)/'Calc_Mix'!$X$4+ROW()*0.000001))</f>
        <v/>
      </c>
      <c r="H89" s="34">
        <f>IF(OR($B89="",$C89&lt;&gt;"Ativo",$D89&lt;&gt;'Calc_Mix'!$C$5,'Calc_Mix'!$X$5=0,COUNTIFS(Esc_Turno,'Calc_Mix'!$C$5,Esc_Circ,$B89)+COUNTIFS(Esc_Turno,'Calc_Mix'!$C$5,Esc_Instr,$B89)&gt;0),"",IF(SUMPRODUCT('Calc_Mix'!$D$5:$W$5,'Matriz_Habilidades'!$D89:$W89)=0,"",SUMPRODUCT('Calc_Mix'!$D$5:$W$5,'Matriz_Habilidades'!$D89:$W89)/'Calc_Mix'!$X$5+ROW()*0.000001))</f>
        <v/>
      </c>
      <c r="I89" s="34">
        <f>IF(OR($B89="",$C89&lt;&gt;"Ativo",$D89&lt;&gt;'Calc_Mix'!$C$6,'Calc_Mix'!$X$6=0,COUNTIFS(Esc_Turno,'Calc_Mix'!$C$6,Esc_Circ,$B89)+COUNTIFS(Esc_Turno,'Calc_Mix'!$C$6,Esc_Instr,$B89)&gt;0),"",IF(SUMPRODUCT('Calc_Mix'!$D$6:$W$6,'Matriz_Habilidades'!$D89:$W89)=0,"",SUMPRODUCT('Calc_Mix'!$D$6:$W$6,'Matriz_Habilidades'!$D89:$W89)/'Calc_Mix'!$X$6+ROW()*0.000001))</f>
        <v/>
      </c>
      <c r="J89" s="34">
        <f>IF(OR($B89="",$C89&lt;&gt;"Ativo",$D89&lt;&gt;'Calc_Mix'!$C$7,'Calc_Mix'!$X$7=0,COUNTIFS(Esc_Turno,'Calc_Mix'!$C$7,Esc_Circ,$B89)+COUNTIFS(Esc_Turno,'Calc_Mix'!$C$7,Esc_Instr,$B89)&gt;0),"",IF(SUMPRODUCT('Calc_Mix'!$D$7:$W$7,'Matriz_Habilidades'!$D89:$W89)=0,"",SUMPRODUCT('Calc_Mix'!$D$7:$W$7,'Matriz_Habilidades'!$D89:$W89)/'Calc_Mix'!$X$7+ROW()*0.000001))</f>
        <v/>
      </c>
      <c r="K89" s="34">
        <f>IF(OR($B89="",$C89&lt;&gt;"Ativo",$D89&lt;&gt;'Calc_Mix'!$C$8,'Calc_Mix'!$X$8=0,COUNTIFS(Esc_Turno,'Calc_Mix'!$C$8,Esc_Circ,$B89)+COUNTIFS(Esc_Turno,'Calc_Mix'!$C$8,Esc_Instr,$B89)&gt;0),"",IF(SUMPRODUCT('Calc_Mix'!$D$8:$W$8,'Matriz_Habilidades'!$D89:$W89)=0,"",SUMPRODUCT('Calc_Mix'!$D$8:$W$8,'Matriz_Habilidades'!$D89:$W89)/'Calc_Mix'!$X$8+ROW()*0.000001))</f>
        <v/>
      </c>
      <c r="L89" s="34">
        <f>IF(OR($B89="",$C89&lt;&gt;"Ativo",$D89&lt;&gt;'Calc_Mix'!$C$9,'Calc_Mix'!$X$9=0,COUNTIFS(Esc_Turno,'Calc_Mix'!$C$9,Esc_Circ,$B89)+COUNTIFS(Esc_Turno,'Calc_Mix'!$C$9,Esc_Instr,$B89)&gt;0),"",IF(SUMPRODUCT('Calc_Mix'!$D$9:$W$9,'Matriz_Habilidades'!$D89:$W89)=0,"",SUMPRODUCT('Calc_Mix'!$D$9:$W$9,'Matriz_Habilidades'!$D89:$W89)/'Calc_Mix'!$X$9+ROW()*0.000001))</f>
        <v/>
      </c>
      <c r="M89" s="34">
        <f>IF(OR($B89="",$C89&lt;&gt;"Ativo",$D89&lt;&gt;'Calc_Mix'!$C$10,'Calc_Mix'!$X$10=0,COUNTIFS(Esc_Turno,'Calc_Mix'!$C$10,Esc_Circ,$B89)+COUNTIFS(Esc_Turno,'Calc_Mix'!$C$10,Esc_Instr,$B89)&gt;0),"",IF(SUMPRODUCT('Calc_Mix'!$D$10:$W$10,'Matriz_Habilidades'!$D89:$W89)=0,"",SUMPRODUCT('Calc_Mix'!$D$10:$W$10,'Matriz_Habilidades'!$D89:$W89)/'Calc_Mix'!$X$10+ROW()*0.000001))</f>
        <v/>
      </c>
      <c r="N89" s="34">
        <f>IF(OR($B89="",$C89&lt;&gt;"Ativo",$D89&lt;&gt;'Calc_Mix'!$C$11,'Calc_Mix'!$X$11=0,COUNTIFS(Esc_Turno,'Calc_Mix'!$C$11,Esc_Circ,$B89)+COUNTIFS(Esc_Turno,'Calc_Mix'!$C$11,Esc_Instr,$B89)&gt;0),"",IF(SUMPRODUCT('Calc_Mix'!$D$11:$W$11,'Matriz_Habilidades'!$D89:$W89)=0,"",SUMPRODUCT('Calc_Mix'!$D$11:$W$11,'Matriz_Habilidades'!$D89:$W89)/'Calc_Mix'!$X$11+ROW()*0.000001))</f>
        <v/>
      </c>
      <c r="O89" s="34">
        <f>IF(OR($B89="",$C89&lt;&gt;"Ativo",$D89&lt;&gt;'Calc_Mix'!$C$12,'Calc_Mix'!$X$12=0,COUNTIFS(Esc_Turno,'Calc_Mix'!$C$12,Esc_Circ,$B89)+COUNTIFS(Esc_Turno,'Calc_Mix'!$C$12,Esc_Instr,$B89)&gt;0),"",IF(SUMPRODUCT('Calc_Mix'!$D$12:$W$12,'Matriz_Habilidades'!$D89:$W89)=0,"",SUMPRODUCT('Calc_Mix'!$D$12:$W$12,'Matriz_Habilidades'!$D89:$W89)/'Calc_Mix'!$X$12+ROW()*0.000001))</f>
        <v/>
      </c>
      <c r="P89" s="34">
        <f>IF(OR($B89="",$C89&lt;&gt;"Ativo",$D89&lt;&gt;'Calc_Mix'!$C$13,'Calc_Mix'!$X$13=0,COUNTIFS(Esc_Turno,'Calc_Mix'!$C$13,Esc_Circ,$B89)+COUNTIFS(Esc_Turno,'Calc_Mix'!$C$13,Esc_Instr,$B89)&gt;0),"",IF(SUMPRODUCT('Calc_Mix'!$D$13:$W$13,'Matriz_Habilidades'!$D89:$W89)=0,"",SUMPRODUCT('Calc_Mix'!$D$13:$W$13,'Matriz_Habilidades'!$D89:$W89)/'Calc_Mix'!$X$13+ROW()*0.000001))</f>
        <v/>
      </c>
      <c r="Q89" s="34">
        <f>IF(OR($B89="",$C89&lt;&gt;"Ativo",$D89&lt;&gt;'Calc_Mix'!$C$14,'Calc_Mix'!$X$14=0,COUNTIFS(Esc_Turno,'Calc_Mix'!$C$14,Esc_Circ,$B89)+COUNTIFS(Esc_Turno,'Calc_Mix'!$C$14,Esc_Instr,$B89)&gt;0),"",IF(SUMPRODUCT('Calc_Mix'!$D$14:$W$14,'Matriz_Habilidades'!$D89:$W89)=0,"",SUMPRODUCT('Calc_Mix'!$D$14:$W$14,'Matriz_Habilidades'!$D89:$W89)/'Calc_Mix'!$X$14+ROW()*0.000001))</f>
        <v/>
      </c>
      <c r="R89" s="34">
        <f>IF(OR($B89="",$C89&lt;&gt;"Ativo",$D89&lt;&gt;'Calc_Mix'!$C$15,'Calc_Mix'!$X$15=0,COUNTIFS(Esc_Turno,'Calc_Mix'!$C$15,Esc_Circ,$B89)+COUNTIFS(Esc_Turno,'Calc_Mix'!$C$15,Esc_Instr,$B89)&gt;0),"",IF(SUMPRODUCT('Calc_Mix'!$D$15:$W$15,'Matriz_Habilidades'!$D89:$W89)=0,"",SUMPRODUCT('Calc_Mix'!$D$15:$W$15,'Matriz_Habilidades'!$D89:$W89)/'Calc_Mix'!$X$15+ROW()*0.000001))</f>
        <v/>
      </c>
      <c r="S89" s="34">
        <f>IF(OR($B89="",$C89&lt;&gt;"Ativo",$D89&lt;&gt;'Calc_Mix'!$C$16,'Calc_Mix'!$X$16=0,COUNTIFS(Esc_Turno,'Calc_Mix'!$C$16,Esc_Circ,$B89)+COUNTIFS(Esc_Turno,'Calc_Mix'!$C$16,Esc_Instr,$B89)&gt;0),"",IF(SUMPRODUCT('Calc_Mix'!$D$16:$W$16,'Matriz_Habilidades'!$D89:$W89)=0,"",SUMPRODUCT('Calc_Mix'!$D$16:$W$16,'Matriz_Habilidades'!$D89:$W89)/'Calc_Mix'!$X$16+ROW()*0.000001))</f>
        <v/>
      </c>
      <c r="T89" s="34">
        <f>IF(OR($B89="",$C89&lt;&gt;"Ativo",$D89&lt;&gt;'Calc_Mix'!$C$17,'Calc_Mix'!$X$17=0,COUNTIFS(Esc_Turno,'Calc_Mix'!$C$17,Esc_Circ,$B89)+COUNTIFS(Esc_Turno,'Calc_Mix'!$C$17,Esc_Instr,$B89)&gt;0),"",IF(SUMPRODUCT('Calc_Mix'!$D$17:$W$17,'Matriz_Habilidades'!$D89:$W89)=0,"",SUMPRODUCT('Calc_Mix'!$D$17:$W$17,'Matriz_Habilidades'!$D89:$W89)/'Calc_Mix'!$X$17+ROW()*0.000001))</f>
        <v/>
      </c>
      <c r="U89" s="34">
        <f>IF(OR($B89="",$C89&lt;&gt;"Ativo",$D89&lt;&gt;'Calc_Mix'!$C$18,'Calc_Mix'!$X$18=0,COUNTIFS(Esc_Turno,'Calc_Mix'!$C$18,Esc_Circ,$B89)+COUNTIFS(Esc_Turno,'Calc_Mix'!$C$18,Esc_Instr,$B89)&gt;0),"",IF(SUMPRODUCT('Calc_Mix'!$D$18:$W$18,'Matriz_Habilidades'!$D89:$W89)=0,"",SUMPRODUCT('Calc_Mix'!$D$18:$W$18,'Matriz_Habilidades'!$D89:$W89)/'Calc_Mix'!$X$18+ROW()*0.000001))</f>
        <v/>
      </c>
      <c r="V89" s="34">
        <f>IF(OR($B89="",$C89&lt;&gt;"Ativo",$D89&lt;&gt;'Calc_Mix'!$C$19,'Calc_Mix'!$X$19=0,COUNTIFS(Esc_Turno,'Calc_Mix'!$C$19,Esc_Circ,$B89)+COUNTIFS(Esc_Turno,'Calc_Mix'!$C$19,Esc_Instr,$B89)&gt;0),"",IF(SUMPRODUCT('Calc_Mix'!$D$19:$W$19,'Matriz_Habilidades'!$D89:$W89)=0,"",SUMPRODUCT('Calc_Mix'!$D$19:$W$19,'Matriz_Habilidades'!$D89:$W89)/'Calc_Mix'!$X$19+ROW()*0.000001))</f>
        <v/>
      </c>
      <c r="W89" s="34">
        <f>IF(OR($B89="",$C89&lt;&gt;"Ativo",$D89&lt;&gt;'Calc_Mix'!$C$20,'Calc_Mix'!$X$20=0,COUNTIFS(Esc_Turno,'Calc_Mix'!$C$20,Esc_Circ,$B89)+COUNTIFS(Esc_Turno,'Calc_Mix'!$C$20,Esc_Instr,$B89)&gt;0),"",IF(SUMPRODUCT('Calc_Mix'!$D$20:$W$20,'Matriz_Habilidades'!$D89:$W89)=0,"",SUMPRODUCT('Calc_Mix'!$D$20:$W$20,'Matriz_Habilidades'!$D89:$W89)/'Calc_Mix'!$X$20+ROW()*0.000001))</f>
        <v/>
      </c>
      <c r="X89" s="34">
        <f>IF(OR($B89="",$C89&lt;&gt;"Ativo",$D89&lt;&gt;'Calc_Mix'!$C$21,'Calc_Mix'!$X$21=0,COUNTIFS(Esc_Turno,'Calc_Mix'!$C$21,Esc_Circ,$B89)+COUNTIFS(Esc_Turno,'Calc_Mix'!$C$21,Esc_Instr,$B89)&gt;0),"",IF(SUMPRODUCT('Calc_Mix'!$D$21:$W$21,'Matriz_Habilidades'!$D89:$W89)=0,"",SUMPRODUCT('Calc_Mix'!$D$21:$W$21,'Matriz_Habilidades'!$D89:$W89)/'Calc_Mix'!$X$21+ROW()*0.000001))</f>
        <v/>
      </c>
      <c r="Y89" s="34">
        <f>IF(OR($B89="",$C89&lt;&gt;"Ativo",$D89&lt;&gt;'Calc_Mix'!$C$22,'Calc_Mix'!$X$22=0,COUNTIFS(Esc_Turno,'Calc_Mix'!$C$22,Esc_Circ,$B89)+COUNTIFS(Esc_Turno,'Calc_Mix'!$C$22,Esc_Instr,$B89)&gt;0),"",IF(SUMPRODUCT('Calc_Mix'!$D$22:$W$22,'Matriz_Habilidades'!$D89:$W89)=0,"",SUMPRODUCT('Calc_Mix'!$D$22:$W$22,'Matriz_Habilidades'!$D89:$W89)/'Calc_Mix'!$X$22+ROW()*0.000001))</f>
        <v/>
      </c>
      <c r="Z89" s="34">
        <f>IF(OR($B89="",$C89&lt;&gt;"Ativo",$D89&lt;&gt;'Calc_Mix'!$C$23,'Calc_Mix'!$X$23=0,COUNTIFS(Esc_Turno,'Calc_Mix'!$C$23,Esc_Circ,$B89)+COUNTIFS(Esc_Turno,'Calc_Mix'!$C$23,Esc_Instr,$B89)&gt;0),"",IF(SUMPRODUCT('Calc_Mix'!$D$23:$W$23,'Matriz_Habilidades'!$D89:$W89)=0,"",SUMPRODUCT('Calc_Mix'!$D$23:$W$23,'Matriz_Habilidades'!$D89:$W89)/'Calc_Mix'!$X$23+ROW()*0.000001))</f>
        <v/>
      </c>
      <c r="AA89" s="34">
        <f>IF(OR($B89="",$C89&lt;&gt;"Ativo",$D89&lt;&gt;'Calc_Mix'!$C$24,'Calc_Mix'!$X$24=0,COUNTIFS(Esc_Turno,'Calc_Mix'!$C$24,Esc_Circ,$B89)+COUNTIFS(Esc_Turno,'Calc_Mix'!$C$24,Esc_Instr,$B89)&gt;0),"",IF(SUMPRODUCT('Calc_Mix'!$D$24:$W$24,'Matriz_Habilidades'!$D89:$W89)=0,"",SUMPRODUCT('Calc_Mix'!$D$24:$W$24,'Matriz_Habilidades'!$D89:$W89)/'Calc_Mix'!$X$24+ROW()*0.000001))</f>
        <v/>
      </c>
      <c r="AB89" s="34">
        <f>IF(OR($B89="",$C89&lt;&gt;"Ativo",$D89&lt;&gt;'Calc_Mix'!$C$25,'Calc_Mix'!$X$25=0,COUNTIFS(Esc_Turno,'Calc_Mix'!$C$25,Esc_Circ,$B89)+COUNTIFS(Esc_Turno,'Calc_Mix'!$C$25,Esc_Instr,$B89)&gt;0),"",IF(SUMPRODUCT('Calc_Mix'!$D$25:$W$25,'Matriz_Habilidades'!$D89:$W89)=0,"",SUMPRODUCT('Calc_Mix'!$D$25:$W$25,'Matriz_Habilidades'!$D89:$W89)/'Calc_Mix'!$X$25+ROW()*0.000001))</f>
        <v/>
      </c>
      <c r="AC89" s="34">
        <f>IF(OR($B89="",$C89&lt;&gt;"Ativo",$D89&lt;&gt;'Calc_Mix'!$C$26,'Calc_Mix'!$X$26=0,COUNTIFS(Esc_Turno,'Calc_Mix'!$C$26,Esc_Circ,$B89)+COUNTIFS(Esc_Turno,'Calc_Mix'!$C$26,Esc_Instr,$B89)&gt;0),"",IF(SUMPRODUCT('Calc_Mix'!$D$26:$W$26,'Matriz_Habilidades'!$D89:$W89)=0,"",SUMPRODUCT('Calc_Mix'!$D$26:$W$26,'Matriz_Habilidades'!$D89:$W89)/'Calc_Mix'!$X$26+ROW()*0.000001))</f>
        <v/>
      </c>
      <c r="AD89" s="34">
        <f>IF(OR($B89="",$C89&lt;&gt;"Ativo",$D89&lt;&gt;'Calc_Mix'!$C$27,'Calc_Mix'!$X$27=0,COUNTIFS(Esc_Turno,'Calc_Mix'!$C$27,Esc_Circ,$B89)+COUNTIFS(Esc_Turno,'Calc_Mix'!$C$27,Esc_Instr,$B89)&gt;0),"",IF(SUMPRODUCT('Calc_Mix'!$D$27:$W$27,'Matriz_Habilidades'!$D89:$W89)=0,"",SUMPRODUCT('Calc_Mix'!$D$27:$W$27,'Matriz_Habilidades'!$D89:$W89)/'Calc_Mix'!$X$27+ROW()*0.000001))</f>
        <v/>
      </c>
      <c r="AE89" s="34">
        <f>IF(OR($B89="",$C89&lt;&gt;"Ativo",$D89&lt;&gt;'Calc_Mix'!$C$28,'Calc_Mix'!$X$28=0,COUNTIFS(Esc_Turno,'Calc_Mix'!$C$28,Esc_Circ,$B89)+COUNTIFS(Esc_Turno,'Calc_Mix'!$C$28,Esc_Instr,$B89)&gt;0),"",IF(SUMPRODUCT('Calc_Mix'!$D$28:$W$28,'Matriz_Habilidades'!$D89:$W89)=0,"",SUMPRODUCT('Calc_Mix'!$D$28:$W$28,'Matriz_Habilidades'!$D89:$W89)/'Calc_Mix'!$X$28+ROW()*0.000001))</f>
        <v/>
      </c>
      <c r="AF89" s="34">
        <f>IF(OR($B89="",$C89&lt;&gt;"Ativo",$D89&lt;&gt;'Calc_Mix'!$C$29,'Calc_Mix'!$X$29=0,COUNTIFS(Esc_Turno,'Calc_Mix'!$C$29,Esc_Circ,$B89)+COUNTIFS(Esc_Turno,'Calc_Mix'!$C$29,Esc_Instr,$B89)&gt;0),"",IF(SUMPRODUCT('Calc_Mix'!$D$29:$W$29,'Matriz_Habilidades'!$D89:$W89)=0,"",SUMPRODUCT('Calc_Mix'!$D$29:$W$29,'Matriz_Habilidades'!$D89:$W89)/'Calc_Mix'!$X$29+ROW()*0.000001))</f>
        <v/>
      </c>
      <c r="AG89" s="34">
        <f>IF(OR($B89="",$C89&lt;&gt;"Ativo",$D89&lt;&gt;'Calc_Mix'!$C$30,'Calc_Mix'!$X$30=0,COUNTIFS(Esc_Turno,'Calc_Mix'!$C$30,Esc_Circ,$B89)+COUNTIFS(Esc_Turno,'Calc_Mix'!$C$30,Esc_Instr,$B89)&gt;0),"",IF(SUMPRODUCT('Calc_Mix'!$D$30:$W$30,'Matriz_Habilidades'!$D89:$W89)=0,"",SUMPRODUCT('Calc_Mix'!$D$30:$W$30,'Matriz_Habilidades'!$D89:$W89)/'Calc_Mix'!$X$30+ROW()*0.000001))</f>
        <v/>
      </c>
      <c r="AH89" s="34">
        <f>IF(OR($B89="",$C89&lt;&gt;"Ativo",$D89&lt;&gt;'Calc_Mix'!$C$31,'Calc_Mix'!$X$31=0,COUNTIFS(Esc_Turno,'Calc_Mix'!$C$31,Esc_Circ,$B89)+COUNTIFS(Esc_Turno,'Calc_Mix'!$C$31,Esc_Instr,$B89)&gt;0),"",IF(SUMPRODUCT('Calc_Mix'!$D$31:$W$31,'Matriz_Habilidades'!$D89:$W89)=0,"",SUMPRODUCT('Calc_Mix'!$D$31:$W$31,'Matriz_Habilidades'!$D89:$W89)/'Calc_Mix'!$X$31+ROW()*0.000001))</f>
        <v/>
      </c>
      <c r="AI89" s="34">
        <f>IF(OR($B89="",$C89&lt;&gt;"Ativo",$D89&lt;&gt;'Calc_Mix'!$C$32,'Calc_Mix'!$X$32=0,COUNTIFS(Esc_Turno,'Calc_Mix'!$C$32,Esc_Circ,$B89)+COUNTIFS(Esc_Turno,'Calc_Mix'!$C$32,Esc_Instr,$B89)&gt;0),"",IF(SUMPRODUCT('Calc_Mix'!$D$32:$W$32,'Matriz_Habilidades'!$D89:$W89)=0,"",SUMPRODUCT('Calc_Mix'!$D$32:$W$32,'Matriz_Habilidades'!$D89:$W89)/'Calc_Mix'!$X$32+ROW()*0.000001))</f>
        <v/>
      </c>
      <c r="AJ89" s="34">
        <f>IF(OR($B89="",$C89&lt;&gt;"Ativo",$D89&lt;&gt;'Calc_Mix'!$C$33,'Calc_Mix'!$X$33=0,COUNTIFS(Esc_Turno,'Calc_Mix'!$C$33,Esc_Circ,$B89)+COUNTIFS(Esc_Turno,'Calc_Mix'!$C$33,Esc_Instr,$B89)&gt;0),"",IF(SUMPRODUCT('Calc_Mix'!$D$33:$W$33,'Matriz_Habilidades'!$D89:$W89)=0,"",SUMPRODUCT('Calc_Mix'!$D$33:$W$33,'Matriz_Habilidades'!$D89:$W89)/'Calc_Mix'!$X$33+ROW()*0.000001))</f>
        <v/>
      </c>
      <c r="AK89" s="34">
        <f>IF(OR($B89="",$C89&lt;&gt;"Ativo",$D89&lt;&gt;'Calc_Mix'!$C$34,'Calc_Mix'!$X$34=0,COUNTIFS(Esc_Turno,'Calc_Mix'!$C$34,Esc_Circ,$B89)+COUNTIFS(Esc_Turno,'Calc_Mix'!$C$34,Esc_Instr,$B89)&gt;0),"",IF(SUMPRODUCT('Calc_Mix'!$D$34:$W$34,'Matriz_Habilidades'!$D89:$W89)=0,"",SUMPRODUCT('Calc_Mix'!$D$34:$W$34,'Matriz_Habilidades'!$D89:$W89)/'Calc_Mix'!$X$34+ROW()*0.000001))</f>
        <v/>
      </c>
      <c r="AL89" s="34">
        <f>IF(OR($B89="",$C89&lt;&gt;"Ativo",$D89&lt;&gt;'Calc_Mix'!$C$35,'Calc_Mix'!$X$35=0,COUNTIFS(Esc_Turno,'Calc_Mix'!$C$35,Esc_Circ,$B89)+COUNTIFS(Esc_Turno,'Calc_Mix'!$C$35,Esc_Instr,$B89)&gt;0),"",IF(SUMPRODUCT('Calc_Mix'!$D$35:$W$35,'Matriz_Habilidades'!$D89:$W89)=0,"",SUMPRODUCT('Calc_Mix'!$D$35:$W$35,'Matriz_Habilidades'!$D89:$W89)/'Calc_Mix'!$X$35+ROW()*0.000001))</f>
        <v/>
      </c>
      <c r="AM89" s="34">
        <f>IF(OR($B89="",$C89&lt;&gt;"Ativo",$D89&lt;&gt;'Calc_Mix'!$C$36,'Calc_Mix'!$X$36=0,COUNTIFS(Esc_Turno,'Calc_Mix'!$C$36,Esc_Circ,$B89)+COUNTIFS(Esc_Turno,'Calc_Mix'!$C$36,Esc_Instr,$B89)&gt;0),"",IF(SUMPRODUCT('Calc_Mix'!$D$36:$W$36,'Matriz_Habilidades'!$D89:$W89)=0,"",SUMPRODUCT('Calc_Mix'!$D$36:$W$36,'Matriz_Habilidades'!$D89:$W89)/'Calc_Mix'!$X$36+ROW()*0.000001))</f>
        <v/>
      </c>
      <c r="AN89" s="34">
        <f>IF(OR($B89="",$C89&lt;&gt;"Ativo",$D89&lt;&gt;'Calc_Mix'!$C$37,'Calc_Mix'!$X$37=0,COUNTIFS(Esc_Turno,'Calc_Mix'!$C$37,Esc_Circ,$B89)+COUNTIFS(Esc_Turno,'Calc_Mix'!$C$37,Esc_Instr,$B89)&gt;0),"",IF(SUMPRODUCT('Calc_Mix'!$D$37:$W$37,'Matriz_Habilidades'!$D89:$W89)=0,"",SUMPRODUCT('Calc_Mix'!$D$37:$W$37,'Matriz_Habilidades'!$D89:$W89)/'Calc_Mix'!$X$37+ROW()*0.000001))</f>
        <v/>
      </c>
    </row>
    <row r="90">
      <c r="A90" s="27">
        <f>IF('Matriz_Habilidades'!A90="","",'Matriz_Habilidades'!A90)</f>
        <v/>
      </c>
      <c r="B90" s="28">
        <f>IF('Matriz_Habilidades'!B90="","",'Matriz_Habilidades'!B90)</f>
        <v/>
      </c>
      <c r="C90" s="27">
        <f>IF($A90="","",IFERROR(INDEX(Equipe_Status,MATCH($B90,Equipe_Nome,0)),"?"))</f>
        <v/>
      </c>
      <c r="D90" s="27">
        <f>IF($A90="","",IFERROR(INDEX(Equipe_Turno,MATCH($B90,Equipe_Nome,0)),"?"))</f>
        <v/>
      </c>
      <c r="E90" s="34">
        <f>IF(OR($B90="",$C90&lt;&gt;"Ativo",$D90&lt;&gt;'Calc_Mix'!$C$2,'Calc_Mix'!$X$2=0,COUNTIFS(Esc_Turno,'Calc_Mix'!$C$2,Esc_Circ,$B90)+COUNTIFS(Esc_Turno,'Calc_Mix'!$C$2,Esc_Instr,$B90)&gt;0),"",IF(SUMPRODUCT('Calc_Mix'!$D$2:$W$2,'Matriz_Habilidades'!$D90:$W90)=0,"",SUMPRODUCT('Calc_Mix'!$D$2:$W$2,'Matriz_Habilidades'!$D90:$W90)/'Calc_Mix'!$X$2+ROW()*0.000001))</f>
        <v/>
      </c>
      <c r="F90" s="34">
        <f>IF(OR($B90="",$C90&lt;&gt;"Ativo",$D90&lt;&gt;'Calc_Mix'!$C$3,'Calc_Mix'!$X$3=0,COUNTIFS(Esc_Turno,'Calc_Mix'!$C$3,Esc_Circ,$B90)+COUNTIFS(Esc_Turno,'Calc_Mix'!$C$3,Esc_Instr,$B90)&gt;0),"",IF(SUMPRODUCT('Calc_Mix'!$D$3:$W$3,'Matriz_Habilidades'!$D90:$W90)=0,"",SUMPRODUCT('Calc_Mix'!$D$3:$W$3,'Matriz_Habilidades'!$D90:$W90)/'Calc_Mix'!$X$3+ROW()*0.000001))</f>
        <v/>
      </c>
      <c r="G90" s="34">
        <f>IF(OR($B90="",$C90&lt;&gt;"Ativo",$D90&lt;&gt;'Calc_Mix'!$C$4,'Calc_Mix'!$X$4=0,COUNTIFS(Esc_Turno,'Calc_Mix'!$C$4,Esc_Circ,$B90)+COUNTIFS(Esc_Turno,'Calc_Mix'!$C$4,Esc_Instr,$B90)&gt;0),"",IF(SUMPRODUCT('Calc_Mix'!$D$4:$W$4,'Matriz_Habilidades'!$D90:$W90)=0,"",SUMPRODUCT('Calc_Mix'!$D$4:$W$4,'Matriz_Habilidades'!$D90:$W90)/'Calc_Mix'!$X$4+ROW()*0.000001))</f>
        <v/>
      </c>
      <c r="H90" s="34">
        <f>IF(OR($B90="",$C90&lt;&gt;"Ativo",$D90&lt;&gt;'Calc_Mix'!$C$5,'Calc_Mix'!$X$5=0,COUNTIFS(Esc_Turno,'Calc_Mix'!$C$5,Esc_Circ,$B90)+COUNTIFS(Esc_Turno,'Calc_Mix'!$C$5,Esc_Instr,$B90)&gt;0),"",IF(SUMPRODUCT('Calc_Mix'!$D$5:$W$5,'Matriz_Habilidades'!$D90:$W90)=0,"",SUMPRODUCT('Calc_Mix'!$D$5:$W$5,'Matriz_Habilidades'!$D90:$W90)/'Calc_Mix'!$X$5+ROW()*0.000001))</f>
        <v/>
      </c>
      <c r="I90" s="34">
        <f>IF(OR($B90="",$C90&lt;&gt;"Ativo",$D90&lt;&gt;'Calc_Mix'!$C$6,'Calc_Mix'!$X$6=0,COUNTIFS(Esc_Turno,'Calc_Mix'!$C$6,Esc_Circ,$B90)+COUNTIFS(Esc_Turno,'Calc_Mix'!$C$6,Esc_Instr,$B90)&gt;0),"",IF(SUMPRODUCT('Calc_Mix'!$D$6:$W$6,'Matriz_Habilidades'!$D90:$W90)=0,"",SUMPRODUCT('Calc_Mix'!$D$6:$W$6,'Matriz_Habilidades'!$D90:$W90)/'Calc_Mix'!$X$6+ROW()*0.000001))</f>
        <v/>
      </c>
      <c r="J90" s="34">
        <f>IF(OR($B90="",$C90&lt;&gt;"Ativo",$D90&lt;&gt;'Calc_Mix'!$C$7,'Calc_Mix'!$X$7=0,COUNTIFS(Esc_Turno,'Calc_Mix'!$C$7,Esc_Circ,$B90)+COUNTIFS(Esc_Turno,'Calc_Mix'!$C$7,Esc_Instr,$B90)&gt;0),"",IF(SUMPRODUCT('Calc_Mix'!$D$7:$W$7,'Matriz_Habilidades'!$D90:$W90)=0,"",SUMPRODUCT('Calc_Mix'!$D$7:$W$7,'Matriz_Habilidades'!$D90:$W90)/'Calc_Mix'!$X$7+ROW()*0.000001))</f>
        <v/>
      </c>
      <c r="K90" s="34">
        <f>IF(OR($B90="",$C90&lt;&gt;"Ativo",$D90&lt;&gt;'Calc_Mix'!$C$8,'Calc_Mix'!$X$8=0,COUNTIFS(Esc_Turno,'Calc_Mix'!$C$8,Esc_Circ,$B90)+COUNTIFS(Esc_Turno,'Calc_Mix'!$C$8,Esc_Instr,$B90)&gt;0),"",IF(SUMPRODUCT('Calc_Mix'!$D$8:$W$8,'Matriz_Habilidades'!$D90:$W90)=0,"",SUMPRODUCT('Calc_Mix'!$D$8:$W$8,'Matriz_Habilidades'!$D90:$W90)/'Calc_Mix'!$X$8+ROW()*0.000001))</f>
        <v/>
      </c>
      <c r="L90" s="34">
        <f>IF(OR($B90="",$C90&lt;&gt;"Ativo",$D90&lt;&gt;'Calc_Mix'!$C$9,'Calc_Mix'!$X$9=0,COUNTIFS(Esc_Turno,'Calc_Mix'!$C$9,Esc_Circ,$B90)+COUNTIFS(Esc_Turno,'Calc_Mix'!$C$9,Esc_Instr,$B90)&gt;0),"",IF(SUMPRODUCT('Calc_Mix'!$D$9:$W$9,'Matriz_Habilidades'!$D90:$W90)=0,"",SUMPRODUCT('Calc_Mix'!$D$9:$W$9,'Matriz_Habilidades'!$D90:$W90)/'Calc_Mix'!$X$9+ROW()*0.000001))</f>
        <v/>
      </c>
      <c r="M90" s="34">
        <f>IF(OR($B90="",$C90&lt;&gt;"Ativo",$D90&lt;&gt;'Calc_Mix'!$C$10,'Calc_Mix'!$X$10=0,COUNTIFS(Esc_Turno,'Calc_Mix'!$C$10,Esc_Circ,$B90)+COUNTIFS(Esc_Turno,'Calc_Mix'!$C$10,Esc_Instr,$B90)&gt;0),"",IF(SUMPRODUCT('Calc_Mix'!$D$10:$W$10,'Matriz_Habilidades'!$D90:$W90)=0,"",SUMPRODUCT('Calc_Mix'!$D$10:$W$10,'Matriz_Habilidades'!$D90:$W90)/'Calc_Mix'!$X$10+ROW()*0.000001))</f>
        <v/>
      </c>
      <c r="N90" s="34">
        <f>IF(OR($B90="",$C90&lt;&gt;"Ativo",$D90&lt;&gt;'Calc_Mix'!$C$11,'Calc_Mix'!$X$11=0,COUNTIFS(Esc_Turno,'Calc_Mix'!$C$11,Esc_Circ,$B90)+COUNTIFS(Esc_Turno,'Calc_Mix'!$C$11,Esc_Instr,$B90)&gt;0),"",IF(SUMPRODUCT('Calc_Mix'!$D$11:$W$11,'Matriz_Habilidades'!$D90:$W90)=0,"",SUMPRODUCT('Calc_Mix'!$D$11:$W$11,'Matriz_Habilidades'!$D90:$W90)/'Calc_Mix'!$X$11+ROW()*0.000001))</f>
        <v/>
      </c>
      <c r="O90" s="34">
        <f>IF(OR($B90="",$C90&lt;&gt;"Ativo",$D90&lt;&gt;'Calc_Mix'!$C$12,'Calc_Mix'!$X$12=0,COUNTIFS(Esc_Turno,'Calc_Mix'!$C$12,Esc_Circ,$B90)+COUNTIFS(Esc_Turno,'Calc_Mix'!$C$12,Esc_Instr,$B90)&gt;0),"",IF(SUMPRODUCT('Calc_Mix'!$D$12:$W$12,'Matriz_Habilidades'!$D90:$W90)=0,"",SUMPRODUCT('Calc_Mix'!$D$12:$W$12,'Matriz_Habilidades'!$D90:$W90)/'Calc_Mix'!$X$12+ROW()*0.000001))</f>
        <v/>
      </c>
      <c r="P90" s="34">
        <f>IF(OR($B90="",$C90&lt;&gt;"Ativo",$D90&lt;&gt;'Calc_Mix'!$C$13,'Calc_Mix'!$X$13=0,COUNTIFS(Esc_Turno,'Calc_Mix'!$C$13,Esc_Circ,$B90)+COUNTIFS(Esc_Turno,'Calc_Mix'!$C$13,Esc_Instr,$B90)&gt;0),"",IF(SUMPRODUCT('Calc_Mix'!$D$13:$W$13,'Matriz_Habilidades'!$D90:$W90)=0,"",SUMPRODUCT('Calc_Mix'!$D$13:$W$13,'Matriz_Habilidades'!$D90:$W90)/'Calc_Mix'!$X$13+ROW()*0.000001))</f>
        <v/>
      </c>
      <c r="Q90" s="34">
        <f>IF(OR($B90="",$C90&lt;&gt;"Ativo",$D90&lt;&gt;'Calc_Mix'!$C$14,'Calc_Mix'!$X$14=0,COUNTIFS(Esc_Turno,'Calc_Mix'!$C$14,Esc_Circ,$B90)+COUNTIFS(Esc_Turno,'Calc_Mix'!$C$14,Esc_Instr,$B90)&gt;0),"",IF(SUMPRODUCT('Calc_Mix'!$D$14:$W$14,'Matriz_Habilidades'!$D90:$W90)=0,"",SUMPRODUCT('Calc_Mix'!$D$14:$W$14,'Matriz_Habilidades'!$D90:$W90)/'Calc_Mix'!$X$14+ROW()*0.000001))</f>
        <v/>
      </c>
      <c r="R90" s="34">
        <f>IF(OR($B90="",$C90&lt;&gt;"Ativo",$D90&lt;&gt;'Calc_Mix'!$C$15,'Calc_Mix'!$X$15=0,COUNTIFS(Esc_Turno,'Calc_Mix'!$C$15,Esc_Circ,$B90)+COUNTIFS(Esc_Turno,'Calc_Mix'!$C$15,Esc_Instr,$B90)&gt;0),"",IF(SUMPRODUCT('Calc_Mix'!$D$15:$W$15,'Matriz_Habilidades'!$D90:$W90)=0,"",SUMPRODUCT('Calc_Mix'!$D$15:$W$15,'Matriz_Habilidades'!$D90:$W90)/'Calc_Mix'!$X$15+ROW()*0.000001))</f>
        <v/>
      </c>
      <c r="S90" s="34">
        <f>IF(OR($B90="",$C90&lt;&gt;"Ativo",$D90&lt;&gt;'Calc_Mix'!$C$16,'Calc_Mix'!$X$16=0,COUNTIFS(Esc_Turno,'Calc_Mix'!$C$16,Esc_Circ,$B90)+COUNTIFS(Esc_Turno,'Calc_Mix'!$C$16,Esc_Instr,$B90)&gt;0),"",IF(SUMPRODUCT('Calc_Mix'!$D$16:$W$16,'Matriz_Habilidades'!$D90:$W90)=0,"",SUMPRODUCT('Calc_Mix'!$D$16:$W$16,'Matriz_Habilidades'!$D90:$W90)/'Calc_Mix'!$X$16+ROW()*0.000001))</f>
        <v/>
      </c>
      <c r="T90" s="34">
        <f>IF(OR($B90="",$C90&lt;&gt;"Ativo",$D90&lt;&gt;'Calc_Mix'!$C$17,'Calc_Mix'!$X$17=0,COUNTIFS(Esc_Turno,'Calc_Mix'!$C$17,Esc_Circ,$B90)+COUNTIFS(Esc_Turno,'Calc_Mix'!$C$17,Esc_Instr,$B90)&gt;0),"",IF(SUMPRODUCT('Calc_Mix'!$D$17:$W$17,'Matriz_Habilidades'!$D90:$W90)=0,"",SUMPRODUCT('Calc_Mix'!$D$17:$W$17,'Matriz_Habilidades'!$D90:$W90)/'Calc_Mix'!$X$17+ROW()*0.000001))</f>
        <v/>
      </c>
      <c r="U90" s="34">
        <f>IF(OR($B90="",$C90&lt;&gt;"Ativo",$D90&lt;&gt;'Calc_Mix'!$C$18,'Calc_Mix'!$X$18=0,COUNTIFS(Esc_Turno,'Calc_Mix'!$C$18,Esc_Circ,$B90)+COUNTIFS(Esc_Turno,'Calc_Mix'!$C$18,Esc_Instr,$B90)&gt;0),"",IF(SUMPRODUCT('Calc_Mix'!$D$18:$W$18,'Matriz_Habilidades'!$D90:$W90)=0,"",SUMPRODUCT('Calc_Mix'!$D$18:$W$18,'Matriz_Habilidades'!$D90:$W90)/'Calc_Mix'!$X$18+ROW()*0.000001))</f>
        <v/>
      </c>
      <c r="V90" s="34">
        <f>IF(OR($B90="",$C90&lt;&gt;"Ativo",$D90&lt;&gt;'Calc_Mix'!$C$19,'Calc_Mix'!$X$19=0,COUNTIFS(Esc_Turno,'Calc_Mix'!$C$19,Esc_Circ,$B90)+COUNTIFS(Esc_Turno,'Calc_Mix'!$C$19,Esc_Instr,$B90)&gt;0),"",IF(SUMPRODUCT('Calc_Mix'!$D$19:$W$19,'Matriz_Habilidades'!$D90:$W90)=0,"",SUMPRODUCT('Calc_Mix'!$D$19:$W$19,'Matriz_Habilidades'!$D90:$W90)/'Calc_Mix'!$X$19+ROW()*0.000001))</f>
        <v/>
      </c>
      <c r="W90" s="34">
        <f>IF(OR($B90="",$C90&lt;&gt;"Ativo",$D90&lt;&gt;'Calc_Mix'!$C$20,'Calc_Mix'!$X$20=0,COUNTIFS(Esc_Turno,'Calc_Mix'!$C$20,Esc_Circ,$B90)+COUNTIFS(Esc_Turno,'Calc_Mix'!$C$20,Esc_Instr,$B90)&gt;0),"",IF(SUMPRODUCT('Calc_Mix'!$D$20:$W$20,'Matriz_Habilidades'!$D90:$W90)=0,"",SUMPRODUCT('Calc_Mix'!$D$20:$W$20,'Matriz_Habilidades'!$D90:$W90)/'Calc_Mix'!$X$20+ROW()*0.000001))</f>
        <v/>
      </c>
      <c r="X90" s="34">
        <f>IF(OR($B90="",$C90&lt;&gt;"Ativo",$D90&lt;&gt;'Calc_Mix'!$C$21,'Calc_Mix'!$X$21=0,COUNTIFS(Esc_Turno,'Calc_Mix'!$C$21,Esc_Circ,$B90)+COUNTIFS(Esc_Turno,'Calc_Mix'!$C$21,Esc_Instr,$B90)&gt;0),"",IF(SUMPRODUCT('Calc_Mix'!$D$21:$W$21,'Matriz_Habilidades'!$D90:$W90)=0,"",SUMPRODUCT('Calc_Mix'!$D$21:$W$21,'Matriz_Habilidades'!$D90:$W90)/'Calc_Mix'!$X$21+ROW()*0.000001))</f>
        <v/>
      </c>
      <c r="Y90" s="34">
        <f>IF(OR($B90="",$C90&lt;&gt;"Ativo",$D90&lt;&gt;'Calc_Mix'!$C$22,'Calc_Mix'!$X$22=0,COUNTIFS(Esc_Turno,'Calc_Mix'!$C$22,Esc_Circ,$B90)+COUNTIFS(Esc_Turno,'Calc_Mix'!$C$22,Esc_Instr,$B90)&gt;0),"",IF(SUMPRODUCT('Calc_Mix'!$D$22:$W$22,'Matriz_Habilidades'!$D90:$W90)=0,"",SUMPRODUCT('Calc_Mix'!$D$22:$W$22,'Matriz_Habilidades'!$D90:$W90)/'Calc_Mix'!$X$22+ROW()*0.000001))</f>
        <v/>
      </c>
      <c r="Z90" s="34">
        <f>IF(OR($B90="",$C90&lt;&gt;"Ativo",$D90&lt;&gt;'Calc_Mix'!$C$23,'Calc_Mix'!$X$23=0,COUNTIFS(Esc_Turno,'Calc_Mix'!$C$23,Esc_Circ,$B90)+COUNTIFS(Esc_Turno,'Calc_Mix'!$C$23,Esc_Instr,$B90)&gt;0),"",IF(SUMPRODUCT('Calc_Mix'!$D$23:$W$23,'Matriz_Habilidades'!$D90:$W90)=0,"",SUMPRODUCT('Calc_Mix'!$D$23:$W$23,'Matriz_Habilidades'!$D90:$W90)/'Calc_Mix'!$X$23+ROW()*0.000001))</f>
        <v/>
      </c>
      <c r="AA90" s="34">
        <f>IF(OR($B90="",$C90&lt;&gt;"Ativo",$D90&lt;&gt;'Calc_Mix'!$C$24,'Calc_Mix'!$X$24=0,COUNTIFS(Esc_Turno,'Calc_Mix'!$C$24,Esc_Circ,$B90)+COUNTIFS(Esc_Turno,'Calc_Mix'!$C$24,Esc_Instr,$B90)&gt;0),"",IF(SUMPRODUCT('Calc_Mix'!$D$24:$W$24,'Matriz_Habilidades'!$D90:$W90)=0,"",SUMPRODUCT('Calc_Mix'!$D$24:$W$24,'Matriz_Habilidades'!$D90:$W90)/'Calc_Mix'!$X$24+ROW()*0.000001))</f>
        <v/>
      </c>
      <c r="AB90" s="34">
        <f>IF(OR($B90="",$C90&lt;&gt;"Ativo",$D90&lt;&gt;'Calc_Mix'!$C$25,'Calc_Mix'!$X$25=0,COUNTIFS(Esc_Turno,'Calc_Mix'!$C$25,Esc_Circ,$B90)+COUNTIFS(Esc_Turno,'Calc_Mix'!$C$25,Esc_Instr,$B90)&gt;0),"",IF(SUMPRODUCT('Calc_Mix'!$D$25:$W$25,'Matriz_Habilidades'!$D90:$W90)=0,"",SUMPRODUCT('Calc_Mix'!$D$25:$W$25,'Matriz_Habilidades'!$D90:$W90)/'Calc_Mix'!$X$25+ROW()*0.000001))</f>
        <v/>
      </c>
      <c r="AC90" s="34">
        <f>IF(OR($B90="",$C90&lt;&gt;"Ativo",$D90&lt;&gt;'Calc_Mix'!$C$26,'Calc_Mix'!$X$26=0,COUNTIFS(Esc_Turno,'Calc_Mix'!$C$26,Esc_Circ,$B90)+COUNTIFS(Esc_Turno,'Calc_Mix'!$C$26,Esc_Instr,$B90)&gt;0),"",IF(SUMPRODUCT('Calc_Mix'!$D$26:$W$26,'Matriz_Habilidades'!$D90:$W90)=0,"",SUMPRODUCT('Calc_Mix'!$D$26:$W$26,'Matriz_Habilidades'!$D90:$W90)/'Calc_Mix'!$X$26+ROW()*0.000001))</f>
        <v/>
      </c>
      <c r="AD90" s="34">
        <f>IF(OR($B90="",$C90&lt;&gt;"Ativo",$D90&lt;&gt;'Calc_Mix'!$C$27,'Calc_Mix'!$X$27=0,COUNTIFS(Esc_Turno,'Calc_Mix'!$C$27,Esc_Circ,$B90)+COUNTIFS(Esc_Turno,'Calc_Mix'!$C$27,Esc_Instr,$B90)&gt;0),"",IF(SUMPRODUCT('Calc_Mix'!$D$27:$W$27,'Matriz_Habilidades'!$D90:$W90)=0,"",SUMPRODUCT('Calc_Mix'!$D$27:$W$27,'Matriz_Habilidades'!$D90:$W90)/'Calc_Mix'!$X$27+ROW()*0.000001))</f>
        <v/>
      </c>
      <c r="AE90" s="34">
        <f>IF(OR($B90="",$C90&lt;&gt;"Ativo",$D90&lt;&gt;'Calc_Mix'!$C$28,'Calc_Mix'!$X$28=0,COUNTIFS(Esc_Turno,'Calc_Mix'!$C$28,Esc_Circ,$B90)+COUNTIFS(Esc_Turno,'Calc_Mix'!$C$28,Esc_Instr,$B90)&gt;0),"",IF(SUMPRODUCT('Calc_Mix'!$D$28:$W$28,'Matriz_Habilidades'!$D90:$W90)=0,"",SUMPRODUCT('Calc_Mix'!$D$28:$W$28,'Matriz_Habilidades'!$D90:$W90)/'Calc_Mix'!$X$28+ROW()*0.000001))</f>
        <v/>
      </c>
      <c r="AF90" s="34">
        <f>IF(OR($B90="",$C90&lt;&gt;"Ativo",$D90&lt;&gt;'Calc_Mix'!$C$29,'Calc_Mix'!$X$29=0,COUNTIFS(Esc_Turno,'Calc_Mix'!$C$29,Esc_Circ,$B90)+COUNTIFS(Esc_Turno,'Calc_Mix'!$C$29,Esc_Instr,$B90)&gt;0),"",IF(SUMPRODUCT('Calc_Mix'!$D$29:$W$29,'Matriz_Habilidades'!$D90:$W90)=0,"",SUMPRODUCT('Calc_Mix'!$D$29:$W$29,'Matriz_Habilidades'!$D90:$W90)/'Calc_Mix'!$X$29+ROW()*0.000001))</f>
        <v/>
      </c>
      <c r="AG90" s="34">
        <f>IF(OR($B90="",$C90&lt;&gt;"Ativo",$D90&lt;&gt;'Calc_Mix'!$C$30,'Calc_Mix'!$X$30=0,COUNTIFS(Esc_Turno,'Calc_Mix'!$C$30,Esc_Circ,$B90)+COUNTIFS(Esc_Turno,'Calc_Mix'!$C$30,Esc_Instr,$B90)&gt;0),"",IF(SUMPRODUCT('Calc_Mix'!$D$30:$W$30,'Matriz_Habilidades'!$D90:$W90)=0,"",SUMPRODUCT('Calc_Mix'!$D$30:$W$30,'Matriz_Habilidades'!$D90:$W90)/'Calc_Mix'!$X$30+ROW()*0.000001))</f>
        <v/>
      </c>
      <c r="AH90" s="34">
        <f>IF(OR($B90="",$C90&lt;&gt;"Ativo",$D90&lt;&gt;'Calc_Mix'!$C$31,'Calc_Mix'!$X$31=0,COUNTIFS(Esc_Turno,'Calc_Mix'!$C$31,Esc_Circ,$B90)+COUNTIFS(Esc_Turno,'Calc_Mix'!$C$31,Esc_Instr,$B90)&gt;0),"",IF(SUMPRODUCT('Calc_Mix'!$D$31:$W$31,'Matriz_Habilidades'!$D90:$W90)=0,"",SUMPRODUCT('Calc_Mix'!$D$31:$W$31,'Matriz_Habilidades'!$D90:$W90)/'Calc_Mix'!$X$31+ROW()*0.000001))</f>
        <v/>
      </c>
      <c r="AI90" s="34">
        <f>IF(OR($B90="",$C90&lt;&gt;"Ativo",$D90&lt;&gt;'Calc_Mix'!$C$32,'Calc_Mix'!$X$32=0,COUNTIFS(Esc_Turno,'Calc_Mix'!$C$32,Esc_Circ,$B90)+COUNTIFS(Esc_Turno,'Calc_Mix'!$C$32,Esc_Instr,$B90)&gt;0),"",IF(SUMPRODUCT('Calc_Mix'!$D$32:$W$32,'Matriz_Habilidades'!$D90:$W90)=0,"",SUMPRODUCT('Calc_Mix'!$D$32:$W$32,'Matriz_Habilidades'!$D90:$W90)/'Calc_Mix'!$X$32+ROW()*0.000001))</f>
        <v/>
      </c>
      <c r="AJ90" s="34">
        <f>IF(OR($B90="",$C90&lt;&gt;"Ativo",$D90&lt;&gt;'Calc_Mix'!$C$33,'Calc_Mix'!$X$33=0,COUNTIFS(Esc_Turno,'Calc_Mix'!$C$33,Esc_Circ,$B90)+COUNTIFS(Esc_Turno,'Calc_Mix'!$C$33,Esc_Instr,$B90)&gt;0),"",IF(SUMPRODUCT('Calc_Mix'!$D$33:$W$33,'Matriz_Habilidades'!$D90:$W90)=0,"",SUMPRODUCT('Calc_Mix'!$D$33:$W$33,'Matriz_Habilidades'!$D90:$W90)/'Calc_Mix'!$X$33+ROW()*0.000001))</f>
        <v/>
      </c>
      <c r="AK90" s="34">
        <f>IF(OR($B90="",$C90&lt;&gt;"Ativo",$D90&lt;&gt;'Calc_Mix'!$C$34,'Calc_Mix'!$X$34=0,COUNTIFS(Esc_Turno,'Calc_Mix'!$C$34,Esc_Circ,$B90)+COUNTIFS(Esc_Turno,'Calc_Mix'!$C$34,Esc_Instr,$B90)&gt;0),"",IF(SUMPRODUCT('Calc_Mix'!$D$34:$W$34,'Matriz_Habilidades'!$D90:$W90)=0,"",SUMPRODUCT('Calc_Mix'!$D$34:$W$34,'Matriz_Habilidades'!$D90:$W90)/'Calc_Mix'!$X$34+ROW()*0.000001))</f>
        <v/>
      </c>
      <c r="AL90" s="34">
        <f>IF(OR($B90="",$C90&lt;&gt;"Ativo",$D90&lt;&gt;'Calc_Mix'!$C$35,'Calc_Mix'!$X$35=0,COUNTIFS(Esc_Turno,'Calc_Mix'!$C$35,Esc_Circ,$B90)+COUNTIFS(Esc_Turno,'Calc_Mix'!$C$35,Esc_Instr,$B90)&gt;0),"",IF(SUMPRODUCT('Calc_Mix'!$D$35:$W$35,'Matriz_Habilidades'!$D90:$W90)=0,"",SUMPRODUCT('Calc_Mix'!$D$35:$W$35,'Matriz_Habilidades'!$D90:$W90)/'Calc_Mix'!$X$35+ROW()*0.000001))</f>
        <v/>
      </c>
      <c r="AM90" s="34">
        <f>IF(OR($B90="",$C90&lt;&gt;"Ativo",$D90&lt;&gt;'Calc_Mix'!$C$36,'Calc_Mix'!$X$36=0,COUNTIFS(Esc_Turno,'Calc_Mix'!$C$36,Esc_Circ,$B90)+COUNTIFS(Esc_Turno,'Calc_Mix'!$C$36,Esc_Instr,$B90)&gt;0),"",IF(SUMPRODUCT('Calc_Mix'!$D$36:$W$36,'Matriz_Habilidades'!$D90:$W90)=0,"",SUMPRODUCT('Calc_Mix'!$D$36:$W$36,'Matriz_Habilidades'!$D90:$W90)/'Calc_Mix'!$X$36+ROW()*0.000001))</f>
        <v/>
      </c>
      <c r="AN90" s="34">
        <f>IF(OR($B90="",$C90&lt;&gt;"Ativo",$D90&lt;&gt;'Calc_Mix'!$C$37,'Calc_Mix'!$X$37=0,COUNTIFS(Esc_Turno,'Calc_Mix'!$C$37,Esc_Circ,$B90)+COUNTIFS(Esc_Turno,'Calc_Mix'!$C$37,Esc_Instr,$B90)&gt;0),"",IF(SUMPRODUCT('Calc_Mix'!$D$37:$W$37,'Matriz_Habilidades'!$D90:$W90)=0,"",SUMPRODUCT('Calc_Mix'!$D$37:$W$37,'Matriz_Habilidades'!$D90:$W90)/'Calc_Mix'!$X$37+ROW()*0.000001))</f>
        <v/>
      </c>
    </row>
    <row r="91">
      <c r="A91" s="27">
        <f>IF('Matriz_Habilidades'!A91="","",'Matriz_Habilidades'!A91)</f>
        <v/>
      </c>
      <c r="B91" s="28">
        <f>IF('Matriz_Habilidades'!B91="","",'Matriz_Habilidades'!B91)</f>
        <v/>
      </c>
      <c r="C91" s="27">
        <f>IF($A91="","",IFERROR(INDEX(Equipe_Status,MATCH($B91,Equipe_Nome,0)),"?"))</f>
        <v/>
      </c>
      <c r="D91" s="27">
        <f>IF($A91="","",IFERROR(INDEX(Equipe_Turno,MATCH($B91,Equipe_Nome,0)),"?"))</f>
        <v/>
      </c>
      <c r="E91" s="34">
        <f>IF(OR($B91="",$C91&lt;&gt;"Ativo",$D91&lt;&gt;'Calc_Mix'!$C$2,'Calc_Mix'!$X$2=0,COUNTIFS(Esc_Turno,'Calc_Mix'!$C$2,Esc_Circ,$B91)+COUNTIFS(Esc_Turno,'Calc_Mix'!$C$2,Esc_Instr,$B91)&gt;0),"",IF(SUMPRODUCT('Calc_Mix'!$D$2:$W$2,'Matriz_Habilidades'!$D91:$W91)=0,"",SUMPRODUCT('Calc_Mix'!$D$2:$W$2,'Matriz_Habilidades'!$D91:$W91)/'Calc_Mix'!$X$2+ROW()*0.000001))</f>
        <v/>
      </c>
      <c r="F91" s="34">
        <f>IF(OR($B91="",$C91&lt;&gt;"Ativo",$D91&lt;&gt;'Calc_Mix'!$C$3,'Calc_Mix'!$X$3=0,COUNTIFS(Esc_Turno,'Calc_Mix'!$C$3,Esc_Circ,$B91)+COUNTIFS(Esc_Turno,'Calc_Mix'!$C$3,Esc_Instr,$B91)&gt;0),"",IF(SUMPRODUCT('Calc_Mix'!$D$3:$W$3,'Matriz_Habilidades'!$D91:$W91)=0,"",SUMPRODUCT('Calc_Mix'!$D$3:$W$3,'Matriz_Habilidades'!$D91:$W91)/'Calc_Mix'!$X$3+ROW()*0.000001))</f>
        <v/>
      </c>
      <c r="G91" s="34">
        <f>IF(OR($B91="",$C91&lt;&gt;"Ativo",$D91&lt;&gt;'Calc_Mix'!$C$4,'Calc_Mix'!$X$4=0,COUNTIFS(Esc_Turno,'Calc_Mix'!$C$4,Esc_Circ,$B91)+COUNTIFS(Esc_Turno,'Calc_Mix'!$C$4,Esc_Instr,$B91)&gt;0),"",IF(SUMPRODUCT('Calc_Mix'!$D$4:$W$4,'Matriz_Habilidades'!$D91:$W91)=0,"",SUMPRODUCT('Calc_Mix'!$D$4:$W$4,'Matriz_Habilidades'!$D91:$W91)/'Calc_Mix'!$X$4+ROW()*0.000001))</f>
        <v/>
      </c>
      <c r="H91" s="34">
        <f>IF(OR($B91="",$C91&lt;&gt;"Ativo",$D91&lt;&gt;'Calc_Mix'!$C$5,'Calc_Mix'!$X$5=0,COUNTIFS(Esc_Turno,'Calc_Mix'!$C$5,Esc_Circ,$B91)+COUNTIFS(Esc_Turno,'Calc_Mix'!$C$5,Esc_Instr,$B91)&gt;0),"",IF(SUMPRODUCT('Calc_Mix'!$D$5:$W$5,'Matriz_Habilidades'!$D91:$W91)=0,"",SUMPRODUCT('Calc_Mix'!$D$5:$W$5,'Matriz_Habilidades'!$D91:$W91)/'Calc_Mix'!$X$5+ROW()*0.000001))</f>
        <v/>
      </c>
      <c r="I91" s="34">
        <f>IF(OR($B91="",$C91&lt;&gt;"Ativo",$D91&lt;&gt;'Calc_Mix'!$C$6,'Calc_Mix'!$X$6=0,COUNTIFS(Esc_Turno,'Calc_Mix'!$C$6,Esc_Circ,$B91)+COUNTIFS(Esc_Turno,'Calc_Mix'!$C$6,Esc_Instr,$B91)&gt;0),"",IF(SUMPRODUCT('Calc_Mix'!$D$6:$W$6,'Matriz_Habilidades'!$D91:$W91)=0,"",SUMPRODUCT('Calc_Mix'!$D$6:$W$6,'Matriz_Habilidades'!$D91:$W91)/'Calc_Mix'!$X$6+ROW()*0.000001))</f>
        <v/>
      </c>
      <c r="J91" s="34">
        <f>IF(OR($B91="",$C91&lt;&gt;"Ativo",$D91&lt;&gt;'Calc_Mix'!$C$7,'Calc_Mix'!$X$7=0,COUNTIFS(Esc_Turno,'Calc_Mix'!$C$7,Esc_Circ,$B91)+COUNTIFS(Esc_Turno,'Calc_Mix'!$C$7,Esc_Instr,$B91)&gt;0),"",IF(SUMPRODUCT('Calc_Mix'!$D$7:$W$7,'Matriz_Habilidades'!$D91:$W91)=0,"",SUMPRODUCT('Calc_Mix'!$D$7:$W$7,'Matriz_Habilidades'!$D91:$W91)/'Calc_Mix'!$X$7+ROW()*0.000001))</f>
        <v/>
      </c>
      <c r="K91" s="34">
        <f>IF(OR($B91="",$C91&lt;&gt;"Ativo",$D91&lt;&gt;'Calc_Mix'!$C$8,'Calc_Mix'!$X$8=0,COUNTIFS(Esc_Turno,'Calc_Mix'!$C$8,Esc_Circ,$B91)+COUNTIFS(Esc_Turno,'Calc_Mix'!$C$8,Esc_Instr,$B91)&gt;0),"",IF(SUMPRODUCT('Calc_Mix'!$D$8:$W$8,'Matriz_Habilidades'!$D91:$W91)=0,"",SUMPRODUCT('Calc_Mix'!$D$8:$W$8,'Matriz_Habilidades'!$D91:$W91)/'Calc_Mix'!$X$8+ROW()*0.000001))</f>
        <v/>
      </c>
      <c r="L91" s="34">
        <f>IF(OR($B91="",$C91&lt;&gt;"Ativo",$D91&lt;&gt;'Calc_Mix'!$C$9,'Calc_Mix'!$X$9=0,COUNTIFS(Esc_Turno,'Calc_Mix'!$C$9,Esc_Circ,$B91)+COUNTIFS(Esc_Turno,'Calc_Mix'!$C$9,Esc_Instr,$B91)&gt;0),"",IF(SUMPRODUCT('Calc_Mix'!$D$9:$W$9,'Matriz_Habilidades'!$D91:$W91)=0,"",SUMPRODUCT('Calc_Mix'!$D$9:$W$9,'Matriz_Habilidades'!$D91:$W91)/'Calc_Mix'!$X$9+ROW()*0.000001))</f>
        <v/>
      </c>
      <c r="M91" s="34">
        <f>IF(OR($B91="",$C91&lt;&gt;"Ativo",$D91&lt;&gt;'Calc_Mix'!$C$10,'Calc_Mix'!$X$10=0,COUNTIFS(Esc_Turno,'Calc_Mix'!$C$10,Esc_Circ,$B91)+COUNTIFS(Esc_Turno,'Calc_Mix'!$C$10,Esc_Instr,$B91)&gt;0),"",IF(SUMPRODUCT('Calc_Mix'!$D$10:$W$10,'Matriz_Habilidades'!$D91:$W91)=0,"",SUMPRODUCT('Calc_Mix'!$D$10:$W$10,'Matriz_Habilidades'!$D91:$W91)/'Calc_Mix'!$X$10+ROW()*0.000001))</f>
        <v/>
      </c>
      <c r="N91" s="34">
        <f>IF(OR($B91="",$C91&lt;&gt;"Ativo",$D91&lt;&gt;'Calc_Mix'!$C$11,'Calc_Mix'!$X$11=0,COUNTIFS(Esc_Turno,'Calc_Mix'!$C$11,Esc_Circ,$B91)+COUNTIFS(Esc_Turno,'Calc_Mix'!$C$11,Esc_Instr,$B91)&gt;0),"",IF(SUMPRODUCT('Calc_Mix'!$D$11:$W$11,'Matriz_Habilidades'!$D91:$W91)=0,"",SUMPRODUCT('Calc_Mix'!$D$11:$W$11,'Matriz_Habilidades'!$D91:$W91)/'Calc_Mix'!$X$11+ROW()*0.000001))</f>
        <v/>
      </c>
      <c r="O91" s="34">
        <f>IF(OR($B91="",$C91&lt;&gt;"Ativo",$D91&lt;&gt;'Calc_Mix'!$C$12,'Calc_Mix'!$X$12=0,COUNTIFS(Esc_Turno,'Calc_Mix'!$C$12,Esc_Circ,$B91)+COUNTIFS(Esc_Turno,'Calc_Mix'!$C$12,Esc_Instr,$B91)&gt;0),"",IF(SUMPRODUCT('Calc_Mix'!$D$12:$W$12,'Matriz_Habilidades'!$D91:$W91)=0,"",SUMPRODUCT('Calc_Mix'!$D$12:$W$12,'Matriz_Habilidades'!$D91:$W91)/'Calc_Mix'!$X$12+ROW()*0.000001))</f>
        <v/>
      </c>
      <c r="P91" s="34">
        <f>IF(OR($B91="",$C91&lt;&gt;"Ativo",$D91&lt;&gt;'Calc_Mix'!$C$13,'Calc_Mix'!$X$13=0,COUNTIFS(Esc_Turno,'Calc_Mix'!$C$13,Esc_Circ,$B91)+COUNTIFS(Esc_Turno,'Calc_Mix'!$C$13,Esc_Instr,$B91)&gt;0),"",IF(SUMPRODUCT('Calc_Mix'!$D$13:$W$13,'Matriz_Habilidades'!$D91:$W91)=0,"",SUMPRODUCT('Calc_Mix'!$D$13:$W$13,'Matriz_Habilidades'!$D91:$W91)/'Calc_Mix'!$X$13+ROW()*0.000001))</f>
        <v/>
      </c>
      <c r="Q91" s="34">
        <f>IF(OR($B91="",$C91&lt;&gt;"Ativo",$D91&lt;&gt;'Calc_Mix'!$C$14,'Calc_Mix'!$X$14=0,COUNTIFS(Esc_Turno,'Calc_Mix'!$C$14,Esc_Circ,$B91)+COUNTIFS(Esc_Turno,'Calc_Mix'!$C$14,Esc_Instr,$B91)&gt;0),"",IF(SUMPRODUCT('Calc_Mix'!$D$14:$W$14,'Matriz_Habilidades'!$D91:$W91)=0,"",SUMPRODUCT('Calc_Mix'!$D$14:$W$14,'Matriz_Habilidades'!$D91:$W91)/'Calc_Mix'!$X$14+ROW()*0.000001))</f>
        <v/>
      </c>
      <c r="R91" s="34">
        <f>IF(OR($B91="",$C91&lt;&gt;"Ativo",$D91&lt;&gt;'Calc_Mix'!$C$15,'Calc_Mix'!$X$15=0,COUNTIFS(Esc_Turno,'Calc_Mix'!$C$15,Esc_Circ,$B91)+COUNTIFS(Esc_Turno,'Calc_Mix'!$C$15,Esc_Instr,$B91)&gt;0),"",IF(SUMPRODUCT('Calc_Mix'!$D$15:$W$15,'Matriz_Habilidades'!$D91:$W91)=0,"",SUMPRODUCT('Calc_Mix'!$D$15:$W$15,'Matriz_Habilidades'!$D91:$W91)/'Calc_Mix'!$X$15+ROW()*0.000001))</f>
        <v/>
      </c>
      <c r="S91" s="34">
        <f>IF(OR($B91="",$C91&lt;&gt;"Ativo",$D91&lt;&gt;'Calc_Mix'!$C$16,'Calc_Mix'!$X$16=0,COUNTIFS(Esc_Turno,'Calc_Mix'!$C$16,Esc_Circ,$B91)+COUNTIFS(Esc_Turno,'Calc_Mix'!$C$16,Esc_Instr,$B91)&gt;0),"",IF(SUMPRODUCT('Calc_Mix'!$D$16:$W$16,'Matriz_Habilidades'!$D91:$W91)=0,"",SUMPRODUCT('Calc_Mix'!$D$16:$W$16,'Matriz_Habilidades'!$D91:$W91)/'Calc_Mix'!$X$16+ROW()*0.000001))</f>
        <v/>
      </c>
      <c r="T91" s="34">
        <f>IF(OR($B91="",$C91&lt;&gt;"Ativo",$D91&lt;&gt;'Calc_Mix'!$C$17,'Calc_Mix'!$X$17=0,COUNTIFS(Esc_Turno,'Calc_Mix'!$C$17,Esc_Circ,$B91)+COUNTIFS(Esc_Turno,'Calc_Mix'!$C$17,Esc_Instr,$B91)&gt;0),"",IF(SUMPRODUCT('Calc_Mix'!$D$17:$W$17,'Matriz_Habilidades'!$D91:$W91)=0,"",SUMPRODUCT('Calc_Mix'!$D$17:$W$17,'Matriz_Habilidades'!$D91:$W91)/'Calc_Mix'!$X$17+ROW()*0.000001))</f>
        <v/>
      </c>
      <c r="U91" s="34">
        <f>IF(OR($B91="",$C91&lt;&gt;"Ativo",$D91&lt;&gt;'Calc_Mix'!$C$18,'Calc_Mix'!$X$18=0,COUNTIFS(Esc_Turno,'Calc_Mix'!$C$18,Esc_Circ,$B91)+COUNTIFS(Esc_Turno,'Calc_Mix'!$C$18,Esc_Instr,$B91)&gt;0),"",IF(SUMPRODUCT('Calc_Mix'!$D$18:$W$18,'Matriz_Habilidades'!$D91:$W91)=0,"",SUMPRODUCT('Calc_Mix'!$D$18:$W$18,'Matriz_Habilidades'!$D91:$W91)/'Calc_Mix'!$X$18+ROW()*0.000001))</f>
        <v/>
      </c>
      <c r="V91" s="34">
        <f>IF(OR($B91="",$C91&lt;&gt;"Ativo",$D91&lt;&gt;'Calc_Mix'!$C$19,'Calc_Mix'!$X$19=0,COUNTIFS(Esc_Turno,'Calc_Mix'!$C$19,Esc_Circ,$B91)+COUNTIFS(Esc_Turno,'Calc_Mix'!$C$19,Esc_Instr,$B91)&gt;0),"",IF(SUMPRODUCT('Calc_Mix'!$D$19:$W$19,'Matriz_Habilidades'!$D91:$W91)=0,"",SUMPRODUCT('Calc_Mix'!$D$19:$W$19,'Matriz_Habilidades'!$D91:$W91)/'Calc_Mix'!$X$19+ROW()*0.000001))</f>
        <v/>
      </c>
      <c r="W91" s="34">
        <f>IF(OR($B91="",$C91&lt;&gt;"Ativo",$D91&lt;&gt;'Calc_Mix'!$C$20,'Calc_Mix'!$X$20=0,COUNTIFS(Esc_Turno,'Calc_Mix'!$C$20,Esc_Circ,$B91)+COUNTIFS(Esc_Turno,'Calc_Mix'!$C$20,Esc_Instr,$B91)&gt;0),"",IF(SUMPRODUCT('Calc_Mix'!$D$20:$W$20,'Matriz_Habilidades'!$D91:$W91)=0,"",SUMPRODUCT('Calc_Mix'!$D$20:$W$20,'Matriz_Habilidades'!$D91:$W91)/'Calc_Mix'!$X$20+ROW()*0.000001))</f>
        <v/>
      </c>
      <c r="X91" s="34">
        <f>IF(OR($B91="",$C91&lt;&gt;"Ativo",$D91&lt;&gt;'Calc_Mix'!$C$21,'Calc_Mix'!$X$21=0,COUNTIFS(Esc_Turno,'Calc_Mix'!$C$21,Esc_Circ,$B91)+COUNTIFS(Esc_Turno,'Calc_Mix'!$C$21,Esc_Instr,$B91)&gt;0),"",IF(SUMPRODUCT('Calc_Mix'!$D$21:$W$21,'Matriz_Habilidades'!$D91:$W91)=0,"",SUMPRODUCT('Calc_Mix'!$D$21:$W$21,'Matriz_Habilidades'!$D91:$W91)/'Calc_Mix'!$X$21+ROW()*0.000001))</f>
        <v/>
      </c>
      <c r="Y91" s="34">
        <f>IF(OR($B91="",$C91&lt;&gt;"Ativo",$D91&lt;&gt;'Calc_Mix'!$C$22,'Calc_Mix'!$X$22=0,COUNTIFS(Esc_Turno,'Calc_Mix'!$C$22,Esc_Circ,$B91)+COUNTIFS(Esc_Turno,'Calc_Mix'!$C$22,Esc_Instr,$B91)&gt;0),"",IF(SUMPRODUCT('Calc_Mix'!$D$22:$W$22,'Matriz_Habilidades'!$D91:$W91)=0,"",SUMPRODUCT('Calc_Mix'!$D$22:$W$22,'Matriz_Habilidades'!$D91:$W91)/'Calc_Mix'!$X$22+ROW()*0.000001))</f>
        <v/>
      </c>
      <c r="Z91" s="34">
        <f>IF(OR($B91="",$C91&lt;&gt;"Ativo",$D91&lt;&gt;'Calc_Mix'!$C$23,'Calc_Mix'!$X$23=0,COUNTIFS(Esc_Turno,'Calc_Mix'!$C$23,Esc_Circ,$B91)+COUNTIFS(Esc_Turno,'Calc_Mix'!$C$23,Esc_Instr,$B91)&gt;0),"",IF(SUMPRODUCT('Calc_Mix'!$D$23:$W$23,'Matriz_Habilidades'!$D91:$W91)=0,"",SUMPRODUCT('Calc_Mix'!$D$23:$W$23,'Matriz_Habilidades'!$D91:$W91)/'Calc_Mix'!$X$23+ROW()*0.000001))</f>
        <v/>
      </c>
      <c r="AA91" s="34">
        <f>IF(OR($B91="",$C91&lt;&gt;"Ativo",$D91&lt;&gt;'Calc_Mix'!$C$24,'Calc_Mix'!$X$24=0,COUNTIFS(Esc_Turno,'Calc_Mix'!$C$24,Esc_Circ,$B91)+COUNTIFS(Esc_Turno,'Calc_Mix'!$C$24,Esc_Instr,$B91)&gt;0),"",IF(SUMPRODUCT('Calc_Mix'!$D$24:$W$24,'Matriz_Habilidades'!$D91:$W91)=0,"",SUMPRODUCT('Calc_Mix'!$D$24:$W$24,'Matriz_Habilidades'!$D91:$W91)/'Calc_Mix'!$X$24+ROW()*0.000001))</f>
        <v/>
      </c>
      <c r="AB91" s="34">
        <f>IF(OR($B91="",$C91&lt;&gt;"Ativo",$D91&lt;&gt;'Calc_Mix'!$C$25,'Calc_Mix'!$X$25=0,COUNTIFS(Esc_Turno,'Calc_Mix'!$C$25,Esc_Circ,$B91)+COUNTIFS(Esc_Turno,'Calc_Mix'!$C$25,Esc_Instr,$B91)&gt;0),"",IF(SUMPRODUCT('Calc_Mix'!$D$25:$W$25,'Matriz_Habilidades'!$D91:$W91)=0,"",SUMPRODUCT('Calc_Mix'!$D$25:$W$25,'Matriz_Habilidades'!$D91:$W91)/'Calc_Mix'!$X$25+ROW()*0.000001))</f>
        <v/>
      </c>
      <c r="AC91" s="34">
        <f>IF(OR($B91="",$C91&lt;&gt;"Ativo",$D91&lt;&gt;'Calc_Mix'!$C$26,'Calc_Mix'!$X$26=0,COUNTIFS(Esc_Turno,'Calc_Mix'!$C$26,Esc_Circ,$B91)+COUNTIFS(Esc_Turno,'Calc_Mix'!$C$26,Esc_Instr,$B91)&gt;0),"",IF(SUMPRODUCT('Calc_Mix'!$D$26:$W$26,'Matriz_Habilidades'!$D91:$W91)=0,"",SUMPRODUCT('Calc_Mix'!$D$26:$W$26,'Matriz_Habilidades'!$D91:$W91)/'Calc_Mix'!$X$26+ROW()*0.000001))</f>
        <v/>
      </c>
      <c r="AD91" s="34">
        <f>IF(OR($B91="",$C91&lt;&gt;"Ativo",$D91&lt;&gt;'Calc_Mix'!$C$27,'Calc_Mix'!$X$27=0,COUNTIFS(Esc_Turno,'Calc_Mix'!$C$27,Esc_Circ,$B91)+COUNTIFS(Esc_Turno,'Calc_Mix'!$C$27,Esc_Instr,$B91)&gt;0),"",IF(SUMPRODUCT('Calc_Mix'!$D$27:$W$27,'Matriz_Habilidades'!$D91:$W91)=0,"",SUMPRODUCT('Calc_Mix'!$D$27:$W$27,'Matriz_Habilidades'!$D91:$W91)/'Calc_Mix'!$X$27+ROW()*0.000001))</f>
        <v/>
      </c>
      <c r="AE91" s="34">
        <f>IF(OR($B91="",$C91&lt;&gt;"Ativo",$D91&lt;&gt;'Calc_Mix'!$C$28,'Calc_Mix'!$X$28=0,COUNTIFS(Esc_Turno,'Calc_Mix'!$C$28,Esc_Circ,$B91)+COUNTIFS(Esc_Turno,'Calc_Mix'!$C$28,Esc_Instr,$B91)&gt;0),"",IF(SUMPRODUCT('Calc_Mix'!$D$28:$W$28,'Matriz_Habilidades'!$D91:$W91)=0,"",SUMPRODUCT('Calc_Mix'!$D$28:$W$28,'Matriz_Habilidades'!$D91:$W91)/'Calc_Mix'!$X$28+ROW()*0.000001))</f>
        <v/>
      </c>
      <c r="AF91" s="34">
        <f>IF(OR($B91="",$C91&lt;&gt;"Ativo",$D91&lt;&gt;'Calc_Mix'!$C$29,'Calc_Mix'!$X$29=0,COUNTIFS(Esc_Turno,'Calc_Mix'!$C$29,Esc_Circ,$B91)+COUNTIFS(Esc_Turno,'Calc_Mix'!$C$29,Esc_Instr,$B91)&gt;0),"",IF(SUMPRODUCT('Calc_Mix'!$D$29:$W$29,'Matriz_Habilidades'!$D91:$W91)=0,"",SUMPRODUCT('Calc_Mix'!$D$29:$W$29,'Matriz_Habilidades'!$D91:$W91)/'Calc_Mix'!$X$29+ROW()*0.000001))</f>
        <v/>
      </c>
      <c r="AG91" s="34">
        <f>IF(OR($B91="",$C91&lt;&gt;"Ativo",$D91&lt;&gt;'Calc_Mix'!$C$30,'Calc_Mix'!$X$30=0,COUNTIFS(Esc_Turno,'Calc_Mix'!$C$30,Esc_Circ,$B91)+COUNTIFS(Esc_Turno,'Calc_Mix'!$C$30,Esc_Instr,$B91)&gt;0),"",IF(SUMPRODUCT('Calc_Mix'!$D$30:$W$30,'Matriz_Habilidades'!$D91:$W91)=0,"",SUMPRODUCT('Calc_Mix'!$D$30:$W$30,'Matriz_Habilidades'!$D91:$W91)/'Calc_Mix'!$X$30+ROW()*0.000001))</f>
        <v/>
      </c>
      <c r="AH91" s="34">
        <f>IF(OR($B91="",$C91&lt;&gt;"Ativo",$D91&lt;&gt;'Calc_Mix'!$C$31,'Calc_Mix'!$X$31=0,COUNTIFS(Esc_Turno,'Calc_Mix'!$C$31,Esc_Circ,$B91)+COUNTIFS(Esc_Turno,'Calc_Mix'!$C$31,Esc_Instr,$B91)&gt;0),"",IF(SUMPRODUCT('Calc_Mix'!$D$31:$W$31,'Matriz_Habilidades'!$D91:$W91)=0,"",SUMPRODUCT('Calc_Mix'!$D$31:$W$31,'Matriz_Habilidades'!$D91:$W91)/'Calc_Mix'!$X$31+ROW()*0.000001))</f>
        <v/>
      </c>
      <c r="AI91" s="34">
        <f>IF(OR($B91="",$C91&lt;&gt;"Ativo",$D91&lt;&gt;'Calc_Mix'!$C$32,'Calc_Mix'!$X$32=0,COUNTIFS(Esc_Turno,'Calc_Mix'!$C$32,Esc_Circ,$B91)+COUNTIFS(Esc_Turno,'Calc_Mix'!$C$32,Esc_Instr,$B91)&gt;0),"",IF(SUMPRODUCT('Calc_Mix'!$D$32:$W$32,'Matriz_Habilidades'!$D91:$W91)=0,"",SUMPRODUCT('Calc_Mix'!$D$32:$W$32,'Matriz_Habilidades'!$D91:$W91)/'Calc_Mix'!$X$32+ROW()*0.000001))</f>
        <v/>
      </c>
      <c r="AJ91" s="34">
        <f>IF(OR($B91="",$C91&lt;&gt;"Ativo",$D91&lt;&gt;'Calc_Mix'!$C$33,'Calc_Mix'!$X$33=0,COUNTIFS(Esc_Turno,'Calc_Mix'!$C$33,Esc_Circ,$B91)+COUNTIFS(Esc_Turno,'Calc_Mix'!$C$33,Esc_Instr,$B91)&gt;0),"",IF(SUMPRODUCT('Calc_Mix'!$D$33:$W$33,'Matriz_Habilidades'!$D91:$W91)=0,"",SUMPRODUCT('Calc_Mix'!$D$33:$W$33,'Matriz_Habilidades'!$D91:$W91)/'Calc_Mix'!$X$33+ROW()*0.000001))</f>
        <v/>
      </c>
      <c r="AK91" s="34">
        <f>IF(OR($B91="",$C91&lt;&gt;"Ativo",$D91&lt;&gt;'Calc_Mix'!$C$34,'Calc_Mix'!$X$34=0,COUNTIFS(Esc_Turno,'Calc_Mix'!$C$34,Esc_Circ,$B91)+COUNTIFS(Esc_Turno,'Calc_Mix'!$C$34,Esc_Instr,$B91)&gt;0),"",IF(SUMPRODUCT('Calc_Mix'!$D$34:$W$34,'Matriz_Habilidades'!$D91:$W91)=0,"",SUMPRODUCT('Calc_Mix'!$D$34:$W$34,'Matriz_Habilidades'!$D91:$W91)/'Calc_Mix'!$X$34+ROW()*0.000001))</f>
        <v/>
      </c>
      <c r="AL91" s="34">
        <f>IF(OR($B91="",$C91&lt;&gt;"Ativo",$D91&lt;&gt;'Calc_Mix'!$C$35,'Calc_Mix'!$X$35=0,COUNTIFS(Esc_Turno,'Calc_Mix'!$C$35,Esc_Circ,$B91)+COUNTIFS(Esc_Turno,'Calc_Mix'!$C$35,Esc_Instr,$B91)&gt;0),"",IF(SUMPRODUCT('Calc_Mix'!$D$35:$W$35,'Matriz_Habilidades'!$D91:$W91)=0,"",SUMPRODUCT('Calc_Mix'!$D$35:$W$35,'Matriz_Habilidades'!$D91:$W91)/'Calc_Mix'!$X$35+ROW()*0.000001))</f>
        <v/>
      </c>
      <c r="AM91" s="34">
        <f>IF(OR($B91="",$C91&lt;&gt;"Ativo",$D91&lt;&gt;'Calc_Mix'!$C$36,'Calc_Mix'!$X$36=0,COUNTIFS(Esc_Turno,'Calc_Mix'!$C$36,Esc_Circ,$B91)+COUNTIFS(Esc_Turno,'Calc_Mix'!$C$36,Esc_Instr,$B91)&gt;0),"",IF(SUMPRODUCT('Calc_Mix'!$D$36:$W$36,'Matriz_Habilidades'!$D91:$W91)=0,"",SUMPRODUCT('Calc_Mix'!$D$36:$W$36,'Matriz_Habilidades'!$D91:$W91)/'Calc_Mix'!$X$36+ROW()*0.000001))</f>
        <v/>
      </c>
      <c r="AN91" s="34">
        <f>IF(OR($B91="",$C91&lt;&gt;"Ativo",$D91&lt;&gt;'Calc_Mix'!$C$37,'Calc_Mix'!$X$37=0,COUNTIFS(Esc_Turno,'Calc_Mix'!$C$37,Esc_Circ,$B91)+COUNTIFS(Esc_Turno,'Calc_Mix'!$C$37,Esc_Instr,$B91)&gt;0),"",IF(SUMPRODUCT('Calc_Mix'!$D$37:$W$37,'Matriz_Habilidades'!$D91:$W91)=0,"",SUMPRODUCT('Calc_Mix'!$D$37:$W$37,'Matriz_Habilidades'!$D91:$W91)/'Calc_Mix'!$X$37+ROW()*0.000001))</f>
        <v/>
      </c>
    </row>
    <row r="92">
      <c r="A92" s="27">
        <f>IF('Matriz_Habilidades'!A92="","",'Matriz_Habilidades'!A92)</f>
        <v/>
      </c>
      <c r="B92" s="28">
        <f>IF('Matriz_Habilidades'!B92="","",'Matriz_Habilidades'!B92)</f>
        <v/>
      </c>
      <c r="C92" s="27">
        <f>IF($A92="","",IFERROR(INDEX(Equipe_Status,MATCH($B92,Equipe_Nome,0)),"?"))</f>
        <v/>
      </c>
      <c r="D92" s="27">
        <f>IF($A92="","",IFERROR(INDEX(Equipe_Turno,MATCH($B92,Equipe_Nome,0)),"?"))</f>
        <v/>
      </c>
      <c r="E92" s="34">
        <f>IF(OR($B92="",$C92&lt;&gt;"Ativo",$D92&lt;&gt;'Calc_Mix'!$C$2,'Calc_Mix'!$X$2=0,COUNTIFS(Esc_Turno,'Calc_Mix'!$C$2,Esc_Circ,$B92)+COUNTIFS(Esc_Turno,'Calc_Mix'!$C$2,Esc_Instr,$B92)&gt;0),"",IF(SUMPRODUCT('Calc_Mix'!$D$2:$W$2,'Matriz_Habilidades'!$D92:$W92)=0,"",SUMPRODUCT('Calc_Mix'!$D$2:$W$2,'Matriz_Habilidades'!$D92:$W92)/'Calc_Mix'!$X$2+ROW()*0.000001))</f>
        <v/>
      </c>
      <c r="F92" s="34">
        <f>IF(OR($B92="",$C92&lt;&gt;"Ativo",$D92&lt;&gt;'Calc_Mix'!$C$3,'Calc_Mix'!$X$3=0,COUNTIFS(Esc_Turno,'Calc_Mix'!$C$3,Esc_Circ,$B92)+COUNTIFS(Esc_Turno,'Calc_Mix'!$C$3,Esc_Instr,$B92)&gt;0),"",IF(SUMPRODUCT('Calc_Mix'!$D$3:$W$3,'Matriz_Habilidades'!$D92:$W92)=0,"",SUMPRODUCT('Calc_Mix'!$D$3:$W$3,'Matriz_Habilidades'!$D92:$W92)/'Calc_Mix'!$X$3+ROW()*0.000001))</f>
        <v/>
      </c>
      <c r="G92" s="34">
        <f>IF(OR($B92="",$C92&lt;&gt;"Ativo",$D92&lt;&gt;'Calc_Mix'!$C$4,'Calc_Mix'!$X$4=0,COUNTIFS(Esc_Turno,'Calc_Mix'!$C$4,Esc_Circ,$B92)+COUNTIFS(Esc_Turno,'Calc_Mix'!$C$4,Esc_Instr,$B92)&gt;0),"",IF(SUMPRODUCT('Calc_Mix'!$D$4:$W$4,'Matriz_Habilidades'!$D92:$W92)=0,"",SUMPRODUCT('Calc_Mix'!$D$4:$W$4,'Matriz_Habilidades'!$D92:$W92)/'Calc_Mix'!$X$4+ROW()*0.000001))</f>
        <v/>
      </c>
      <c r="H92" s="34">
        <f>IF(OR($B92="",$C92&lt;&gt;"Ativo",$D92&lt;&gt;'Calc_Mix'!$C$5,'Calc_Mix'!$X$5=0,COUNTIFS(Esc_Turno,'Calc_Mix'!$C$5,Esc_Circ,$B92)+COUNTIFS(Esc_Turno,'Calc_Mix'!$C$5,Esc_Instr,$B92)&gt;0),"",IF(SUMPRODUCT('Calc_Mix'!$D$5:$W$5,'Matriz_Habilidades'!$D92:$W92)=0,"",SUMPRODUCT('Calc_Mix'!$D$5:$W$5,'Matriz_Habilidades'!$D92:$W92)/'Calc_Mix'!$X$5+ROW()*0.000001))</f>
        <v/>
      </c>
      <c r="I92" s="34">
        <f>IF(OR($B92="",$C92&lt;&gt;"Ativo",$D92&lt;&gt;'Calc_Mix'!$C$6,'Calc_Mix'!$X$6=0,COUNTIFS(Esc_Turno,'Calc_Mix'!$C$6,Esc_Circ,$B92)+COUNTIFS(Esc_Turno,'Calc_Mix'!$C$6,Esc_Instr,$B92)&gt;0),"",IF(SUMPRODUCT('Calc_Mix'!$D$6:$W$6,'Matriz_Habilidades'!$D92:$W92)=0,"",SUMPRODUCT('Calc_Mix'!$D$6:$W$6,'Matriz_Habilidades'!$D92:$W92)/'Calc_Mix'!$X$6+ROW()*0.000001))</f>
        <v/>
      </c>
      <c r="J92" s="34">
        <f>IF(OR($B92="",$C92&lt;&gt;"Ativo",$D92&lt;&gt;'Calc_Mix'!$C$7,'Calc_Mix'!$X$7=0,COUNTIFS(Esc_Turno,'Calc_Mix'!$C$7,Esc_Circ,$B92)+COUNTIFS(Esc_Turno,'Calc_Mix'!$C$7,Esc_Instr,$B92)&gt;0),"",IF(SUMPRODUCT('Calc_Mix'!$D$7:$W$7,'Matriz_Habilidades'!$D92:$W92)=0,"",SUMPRODUCT('Calc_Mix'!$D$7:$W$7,'Matriz_Habilidades'!$D92:$W92)/'Calc_Mix'!$X$7+ROW()*0.000001))</f>
        <v/>
      </c>
      <c r="K92" s="34">
        <f>IF(OR($B92="",$C92&lt;&gt;"Ativo",$D92&lt;&gt;'Calc_Mix'!$C$8,'Calc_Mix'!$X$8=0,COUNTIFS(Esc_Turno,'Calc_Mix'!$C$8,Esc_Circ,$B92)+COUNTIFS(Esc_Turno,'Calc_Mix'!$C$8,Esc_Instr,$B92)&gt;0),"",IF(SUMPRODUCT('Calc_Mix'!$D$8:$W$8,'Matriz_Habilidades'!$D92:$W92)=0,"",SUMPRODUCT('Calc_Mix'!$D$8:$W$8,'Matriz_Habilidades'!$D92:$W92)/'Calc_Mix'!$X$8+ROW()*0.000001))</f>
        <v/>
      </c>
      <c r="L92" s="34">
        <f>IF(OR($B92="",$C92&lt;&gt;"Ativo",$D92&lt;&gt;'Calc_Mix'!$C$9,'Calc_Mix'!$X$9=0,COUNTIFS(Esc_Turno,'Calc_Mix'!$C$9,Esc_Circ,$B92)+COUNTIFS(Esc_Turno,'Calc_Mix'!$C$9,Esc_Instr,$B92)&gt;0),"",IF(SUMPRODUCT('Calc_Mix'!$D$9:$W$9,'Matriz_Habilidades'!$D92:$W92)=0,"",SUMPRODUCT('Calc_Mix'!$D$9:$W$9,'Matriz_Habilidades'!$D92:$W92)/'Calc_Mix'!$X$9+ROW()*0.000001))</f>
        <v/>
      </c>
      <c r="M92" s="34">
        <f>IF(OR($B92="",$C92&lt;&gt;"Ativo",$D92&lt;&gt;'Calc_Mix'!$C$10,'Calc_Mix'!$X$10=0,COUNTIFS(Esc_Turno,'Calc_Mix'!$C$10,Esc_Circ,$B92)+COUNTIFS(Esc_Turno,'Calc_Mix'!$C$10,Esc_Instr,$B92)&gt;0),"",IF(SUMPRODUCT('Calc_Mix'!$D$10:$W$10,'Matriz_Habilidades'!$D92:$W92)=0,"",SUMPRODUCT('Calc_Mix'!$D$10:$W$10,'Matriz_Habilidades'!$D92:$W92)/'Calc_Mix'!$X$10+ROW()*0.000001))</f>
        <v/>
      </c>
      <c r="N92" s="34">
        <f>IF(OR($B92="",$C92&lt;&gt;"Ativo",$D92&lt;&gt;'Calc_Mix'!$C$11,'Calc_Mix'!$X$11=0,COUNTIFS(Esc_Turno,'Calc_Mix'!$C$11,Esc_Circ,$B92)+COUNTIFS(Esc_Turno,'Calc_Mix'!$C$11,Esc_Instr,$B92)&gt;0),"",IF(SUMPRODUCT('Calc_Mix'!$D$11:$W$11,'Matriz_Habilidades'!$D92:$W92)=0,"",SUMPRODUCT('Calc_Mix'!$D$11:$W$11,'Matriz_Habilidades'!$D92:$W92)/'Calc_Mix'!$X$11+ROW()*0.000001))</f>
        <v/>
      </c>
      <c r="O92" s="34">
        <f>IF(OR($B92="",$C92&lt;&gt;"Ativo",$D92&lt;&gt;'Calc_Mix'!$C$12,'Calc_Mix'!$X$12=0,COUNTIFS(Esc_Turno,'Calc_Mix'!$C$12,Esc_Circ,$B92)+COUNTIFS(Esc_Turno,'Calc_Mix'!$C$12,Esc_Instr,$B92)&gt;0),"",IF(SUMPRODUCT('Calc_Mix'!$D$12:$W$12,'Matriz_Habilidades'!$D92:$W92)=0,"",SUMPRODUCT('Calc_Mix'!$D$12:$W$12,'Matriz_Habilidades'!$D92:$W92)/'Calc_Mix'!$X$12+ROW()*0.000001))</f>
        <v/>
      </c>
      <c r="P92" s="34">
        <f>IF(OR($B92="",$C92&lt;&gt;"Ativo",$D92&lt;&gt;'Calc_Mix'!$C$13,'Calc_Mix'!$X$13=0,COUNTIFS(Esc_Turno,'Calc_Mix'!$C$13,Esc_Circ,$B92)+COUNTIFS(Esc_Turno,'Calc_Mix'!$C$13,Esc_Instr,$B92)&gt;0),"",IF(SUMPRODUCT('Calc_Mix'!$D$13:$W$13,'Matriz_Habilidades'!$D92:$W92)=0,"",SUMPRODUCT('Calc_Mix'!$D$13:$W$13,'Matriz_Habilidades'!$D92:$W92)/'Calc_Mix'!$X$13+ROW()*0.000001))</f>
        <v/>
      </c>
      <c r="Q92" s="34">
        <f>IF(OR($B92="",$C92&lt;&gt;"Ativo",$D92&lt;&gt;'Calc_Mix'!$C$14,'Calc_Mix'!$X$14=0,COUNTIFS(Esc_Turno,'Calc_Mix'!$C$14,Esc_Circ,$B92)+COUNTIFS(Esc_Turno,'Calc_Mix'!$C$14,Esc_Instr,$B92)&gt;0),"",IF(SUMPRODUCT('Calc_Mix'!$D$14:$W$14,'Matriz_Habilidades'!$D92:$W92)=0,"",SUMPRODUCT('Calc_Mix'!$D$14:$W$14,'Matriz_Habilidades'!$D92:$W92)/'Calc_Mix'!$X$14+ROW()*0.000001))</f>
        <v/>
      </c>
      <c r="R92" s="34">
        <f>IF(OR($B92="",$C92&lt;&gt;"Ativo",$D92&lt;&gt;'Calc_Mix'!$C$15,'Calc_Mix'!$X$15=0,COUNTIFS(Esc_Turno,'Calc_Mix'!$C$15,Esc_Circ,$B92)+COUNTIFS(Esc_Turno,'Calc_Mix'!$C$15,Esc_Instr,$B92)&gt;0),"",IF(SUMPRODUCT('Calc_Mix'!$D$15:$W$15,'Matriz_Habilidades'!$D92:$W92)=0,"",SUMPRODUCT('Calc_Mix'!$D$15:$W$15,'Matriz_Habilidades'!$D92:$W92)/'Calc_Mix'!$X$15+ROW()*0.000001))</f>
        <v/>
      </c>
      <c r="S92" s="34">
        <f>IF(OR($B92="",$C92&lt;&gt;"Ativo",$D92&lt;&gt;'Calc_Mix'!$C$16,'Calc_Mix'!$X$16=0,COUNTIFS(Esc_Turno,'Calc_Mix'!$C$16,Esc_Circ,$B92)+COUNTIFS(Esc_Turno,'Calc_Mix'!$C$16,Esc_Instr,$B92)&gt;0),"",IF(SUMPRODUCT('Calc_Mix'!$D$16:$W$16,'Matriz_Habilidades'!$D92:$W92)=0,"",SUMPRODUCT('Calc_Mix'!$D$16:$W$16,'Matriz_Habilidades'!$D92:$W92)/'Calc_Mix'!$X$16+ROW()*0.000001))</f>
        <v/>
      </c>
      <c r="T92" s="34">
        <f>IF(OR($B92="",$C92&lt;&gt;"Ativo",$D92&lt;&gt;'Calc_Mix'!$C$17,'Calc_Mix'!$X$17=0,COUNTIFS(Esc_Turno,'Calc_Mix'!$C$17,Esc_Circ,$B92)+COUNTIFS(Esc_Turno,'Calc_Mix'!$C$17,Esc_Instr,$B92)&gt;0),"",IF(SUMPRODUCT('Calc_Mix'!$D$17:$W$17,'Matriz_Habilidades'!$D92:$W92)=0,"",SUMPRODUCT('Calc_Mix'!$D$17:$W$17,'Matriz_Habilidades'!$D92:$W92)/'Calc_Mix'!$X$17+ROW()*0.000001))</f>
        <v/>
      </c>
      <c r="U92" s="34">
        <f>IF(OR($B92="",$C92&lt;&gt;"Ativo",$D92&lt;&gt;'Calc_Mix'!$C$18,'Calc_Mix'!$X$18=0,COUNTIFS(Esc_Turno,'Calc_Mix'!$C$18,Esc_Circ,$B92)+COUNTIFS(Esc_Turno,'Calc_Mix'!$C$18,Esc_Instr,$B92)&gt;0),"",IF(SUMPRODUCT('Calc_Mix'!$D$18:$W$18,'Matriz_Habilidades'!$D92:$W92)=0,"",SUMPRODUCT('Calc_Mix'!$D$18:$W$18,'Matriz_Habilidades'!$D92:$W92)/'Calc_Mix'!$X$18+ROW()*0.000001))</f>
        <v/>
      </c>
      <c r="V92" s="34">
        <f>IF(OR($B92="",$C92&lt;&gt;"Ativo",$D92&lt;&gt;'Calc_Mix'!$C$19,'Calc_Mix'!$X$19=0,COUNTIFS(Esc_Turno,'Calc_Mix'!$C$19,Esc_Circ,$B92)+COUNTIFS(Esc_Turno,'Calc_Mix'!$C$19,Esc_Instr,$B92)&gt;0),"",IF(SUMPRODUCT('Calc_Mix'!$D$19:$W$19,'Matriz_Habilidades'!$D92:$W92)=0,"",SUMPRODUCT('Calc_Mix'!$D$19:$W$19,'Matriz_Habilidades'!$D92:$W92)/'Calc_Mix'!$X$19+ROW()*0.000001))</f>
        <v/>
      </c>
      <c r="W92" s="34">
        <f>IF(OR($B92="",$C92&lt;&gt;"Ativo",$D92&lt;&gt;'Calc_Mix'!$C$20,'Calc_Mix'!$X$20=0,COUNTIFS(Esc_Turno,'Calc_Mix'!$C$20,Esc_Circ,$B92)+COUNTIFS(Esc_Turno,'Calc_Mix'!$C$20,Esc_Instr,$B92)&gt;0),"",IF(SUMPRODUCT('Calc_Mix'!$D$20:$W$20,'Matriz_Habilidades'!$D92:$W92)=0,"",SUMPRODUCT('Calc_Mix'!$D$20:$W$20,'Matriz_Habilidades'!$D92:$W92)/'Calc_Mix'!$X$20+ROW()*0.000001))</f>
        <v/>
      </c>
      <c r="X92" s="34">
        <f>IF(OR($B92="",$C92&lt;&gt;"Ativo",$D92&lt;&gt;'Calc_Mix'!$C$21,'Calc_Mix'!$X$21=0,COUNTIFS(Esc_Turno,'Calc_Mix'!$C$21,Esc_Circ,$B92)+COUNTIFS(Esc_Turno,'Calc_Mix'!$C$21,Esc_Instr,$B92)&gt;0),"",IF(SUMPRODUCT('Calc_Mix'!$D$21:$W$21,'Matriz_Habilidades'!$D92:$W92)=0,"",SUMPRODUCT('Calc_Mix'!$D$21:$W$21,'Matriz_Habilidades'!$D92:$W92)/'Calc_Mix'!$X$21+ROW()*0.000001))</f>
        <v/>
      </c>
      <c r="Y92" s="34">
        <f>IF(OR($B92="",$C92&lt;&gt;"Ativo",$D92&lt;&gt;'Calc_Mix'!$C$22,'Calc_Mix'!$X$22=0,COUNTIFS(Esc_Turno,'Calc_Mix'!$C$22,Esc_Circ,$B92)+COUNTIFS(Esc_Turno,'Calc_Mix'!$C$22,Esc_Instr,$B92)&gt;0),"",IF(SUMPRODUCT('Calc_Mix'!$D$22:$W$22,'Matriz_Habilidades'!$D92:$W92)=0,"",SUMPRODUCT('Calc_Mix'!$D$22:$W$22,'Matriz_Habilidades'!$D92:$W92)/'Calc_Mix'!$X$22+ROW()*0.000001))</f>
        <v/>
      </c>
      <c r="Z92" s="34">
        <f>IF(OR($B92="",$C92&lt;&gt;"Ativo",$D92&lt;&gt;'Calc_Mix'!$C$23,'Calc_Mix'!$X$23=0,COUNTIFS(Esc_Turno,'Calc_Mix'!$C$23,Esc_Circ,$B92)+COUNTIFS(Esc_Turno,'Calc_Mix'!$C$23,Esc_Instr,$B92)&gt;0),"",IF(SUMPRODUCT('Calc_Mix'!$D$23:$W$23,'Matriz_Habilidades'!$D92:$W92)=0,"",SUMPRODUCT('Calc_Mix'!$D$23:$W$23,'Matriz_Habilidades'!$D92:$W92)/'Calc_Mix'!$X$23+ROW()*0.000001))</f>
        <v/>
      </c>
      <c r="AA92" s="34">
        <f>IF(OR($B92="",$C92&lt;&gt;"Ativo",$D92&lt;&gt;'Calc_Mix'!$C$24,'Calc_Mix'!$X$24=0,COUNTIFS(Esc_Turno,'Calc_Mix'!$C$24,Esc_Circ,$B92)+COUNTIFS(Esc_Turno,'Calc_Mix'!$C$24,Esc_Instr,$B92)&gt;0),"",IF(SUMPRODUCT('Calc_Mix'!$D$24:$W$24,'Matriz_Habilidades'!$D92:$W92)=0,"",SUMPRODUCT('Calc_Mix'!$D$24:$W$24,'Matriz_Habilidades'!$D92:$W92)/'Calc_Mix'!$X$24+ROW()*0.000001))</f>
        <v/>
      </c>
      <c r="AB92" s="34">
        <f>IF(OR($B92="",$C92&lt;&gt;"Ativo",$D92&lt;&gt;'Calc_Mix'!$C$25,'Calc_Mix'!$X$25=0,COUNTIFS(Esc_Turno,'Calc_Mix'!$C$25,Esc_Circ,$B92)+COUNTIFS(Esc_Turno,'Calc_Mix'!$C$25,Esc_Instr,$B92)&gt;0),"",IF(SUMPRODUCT('Calc_Mix'!$D$25:$W$25,'Matriz_Habilidades'!$D92:$W92)=0,"",SUMPRODUCT('Calc_Mix'!$D$25:$W$25,'Matriz_Habilidades'!$D92:$W92)/'Calc_Mix'!$X$25+ROW()*0.000001))</f>
        <v/>
      </c>
      <c r="AC92" s="34">
        <f>IF(OR($B92="",$C92&lt;&gt;"Ativo",$D92&lt;&gt;'Calc_Mix'!$C$26,'Calc_Mix'!$X$26=0,COUNTIFS(Esc_Turno,'Calc_Mix'!$C$26,Esc_Circ,$B92)+COUNTIFS(Esc_Turno,'Calc_Mix'!$C$26,Esc_Instr,$B92)&gt;0),"",IF(SUMPRODUCT('Calc_Mix'!$D$26:$W$26,'Matriz_Habilidades'!$D92:$W92)=0,"",SUMPRODUCT('Calc_Mix'!$D$26:$W$26,'Matriz_Habilidades'!$D92:$W92)/'Calc_Mix'!$X$26+ROW()*0.000001))</f>
        <v/>
      </c>
      <c r="AD92" s="34">
        <f>IF(OR($B92="",$C92&lt;&gt;"Ativo",$D92&lt;&gt;'Calc_Mix'!$C$27,'Calc_Mix'!$X$27=0,COUNTIFS(Esc_Turno,'Calc_Mix'!$C$27,Esc_Circ,$B92)+COUNTIFS(Esc_Turno,'Calc_Mix'!$C$27,Esc_Instr,$B92)&gt;0),"",IF(SUMPRODUCT('Calc_Mix'!$D$27:$W$27,'Matriz_Habilidades'!$D92:$W92)=0,"",SUMPRODUCT('Calc_Mix'!$D$27:$W$27,'Matriz_Habilidades'!$D92:$W92)/'Calc_Mix'!$X$27+ROW()*0.000001))</f>
        <v/>
      </c>
      <c r="AE92" s="34">
        <f>IF(OR($B92="",$C92&lt;&gt;"Ativo",$D92&lt;&gt;'Calc_Mix'!$C$28,'Calc_Mix'!$X$28=0,COUNTIFS(Esc_Turno,'Calc_Mix'!$C$28,Esc_Circ,$B92)+COUNTIFS(Esc_Turno,'Calc_Mix'!$C$28,Esc_Instr,$B92)&gt;0),"",IF(SUMPRODUCT('Calc_Mix'!$D$28:$W$28,'Matriz_Habilidades'!$D92:$W92)=0,"",SUMPRODUCT('Calc_Mix'!$D$28:$W$28,'Matriz_Habilidades'!$D92:$W92)/'Calc_Mix'!$X$28+ROW()*0.000001))</f>
        <v/>
      </c>
      <c r="AF92" s="34">
        <f>IF(OR($B92="",$C92&lt;&gt;"Ativo",$D92&lt;&gt;'Calc_Mix'!$C$29,'Calc_Mix'!$X$29=0,COUNTIFS(Esc_Turno,'Calc_Mix'!$C$29,Esc_Circ,$B92)+COUNTIFS(Esc_Turno,'Calc_Mix'!$C$29,Esc_Instr,$B92)&gt;0),"",IF(SUMPRODUCT('Calc_Mix'!$D$29:$W$29,'Matriz_Habilidades'!$D92:$W92)=0,"",SUMPRODUCT('Calc_Mix'!$D$29:$W$29,'Matriz_Habilidades'!$D92:$W92)/'Calc_Mix'!$X$29+ROW()*0.000001))</f>
        <v/>
      </c>
      <c r="AG92" s="34">
        <f>IF(OR($B92="",$C92&lt;&gt;"Ativo",$D92&lt;&gt;'Calc_Mix'!$C$30,'Calc_Mix'!$X$30=0,COUNTIFS(Esc_Turno,'Calc_Mix'!$C$30,Esc_Circ,$B92)+COUNTIFS(Esc_Turno,'Calc_Mix'!$C$30,Esc_Instr,$B92)&gt;0),"",IF(SUMPRODUCT('Calc_Mix'!$D$30:$W$30,'Matriz_Habilidades'!$D92:$W92)=0,"",SUMPRODUCT('Calc_Mix'!$D$30:$W$30,'Matriz_Habilidades'!$D92:$W92)/'Calc_Mix'!$X$30+ROW()*0.000001))</f>
        <v/>
      </c>
      <c r="AH92" s="34">
        <f>IF(OR($B92="",$C92&lt;&gt;"Ativo",$D92&lt;&gt;'Calc_Mix'!$C$31,'Calc_Mix'!$X$31=0,COUNTIFS(Esc_Turno,'Calc_Mix'!$C$31,Esc_Circ,$B92)+COUNTIFS(Esc_Turno,'Calc_Mix'!$C$31,Esc_Instr,$B92)&gt;0),"",IF(SUMPRODUCT('Calc_Mix'!$D$31:$W$31,'Matriz_Habilidades'!$D92:$W92)=0,"",SUMPRODUCT('Calc_Mix'!$D$31:$W$31,'Matriz_Habilidades'!$D92:$W92)/'Calc_Mix'!$X$31+ROW()*0.000001))</f>
        <v/>
      </c>
      <c r="AI92" s="34">
        <f>IF(OR($B92="",$C92&lt;&gt;"Ativo",$D92&lt;&gt;'Calc_Mix'!$C$32,'Calc_Mix'!$X$32=0,COUNTIFS(Esc_Turno,'Calc_Mix'!$C$32,Esc_Circ,$B92)+COUNTIFS(Esc_Turno,'Calc_Mix'!$C$32,Esc_Instr,$B92)&gt;0),"",IF(SUMPRODUCT('Calc_Mix'!$D$32:$W$32,'Matriz_Habilidades'!$D92:$W92)=0,"",SUMPRODUCT('Calc_Mix'!$D$32:$W$32,'Matriz_Habilidades'!$D92:$W92)/'Calc_Mix'!$X$32+ROW()*0.000001))</f>
        <v/>
      </c>
      <c r="AJ92" s="34">
        <f>IF(OR($B92="",$C92&lt;&gt;"Ativo",$D92&lt;&gt;'Calc_Mix'!$C$33,'Calc_Mix'!$X$33=0,COUNTIFS(Esc_Turno,'Calc_Mix'!$C$33,Esc_Circ,$B92)+COUNTIFS(Esc_Turno,'Calc_Mix'!$C$33,Esc_Instr,$B92)&gt;0),"",IF(SUMPRODUCT('Calc_Mix'!$D$33:$W$33,'Matriz_Habilidades'!$D92:$W92)=0,"",SUMPRODUCT('Calc_Mix'!$D$33:$W$33,'Matriz_Habilidades'!$D92:$W92)/'Calc_Mix'!$X$33+ROW()*0.000001))</f>
        <v/>
      </c>
      <c r="AK92" s="34">
        <f>IF(OR($B92="",$C92&lt;&gt;"Ativo",$D92&lt;&gt;'Calc_Mix'!$C$34,'Calc_Mix'!$X$34=0,COUNTIFS(Esc_Turno,'Calc_Mix'!$C$34,Esc_Circ,$B92)+COUNTIFS(Esc_Turno,'Calc_Mix'!$C$34,Esc_Instr,$B92)&gt;0),"",IF(SUMPRODUCT('Calc_Mix'!$D$34:$W$34,'Matriz_Habilidades'!$D92:$W92)=0,"",SUMPRODUCT('Calc_Mix'!$D$34:$W$34,'Matriz_Habilidades'!$D92:$W92)/'Calc_Mix'!$X$34+ROW()*0.000001))</f>
        <v/>
      </c>
      <c r="AL92" s="34">
        <f>IF(OR($B92="",$C92&lt;&gt;"Ativo",$D92&lt;&gt;'Calc_Mix'!$C$35,'Calc_Mix'!$X$35=0,COUNTIFS(Esc_Turno,'Calc_Mix'!$C$35,Esc_Circ,$B92)+COUNTIFS(Esc_Turno,'Calc_Mix'!$C$35,Esc_Instr,$B92)&gt;0),"",IF(SUMPRODUCT('Calc_Mix'!$D$35:$W$35,'Matriz_Habilidades'!$D92:$W92)=0,"",SUMPRODUCT('Calc_Mix'!$D$35:$W$35,'Matriz_Habilidades'!$D92:$W92)/'Calc_Mix'!$X$35+ROW()*0.000001))</f>
        <v/>
      </c>
      <c r="AM92" s="34">
        <f>IF(OR($B92="",$C92&lt;&gt;"Ativo",$D92&lt;&gt;'Calc_Mix'!$C$36,'Calc_Mix'!$X$36=0,COUNTIFS(Esc_Turno,'Calc_Mix'!$C$36,Esc_Circ,$B92)+COUNTIFS(Esc_Turno,'Calc_Mix'!$C$36,Esc_Instr,$B92)&gt;0),"",IF(SUMPRODUCT('Calc_Mix'!$D$36:$W$36,'Matriz_Habilidades'!$D92:$W92)=0,"",SUMPRODUCT('Calc_Mix'!$D$36:$W$36,'Matriz_Habilidades'!$D92:$W92)/'Calc_Mix'!$X$36+ROW()*0.000001))</f>
        <v/>
      </c>
      <c r="AN92" s="34">
        <f>IF(OR($B92="",$C92&lt;&gt;"Ativo",$D92&lt;&gt;'Calc_Mix'!$C$37,'Calc_Mix'!$X$37=0,COUNTIFS(Esc_Turno,'Calc_Mix'!$C$37,Esc_Circ,$B92)+COUNTIFS(Esc_Turno,'Calc_Mix'!$C$37,Esc_Instr,$B92)&gt;0),"",IF(SUMPRODUCT('Calc_Mix'!$D$37:$W$37,'Matriz_Habilidades'!$D92:$W92)=0,"",SUMPRODUCT('Calc_Mix'!$D$37:$W$37,'Matriz_Habilidades'!$D92:$W92)/'Calc_Mix'!$X$37+ROW()*0.000001))</f>
        <v/>
      </c>
    </row>
    <row r="93">
      <c r="A93" s="27">
        <f>IF('Matriz_Habilidades'!A93="","",'Matriz_Habilidades'!A93)</f>
        <v/>
      </c>
      <c r="B93" s="28">
        <f>IF('Matriz_Habilidades'!B93="","",'Matriz_Habilidades'!B93)</f>
        <v/>
      </c>
      <c r="C93" s="27">
        <f>IF($A93="","",IFERROR(INDEX(Equipe_Status,MATCH($B93,Equipe_Nome,0)),"?"))</f>
        <v/>
      </c>
      <c r="D93" s="27">
        <f>IF($A93="","",IFERROR(INDEX(Equipe_Turno,MATCH($B93,Equipe_Nome,0)),"?"))</f>
        <v/>
      </c>
      <c r="E93" s="34">
        <f>IF(OR($B93="",$C93&lt;&gt;"Ativo",$D93&lt;&gt;'Calc_Mix'!$C$2,'Calc_Mix'!$X$2=0,COUNTIFS(Esc_Turno,'Calc_Mix'!$C$2,Esc_Circ,$B93)+COUNTIFS(Esc_Turno,'Calc_Mix'!$C$2,Esc_Instr,$B93)&gt;0),"",IF(SUMPRODUCT('Calc_Mix'!$D$2:$W$2,'Matriz_Habilidades'!$D93:$W93)=0,"",SUMPRODUCT('Calc_Mix'!$D$2:$W$2,'Matriz_Habilidades'!$D93:$W93)/'Calc_Mix'!$X$2+ROW()*0.000001))</f>
        <v/>
      </c>
      <c r="F93" s="34">
        <f>IF(OR($B93="",$C93&lt;&gt;"Ativo",$D93&lt;&gt;'Calc_Mix'!$C$3,'Calc_Mix'!$X$3=0,COUNTIFS(Esc_Turno,'Calc_Mix'!$C$3,Esc_Circ,$B93)+COUNTIFS(Esc_Turno,'Calc_Mix'!$C$3,Esc_Instr,$B93)&gt;0),"",IF(SUMPRODUCT('Calc_Mix'!$D$3:$W$3,'Matriz_Habilidades'!$D93:$W93)=0,"",SUMPRODUCT('Calc_Mix'!$D$3:$W$3,'Matriz_Habilidades'!$D93:$W93)/'Calc_Mix'!$X$3+ROW()*0.000001))</f>
        <v/>
      </c>
      <c r="G93" s="34">
        <f>IF(OR($B93="",$C93&lt;&gt;"Ativo",$D93&lt;&gt;'Calc_Mix'!$C$4,'Calc_Mix'!$X$4=0,COUNTIFS(Esc_Turno,'Calc_Mix'!$C$4,Esc_Circ,$B93)+COUNTIFS(Esc_Turno,'Calc_Mix'!$C$4,Esc_Instr,$B93)&gt;0),"",IF(SUMPRODUCT('Calc_Mix'!$D$4:$W$4,'Matriz_Habilidades'!$D93:$W93)=0,"",SUMPRODUCT('Calc_Mix'!$D$4:$W$4,'Matriz_Habilidades'!$D93:$W93)/'Calc_Mix'!$X$4+ROW()*0.000001))</f>
        <v/>
      </c>
      <c r="H93" s="34">
        <f>IF(OR($B93="",$C93&lt;&gt;"Ativo",$D93&lt;&gt;'Calc_Mix'!$C$5,'Calc_Mix'!$X$5=0,COUNTIFS(Esc_Turno,'Calc_Mix'!$C$5,Esc_Circ,$B93)+COUNTIFS(Esc_Turno,'Calc_Mix'!$C$5,Esc_Instr,$B93)&gt;0),"",IF(SUMPRODUCT('Calc_Mix'!$D$5:$W$5,'Matriz_Habilidades'!$D93:$W93)=0,"",SUMPRODUCT('Calc_Mix'!$D$5:$W$5,'Matriz_Habilidades'!$D93:$W93)/'Calc_Mix'!$X$5+ROW()*0.000001))</f>
        <v/>
      </c>
      <c r="I93" s="34">
        <f>IF(OR($B93="",$C93&lt;&gt;"Ativo",$D93&lt;&gt;'Calc_Mix'!$C$6,'Calc_Mix'!$X$6=0,COUNTIFS(Esc_Turno,'Calc_Mix'!$C$6,Esc_Circ,$B93)+COUNTIFS(Esc_Turno,'Calc_Mix'!$C$6,Esc_Instr,$B93)&gt;0),"",IF(SUMPRODUCT('Calc_Mix'!$D$6:$W$6,'Matriz_Habilidades'!$D93:$W93)=0,"",SUMPRODUCT('Calc_Mix'!$D$6:$W$6,'Matriz_Habilidades'!$D93:$W93)/'Calc_Mix'!$X$6+ROW()*0.000001))</f>
        <v/>
      </c>
      <c r="J93" s="34">
        <f>IF(OR($B93="",$C93&lt;&gt;"Ativo",$D93&lt;&gt;'Calc_Mix'!$C$7,'Calc_Mix'!$X$7=0,COUNTIFS(Esc_Turno,'Calc_Mix'!$C$7,Esc_Circ,$B93)+COUNTIFS(Esc_Turno,'Calc_Mix'!$C$7,Esc_Instr,$B93)&gt;0),"",IF(SUMPRODUCT('Calc_Mix'!$D$7:$W$7,'Matriz_Habilidades'!$D93:$W93)=0,"",SUMPRODUCT('Calc_Mix'!$D$7:$W$7,'Matriz_Habilidades'!$D93:$W93)/'Calc_Mix'!$X$7+ROW()*0.000001))</f>
        <v/>
      </c>
      <c r="K93" s="34">
        <f>IF(OR($B93="",$C93&lt;&gt;"Ativo",$D93&lt;&gt;'Calc_Mix'!$C$8,'Calc_Mix'!$X$8=0,COUNTIFS(Esc_Turno,'Calc_Mix'!$C$8,Esc_Circ,$B93)+COUNTIFS(Esc_Turno,'Calc_Mix'!$C$8,Esc_Instr,$B93)&gt;0),"",IF(SUMPRODUCT('Calc_Mix'!$D$8:$W$8,'Matriz_Habilidades'!$D93:$W93)=0,"",SUMPRODUCT('Calc_Mix'!$D$8:$W$8,'Matriz_Habilidades'!$D93:$W93)/'Calc_Mix'!$X$8+ROW()*0.000001))</f>
        <v/>
      </c>
      <c r="L93" s="34">
        <f>IF(OR($B93="",$C93&lt;&gt;"Ativo",$D93&lt;&gt;'Calc_Mix'!$C$9,'Calc_Mix'!$X$9=0,COUNTIFS(Esc_Turno,'Calc_Mix'!$C$9,Esc_Circ,$B93)+COUNTIFS(Esc_Turno,'Calc_Mix'!$C$9,Esc_Instr,$B93)&gt;0),"",IF(SUMPRODUCT('Calc_Mix'!$D$9:$W$9,'Matriz_Habilidades'!$D93:$W93)=0,"",SUMPRODUCT('Calc_Mix'!$D$9:$W$9,'Matriz_Habilidades'!$D93:$W93)/'Calc_Mix'!$X$9+ROW()*0.000001))</f>
        <v/>
      </c>
      <c r="M93" s="34">
        <f>IF(OR($B93="",$C93&lt;&gt;"Ativo",$D93&lt;&gt;'Calc_Mix'!$C$10,'Calc_Mix'!$X$10=0,COUNTIFS(Esc_Turno,'Calc_Mix'!$C$10,Esc_Circ,$B93)+COUNTIFS(Esc_Turno,'Calc_Mix'!$C$10,Esc_Instr,$B93)&gt;0),"",IF(SUMPRODUCT('Calc_Mix'!$D$10:$W$10,'Matriz_Habilidades'!$D93:$W93)=0,"",SUMPRODUCT('Calc_Mix'!$D$10:$W$10,'Matriz_Habilidades'!$D93:$W93)/'Calc_Mix'!$X$10+ROW()*0.000001))</f>
        <v/>
      </c>
      <c r="N93" s="34">
        <f>IF(OR($B93="",$C93&lt;&gt;"Ativo",$D93&lt;&gt;'Calc_Mix'!$C$11,'Calc_Mix'!$X$11=0,COUNTIFS(Esc_Turno,'Calc_Mix'!$C$11,Esc_Circ,$B93)+COUNTIFS(Esc_Turno,'Calc_Mix'!$C$11,Esc_Instr,$B93)&gt;0),"",IF(SUMPRODUCT('Calc_Mix'!$D$11:$W$11,'Matriz_Habilidades'!$D93:$W93)=0,"",SUMPRODUCT('Calc_Mix'!$D$11:$W$11,'Matriz_Habilidades'!$D93:$W93)/'Calc_Mix'!$X$11+ROW()*0.000001))</f>
        <v/>
      </c>
      <c r="O93" s="34">
        <f>IF(OR($B93="",$C93&lt;&gt;"Ativo",$D93&lt;&gt;'Calc_Mix'!$C$12,'Calc_Mix'!$X$12=0,COUNTIFS(Esc_Turno,'Calc_Mix'!$C$12,Esc_Circ,$B93)+COUNTIFS(Esc_Turno,'Calc_Mix'!$C$12,Esc_Instr,$B93)&gt;0),"",IF(SUMPRODUCT('Calc_Mix'!$D$12:$W$12,'Matriz_Habilidades'!$D93:$W93)=0,"",SUMPRODUCT('Calc_Mix'!$D$12:$W$12,'Matriz_Habilidades'!$D93:$W93)/'Calc_Mix'!$X$12+ROW()*0.000001))</f>
        <v/>
      </c>
      <c r="P93" s="34">
        <f>IF(OR($B93="",$C93&lt;&gt;"Ativo",$D93&lt;&gt;'Calc_Mix'!$C$13,'Calc_Mix'!$X$13=0,COUNTIFS(Esc_Turno,'Calc_Mix'!$C$13,Esc_Circ,$B93)+COUNTIFS(Esc_Turno,'Calc_Mix'!$C$13,Esc_Instr,$B93)&gt;0),"",IF(SUMPRODUCT('Calc_Mix'!$D$13:$W$13,'Matriz_Habilidades'!$D93:$W93)=0,"",SUMPRODUCT('Calc_Mix'!$D$13:$W$13,'Matriz_Habilidades'!$D93:$W93)/'Calc_Mix'!$X$13+ROW()*0.000001))</f>
        <v/>
      </c>
      <c r="Q93" s="34">
        <f>IF(OR($B93="",$C93&lt;&gt;"Ativo",$D93&lt;&gt;'Calc_Mix'!$C$14,'Calc_Mix'!$X$14=0,COUNTIFS(Esc_Turno,'Calc_Mix'!$C$14,Esc_Circ,$B93)+COUNTIFS(Esc_Turno,'Calc_Mix'!$C$14,Esc_Instr,$B93)&gt;0),"",IF(SUMPRODUCT('Calc_Mix'!$D$14:$W$14,'Matriz_Habilidades'!$D93:$W93)=0,"",SUMPRODUCT('Calc_Mix'!$D$14:$W$14,'Matriz_Habilidades'!$D93:$W93)/'Calc_Mix'!$X$14+ROW()*0.000001))</f>
        <v/>
      </c>
      <c r="R93" s="34">
        <f>IF(OR($B93="",$C93&lt;&gt;"Ativo",$D93&lt;&gt;'Calc_Mix'!$C$15,'Calc_Mix'!$X$15=0,COUNTIFS(Esc_Turno,'Calc_Mix'!$C$15,Esc_Circ,$B93)+COUNTIFS(Esc_Turno,'Calc_Mix'!$C$15,Esc_Instr,$B93)&gt;0),"",IF(SUMPRODUCT('Calc_Mix'!$D$15:$W$15,'Matriz_Habilidades'!$D93:$W93)=0,"",SUMPRODUCT('Calc_Mix'!$D$15:$W$15,'Matriz_Habilidades'!$D93:$W93)/'Calc_Mix'!$X$15+ROW()*0.000001))</f>
        <v/>
      </c>
      <c r="S93" s="34">
        <f>IF(OR($B93="",$C93&lt;&gt;"Ativo",$D93&lt;&gt;'Calc_Mix'!$C$16,'Calc_Mix'!$X$16=0,COUNTIFS(Esc_Turno,'Calc_Mix'!$C$16,Esc_Circ,$B93)+COUNTIFS(Esc_Turno,'Calc_Mix'!$C$16,Esc_Instr,$B93)&gt;0),"",IF(SUMPRODUCT('Calc_Mix'!$D$16:$W$16,'Matriz_Habilidades'!$D93:$W93)=0,"",SUMPRODUCT('Calc_Mix'!$D$16:$W$16,'Matriz_Habilidades'!$D93:$W93)/'Calc_Mix'!$X$16+ROW()*0.000001))</f>
        <v/>
      </c>
      <c r="T93" s="34">
        <f>IF(OR($B93="",$C93&lt;&gt;"Ativo",$D93&lt;&gt;'Calc_Mix'!$C$17,'Calc_Mix'!$X$17=0,COUNTIFS(Esc_Turno,'Calc_Mix'!$C$17,Esc_Circ,$B93)+COUNTIFS(Esc_Turno,'Calc_Mix'!$C$17,Esc_Instr,$B93)&gt;0),"",IF(SUMPRODUCT('Calc_Mix'!$D$17:$W$17,'Matriz_Habilidades'!$D93:$W93)=0,"",SUMPRODUCT('Calc_Mix'!$D$17:$W$17,'Matriz_Habilidades'!$D93:$W93)/'Calc_Mix'!$X$17+ROW()*0.000001))</f>
        <v/>
      </c>
      <c r="U93" s="34">
        <f>IF(OR($B93="",$C93&lt;&gt;"Ativo",$D93&lt;&gt;'Calc_Mix'!$C$18,'Calc_Mix'!$X$18=0,COUNTIFS(Esc_Turno,'Calc_Mix'!$C$18,Esc_Circ,$B93)+COUNTIFS(Esc_Turno,'Calc_Mix'!$C$18,Esc_Instr,$B93)&gt;0),"",IF(SUMPRODUCT('Calc_Mix'!$D$18:$W$18,'Matriz_Habilidades'!$D93:$W93)=0,"",SUMPRODUCT('Calc_Mix'!$D$18:$W$18,'Matriz_Habilidades'!$D93:$W93)/'Calc_Mix'!$X$18+ROW()*0.000001))</f>
        <v/>
      </c>
      <c r="V93" s="34">
        <f>IF(OR($B93="",$C93&lt;&gt;"Ativo",$D93&lt;&gt;'Calc_Mix'!$C$19,'Calc_Mix'!$X$19=0,COUNTIFS(Esc_Turno,'Calc_Mix'!$C$19,Esc_Circ,$B93)+COUNTIFS(Esc_Turno,'Calc_Mix'!$C$19,Esc_Instr,$B93)&gt;0),"",IF(SUMPRODUCT('Calc_Mix'!$D$19:$W$19,'Matriz_Habilidades'!$D93:$W93)=0,"",SUMPRODUCT('Calc_Mix'!$D$19:$W$19,'Matriz_Habilidades'!$D93:$W93)/'Calc_Mix'!$X$19+ROW()*0.000001))</f>
        <v/>
      </c>
      <c r="W93" s="34">
        <f>IF(OR($B93="",$C93&lt;&gt;"Ativo",$D93&lt;&gt;'Calc_Mix'!$C$20,'Calc_Mix'!$X$20=0,COUNTIFS(Esc_Turno,'Calc_Mix'!$C$20,Esc_Circ,$B93)+COUNTIFS(Esc_Turno,'Calc_Mix'!$C$20,Esc_Instr,$B93)&gt;0),"",IF(SUMPRODUCT('Calc_Mix'!$D$20:$W$20,'Matriz_Habilidades'!$D93:$W93)=0,"",SUMPRODUCT('Calc_Mix'!$D$20:$W$20,'Matriz_Habilidades'!$D93:$W93)/'Calc_Mix'!$X$20+ROW()*0.000001))</f>
        <v/>
      </c>
      <c r="X93" s="34">
        <f>IF(OR($B93="",$C93&lt;&gt;"Ativo",$D93&lt;&gt;'Calc_Mix'!$C$21,'Calc_Mix'!$X$21=0,COUNTIFS(Esc_Turno,'Calc_Mix'!$C$21,Esc_Circ,$B93)+COUNTIFS(Esc_Turno,'Calc_Mix'!$C$21,Esc_Instr,$B93)&gt;0),"",IF(SUMPRODUCT('Calc_Mix'!$D$21:$W$21,'Matriz_Habilidades'!$D93:$W93)=0,"",SUMPRODUCT('Calc_Mix'!$D$21:$W$21,'Matriz_Habilidades'!$D93:$W93)/'Calc_Mix'!$X$21+ROW()*0.000001))</f>
        <v/>
      </c>
      <c r="Y93" s="34">
        <f>IF(OR($B93="",$C93&lt;&gt;"Ativo",$D93&lt;&gt;'Calc_Mix'!$C$22,'Calc_Mix'!$X$22=0,COUNTIFS(Esc_Turno,'Calc_Mix'!$C$22,Esc_Circ,$B93)+COUNTIFS(Esc_Turno,'Calc_Mix'!$C$22,Esc_Instr,$B93)&gt;0),"",IF(SUMPRODUCT('Calc_Mix'!$D$22:$W$22,'Matriz_Habilidades'!$D93:$W93)=0,"",SUMPRODUCT('Calc_Mix'!$D$22:$W$22,'Matriz_Habilidades'!$D93:$W93)/'Calc_Mix'!$X$22+ROW()*0.000001))</f>
        <v/>
      </c>
      <c r="Z93" s="34">
        <f>IF(OR($B93="",$C93&lt;&gt;"Ativo",$D93&lt;&gt;'Calc_Mix'!$C$23,'Calc_Mix'!$X$23=0,COUNTIFS(Esc_Turno,'Calc_Mix'!$C$23,Esc_Circ,$B93)+COUNTIFS(Esc_Turno,'Calc_Mix'!$C$23,Esc_Instr,$B93)&gt;0),"",IF(SUMPRODUCT('Calc_Mix'!$D$23:$W$23,'Matriz_Habilidades'!$D93:$W93)=0,"",SUMPRODUCT('Calc_Mix'!$D$23:$W$23,'Matriz_Habilidades'!$D93:$W93)/'Calc_Mix'!$X$23+ROW()*0.000001))</f>
        <v/>
      </c>
      <c r="AA93" s="34">
        <f>IF(OR($B93="",$C93&lt;&gt;"Ativo",$D93&lt;&gt;'Calc_Mix'!$C$24,'Calc_Mix'!$X$24=0,COUNTIFS(Esc_Turno,'Calc_Mix'!$C$24,Esc_Circ,$B93)+COUNTIFS(Esc_Turno,'Calc_Mix'!$C$24,Esc_Instr,$B93)&gt;0),"",IF(SUMPRODUCT('Calc_Mix'!$D$24:$W$24,'Matriz_Habilidades'!$D93:$W93)=0,"",SUMPRODUCT('Calc_Mix'!$D$24:$W$24,'Matriz_Habilidades'!$D93:$W93)/'Calc_Mix'!$X$24+ROW()*0.000001))</f>
        <v/>
      </c>
      <c r="AB93" s="34">
        <f>IF(OR($B93="",$C93&lt;&gt;"Ativo",$D93&lt;&gt;'Calc_Mix'!$C$25,'Calc_Mix'!$X$25=0,COUNTIFS(Esc_Turno,'Calc_Mix'!$C$25,Esc_Circ,$B93)+COUNTIFS(Esc_Turno,'Calc_Mix'!$C$25,Esc_Instr,$B93)&gt;0),"",IF(SUMPRODUCT('Calc_Mix'!$D$25:$W$25,'Matriz_Habilidades'!$D93:$W93)=0,"",SUMPRODUCT('Calc_Mix'!$D$25:$W$25,'Matriz_Habilidades'!$D93:$W93)/'Calc_Mix'!$X$25+ROW()*0.000001))</f>
        <v/>
      </c>
      <c r="AC93" s="34">
        <f>IF(OR($B93="",$C93&lt;&gt;"Ativo",$D93&lt;&gt;'Calc_Mix'!$C$26,'Calc_Mix'!$X$26=0,COUNTIFS(Esc_Turno,'Calc_Mix'!$C$26,Esc_Circ,$B93)+COUNTIFS(Esc_Turno,'Calc_Mix'!$C$26,Esc_Instr,$B93)&gt;0),"",IF(SUMPRODUCT('Calc_Mix'!$D$26:$W$26,'Matriz_Habilidades'!$D93:$W93)=0,"",SUMPRODUCT('Calc_Mix'!$D$26:$W$26,'Matriz_Habilidades'!$D93:$W93)/'Calc_Mix'!$X$26+ROW()*0.000001))</f>
        <v/>
      </c>
      <c r="AD93" s="34">
        <f>IF(OR($B93="",$C93&lt;&gt;"Ativo",$D93&lt;&gt;'Calc_Mix'!$C$27,'Calc_Mix'!$X$27=0,COUNTIFS(Esc_Turno,'Calc_Mix'!$C$27,Esc_Circ,$B93)+COUNTIFS(Esc_Turno,'Calc_Mix'!$C$27,Esc_Instr,$B93)&gt;0),"",IF(SUMPRODUCT('Calc_Mix'!$D$27:$W$27,'Matriz_Habilidades'!$D93:$W93)=0,"",SUMPRODUCT('Calc_Mix'!$D$27:$W$27,'Matriz_Habilidades'!$D93:$W93)/'Calc_Mix'!$X$27+ROW()*0.000001))</f>
        <v/>
      </c>
      <c r="AE93" s="34">
        <f>IF(OR($B93="",$C93&lt;&gt;"Ativo",$D93&lt;&gt;'Calc_Mix'!$C$28,'Calc_Mix'!$X$28=0,COUNTIFS(Esc_Turno,'Calc_Mix'!$C$28,Esc_Circ,$B93)+COUNTIFS(Esc_Turno,'Calc_Mix'!$C$28,Esc_Instr,$B93)&gt;0),"",IF(SUMPRODUCT('Calc_Mix'!$D$28:$W$28,'Matriz_Habilidades'!$D93:$W93)=0,"",SUMPRODUCT('Calc_Mix'!$D$28:$W$28,'Matriz_Habilidades'!$D93:$W93)/'Calc_Mix'!$X$28+ROW()*0.000001))</f>
        <v/>
      </c>
      <c r="AF93" s="34">
        <f>IF(OR($B93="",$C93&lt;&gt;"Ativo",$D93&lt;&gt;'Calc_Mix'!$C$29,'Calc_Mix'!$X$29=0,COUNTIFS(Esc_Turno,'Calc_Mix'!$C$29,Esc_Circ,$B93)+COUNTIFS(Esc_Turno,'Calc_Mix'!$C$29,Esc_Instr,$B93)&gt;0),"",IF(SUMPRODUCT('Calc_Mix'!$D$29:$W$29,'Matriz_Habilidades'!$D93:$W93)=0,"",SUMPRODUCT('Calc_Mix'!$D$29:$W$29,'Matriz_Habilidades'!$D93:$W93)/'Calc_Mix'!$X$29+ROW()*0.000001))</f>
        <v/>
      </c>
      <c r="AG93" s="34">
        <f>IF(OR($B93="",$C93&lt;&gt;"Ativo",$D93&lt;&gt;'Calc_Mix'!$C$30,'Calc_Mix'!$X$30=0,COUNTIFS(Esc_Turno,'Calc_Mix'!$C$30,Esc_Circ,$B93)+COUNTIFS(Esc_Turno,'Calc_Mix'!$C$30,Esc_Instr,$B93)&gt;0),"",IF(SUMPRODUCT('Calc_Mix'!$D$30:$W$30,'Matriz_Habilidades'!$D93:$W93)=0,"",SUMPRODUCT('Calc_Mix'!$D$30:$W$30,'Matriz_Habilidades'!$D93:$W93)/'Calc_Mix'!$X$30+ROW()*0.000001))</f>
        <v/>
      </c>
      <c r="AH93" s="34">
        <f>IF(OR($B93="",$C93&lt;&gt;"Ativo",$D93&lt;&gt;'Calc_Mix'!$C$31,'Calc_Mix'!$X$31=0,COUNTIFS(Esc_Turno,'Calc_Mix'!$C$31,Esc_Circ,$B93)+COUNTIFS(Esc_Turno,'Calc_Mix'!$C$31,Esc_Instr,$B93)&gt;0),"",IF(SUMPRODUCT('Calc_Mix'!$D$31:$W$31,'Matriz_Habilidades'!$D93:$W93)=0,"",SUMPRODUCT('Calc_Mix'!$D$31:$W$31,'Matriz_Habilidades'!$D93:$W93)/'Calc_Mix'!$X$31+ROW()*0.000001))</f>
        <v/>
      </c>
      <c r="AI93" s="34">
        <f>IF(OR($B93="",$C93&lt;&gt;"Ativo",$D93&lt;&gt;'Calc_Mix'!$C$32,'Calc_Mix'!$X$32=0,COUNTIFS(Esc_Turno,'Calc_Mix'!$C$32,Esc_Circ,$B93)+COUNTIFS(Esc_Turno,'Calc_Mix'!$C$32,Esc_Instr,$B93)&gt;0),"",IF(SUMPRODUCT('Calc_Mix'!$D$32:$W$32,'Matriz_Habilidades'!$D93:$W93)=0,"",SUMPRODUCT('Calc_Mix'!$D$32:$W$32,'Matriz_Habilidades'!$D93:$W93)/'Calc_Mix'!$X$32+ROW()*0.000001))</f>
        <v/>
      </c>
      <c r="AJ93" s="34">
        <f>IF(OR($B93="",$C93&lt;&gt;"Ativo",$D93&lt;&gt;'Calc_Mix'!$C$33,'Calc_Mix'!$X$33=0,COUNTIFS(Esc_Turno,'Calc_Mix'!$C$33,Esc_Circ,$B93)+COUNTIFS(Esc_Turno,'Calc_Mix'!$C$33,Esc_Instr,$B93)&gt;0),"",IF(SUMPRODUCT('Calc_Mix'!$D$33:$W$33,'Matriz_Habilidades'!$D93:$W93)=0,"",SUMPRODUCT('Calc_Mix'!$D$33:$W$33,'Matriz_Habilidades'!$D93:$W93)/'Calc_Mix'!$X$33+ROW()*0.000001))</f>
        <v/>
      </c>
      <c r="AK93" s="34">
        <f>IF(OR($B93="",$C93&lt;&gt;"Ativo",$D93&lt;&gt;'Calc_Mix'!$C$34,'Calc_Mix'!$X$34=0,COUNTIFS(Esc_Turno,'Calc_Mix'!$C$34,Esc_Circ,$B93)+COUNTIFS(Esc_Turno,'Calc_Mix'!$C$34,Esc_Instr,$B93)&gt;0),"",IF(SUMPRODUCT('Calc_Mix'!$D$34:$W$34,'Matriz_Habilidades'!$D93:$W93)=0,"",SUMPRODUCT('Calc_Mix'!$D$34:$W$34,'Matriz_Habilidades'!$D93:$W93)/'Calc_Mix'!$X$34+ROW()*0.000001))</f>
        <v/>
      </c>
      <c r="AL93" s="34">
        <f>IF(OR($B93="",$C93&lt;&gt;"Ativo",$D93&lt;&gt;'Calc_Mix'!$C$35,'Calc_Mix'!$X$35=0,COUNTIFS(Esc_Turno,'Calc_Mix'!$C$35,Esc_Circ,$B93)+COUNTIFS(Esc_Turno,'Calc_Mix'!$C$35,Esc_Instr,$B93)&gt;0),"",IF(SUMPRODUCT('Calc_Mix'!$D$35:$W$35,'Matriz_Habilidades'!$D93:$W93)=0,"",SUMPRODUCT('Calc_Mix'!$D$35:$W$35,'Matriz_Habilidades'!$D93:$W93)/'Calc_Mix'!$X$35+ROW()*0.000001))</f>
        <v/>
      </c>
      <c r="AM93" s="34">
        <f>IF(OR($B93="",$C93&lt;&gt;"Ativo",$D93&lt;&gt;'Calc_Mix'!$C$36,'Calc_Mix'!$X$36=0,COUNTIFS(Esc_Turno,'Calc_Mix'!$C$36,Esc_Circ,$B93)+COUNTIFS(Esc_Turno,'Calc_Mix'!$C$36,Esc_Instr,$B93)&gt;0),"",IF(SUMPRODUCT('Calc_Mix'!$D$36:$W$36,'Matriz_Habilidades'!$D93:$W93)=0,"",SUMPRODUCT('Calc_Mix'!$D$36:$W$36,'Matriz_Habilidades'!$D93:$W93)/'Calc_Mix'!$X$36+ROW()*0.000001))</f>
        <v/>
      </c>
      <c r="AN93" s="34">
        <f>IF(OR($B93="",$C93&lt;&gt;"Ativo",$D93&lt;&gt;'Calc_Mix'!$C$37,'Calc_Mix'!$X$37=0,COUNTIFS(Esc_Turno,'Calc_Mix'!$C$37,Esc_Circ,$B93)+COUNTIFS(Esc_Turno,'Calc_Mix'!$C$37,Esc_Instr,$B93)&gt;0),"",IF(SUMPRODUCT('Calc_Mix'!$D$37:$W$37,'Matriz_Habilidades'!$D93:$W93)=0,"",SUMPRODUCT('Calc_Mix'!$D$37:$W$37,'Matriz_Habilidades'!$D93:$W93)/'Calc_Mix'!$X$37+ROW()*0.000001))</f>
        <v/>
      </c>
    </row>
    <row r="94">
      <c r="A94" s="27">
        <f>IF('Matriz_Habilidades'!A94="","",'Matriz_Habilidades'!A94)</f>
        <v/>
      </c>
      <c r="B94" s="28">
        <f>IF('Matriz_Habilidades'!B94="","",'Matriz_Habilidades'!B94)</f>
        <v/>
      </c>
      <c r="C94" s="27">
        <f>IF($A94="","",IFERROR(INDEX(Equipe_Status,MATCH($B94,Equipe_Nome,0)),"?"))</f>
        <v/>
      </c>
      <c r="D94" s="27">
        <f>IF($A94="","",IFERROR(INDEX(Equipe_Turno,MATCH($B94,Equipe_Nome,0)),"?"))</f>
        <v/>
      </c>
      <c r="E94" s="34">
        <f>IF(OR($B94="",$C94&lt;&gt;"Ativo",$D94&lt;&gt;'Calc_Mix'!$C$2,'Calc_Mix'!$X$2=0,COUNTIFS(Esc_Turno,'Calc_Mix'!$C$2,Esc_Circ,$B94)+COUNTIFS(Esc_Turno,'Calc_Mix'!$C$2,Esc_Instr,$B94)&gt;0),"",IF(SUMPRODUCT('Calc_Mix'!$D$2:$W$2,'Matriz_Habilidades'!$D94:$W94)=0,"",SUMPRODUCT('Calc_Mix'!$D$2:$W$2,'Matriz_Habilidades'!$D94:$W94)/'Calc_Mix'!$X$2+ROW()*0.000001))</f>
        <v/>
      </c>
      <c r="F94" s="34">
        <f>IF(OR($B94="",$C94&lt;&gt;"Ativo",$D94&lt;&gt;'Calc_Mix'!$C$3,'Calc_Mix'!$X$3=0,COUNTIFS(Esc_Turno,'Calc_Mix'!$C$3,Esc_Circ,$B94)+COUNTIFS(Esc_Turno,'Calc_Mix'!$C$3,Esc_Instr,$B94)&gt;0),"",IF(SUMPRODUCT('Calc_Mix'!$D$3:$W$3,'Matriz_Habilidades'!$D94:$W94)=0,"",SUMPRODUCT('Calc_Mix'!$D$3:$W$3,'Matriz_Habilidades'!$D94:$W94)/'Calc_Mix'!$X$3+ROW()*0.000001))</f>
        <v/>
      </c>
      <c r="G94" s="34">
        <f>IF(OR($B94="",$C94&lt;&gt;"Ativo",$D94&lt;&gt;'Calc_Mix'!$C$4,'Calc_Mix'!$X$4=0,COUNTIFS(Esc_Turno,'Calc_Mix'!$C$4,Esc_Circ,$B94)+COUNTIFS(Esc_Turno,'Calc_Mix'!$C$4,Esc_Instr,$B94)&gt;0),"",IF(SUMPRODUCT('Calc_Mix'!$D$4:$W$4,'Matriz_Habilidades'!$D94:$W94)=0,"",SUMPRODUCT('Calc_Mix'!$D$4:$W$4,'Matriz_Habilidades'!$D94:$W94)/'Calc_Mix'!$X$4+ROW()*0.000001))</f>
        <v/>
      </c>
      <c r="H94" s="34">
        <f>IF(OR($B94="",$C94&lt;&gt;"Ativo",$D94&lt;&gt;'Calc_Mix'!$C$5,'Calc_Mix'!$X$5=0,COUNTIFS(Esc_Turno,'Calc_Mix'!$C$5,Esc_Circ,$B94)+COUNTIFS(Esc_Turno,'Calc_Mix'!$C$5,Esc_Instr,$B94)&gt;0),"",IF(SUMPRODUCT('Calc_Mix'!$D$5:$W$5,'Matriz_Habilidades'!$D94:$W94)=0,"",SUMPRODUCT('Calc_Mix'!$D$5:$W$5,'Matriz_Habilidades'!$D94:$W94)/'Calc_Mix'!$X$5+ROW()*0.000001))</f>
        <v/>
      </c>
      <c r="I94" s="34">
        <f>IF(OR($B94="",$C94&lt;&gt;"Ativo",$D94&lt;&gt;'Calc_Mix'!$C$6,'Calc_Mix'!$X$6=0,COUNTIFS(Esc_Turno,'Calc_Mix'!$C$6,Esc_Circ,$B94)+COUNTIFS(Esc_Turno,'Calc_Mix'!$C$6,Esc_Instr,$B94)&gt;0),"",IF(SUMPRODUCT('Calc_Mix'!$D$6:$W$6,'Matriz_Habilidades'!$D94:$W94)=0,"",SUMPRODUCT('Calc_Mix'!$D$6:$W$6,'Matriz_Habilidades'!$D94:$W94)/'Calc_Mix'!$X$6+ROW()*0.000001))</f>
        <v/>
      </c>
      <c r="J94" s="34">
        <f>IF(OR($B94="",$C94&lt;&gt;"Ativo",$D94&lt;&gt;'Calc_Mix'!$C$7,'Calc_Mix'!$X$7=0,COUNTIFS(Esc_Turno,'Calc_Mix'!$C$7,Esc_Circ,$B94)+COUNTIFS(Esc_Turno,'Calc_Mix'!$C$7,Esc_Instr,$B94)&gt;0),"",IF(SUMPRODUCT('Calc_Mix'!$D$7:$W$7,'Matriz_Habilidades'!$D94:$W94)=0,"",SUMPRODUCT('Calc_Mix'!$D$7:$W$7,'Matriz_Habilidades'!$D94:$W94)/'Calc_Mix'!$X$7+ROW()*0.000001))</f>
        <v/>
      </c>
      <c r="K94" s="34">
        <f>IF(OR($B94="",$C94&lt;&gt;"Ativo",$D94&lt;&gt;'Calc_Mix'!$C$8,'Calc_Mix'!$X$8=0,COUNTIFS(Esc_Turno,'Calc_Mix'!$C$8,Esc_Circ,$B94)+COUNTIFS(Esc_Turno,'Calc_Mix'!$C$8,Esc_Instr,$B94)&gt;0),"",IF(SUMPRODUCT('Calc_Mix'!$D$8:$W$8,'Matriz_Habilidades'!$D94:$W94)=0,"",SUMPRODUCT('Calc_Mix'!$D$8:$W$8,'Matriz_Habilidades'!$D94:$W94)/'Calc_Mix'!$X$8+ROW()*0.000001))</f>
        <v/>
      </c>
      <c r="L94" s="34">
        <f>IF(OR($B94="",$C94&lt;&gt;"Ativo",$D94&lt;&gt;'Calc_Mix'!$C$9,'Calc_Mix'!$X$9=0,COUNTIFS(Esc_Turno,'Calc_Mix'!$C$9,Esc_Circ,$B94)+COUNTIFS(Esc_Turno,'Calc_Mix'!$C$9,Esc_Instr,$B94)&gt;0),"",IF(SUMPRODUCT('Calc_Mix'!$D$9:$W$9,'Matriz_Habilidades'!$D94:$W94)=0,"",SUMPRODUCT('Calc_Mix'!$D$9:$W$9,'Matriz_Habilidades'!$D94:$W94)/'Calc_Mix'!$X$9+ROW()*0.000001))</f>
        <v/>
      </c>
      <c r="M94" s="34">
        <f>IF(OR($B94="",$C94&lt;&gt;"Ativo",$D94&lt;&gt;'Calc_Mix'!$C$10,'Calc_Mix'!$X$10=0,COUNTIFS(Esc_Turno,'Calc_Mix'!$C$10,Esc_Circ,$B94)+COUNTIFS(Esc_Turno,'Calc_Mix'!$C$10,Esc_Instr,$B94)&gt;0),"",IF(SUMPRODUCT('Calc_Mix'!$D$10:$W$10,'Matriz_Habilidades'!$D94:$W94)=0,"",SUMPRODUCT('Calc_Mix'!$D$10:$W$10,'Matriz_Habilidades'!$D94:$W94)/'Calc_Mix'!$X$10+ROW()*0.000001))</f>
        <v/>
      </c>
      <c r="N94" s="34">
        <f>IF(OR($B94="",$C94&lt;&gt;"Ativo",$D94&lt;&gt;'Calc_Mix'!$C$11,'Calc_Mix'!$X$11=0,COUNTIFS(Esc_Turno,'Calc_Mix'!$C$11,Esc_Circ,$B94)+COUNTIFS(Esc_Turno,'Calc_Mix'!$C$11,Esc_Instr,$B94)&gt;0),"",IF(SUMPRODUCT('Calc_Mix'!$D$11:$W$11,'Matriz_Habilidades'!$D94:$W94)=0,"",SUMPRODUCT('Calc_Mix'!$D$11:$W$11,'Matriz_Habilidades'!$D94:$W94)/'Calc_Mix'!$X$11+ROW()*0.000001))</f>
        <v/>
      </c>
      <c r="O94" s="34">
        <f>IF(OR($B94="",$C94&lt;&gt;"Ativo",$D94&lt;&gt;'Calc_Mix'!$C$12,'Calc_Mix'!$X$12=0,COUNTIFS(Esc_Turno,'Calc_Mix'!$C$12,Esc_Circ,$B94)+COUNTIFS(Esc_Turno,'Calc_Mix'!$C$12,Esc_Instr,$B94)&gt;0),"",IF(SUMPRODUCT('Calc_Mix'!$D$12:$W$12,'Matriz_Habilidades'!$D94:$W94)=0,"",SUMPRODUCT('Calc_Mix'!$D$12:$W$12,'Matriz_Habilidades'!$D94:$W94)/'Calc_Mix'!$X$12+ROW()*0.000001))</f>
        <v/>
      </c>
      <c r="P94" s="34">
        <f>IF(OR($B94="",$C94&lt;&gt;"Ativo",$D94&lt;&gt;'Calc_Mix'!$C$13,'Calc_Mix'!$X$13=0,COUNTIFS(Esc_Turno,'Calc_Mix'!$C$13,Esc_Circ,$B94)+COUNTIFS(Esc_Turno,'Calc_Mix'!$C$13,Esc_Instr,$B94)&gt;0),"",IF(SUMPRODUCT('Calc_Mix'!$D$13:$W$13,'Matriz_Habilidades'!$D94:$W94)=0,"",SUMPRODUCT('Calc_Mix'!$D$13:$W$13,'Matriz_Habilidades'!$D94:$W94)/'Calc_Mix'!$X$13+ROW()*0.000001))</f>
        <v/>
      </c>
      <c r="Q94" s="34">
        <f>IF(OR($B94="",$C94&lt;&gt;"Ativo",$D94&lt;&gt;'Calc_Mix'!$C$14,'Calc_Mix'!$X$14=0,COUNTIFS(Esc_Turno,'Calc_Mix'!$C$14,Esc_Circ,$B94)+COUNTIFS(Esc_Turno,'Calc_Mix'!$C$14,Esc_Instr,$B94)&gt;0),"",IF(SUMPRODUCT('Calc_Mix'!$D$14:$W$14,'Matriz_Habilidades'!$D94:$W94)=0,"",SUMPRODUCT('Calc_Mix'!$D$14:$W$14,'Matriz_Habilidades'!$D94:$W94)/'Calc_Mix'!$X$14+ROW()*0.000001))</f>
        <v/>
      </c>
      <c r="R94" s="34">
        <f>IF(OR($B94="",$C94&lt;&gt;"Ativo",$D94&lt;&gt;'Calc_Mix'!$C$15,'Calc_Mix'!$X$15=0,COUNTIFS(Esc_Turno,'Calc_Mix'!$C$15,Esc_Circ,$B94)+COUNTIFS(Esc_Turno,'Calc_Mix'!$C$15,Esc_Instr,$B94)&gt;0),"",IF(SUMPRODUCT('Calc_Mix'!$D$15:$W$15,'Matriz_Habilidades'!$D94:$W94)=0,"",SUMPRODUCT('Calc_Mix'!$D$15:$W$15,'Matriz_Habilidades'!$D94:$W94)/'Calc_Mix'!$X$15+ROW()*0.000001))</f>
        <v/>
      </c>
      <c r="S94" s="34">
        <f>IF(OR($B94="",$C94&lt;&gt;"Ativo",$D94&lt;&gt;'Calc_Mix'!$C$16,'Calc_Mix'!$X$16=0,COUNTIFS(Esc_Turno,'Calc_Mix'!$C$16,Esc_Circ,$B94)+COUNTIFS(Esc_Turno,'Calc_Mix'!$C$16,Esc_Instr,$B94)&gt;0),"",IF(SUMPRODUCT('Calc_Mix'!$D$16:$W$16,'Matriz_Habilidades'!$D94:$W94)=0,"",SUMPRODUCT('Calc_Mix'!$D$16:$W$16,'Matriz_Habilidades'!$D94:$W94)/'Calc_Mix'!$X$16+ROW()*0.000001))</f>
        <v/>
      </c>
      <c r="T94" s="34">
        <f>IF(OR($B94="",$C94&lt;&gt;"Ativo",$D94&lt;&gt;'Calc_Mix'!$C$17,'Calc_Mix'!$X$17=0,COUNTIFS(Esc_Turno,'Calc_Mix'!$C$17,Esc_Circ,$B94)+COUNTIFS(Esc_Turno,'Calc_Mix'!$C$17,Esc_Instr,$B94)&gt;0),"",IF(SUMPRODUCT('Calc_Mix'!$D$17:$W$17,'Matriz_Habilidades'!$D94:$W94)=0,"",SUMPRODUCT('Calc_Mix'!$D$17:$W$17,'Matriz_Habilidades'!$D94:$W94)/'Calc_Mix'!$X$17+ROW()*0.000001))</f>
        <v/>
      </c>
      <c r="U94" s="34">
        <f>IF(OR($B94="",$C94&lt;&gt;"Ativo",$D94&lt;&gt;'Calc_Mix'!$C$18,'Calc_Mix'!$X$18=0,COUNTIFS(Esc_Turno,'Calc_Mix'!$C$18,Esc_Circ,$B94)+COUNTIFS(Esc_Turno,'Calc_Mix'!$C$18,Esc_Instr,$B94)&gt;0),"",IF(SUMPRODUCT('Calc_Mix'!$D$18:$W$18,'Matriz_Habilidades'!$D94:$W94)=0,"",SUMPRODUCT('Calc_Mix'!$D$18:$W$18,'Matriz_Habilidades'!$D94:$W94)/'Calc_Mix'!$X$18+ROW()*0.000001))</f>
        <v/>
      </c>
      <c r="V94" s="34">
        <f>IF(OR($B94="",$C94&lt;&gt;"Ativo",$D94&lt;&gt;'Calc_Mix'!$C$19,'Calc_Mix'!$X$19=0,COUNTIFS(Esc_Turno,'Calc_Mix'!$C$19,Esc_Circ,$B94)+COUNTIFS(Esc_Turno,'Calc_Mix'!$C$19,Esc_Instr,$B94)&gt;0),"",IF(SUMPRODUCT('Calc_Mix'!$D$19:$W$19,'Matriz_Habilidades'!$D94:$W94)=0,"",SUMPRODUCT('Calc_Mix'!$D$19:$W$19,'Matriz_Habilidades'!$D94:$W94)/'Calc_Mix'!$X$19+ROW()*0.000001))</f>
        <v/>
      </c>
      <c r="W94" s="34">
        <f>IF(OR($B94="",$C94&lt;&gt;"Ativo",$D94&lt;&gt;'Calc_Mix'!$C$20,'Calc_Mix'!$X$20=0,COUNTIFS(Esc_Turno,'Calc_Mix'!$C$20,Esc_Circ,$B94)+COUNTIFS(Esc_Turno,'Calc_Mix'!$C$20,Esc_Instr,$B94)&gt;0),"",IF(SUMPRODUCT('Calc_Mix'!$D$20:$W$20,'Matriz_Habilidades'!$D94:$W94)=0,"",SUMPRODUCT('Calc_Mix'!$D$20:$W$20,'Matriz_Habilidades'!$D94:$W94)/'Calc_Mix'!$X$20+ROW()*0.000001))</f>
        <v/>
      </c>
      <c r="X94" s="34">
        <f>IF(OR($B94="",$C94&lt;&gt;"Ativo",$D94&lt;&gt;'Calc_Mix'!$C$21,'Calc_Mix'!$X$21=0,COUNTIFS(Esc_Turno,'Calc_Mix'!$C$21,Esc_Circ,$B94)+COUNTIFS(Esc_Turno,'Calc_Mix'!$C$21,Esc_Instr,$B94)&gt;0),"",IF(SUMPRODUCT('Calc_Mix'!$D$21:$W$21,'Matriz_Habilidades'!$D94:$W94)=0,"",SUMPRODUCT('Calc_Mix'!$D$21:$W$21,'Matriz_Habilidades'!$D94:$W94)/'Calc_Mix'!$X$21+ROW()*0.000001))</f>
        <v/>
      </c>
      <c r="Y94" s="34">
        <f>IF(OR($B94="",$C94&lt;&gt;"Ativo",$D94&lt;&gt;'Calc_Mix'!$C$22,'Calc_Mix'!$X$22=0,COUNTIFS(Esc_Turno,'Calc_Mix'!$C$22,Esc_Circ,$B94)+COUNTIFS(Esc_Turno,'Calc_Mix'!$C$22,Esc_Instr,$B94)&gt;0),"",IF(SUMPRODUCT('Calc_Mix'!$D$22:$W$22,'Matriz_Habilidades'!$D94:$W94)=0,"",SUMPRODUCT('Calc_Mix'!$D$22:$W$22,'Matriz_Habilidades'!$D94:$W94)/'Calc_Mix'!$X$22+ROW()*0.000001))</f>
        <v/>
      </c>
      <c r="Z94" s="34">
        <f>IF(OR($B94="",$C94&lt;&gt;"Ativo",$D94&lt;&gt;'Calc_Mix'!$C$23,'Calc_Mix'!$X$23=0,COUNTIFS(Esc_Turno,'Calc_Mix'!$C$23,Esc_Circ,$B94)+COUNTIFS(Esc_Turno,'Calc_Mix'!$C$23,Esc_Instr,$B94)&gt;0),"",IF(SUMPRODUCT('Calc_Mix'!$D$23:$W$23,'Matriz_Habilidades'!$D94:$W94)=0,"",SUMPRODUCT('Calc_Mix'!$D$23:$W$23,'Matriz_Habilidades'!$D94:$W94)/'Calc_Mix'!$X$23+ROW()*0.000001))</f>
        <v/>
      </c>
      <c r="AA94" s="34">
        <f>IF(OR($B94="",$C94&lt;&gt;"Ativo",$D94&lt;&gt;'Calc_Mix'!$C$24,'Calc_Mix'!$X$24=0,COUNTIFS(Esc_Turno,'Calc_Mix'!$C$24,Esc_Circ,$B94)+COUNTIFS(Esc_Turno,'Calc_Mix'!$C$24,Esc_Instr,$B94)&gt;0),"",IF(SUMPRODUCT('Calc_Mix'!$D$24:$W$24,'Matriz_Habilidades'!$D94:$W94)=0,"",SUMPRODUCT('Calc_Mix'!$D$24:$W$24,'Matriz_Habilidades'!$D94:$W94)/'Calc_Mix'!$X$24+ROW()*0.000001))</f>
        <v/>
      </c>
      <c r="AB94" s="34">
        <f>IF(OR($B94="",$C94&lt;&gt;"Ativo",$D94&lt;&gt;'Calc_Mix'!$C$25,'Calc_Mix'!$X$25=0,COUNTIFS(Esc_Turno,'Calc_Mix'!$C$25,Esc_Circ,$B94)+COUNTIFS(Esc_Turno,'Calc_Mix'!$C$25,Esc_Instr,$B94)&gt;0),"",IF(SUMPRODUCT('Calc_Mix'!$D$25:$W$25,'Matriz_Habilidades'!$D94:$W94)=0,"",SUMPRODUCT('Calc_Mix'!$D$25:$W$25,'Matriz_Habilidades'!$D94:$W94)/'Calc_Mix'!$X$25+ROW()*0.000001))</f>
        <v/>
      </c>
      <c r="AC94" s="34">
        <f>IF(OR($B94="",$C94&lt;&gt;"Ativo",$D94&lt;&gt;'Calc_Mix'!$C$26,'Calc_Mix'!$X$26=0,COUNTIFS(Esc_Turno,'Calc_Mix'!$C$26,Esc_Circ,$B94)+COUNTIFS(Esc_Turno,'Calc_Mix'!$C$26,Esc_Instr,$B94)&gt;0),"",IF(SUMPRODUCT('Calc_Mix'!$D$26:$W$26,'Matriz_Habilidades'!$D94:$W94)=0,"",SUMPRODUCT('Calc_Mix'!$D$26:$W$26,'Matriz_Habilidades'!$D94:$W94)/'Calc_Mix'!$X$26+ROW()*0.000001))</f>
        <v/>
      </c>
      <c r="AD94" s="34">
        <f>IF(OR($B94="",$C94&lt;&gt;"Ativo",$D94&lt;&gt;'Calc_Mix'!$C$27,'Calc_Mix'!$X$27=0,COUNTIFS(Esc_Turno,'Calc_Mix'!$C$27,Esc_Circ,$B94)+COUNTIFS(Esc_Turno,'Calc_Mix'!$C$27,Esc_Instr,$B94)&gt;0),"",IF(SUMPRODUCT('Calc_Mix'!$D$27:$W$27,'Matriz_Habilidades'!$D94:$W94)=0,"",SUMPRODUCT('Calc_Mix'!$D$27:$W$27,'Matriz_Habilidades'!$D94:$W94)/'Calc_Mix'!$X$27+ROW()*0.000001))</f>
        <v/>
      </c>
      <c r="AE94" s="34">
        <f>IF(OR($B94="",$C94&lt;&gt;"Ativo",$D94&lt;&gt;'Calc_Mix'!$C$28,'Calc_Mix'!$X$28=0,COUNTIFS(Esc_Turno,'Calc_Mix'!$C$28,Esc_Circ,$B94)+COUNTIFS(Esc_Turno,'Calc_Mix'!$C$28,Esc_Instr,$B94)&gt;0),"",IF(SUMPRODUCT('Calc_Mix'!$D$28:$W$28,'Matriz_Habilidades'!$D94:$W94)=0,"",SUMPRODUCT('Calc_Mix'!$D$28:$W$28,'Matriz_Habilidades'!$D94:$W94)/'Calc_Mix'!$X$28+ROW()*0.000001))</f>
        <v/>
      </c>
      <c r="AF94" s="34">
        <f>IF(OR($B94="",$C94&lt;&gt;"Ativo",$D94&lt;&gt;'Calc_Mix'!$C$29,'Calc_Mix'!$X$29=0,COUNTIFS(Esc_Turno,'Calc_Mix'!$C$29,Esc_Circ,$B94)+COUNTIFS(Esc_Turno,'Calc_Mix'!$C$29,Esc_Instr,$B94)&gt;0),"",IF(SUMPRODUCT('Calc_Mix'!$D$29:$W$29,'Matriz_Habilidades'!$D94:$W94)=0,"",SUMPRODUCT('Calc_Mix'!$D$29:$W$29,'Matriz_Habilidades'!$D94:$W94)/'Calc_Mix'!$X$29+ROW()*0.000001))</f>
        <v/>
      </c>
      <c r="AG94" s="34">
        <f>IF(OR($B94="",$C94&lt;&gt;"Ativo",$D94&lt;&gt;'Calc_Mix'!$C$30,'Calc_Mix'!$X$30=0,COUNTIFS(Esc_Turno,'Calc_Mix'!$C$30,Esc_Circ,$B94)+COUNTIFS(Esc_Turno,'Calc_Mix'!$C$30,Esc_Instr,$B94)&gt;0),"",IF(SUMPRODUCT('Calc_Mix'!$D$30:$W$30,'Matriz_Habilidades'!$D94:$W94)=0,"",SUMPRODUCT('Calc_Mix'!$D$30:$W$30,'Matriz_Habilidades'!$D94:$W94)/'Calc_Mix'!$X$30+ROW()*0.000001))</f>
        <v/>
      </c>
      <c r="AH94" s="34">
        <f>IF(OR($B94="",$C94&lt;&gt;"Ativo",$D94&lt;&gt;'Calc_Mix'!$C$31,'Calc_Mix'!$X$31=0,COUNTIFS(Esc_Turno,'Calc_Mix'!$C$31,Esc_Circ,$B94)+COUNTIFS(Esc_Turno,'Calc_Mix'!$C$31,Esc_Instr,$B94)&gt;0),"",IF(SUMPRODUCT('Calc_Mix'!$D$31:$W$31,'Matriz_Habilidades'!$D94:$W94)=0,"",SUMPRODUCT('Calc_Mix'!$D$31:$W$31,'Matriz_Habilidades'!$D94:$W94)/'Calc_Mix'!$X$31+ROW()*0.000001))</f>
        <v/>
      </c>
      <c r="AI94" s="34">
        <f>IF(OR($B94="",$C94&lt;&gt;"Ativo",$D94&lt;&gt;'Calc_Mix'!$C$32,'Calc_Mix'!$X$32=0,COUNTIFS(Esc_Turno,'Calc_Mix'!$C$32,Esc_Circ,$B94)+COUNTIFS(Esc_Turno,'Calc_Mix'!$C$32,Esc_Instr,$B94)&gt;0),"",IF(SUMPRODUCT('Calc_Mix'!$D$32:$W$32,'Matriz_Habilidades'!$D94:$W94)=0,"",SUMPRODUCT('Calc_Mix'!$D$32:$W$32,'Matriz_Habilidades'!$D94:$W94)/'Calc_Mix'!$X$32+ROW()*0.000001))</f>
        <v/>
      </c>
      <c r="AJ94" s="34">
        <f>IF(OR($B94="",$C94&lt;&gt;"Ativo",$D94&lt;&gt;'Calc_Mix'!$C$33,'Calc_Mix'!$X$33=0,COUNTIFS(Esc_Turno,'Calc_Mix'!$C$33,Esc_Circ,$B94)+COUNTIFS(Esc_Turno,'Calc_Mix'!$C$33,Esc_Instr,$B94)&gt;0),"",IF(SUMPRODUCT('Calc_Mix'!$D$33:$W$33,'Matriz_Habilidades'!$D94:$W94)=0,"",SUMPRODUCT('Calc_Mix'!$D$33:$W$33,'Matriz_Habilidades'!$D94:$W94)/'Calc_Mix'!$X$33+ROW()*0.000001))</f>
        <v/>
      </c>
      <c r="AK94" s="34">
        <f>IF(OR($B94="",$C94&lt;&gt;"Ativo",$D94&lt;&gt;'Calc_Mix'!$C$34,'Calc_Mix'!$X$34=0,COUNTIFS(Esc_Turno,'Calc_Mix'!$C$34,Esc_Circ,$B94)+COUNTIFS(Esc_Turno,'Calc_Mix'!$C$34,Esc_Instr,$B94)&gt;0),"",IF(SUMPRODUCT('Calc_Mix'!$D$34:$W$34,'Matriz_Habilidades'!$D94:$W94)=0,"",SUMPRODUCT('Calc_Mix'!$D$34:$W$34,'Matriz_Habilidades'!$D94:$W94)/'Calc_Mix'!$X$34+ROW()*0.000001))</f>
        <v/>
      </c>
      <c r="AL94" s="34">
        <f>IF(OR($B94="",$C94&lt;&gt;"Ativo",$D94&lt;&gt;'Calc_Mix'!$C$35,'Calc_Mix'!$X$35=0,COUNTIFS(Esc_Turno,'Calc_Mix'!$C$35,Esc_Circ,$B94)+COUNTIFS(Esc_Turno,'Calc_Mix'!$C$35,Esc_Instr,$B94)&gt;0),"",IF(SUMPRODUCT('Calc_Mix'!$D$35:$W$35,'Matriz_Habilidades'!$D94:$W94)=0,"",SUMPRODUCT('Calc_Mix'!$D$35:$W$35,'Matriz_Habilidades'!$D94:$W94)/'Calc_Mix'!$X$35+ROW()*0.000001))</f>
        <v/>
      </c>
      <c r="AM94" s="34">
        <f>IF(OR($B94="",$C94&lt;&gt;"Ativo",$D94&lt;&gt;'Calc_Mix'!$C$36,'Calc_Mix'!$X$36=0,COUNTIFS(Esc_Turno,'Calc_Mix'!$C$36,Esc_Circ,$B94)+COUNTIFS(Esc_Turno,'Calc_Mix'!$C$36,Esc_Instr,$B94)&gt;0),"",IF(SUMPRODUCT('Calc_Mix'!$D$36:$W$36,'Matriz_Habilidades'!$D94:$W94)=0,"",SUMPRODUCT('Calc_Mix'!$D$36:$W$36,'Matriz_Habilidades'!$D94:$W94)/'Calc_Mix'!$X$36+ROW()*0.000001))</f>
        <v/>
      </c>
      <c r="AN94" s="34">
        <f>IF(OR($B94="",$C94&lt;&gt;"Ativo",$D94&lt;&gt;'Calc_Mix'!$C$37,'Calc_Mix'!$X$37=0,COUNTIFS(Esc_Turno,'Calc_Mix'!$C$37,Esc_Circ,$B94)+COUNTIFS(Esc_Turno,'Calc_Mix'!$C$37,Esc_Instr,$B94)&gt;0),"",IF(SUMPRODUCT('Calc_Mix'!$D$37:$W$37,'Matriz_Habilidades'!$D94:$W94)=0,"",SUMPRODUCT('Calc_Mix'!$D$37:$W$37,'Matriz_Habilidades'!$D94:$W94)/'Calc_Mix'!$X$37+ROW()*0.000001))</f>
        <v/>
      </c>
    </row>
    <row r="95">
      <c r="A95" s="27">
        <f>IF('Matriz_Habilidades'!A95="","",'Matriz_Habilidades'!A95)</f>
        <v/>
      </c>
      <c r="B95" s="28">
        <f>IF('Matriz_Habilidades'!B95="","",'Matriz_Habilidades'!B95)</f>
        <v/>
      </c>
      <c r="C95" s="27">
        <f>IF($A95="","",IFERROR(INDEX(Equipe_Status,MATCH($B95,Equipe_Nome,0)),"?"))</f>
        <v/>
      </c>
      <c r="D95" s="27">
        <f>IF($A95="","",IFERROR(INDEX(Equipe_Turno,MATCH($B95,Equipe_Nome,0)),"?"))</f>
        <v/>
      </c>
      <c r="E95" s="34">
        <f>IF(OR($B95="",$C95&lt;&gt;"Ativo",$D95&lt;&gt;'Calc_Mix'!$C$2,'Calc_Mix'!$X$2=0,COUNTIFS(Esc_Turno,'Calc_Mix'!$C$2,Esc_Circ,$B95)+COUNTIFS(Esc_Turno,'Calc_Mix'!$C$2,Esc_Instr,$B95)&gt;0),"",IF(SUMPRODUCT('Calc_Mix'!$D$2:$W$2,'Matriz_Habilidades'!$D95:$W95)=0,"",SUMPRODUCT('Calc_Mix'!$D$2:$W$2,'Matriz_Habilidades'!$D95:$W95)/'Calc_Mix'!$X$2+ROW()*0.000001))</f>
        <v/>
      </c>
      <c r="F95" s="34">
        <f>IF(OR($B95="",$C95&lt;&gt;"Ativo",$D95&lt;&gt;'Calc_Mix'!$C$3,'Calc_Mix'!$X$3=0,COUNTIFS(Esc_Turno,'Calc_Mix'!$C$3,Esc_Circ,$B95)+COUNTIFS(Esc_Turno,'Calc_Mix'!$C$3,Esc_Instr,$B95)&gt;0),"",IF(SUMPRODUCT('Calc_Mix'!$D$3:$W$3,'Matriz_Habilidades'!$D95:$W95)=0,"",SUMPRODUCT('Calc_Mix'!$D$3:$W$3,'Matriz_Habilidades'!$D95:$W95)/'Calc_Mix'!$X$3+ROW()*0.000001))</f>
        <v/>
      </c>
      <c r="G95" s="34">
        <f>IF(OR($B95="",$C95&lt;&gt;"Ativo",$D95&lt;&gt;'Calc_Mix'!$C$4,'Calc_Mix'!$X$4=0,COUNTIFS(Esc_Turno,'Calc_Mix'!$C$4,Esc_Circ,$B95)+COUNTIFS(Esc_Turno,'Calc_Mix'!$C$4,Esc_Instr,$B95)&gt;0),"",IF(SUMPRODUCT('Calc_Mix'!$D$4:$W$4,'Matriz_Habilidades'!$D95:$W95)=0,"",SUMPRODUCT('Calc_Mix'!$D$4:$W$4,'Matriz_Habilidades'!$D95:$W95)/'Calc_Mix'!$X$4+ROW()*0.000001))</f>
        <v/>
      </c>
      <c r="H95" s="34">
        <f>IF(OR($B95="",$C95&lt;&gt;"Ativo",$D95&lt;&gt;'Calc_Mix'!$C$5,'Calc_Mix'!$X$5=0,COUNTIFS(Esc_Turno,'Calc_Mix'!$C$5,Esc_Circ,$B95)+COUNTIFS(Esc_Turno,'Calc_Mix'!$C$5,Esc_Instr,$B95)&gt;0),"",IF(SUMPRODUCT('Calc_Mix'!$D$5:$W$5,'Matriz_Habilidades'!$D95:$W95)=0,"",SUMPRODUCT('Calc_Mix'!$D$5:$W$5,'Matriz_Habilidades'!$D95:$W95)/'Calc_Mix'!$X$5+ROW()*0.000001))</f>
        <v/>
      </c>
      <c r="I95" s="34">
        <f>IF(OR($B95="",$C95&lt;&gt;"Ativo",$D95&lt;&gt;'Calc_Mix'!$C$6,'Calc_Mix'!$X$6=0,COUNTIFS(Esc_Turno,'Calc_Mix'!$C$6,Esc_Circ,$B95)+COUNTIFS(Esc_Turno,'Calc_Mix'!$C$6,Esc_Instr,$B95)&gt;0),"",IF(SUMPRODUCT('Calc_Mix'!$D$6:$W$6,'Matriz_Habilidades'!$D95:$W95)=0,"",SUMPRODUCT('Calc_Mix'!$D$6:$W$6,'Matriz_Habilidades'!$D95:$W95)/'Calc_Mix'!$X$6+ROW()*0.000001))</f>
        <v/>
      </c>
      <c r="J95" s="34">
        <f>IF(OR($B95="",$C95&lt;&gt;"Ativo",$D95&lt;&gt;'Calc_Mix'!$C$7,'Calc_Mix'!$X$7=0,COUNTIFS(Esc_Turno,'Calc_Mix'!$C$7,Esc_Circ,$B95)+COUNTIFS(Esc_Turno,'Calc_Mix'!$C$7,Esc_Instr,$B95)&gt;0),"",IF(SUMPRODUCT('Calc_Mix'!$D$7:$W$7,'Matriz_Habilidades'!$D95:$W95)=0,"",SUMPRODUCT('Calc_Mix'!$D$7:$W$7,'Matriz_Habilidades'!$D95:$W95)/'Calc_Mix'!$X$7+ROW()*0.000001))</f>
        <v/>
      </c>
      <c r="K95" s="34">
        <f>IF(OR($B95="",$C95&lt;&gt;"Ativo",$D95&lt;&gt;'Calc_Mix'!$C$8,'Calc_Mix'!$X$8=0,COUNTIFS(Esc_Turno,'Calc_Mix'!$C$8,Esc_Circ,$B95)+COUNTIFS(Esc_Turno,'Calc_Mix'!$C$8,Esc_Instr,$B95)&gt;0),"",IF(SUMPRODUCT('Calc_Mix'!$D$8:$W$8,'Matriz_Habilidades'!$D95:$W95)=0,"",SUMPRODUCT('Calc_Mix'!$D$8:$W$8,'Matriz_Habilidades'!$D95:$W95)/'Calc_Mix'!$X$8+ROW()*0.000001))</f>
        <v/>
      </c>
      <c r="L95" s="34">
        <f>IF(OR($B95="",$C95&lt;&gt;"Ativo",$D95&lt;&gt;'Calc_Mix'!$C$9,'Calc_Mix'!$X$9=0,COUNTIFS(Esc_Turno,'Calc_Mix'!$C$9,Esc_Circ,$B95)+COUNTIFS(Esc_Turno,'Calc_Mix'!$C$9,Esc_Instr,$B95)&gt;0),"",IF(SUMPRODUCT('Calc_Mix'!$D$9:$W$9,'Matriz_Habilidades'!$D95:$W95)=0,"",SUMPRODUCT('Calc_Mix'!$D$9:$W$9,'Matriz_Habilidades'!$D95:$W95)/'Calc_Mix'!$X$9+ROW()*0.000001))</f>
        <v/>
      </c>
      <c r="M95" s="34">
        <f>IF(OR($B95="",$C95&lt;&gt;"Ativo",$D95&lt;&gt;'Calc_Mix'!$C$10,'Calc_Mix'!$X$10=0,COUNTIFS(Esc_Turno,'Calc_Mix'!$C$10,Esc_Circ,$B95)+COUNTIFS(Esc_Turno,'Calc_Mix'!$C$10,Esc_Instr,$B95)&gt;0),"",IF(SUMPRODUCT('Calc_Mix'!$D$10:$W$10,'Matriz_Habilidades'!$D95:$W95)=0,"",SUMPRODUCT('Calc_Mix'!$D$10:$W$10,'Matriz_Habilidades'!$D95:$W95)/'Calc_Mix'!$X$10+ROW()*0.000001))</f>
        <v/>
      </c>
      <c r="N95" s="34">
        <f>IF(OR($B95="",$C95&lt;&gt;"Ativo",$D95&lt;&gt;'Calc_Mix'!$C$11,'Calc_Mix'!$X$11=0,COUNTIFS(Esc_Turno,'Calc_Mix'!$C$11,Esc_Circ,$B95)+COUNTIFS(Esc_Turno,'Calc_Mix'!$C$11,Esc_Instr,$B95)&gt;0),"",IF(SUMPRODUCT('Calc_Mix'!$D$11:$W$11,'Matriz_Habilidades'!$D95:$W95)=0,"",SUMPRODUCT('Calc_Mix'!$D$11:$W$11,'Matriz_Habilidades'!$D95:$W95)/'Calc_Mix'!$X$11+ROW()*0.000001))</f>
        <v/>
      </c>
      <c r="O95" s="34">
        <f>IF(OR($B95="",$C95&lt;&gt;"Ativo",$D95&lt;&gt;'Calc_Mix'!$C$12,'Calc_Mix'!$X$12=0,COUNTIFS(Esc_Turno,'Calc_Mix'!$C$12,Esc_Circ,$B95)+COUNTIFS(Esc_Turno,'Calc_Mix'!$C$12,Esc_Instr,$B95)&gt;0),"",IF(SUMPRODUCT('Calc_Mix'!$D$12:$W$12,'Matriz_Habilidades'!$D95:$W95)=0,"",SUMPRODUCT('Calc_Mix'!$D$12:$W$12,'Matriz_Habilidades'!$D95:$W95)/'Calc_Mix'!$X$12+ROW()*0.000001))</f>
        <v/>
      </c>
      <c r="P95" s="34">
        <f>IF(OR($B95="",$C95&lt;&gt;"Ativo",$D95&lt;&gt;'Calc_Mix'!$C$13,'Calc_Mix'!$X$13=0,COUNTIFS(Esc_Turno,'Calc_Mix'!$C$13,Esc_Circ,$B95)+COUNTIFS(Esc_Turno,'Calc_Mix'!$C$13,Esc_Instr,$B95)&gt;0),"",IF(SUMPRODUCT('Calc_Mix'!$D$13:$W$13,'Matriz_Habilidades'!$D95:$W95)=0,"",SUMPRODUCT('Calc_Mix'!$D$13:$W$13,'Matriz_Habilidades'!$D95:$W95)/'Calc_Mix'!$X$13+ROW()*0.000001))</f>
        <v/>
      </c>
      <c r="Q95" s="34">
        <f>IF(OR($B95="",$C95&lt;&gt;"Ativo",$D95&lt;&gt;'Calc_Mix'!$C$14,'Calc_Mix'!$X$14=0,COUNTIFS(Esc_Turno,'Calc_Mix'!$C$14,Esc_Circ,$B95)+COUNTIFS(Esc_Turno,'Calc_Mix'!$C$14,Esc_Instr,$B95)&gt;0),"",IF(SUMPRODUCT('Calc_Mix'!$D$14:$W$14,'Matriz_Habilidades'!$D95:$W95)=0,"",SUMPRODUCT('Calc_Mix'!$D$14:$W$14,'Matriz_Habilidades'!$D95:$W95)/'Calc_Mix'!$X$14+ROW()*0.000001))</f>
        <v/>
      </c>
      <c r="R95" s="34">
        <f>IF(OR($B95="",$C95&lt;&gt;"Ativo",$D95&lt;&gt;'Calc_Mix'!$C$15,'Calc_Mix'!$X$15=0,COUNTIFS(Esc_Turno,'Calc_Mix'!$C$15,Esc_Circ,$B95)+COUNTIFS(Esc_Turno,'Calc_Mix'!$C$15,Esc_Instr,$B95)&gt;0),"",IF(SUMPRODUCT('Calc_Mix'!$D$15:$W$15,'Matriz_Habilidades'!$D95:$W95)=0,"",SUMPRODUCT('Calc_Mix'!$D$15:$W$15,'Matriz_Habilidades'!$D95:$W95)/'Calc_Mix'!$X$15+ROW()*0.000001))</f>
        <v/>
      </c>
      <c r="S95" s="34">
        <f>IF(OR($B95="",$C95&lt;&gt;"Ativo",$D95&lt;&gt;'Calc_Mix'!$C$16,'Calc_Mix'!$X$16=0,COUNTIFS(Esc_Turno,'Calc_Mix'!$C$16,Esc_Circ,$B95)+COUNTIFS(Esc_Turno,'Calc_Mix'!$C$16,Esc_Instr,$B95)&gt;0),"",IF(SUMPRODUCT('Calc_Mix'!$D$16:$W$16,'Matriz_Habilidades'!$D95:$W95)=0,"",SUMPRODUCT('Calc_Mix'!$D$16:$W$16,'Matriz_Habilidades'!$D95:$W95)/'Calc_Mix'!$X$16+ROW()*0.000001))</f>
        <v/>
      </c>
      <c r="T95" s="34">
        <f>IF(OR($B95="",$C95&lt;&gt;"Ativo",$D95&lt;&gt;'Calc_Mix'!$C$17,'Calc_Mix'!$X$17=0,COUNTIFS(Esc_Turno,'Calc_Mix'!$C$17,Esc_Circ,$B95)+COUNTIFS(Esc_Turno,'Calc_Mix'!$C$17,Esc_Instr,$B95)&gt;0),"",IF(SUMPRODUCT('Calc_Mix'!$D$17:$W$17,'Matriz_Habilidades'!$D95:$W95)=0,"",SUMPRODUCT('Calc_Mix'!$D$17:$W$17,'Matriz_Habilidades'!$D95:$W95)/'Calc_Mix'!$X$17+ROW()*0.000001))</f>
        <v/>
      </c>
      <c r="U95" s="34">
        <f>IF(OR($B95="",$C95&lt;&gt;"Ativo",$D95&lt;&gt;'Calc_Mix'!$C$18,'Calc_Mix'!$X$18=0,COUNTIFS(Esc_Turno,'Calc_Mix'!$C$18,Esc_Circ,$B95)+COUNTIFS(Esc_Turno,'Calc_Mix'!$C$18,Esc_Instr,$B95)&gt;0),"",IF(SUMPRODUCT('Calc_Mix'!$D$18:$W$18,'Matriz_Habilidades'!$D95:$W95)=0,"",SUMPRODUCT('Calc_Mix'!$D$18:$W$18,'Matriz_Habilidades'!$D95:$W95)/'Calc_Mix'!$X$18+ROW()*0.000001))</f>
        <v/>
      </c>
      <c r="V95" s="34">
        <f>IF(OR($B95="",$C95&lt;&gt;"Ativo",$D95&lt;&gt;'Calc_Mix'!$C$19,'Calc_Mix'!$X$19=0,COUNTIFS(Esc_Turno,'Calc_Mix'!$C$19,Esc_Circ,$B95)+COUNTIFS(Esc_Turno,'Calc_Mix'!$C$19,Esc_Instr,$B95)&gt;0),"",IF(SUMPRODUCT('Calc_Mix'!$D$19:$W$19,'Matriz_Habilidades'!$D95:$W95)=0,"",SUMPRODUCT('Calc_Mix'!$D$19:$W$19,'Matriz_Habilidades'!$D95:$W95)/'Calc_Mix'!$X$19+ROW()*0.000001))</f>
        <v/>
      </c>
      <c r="W95" s="34">
        <f>IF(OR($B95="",$C95&lt;&gt;"Ativo",$D95&lt;&gt;'Calc_Mix'!$C$20,'Calc_Mix'!$X$20=0,COUNTIFS(Esc_Turno,'Calc_Mix'!$C$20,Esc_Circ,$B95)+COUNTIFS(Esc_Turno,'Calc_Mix'!$C$20,Esc_Instr,$B95)&gt;0),"",IF(SUMPRODUCT('Calc_Mix'!$D$20:$W$20,'Matriz_Habilidades'!$D95:$W95)=0,"",SUMPRODUCT('Calc_Mix'!$D$20:$W$20,'Matriz_Habilidades'!$D95:$W95)/'Calc_Mix'!$X$20+ROW()*0.000001))</f>
        <v/>
      </c>
      <c r="X95" s="34">
        <f>IF(OR($B95="",$C95&lt;&gt;"Ativo",$D95&lt;&gt;'Calc_Mix'!$C$21,'Calc_Mix'!$X$21=0,COUNTIFS(Esc_Turno,'Calc_Mix'!$C$21,Esc_Circ,$B95)+COUNTIFS(Esc_Turno,'Calc_Mix'!$C$21,Esc_Instr,$B95)&gt;0),"",IF(SUMPRODUCT('Calc_Mix'!$D$21:$W$21,'Matriz_Habilidades'!$D95:$W95)=0,"",SUMPRODUCT('Calc_Mix'!$D$21:$W$21,'Matriz_Habilidades'!$D95:$W95)/'Calc_Mix'!$X$21+ROW()*0.000001))</f>
        <v/>
      </c>
      <c r="Y95" s="34">
        <f>IF(OR($B95="",$C95&lt;&gt;"Ativo",$D95&lt;&gt;'Calc_Mix'!$C$22,'Calc_Mix'!$X$22=0,COUNTIFS(Esc_Turno,'Calc_Mix'!$C$22,Esc_Circ,$B95)+COUNTIFS(Esc_Turno,'Calc_Mix'!$C$22,Esc_Instr,$B95)&gt;0),"",IF(SUMPRODUCT('Calc_Mix'!$D$22:$W$22,'Matriz_Habilidades'!$D95:$W95)=0,"",SUMPRODUCT('Calc_Mix'!$D$22:$W$22,'Matriz_Habilidades'!$D95:$W95)/'Calc_Mix'!$X$22+ROW()*0.000001))</f>
        <v/>
      </c>
      <c r="Z95" s="34">
        <f>IF(OR($B95="",$C95&lt;&gt;"Ativo",$D95&lt;&gt;'Calc_Mix'!$C$23,'Calc_Mix'!$X$23=0,COUNTIFS(Esc_Turno,'Calc_Mix'!$C$23,Esc_Circ,$B95)+COUNTIFS(Esc_Turno,'Calc_Mix'!$C$23,Esc_Instr,$B95)&gt;0),"",IF(SUMPRODUCT('Calc_Mix'!$D$23:$W$23,'Matriz_Habilidades'!$D95:$W95)=0,"",SUMPRODUCT('Calc_Mix'!$D$23:$W$23,'Matriz_Habilidades'!$D95:$W95)/'Calc_Mix'!$X$23+ROW()*0.000001))</f>
        <v/>
      </c>
      <c r="AA95" s="34">
        <f>IF(OR($B95="",$C95&lt;&gt;"Ativo",$D95&lt;&gt;'Calc_Mix'!$C$24,'Calc_Mix'!$X$24=0,COUNTIFS(Esc_Turno,'Calc_Mix'!$C$24,Esc_Circ,$B95)+COUNTIFS(Esc_Turno,'Calc_Mix'!$C$24,Esc_Instr,$B95)&gt;0),"",IF(SUMPRODUCT('Calc_Mix'!$D$24:$W$24,'Matriz_Habilidades'!$D95:$W95)=0,"",SUMPRODUCT('Calc_Mix'!$D$24:$W$24,'Matriz_Habilidades'!$D95:$W95)/'Calc_Mix'!$X$24+ROW()*0.000001))</f>
        <v/>
      </c>
      <c r="AB95" s="34">
        <f>IF(OR($B95="",$C95&lt;&gt;"Ativo",$D95&lt;&gt;'Calc_Mix'!$C$25,'Calc_Mix'!$X$25=0,COUNTIFS(Esc_Turno,'Calc_Mix'!$C$25,Esc_Circ,$B95)+COUNTIFS(Esc_Turno,'Calc_Mix'!$C$25,Esc_Instr,$B95)&gt;0),"",IF(SUMPRODUCT('Calc_Mix'!$D$25:$W$25,'Matriz_Habilidades'!$D95:$W95)=0,"",SUMPRODUCT('Calc_Mix'!$D$25:$W$25,'Matriz_Habilidades'!$D95:$W95)/'Calc_Mix'!$X$25+ROW()*0.000001))</f>
        <v/>
      </c>
      <c r="AC95" s="34">
        <f>IF(OR($B95="",$C95&lt;&gt;"Ativo",$D95&lt;&gt;'Calc_Mix'!$C$26,'Calc_Mix'!$X$26=0,COUNTIFS(Esc_Turno,'Calc_Mix'!$C$26,Esc_Circ,$B95)+COUNTIFS(Esc_Turno,'Calc_Mix'!$C$26,Esc_Instr,$B95)&gt;0),"",IF(SUMPRODUCT('Calc_Mix'!$D$26:$W$26,'Matriz_Habilidades'!$D95:$W95)=0,"",SUMPRODUCT('Calc_Mix'!$D$26:$W$26,'Matriz_Habilidades'!$D95:$W95)/'Calc_Mix'!$X$26+ROW()*0.000001))</f>
        <v/>
      </c>
      <c r="AD95" s="34">
        <f>IF(OR($B95="",$C95&lt;&gt;"Ativo",$D95&lt;&gt;'Calc_Mix'!$C$27,'Calc_Mix'!$X$27=0,COUNTIFS(Esc_Turno,'Calc_Mix'!$C$27,Esc_Circ,$B95)+COUNTIFS(Esc_Turno,'Calc_Mix'!$C$27,Esc_Instr,$B95)&gt;0),"",IF(SUMPRODUCT('Calc_Mix'!$D$27:$W$27,'Matriz_Habilidades'!$D95:$W95)=0,"",SUMPRODUCT('Calc_Mix'!$D$27:$W$27,'Matriz_Habilidades'!$D95:$W95)/'Calc_Mix'!$X$27+ROW()*0.000001))</f>
        <v/>
      </c>
      <c r="AE95" s="34">
        <f>IF(OR($B95="",$C95&lt;&gt;"Ativo",$D95&lt;&gt;'Calc_Mix'!$C$28,'Calc_Mix'!$X$28=0,COUNTIFS(Esc_Turno,'Calc_Mix'!$C$28,Esc_Circ,$B95)+COUNTIFS(Esc_Turno,'Calc_Mix'!$C$28,Esc_Instr,$B95)&gt;0),"",IF(SUMPRODUCT('Calc_Mix'!$D$28:$W$28,'Matriz_Habilidades'!$D95:$W95)=0,"",SUMPRODUCT('Calc_Mix'!$D$28:$W$28,'Matriz_Habilidades'!$D95:$W95)/'Calc_Mix'!$X$28+ROW()*0.000001))</f>
        <v/>
      </c>
      <c r="AF95" s="34">
        <f>IF(OR($B95="",$C95&lt;&gt;"Ativo",$D95&lt;&gt;'Calc_Mix'!$C$29,'Calc_Mix'!$X$29=0,COUNTIFS(Esc_Turno,'Calc_Mix'!$C$29,Esc_Circ,$B95)+COUNTIFS(Esc_Turno,'Calc_Mix'!$C$29,Esc_Instr,$B95)&gt;0),"",IF(SUMPRODUCT('Calc_Mix'!$D$29:$W$29,'Matriz_Habilidades'!$D95:$W95)=0,"",SUMPRODUCT('Calc_Mix'!$D$29:$W$29,'Matriz_Habilidades'!$D95:$W95)/'Calc_Mix'!$X$29+ROW()*0.000001))</f>
        <v/>
      </c>
      <c r="AG95" s="34">
        <f>IF(OR($B95="",$C95&lt;&gt;"Ativo",$D95&lt;&gt;'Calc_Mix'!$C$30,'Calc_Mix'!$X$30=0,COUNTIFS(Esc_Turno,'Calc_Mix'!$C$30,Esc_Circ,$B95)+COUNTIFS(Esc_Turno,'Calc_Mix'!$C$30,Esc_Instr,$B95)&gt;0),"",IF(SUMPRODUCT('Calc_Mix'!$D$30:$W$30,'Matriz_Habilidades'!$D95:$W95)=0,"",SUMPRODUCT('Calc_Mix'!$D$30:$W$30,'Matriz_Habilidades'!$D95:$W95)/'Calc_Mix'!$X$30+ROW()*0.000001))</f>
        <v/>
      </c>
      <c r="AH95" s="34">
        <f>IF(OR($B95="",$C95&lt;&gt;"Ativo",$D95&lt;&gt;'Calc_Mix'!$C$31,'Calc_Mix'!$X$31=0,COUNTIFS(Esc_Turno,'Calc_Mix'!$C$31,Esc_Circ,$B95)+COUNTIFS(Esc_Turno,'Calc_Mix'!$C$31,Esc_Instr,$B95)&gt;0),"",IF(SUMPRODUCT('Calc_Mix'!$D$31:$W$31,'Matriz_Habilidades'!$D95:$W95)=0,"",SUMPRODUCT('Calc_Mix'!$D$31:$W$31,'Matriz_Habilidades'!$D95:$W95)/'Calc_Mix'!$X$31+ROW()*0.000001))</f>
        <v/>
      </c>
      <c r="AI95" s="34">
        <f>IF(OR($B95="",$C95&lt;&gt;"Ativo",$D95&lt;&gt;'Calc_Mix'!$C$32,'Calc_Mix'!$X$32=0,COUNTIFS(Esc_Turno,'Calc_Mix'!$C$32,Esc_Circ,$B95)+COUNTIFS(Esc_Turno,'Calc_Mix'!$C$32,Esc_Instr,$B95)&gt;0),"",IF(SUMPRODUCT('Calc_Mix'!$D$32:$W$32,'Matriz_Habilidades'!$D95:$W95)=0,"",SUMPRODUCT('Calc_Mix'!$D$32:$W$32,'Matriz_Habilidades'!$D95:$W95)/'Calc_Mix'!$X$32+ROW()*0.000001))</f>
        <v/>
      </c>
      <c r="AJ95" s="34">
        <f>IF(OR($B95="",$C95&lt;&gt;"Ativo",$D95&lt;&gt;'Calc_Mix'!$C$33,'Calc_Mix'!$X$33=0,COUNTIFS(Esc_Turno,'Calc_Mix'!$C$33,Esc_Circ,$B95)+COUNTIFS(Esc_Turno,'Calc_Mix'!$C$33,Esc_Instr,$B95)&gt;0),"",IF(SUMPRODUCT('Calc_Mix'!$D$33:$W$33,'Matriz_Habilidades'!$D95:$W95)=0,"",SUMPRODUCT('Calc_Mix'!$D$33:$W$33,'Matriz_Habilidades'!$D95:$W95)/'Calc_Mix'!$X$33+ROW()*0.000001))</f>
        <v/>
      </c>
      <c r="AK95" s="34">
        <f>IF(OR($B95="",$C95&lt;&gt;"Ativo",$D95&lt;&gt;'Calc_Mix'!$C$34,'Calc_Mix'!$X$34=0,COUNTIFS(Esc_Turno,'Calc_Mix'!$C$34,Esc_Circ,$B95)+COUNTIFS(Esc_Turno,'Calc_Mix'!$C$34,Esc_Instr,$B95)&gt;0),"",IF(SUMPRODUCT('Calc_Mix'!$D$34:$W$34,'Matriz_Habilidades'!$D95:$W95)=0,"",SUMPRODUCT('Calc_Mix'!$D$34:$W$34,'Matriz_Habilidades'!$D95:$W95)/'Calc_Mix'!$X$34+ROW()*0.000001))</f>
        <v/>
      </c>
      <c r="AL95" s="34">
        <f>IF(OR($B95="",$C95&lt;&gt;"Ativo",$D95&lt;&gt;'Calc_Mix'!$C$35,'Calc_Mix'!$X$35=0,COUNTIFS(Esc_Turno,'Calc_Mix'!$C$35,Esc_Circ,$B95)+COUNTIFS(Esc_Turno,'Calc_Mix'!$C$35,Esc_Instr,$B95)&gt;0),"",IF(SUMPRODUCT('Calc_Mix'!$D$35:$W$35,'Matriz_Habilidades'!$D95:$W95)=0,"",SUMPRODUCT('Calc_Mix'!$D$35:$W$35,'Matriz_Habilidades'!$D95:$W95)/'Calc_Mix'!$X$35+ROW()*0.000001))</f>
        <v/>
      </c>
      <c r="AM95" s="34">
        <f>IF(OR($B95="",$C95&lt;&gt;"Ativo",$D95&lt;&gt;'Calc_Mix'!$C$36,'Calc_Mix'!$X$36=0,COUNTIFS(Esc_Turno,'Calc_Mix'!$C$36,Esc_Circ,$B95)+COUNTIFS(Esc_Turno,'Calc_Mix'!$C$36,Esc_Instr,$B95)&gt;0),"",IF(SUMPRODUCT('Calc_Mix'!$D$36:$W$36,'Matriz_Habilidades'!$D95:$W95)=0,"",SUMPRODUCT('Calc_Mix'!$D$36:$W$36,'Matriz_Habilidades'!$D95:$W95)/'Calc_Mix'!$X$36+ROW()*0.000001))</f>
        <v/>
      </c>
      <c r="AN95" s="34">
        <f>IF(OR($B95="",$C95&lt;&gt;"Ativo",$D95&lt;&gt;'Calc_Mix'!$C$37,'Calc_Mix'!$X$37=0,COUNTIFS(Esc_Turno,'Calc_Mix'!$C$37,Esc_Circ,$B95)+COUNTIFS(Esc_Turno,'Calc_Mix'!$C$37,Esc_Instr,$B95)&gt;0),"",IF(SUMPRODUCT('Calc_Mix'!$D$37:$W$37,'Matriz_Habilidades'!$D95:$W95)=0,"",SUMPRODUCT('Calc_Mix'!$D$37:$W$37,'Matriz_Habilidades'!$D95:$W95)/'Calc_Mix'!$X$37+ROW()*0.000001))</f>
        <v/>
      </c>
    </row>
    <row r="96">
      <c r="A96" s="27">
        <f>IF('Matriz_Habilidades'!A96="","",'Matriz_Habilidades'!A96)</f>
        <v/>
      </c>
      <c r="B96" s="28">
        <f>IF('Matriz_Habilidades'!B96="","",'Matriz_Habilidades'!B96)</f>
        <v/>
      </c>
      <c r="C96" s="27">
        <f>IF($A96="","",IFERROR(INDEX(Equipe_Status,MATCH($B96,Equipe_Nome,0)),"?"))</f>
        <v/>
      </c>
      <c r="D96" s="27">
        <f>IF($A96="","",IFERROR(INDEX(Equipe_Turno,MATCH($B96,Equipe_Nome,0)),"?"))</f>
        <v/>
      </c>
      <c r="E96" s="34">
        <f>IF(OR($B96="",$C96&lt;&gt;"Ativo",$D96&lt;&gt;'Calc_Mix'!$C$2,'Calc_Mix'!$X$2=0,COUNTIFS(Esc_Turno,'Calc_Mix'!$C$2,Esc_Circ,$B96)+COUNTIFS(Esc_Turno,'Calc_Mix'!$C$2,Esc_Instr,$B96)&gt;0),"",IF(SUMPRODUCT('Calc_Mix'!$D$2:$W$2,'Matriz_Habilidades'!$D96:$W96)=0,"",SUMPRODUCT('Calc_Mix'!$D$2:$W$2,'Matriz_Habilidades'!$D96:$W96)/'Calc_Mix'!$X$2+ROW()*0.000001))</f>
        <v/>
      </c>
      <c r="F96" s="34">
        <f>IF(OR($B96="",$C96&lt;&gt;"Ativo",$D96&lt;&gt;'Calc_Mix'!$C$3,'Calc_Mix'!$X$3=0,COUNTIFS(Esc_Turno,'Calc_Mix'!$C$3,Esc_Circ,$B96)+COUNTIFS(Esc_Turno,'Calc_Mix'!$C$3,Esc_Instr,$B96)&gt;0),"",IF(SUMPRODUCT('Calc_Mix'!$D$3:$W$3,'Matriz_Habilidades'!$D96:$W96)=0,"",SUMPRODUCT('Calc_Mix'!$D$3:$W$3,'Matriz_Habilidades'!$D96:$W96)/'Calc_Mix'!$X$3+ROW()*0.000001))</f>
        <v/>
      </c>
      <c r="G96" s="34">
        <f>IF(OR($B96="",$C96&lt;&gt;"Ativo",$D96&lt;&gt;'Calc_Mix'!$C$4,'Calc_Mix'!$X$4=0,COUNTIFS(Esc_Turno,'Calc_Mix'!$C$4,Esc_Circ,$B96)+COUNTIFS(Esc_Turno,'Calc_Mix'!$C$4,Esc_Instr,$B96)&gt;0),"",IF(SUMPRODUCT('Calc_Mix'!$D$4:$W$4,'Matriz_Habilidades'!$D96:$W96)=0,"",SUMPRODUCT('Calc_Mix'!$D$4:$W$4,'Matriz_Habilidades'!$D96:$W96)/'Calc_Mix'!$X$4+ROW()*0.000001))</f>
        <v/>
      </c>
      <c r="H96" s="34">
        <f>IF(OR($B96="",$C96&lt;&gt;"Ativo",$D96&lt;&gt;'Calc_Mix'!$C$5,'Calc_Mix'!$X$5=0,COUNTIFS(Esc_Turno,'Calc_Mix'!$C$5,Esc_Circ,$B96)+COUNTIFS(Esc_Turno,'Calc_Mix'!$C$5,Esc_Instr,$B96)&gt;0),"",IF(SUMPRODUCT('Calc_Mix'!$D$5:$W$5,'Matriz_Habilidades'!$D96:$W96)=0,"",SUMPRODUCT('Calc_Mix'!$D$5:$W$5,'Matriz_Habilidades'!$D96:$W96)/'Calc_Mix'!$X$5+ROW()*0.000001))</f>
        <v/>
      </c>
      <c r="I96" s="34">
        <f>IF(OR($B96="",$C96&lt;&gt;"Ativo",$D96&lt;&gt;'Calc_Mix'!$C$6,'Calc_Mix'!$X$6=0,COUNTIFS(Esc_Turno,'Calc_Mix'!$C$6,Esc_Circ,$B96)+COUNTIFS(Esc_Turno,'Calc_Mix'!$C$6,Esc_Instr,$B96)&gt;0),"",IF(SUMPRODUCT('Calc_Mix'!$D$6:$W$6,'Matriz_Habilidades'!$D96:$W96)=0,"",SUMPRODUCT('Calc_Mix'!$D$6:$W$6,'Matriz_Habilidades'!$D96:$W96)/'Calc_Mix'!$X$6+ROW()*0.000001))</f>
        <v/>
      </c>
      <c r="J96" s="34">
        <f>IF(OR($B96="",$C96&lt;&gt;"Ativo",$D96&lt;&gt;'Calc_Mix'!$C$7,'Calc_Mix'!$X$7=0,COUNTIFS(Esc_Turno,'Calc_Mix'!$C$7,Esc_Circ,$B96)+COUNTIFS(Esc_Turno,'Calc_Mix'!$C$7,Esc_Instr,$B96)&gt;0),"",IF(SUMPRODUCT('Calc_Mix'!$D$7:$W$7,'Matriz_Habilidades'!$D96:$W96)=0,"",SUMPRODUCT('Calc_Mix'!$D$7:$W$7,'Matriz_Habilidades'!$D96:$W96)/'Calc_Mix'!$X$7+ROW()*0.000001))</f>
        <v/>
      </c>
      <c r="K96" s="34">
        <f>IF(OR($B96="",$C96&lt;&gt;"Ativo",$D96&lt;&gt;'Calc_Mix'!$C$8,'Calc_Mix'!$X$8=0,COUNTIFS(Esc_Turno,'Calc_Mix'!$C$8,Esc_Circ,$B96)+COUNTIFS(Esc_Turno,'Calc_Mix'!$C$8,Esc_Instr,$B96)&gt;0),"",IF(SUMPRODUCT('Calc_Mix'!$D$8:$W$8,'Matriz_Habilidades'!$D96:$W96)=0,"",SUMPRODUCT('Calc_Mix'!$D$8:$W$8,'Matriz_Habilidades'!$D96:$W96)/'Calc_Mix'!$X$8+ROW()*0.000001))</f>
        <v/>
      </c>
      <c r="L96" s="34">
        <f>IF(OR($B96="",$C96&lt;&gt;"Ativo",$D96&lt;&gt;'Calc_Mix'!$C$9,'Calc_Mix'!$X$9=0,COUNTIFS(Esc_Turno,'Calc_Mix'!$C$9,Esc_Circ,$B96)+COUNTIFS(Esc_Turno,'Calc_Mix'!$C$9,Esc_Instr,$B96)&gt;0),"",IF(SUMPRODUCT('Calc_Mix'!$D$9:$W$9,'Matriz_Habilidades'!$D96:$W96)=0,"",SUMPRODUCT('Calc_Mix'!$D$9:$W$9,'Matriz_Habilidades'!$D96:$W96)/'Calc_Mix'!$X$9+ROW()*0.000001))</f>
        <v/>
      </c>
      <c r="M96" s="34">
        <f>IF(OR($B96="",$C96&lt;&gt;"Ativo",$D96&lt;&gt;'Calc_Mix'!$C$10,'Calc_Mix'!$X$10=0,COUNTIFS(Esc_Turno,'Calc_Mix'!$C$10,Esc_Circ,$B96)+COUNTIFS(Esc_Turno,'Calc_Mix'!$C$10,Esc_Instr,$B96)&gt;0),"",IF(SUMPRODUCT('Calc_Mix'!$D$10:$W$10,'Matriz_Habilidades'!$D96:$W96)=0,"",SUMPRODUCT('Calc_Mix'!$D$10:$W$10,'Matriz_Habilidades'!$D96:$W96)/'Calc_Mix'!$X$10+ROW()*0.000001))</f>
        <v/>
      </c>
      <c r="N96" s="34">
        <f>IF(OR($B96="",$C96&lt;&gt;"Ativo",$D96&lt;&gt;'Calc_Mix'!$C$11,'Calc_Mix'!$X$11=0,COUNTIFS(Esc_Turno,'Calc_Mix'!$C$11,Esc_Circ,$B96)+COUNTIFS(Esc_Turno,'Calc_Mix'!$C$11,Esc_Instr,$B96)&gt;0),"",IF(SUMPRODUCT('Calc_Mix'!$D$11:$W$11,'Matriz_Habilidades'!$D96:$W96)=0,"",SUMPRODUCT('Calc_Mix'!$D$11:$W$11,'Matriz_Habilidades'!$D96:$W96)/'Calc_Mix'!$X$11+ROW()*0.000001))</f>
        <v/>
      </c>
      <c r="O96" s="34">
        <f>IF(OR($B96="",$C96&lt;&gt;"Ativo",$D96&lt;&gt;'Calc_Mix'!$C$12,'Calc_Mix'!$X$12=0,COUNTIFS(Esc_Turno,'Calc_Mix'!$C$12,Esc_Circ,$B96)+COUNTIFS(Esc_Turno,'Calc_Mix'!$C$12,Esc_Instr,$B96)&gt;0),"",IF(SUMPRODUCT('Calc_Mix'!$D$12:$W$12,'Matriz_Habilidades'!$D96:$W96)=0,"",SUMPRODUCT('Calc_Mix'!$D$12:$W$12,'Matriz_Habilidades'!$D96:$W96)/'Calc_Mix'!$X$12+ROW()*0.000001))</f>
        <v/>
      </c>
      <c r="P96" s="34">
        <f>IF(OR($B96="",$C96&lt;&gt;"Ativo",$D96&lt;&gt;'Calc_Mix'!$C$13,'Calc_Mix'!$X$13=0,COUNTIFS(Esc_Turno,'Calc_Mix'!$C$13,Esc_Circ,$B96)+COUNTIFS(Esc_Turno,'Calc_Mix'!$C$13,Esc_Instr,$B96)&gt;0),"",IF(SUMPRODUCT('Calc_Mix'!$D$13:$W$13,'Matriz_Habilidades'!$D96:$W96)=0,"",SUMPRODUCT('Calc_Mix'!$D$13:$W$13,'Matriz_Habilidades'!$D96:$W96)/'Calc_Mix'!$X$13+ROW()*0.000001))</f>
        <v/>
      </c>
      <c r="Q96" s="34">
        <f>IF(OR($B96="",$C96&lt;&gt;"Ativo",$D96&lt;&gt;'Calc_Mix'!$C$14,'Calc_Mix'!$X$14=0,COUNTIFS(Esc_Turno,'Calc_Mix'!$C$14,Esc_Circ,$B96)+COUNTIFS(Esc_Turno,'Calc_Mix'!$C$14,Esc_Instr,$B96)&gt;0),"",IF(SUMPRODUCT('Calc_Mix'!$D$14:$W$14,'Matriz_Habilidades'!$D96:$W96)=0,"",SUMPRODUCT('Calc_Mix'!$D$14:$W$14,'Matriz_Habilidades'!$D96:$W96)/'Calc_Mix'!$X$14+ROW()*0.000001))</f>
        <v/>
      </c>
      <c r="R96" s="34">
        <f>IF(OR($B96="",$C96&lt;&gt;"Ativo",$D96&lt;&gt;'Calc_Mix'!$C$15,'Calc_Mix'!$X$15=0,COUNTIFS(Esc_Turno,'Calc_Mix'!$C$15,Esc_Circ,$B96)+COUNTIFS(Esc_Turno,'Calc_Mix'!$C$15,Esc_Instr,$B96)&gt;0),"",IF(SUMPRODUCT('Calc_Mix'!$D$15:$W$15,'Matriz_Habilidades'!$D96:$W96)=0,"",SUMPRODUCT('Calc_Mix'!$D$15:$W$15,'Matriz_Habilidades'!$D96:$W96)/'Calc_Mix'!$X$15+ROW()*0.000001))</f>
        <v/>
      </c>
      <c r="S96" s="34">
        <f>IF(OR($B96="",$C96&lt;&gt;"Ativo",$D96&lt;&gt;'Calc_Mix'!$C$16,'Calc_Mix'!$X$16=0,COUNTIFS(Esc_Turno,'Calc_Mix'!$C$16,Esc_Circ,$B96)+COUNTIFS(Esc_Turno,'Calc_Mix'!$C$16,Esc_Instr,$B96)&gt;0),"",IF(SUMPRODUCT('Calc_Mix'!$D$16:$W$16,'Matriz_Habilidades'!$D96:$W96)=0,"",SUMPRODUCT('Calc_Mix'!$D$16:$W$16,'Matriz_Habilidades'!$D96:$W96)/'Calc_Mix'!$X$16+ROW()*0.000001))</f>
        <v/>
      </c>
      <c r="T96" s="34">
        <f>IF(OR($B96="",$C96&lt;&gt;"Ativo",$D96&lt;&gt;'Calc_Mix'!$C$17,'Calc_Mix'!$X$17=0,COUNTIFS(Esc_Turno,'Calc_Mix'!$C$17,Esc_Circ,$B96)+COUNTIFS(Esc_Turno,'Calc_Mix'!$C$17,Esc_Instr,$B96)&gt;0),"",IF(SUMPRODUCT('Calc_Mix'!$D$17:$W$17,'Matriz_Habilidades'!$D96:$W96)=0,"",SUMPRODUCT('Calc_Mix'!$D$17:$W$17,'Matriz_Habilidades'!$D96:$W96)/'Calc_Mix'!$X$17+ROW()*0.000001))</f>
        <v/>
      </c>
      <c r="U96" s="34">
        <f>IF(OR($B96="",$C96&lt;&gt;"Ativo",$D96&lt;&gt;'Calc_Mix'!$C$18,'Calc_Mix'!$X$18=0,COUNTIFS(Esc_Turno,'Calc_Mix'!$C$18,Esc_Circ,$B96)+COUNTIFS(Esc_Turno,'Calc_Mix'!$C$18,Esc_Instr,$B96)&gt;0),"",IF(SUMPRODUCT('Calc_Mix'!$D$18:$W$18,'Matriz_Habilidades'!$D96:$W96)=0,"",SUMPRODUCT('Calc_Mix'!$D$18:$W$18,'Matriz_Habilidades'!$D96:$W96)/'Calc_Mix'!$X$18+ROW()*0.000001))</f>
        <v/>
      </c>
      <c r="V96" s="34">
        <f>IF(OR($B96="",$C96&lt;&gt;"Ativo",$D96&lt;&gt;'Calc_Mix'!$C$19,'Calc_Mix'!$X$19=0,COUNTIFS(Esc_Turno,'Calc_Mix'!$C$19,Esc_Circ,$B96)+COUNTIFS(Esc_Turno,'Calc_Mix'!$C$19,Esc_Instr,$B96)&gt;0),"",IF(SUMPRODUCT('Calc_Mix'!$D$19:$W$19,'Matriz_Habilidades'!$D96:$W96)=0,"",SUMPRODUCT('Calc_Mix'!$D$19:$W$19,'Matriz_Habilidades'!$D96:$W96)/'Calc_Mix'!$X$19+ROW()*0.000001))</f>
        <v/>
      </c>
      <c r="W96" s="34">
        <f>IF(OR($B96="",$C96&lt;&gt;"Ativo",$D96&lt;&gt;'Calc_Mix'!$C$20,'Calc_Mix'!$X$20=0,COUNTIFS(Esc_Turno,'Calc_Mix'!$C$20,Esc_Circ,$B96)+COUNTIFS(Esc_Turno,'Calc_Mix'!$C$20,Esc_Instr,$B96)&gt;0),"",IF(SUMPRODUCT('Calc_Mix'!$D$20:$W$20,'Matriz_Habilidades'!$D96:$W96)=0,"",SUMPRODUCT('Calc_Mix'!$D$20:$W$20,'Matriz_Habilidades'!$D96:$W96)/'Calc_Mix'!$X$20+ROW()*0.000001))</f>
        <v/>
      </c>
      <c r="X96" s="34">
        <f>IF(OR($B96="",$C96&lt;&gt;"Ativo",$D96&lt;&gt;'Calc_Mix'!$C$21,'Calc_Mix'!$X$21=0,COUNTIFS(Esc_Turno,'Calc_Mix'!$C$21,Esc_Circ,$B96)+COUNTIFS(Esc_Turno,'Calc_Mix'!$C$21,Esc_Instr,$B96)&gt;0),"",IF(SUMPRODUCT('Calc_Mix'!$D$21:$W$21,'Matriz_Habilidades'!$D96:$W96)=0,"",SUMPRODUCT('Calc_Mix'!$D$21:$W$21,'Matriz_Habilidades'!$D96:$W96)/'Calc_Mix'!$X$21+ROW()*0.000001))</f>
        <v/>
      </c>
      <c r="Y96" s="34">
        <f>IF(OR($B96="",$C96&lt;&gt;"Ativo",$D96&lt;&gt;'Calc_Mix'!$C$22,'Calc_Mix'!$X$22=0,COUNTIFS(Esc_Turno,'Calc_Mix'!$C$22,Esc_Circ,$B96)+COUNTIFS(Esc_Turno,'Calc_Mix'!$C$22,Esc_Instr,$B96)&gt;0),"",IF(SUMPRODUCT('Calc_Mix'!$D$22:$W$22,'Matriz_Habilidades'!$D96:$W96)=0,"",SUMPRODUCT('Calc_Mix'!$D$22:$W$22,'Matriz_Habilidades'!$D96:$W96)/'Calc_Mix'!$X$22+ROW()*0.000001))</f>
        <v/>
      </c>
      <c r="Z96" s="34">
        <f>IF(OR($B96="",$C96&lt;&gt;"Ativo",$D96&lt;&gt;'Calc_Mix'!$C$23,'Calc_Mix'!$X$23=0,COUNTIFS(Esc_Turno,'Calc_Mix'!$C$23,Esc_Circ,$B96)+COUNTIFS(Esc_Turno,'Calc_Mix'!$C$23,Esc_Instr,$B96)&gt;0),"",IF(SUMPRODUCT('Calc_Mix'!$D$23:$W$23,'Matriz_Habilidades'!$D96:$W96)=0,"",SUMPRODUCT('Calc_Mix'!$D$23:$W$23,'Matriz_Habilidades'!$D96:$W96)/'Calc_Mix'!$X$23+ROW()*0.000001))</f>
        <v/>
      </c>
      <c r="AA96" s="34">
        <f>IF(OR($B96="",$C96&lt;&gt;"Ativo",$D96&lt;&gt;'Calc_Mix'!$C$24,'Calc_Mix'!$X$24=0,COUNTIFS(Esc_Turno,'Calc_Mix'!$C$24,Esc_Circ,$B96)+COUNTIFS(Esc_Turno,'Calc_Mix'!$C$24,Esc_Instr,$B96)&gt;0),"",IF(SUMPRODUCT('Calc_Mix'!$D$24:$W$24,'Matriz_Habilidades'!$D96:$W96)=0,"",SUMPRODUCT('Calc_Mix'!$D$24:$W$24,'Matriz_Habilidades'!$D96:$W96)/'Calc_Mix'!$X$24+ROW()*0.000001))</f>
        <v/>
      </c>
      <c r="AB96" s="34">
        <f>IF(OR($B96="",$C96&lt;&gt;"Ativo",$D96&lt;&gt;'Calc_Mix'!$C$25,'Calc_Mix'!$X$25=0,COUNTIFS(Esc_Turno,'Calc_Mix'!$C$25,Esc_Circ,$B96)+COUNTIFS(Esc_Turno,'Calc_Mix'!$C$25,Esc_Instr,$B96)&gt;0),"",IF(SUMPRODUCT('Calc_Mix'!$D$25:$W$25,'Matriz_Habilidades'!$D96:$W96)=0,"",SUMPRODUCT('Calc_Mix'!$D$25:$W$25,'Matriz_Habilidades'!$D96:$W96)/'Calc_Mix'!$X$25+ROW()*0.000001))</f>
        <v/>
      </c>
      <c r="AC96" s="34">
        <f>IF(OR($B96="",$C96&lt;&gt;"Ativo",$D96&lt;&gt;'Calc_Mix'!$C$26,'Calc_Mix'!$X$26=0,COUNTIFS(Esc_Turno,'Calc_Mix'!$C$26,Esc_Circ,$B96)+COUNTIFS(Esc_Turno,'Calc_Mix'!$C$26,Esc_Instr,$B96)&gt;0),"",IF(SUMPRODUCT('Calc_Mix'!$D$26:$W$26,'Matriz_Habilidades'!$D96:$W96)=0,"",SUMPRODUCT('Calc_Mix'!$D$26:$W$26,'Matriz_Habilidades'!$D96:$W96)/'Calc_Mix'!$X$26+ROW()*0.000001))</f>
        <v/>
      </c>
      <c r="AD96" s="34">
        <f>IF(OR($B96="",$C96&lt;&gt;"Ativo",$D96&lt;&gt;'Calc_Mix'!$C$27,'Calc_Mix'!$X$27=0,COUNTIFS(Esc_Turno,'Calc_Mix'!$C$27,Esc_Circ,$B96)+COUNTIFS(Esc_Turno,'Calc_Mix'!$C$27,Esc_Instr,$B96)&gt;0),"",IF(SUMPRODUCT('Calc_Mix'!$D$27:$W$27,'Matriz_Habilidades'!$D96:$W96)=0,"",SUMPRODUCT('Calc_Mix'!$D$27:$W$27,'Matriz_Habilidades'!$D96:$W96)/'Calc_Mix'!$X$27+ROW()*0.000001))</f>
        <v/>
      </c>
      <c r="AE96" s="34">
        <f>IF(OR($B96="",$C96&lt;&gt;"Ativo",$D96&lt;&gt;'Calc_Mix'!$C$28,'Calc_Mix'!$X$28=0,COUNTIFS(Esc_Turno,'Calc_Mix'!$C$28,Esc_Circ,$B96)+COUNTIFS(Esc_Turno,'Calc_Mix'!$C$28,Esc_Instr,$B96)&gt;0),"",IF(SUMPRODUCT('Calc_Mix'!$D$28:$W$28,'Matriz_Habilidades'!$D96:$W96)=0,"",SUMPRODUCT('Calc_Mix'!$D$28:$W$28,'Matriz_Habilidades'!$D96:$W96)/'Calc_Mix'!$X$28+ROW()*0.000001))</f>
        <v/>
      </c>
      <c r="AF96" s="34">
        <f>IF(OR($B96="",$C96&lt;&gt;"Ativo",$D96&lt;&gt;'Calc_Mix'!$C$29,'Calc_Mix'!$X$29=0,COUNTIFS(Esc_Turno,'Calc_Mix'!$C$29,Esc_Circ,$B96)+COUNTIFS(Esc_Turno,'Calc_Mix'!$C$29,Esc_Instr,$B96)&gt;0),"",IF(SUMPRODUCT('Calc_Mix'!$D$29:$W$29,'Matriz_Habilidades'!$D96:$W96)=0,"",SUMPRODUCT('Calc_Mix'!$D$29:$W$29,'Matriz_Habilidades'!$D96:$W96)/'Calc_Mix'!$X$29+ROW()*0.000001))</f>
        <v/>
      </c>
      <c r="AG96" s="34">
        <f>IF(OR($B96="",$C96&lt;&gt;"Ativo",$D96&lt;&gt;'Calc_Mix'!$C$30,'Calc_Mix'!$X$30=0,COUNTIFS(Esc_Turno,'Calc_Mix'!$C$30,Esc_Circ,$B96)+COUNTIFS(Esc_Turno,'Calc_Mix'!$C$30,Esc_Instr,$B96)&gt;0),"",IF(SUMPRODUCT('Calc_Mix'!$D$30:$W$30,'Matriz_Habilidades'!$D96:$W96)=0,"",SUMPRODUCT('Calc_Mix'!$D$30:$W$30,'Matriz_Habilidades'!$D96:$W96)/'Calc_Mix'!$X$30+ROW()*0.000001))</f>
        <v/>
      </c>
      <c r="AH96" s="34">
        <f>IF(OR($B96="",$C96&lt;&gt;"Ativo",$D96&lt;&gt;'Calc_Mix'!$C$31,'Calc_Mix'!$X$31=0,COUNTIFS(Esc_Turno,'Calc_Mix'!$C$31,Esc_Circ,$B96)+COUNTIFS(Esc_Turno,'Calc_Mix'!$C$31,Esc_Instr,$B96)&gt;0),"",IF(SUMPRODUCT('Calc_Mix'!$D$31:$W$31,'Matriz_Habilidades'!$D96:$W96)=0,"",SUMPRODUCT('Calc_Mix'!$D$31:$W$31,'Matriz_Habilidades'!$D96:$W96)/'Calc_Mix'!$X$31+ROW()*0.000001))</f>
        <v/>
      </c>
      <c r="AI96" s="34">
        <f>IF(OR($B96="",$C96&lt;&gt;"Ativo",$D96&lt;&gt;'Calc_Mix'!$C$32,'Calc_Mix'!$X$32=0,COUNTIFS(Esc_Turno,'Calc_Mix'!$C$32,Esc_Circ,$B96)+COUNTIFS(Esc_Turno,'Calc_Mix'!$C$32,Esc_Instr,$B96)&gt;0),"",IF(SUMPRODUCT('Calc_Mix'!$D$32:$W$32,'Matriz_Habilidades'!$D96:$W96)=0,"",SUMPRODUCT('Calc_Mix'!$D$32:$W$32,'Matriz_Habilidades'!$D96:$W96)/'Calc_Mix'!$X$32+ROW()*0.000001))</f>
        <v/>
      </c>
      <c r="AJ96" s="34">
        <f>IF(OR($B96="",$C96&lt;&gt;"Ativo",$D96&lt;&gt;'Calc_Mix'!$C$33,'Calc_Mix'!$X$33=0,COUNTIFS(Esc_Turno,'Calc_Mix'!$C$33,Esc_Circ,$B96)+COUNTIFS(Esc_Turno,'Calc_Mix'!$C$33,Esc_Instr,$B96)&gt;0),"",IF(SUMPRODUCT('Calc_Mix'!$D$33:$W$33,'Matriz_Habilidades'!$D96:$W96)=0,"",SUMPRODUCT('Calc_Mix'!$D$33:$W$33,'Matriz_Habilidades'!$D96:$W96)/'Calc_Mix'!$X$33+ROW()*0.000001))</f>
        <v/>
      </c>
      <c r="AK96" s="34">
        <f>IF(OR($B96="",$C96&lt;&gt;"Ativo",$D96&lt;&gt;'Calc_Mix'!$C$34,'Calc_Mix'!$X$34=0,COUNTIFS(Esc_Turno,'Calc_Mix'!$C$34,Esc_Circ,$B96)+COUNTIFS(Esc_Turno,'Calc_Mix'!$C$34,Esc_Instr,$B96)&gt;0),"",IF(SUMPRODUCT('Calc_Mix'!$D$34:$W$34,'Matriz_Habilidades'!$D96:$W96)=0,"",SUMPRODUCT('Calc_Mix'!$D$34:$W$34,'Matriz_Habilidades'!$D96:$W96)/'Calc_Mix'!$X$34+ROW()*0.000001))</f>
        <v/>
      </c>
      <c r="AL96" s="34">
        <f>IF(OR($B96="",$C96&lt;&gt;"Ativo",$D96&lt;&gt;'Calc_Mix'!$C$35,'Calc_Mix'!$X$35=0,COUNTIFS(Esc_Turno,'Calc_Mix'!$C$35,Esc_Circ,$B96)+COUNTIFS(Esc_Turno,'Calc_Mix'!$C$35,Esc_Instr,$B96)&gt;0),"",IF(SUMPRODUCT('Calc_Mix'!$D$35:$W$35,'Matriz_Habilidades'!$D96:$W96)=0,"",SUMPRODUCT('Calc_Mix'!$D$35:$W$35,'Matriz_Habilidades'!$D96:$W96)/'Calc_Mix'!$X$35+ROW()*0.000001))</f>
        <v/>
      </c>
      <c r="AM96" s="34">
        <f>IF(OR($B96="",$C96&lt;&gt;"Ativo",$D96&lt;&gt;'Calc_Mix'!$C$36,'Calc_Mix'!$X$36=0,COUNTIFS(Esc_Turno,'Calc_Mix'!$C$36,Esc_Circ,$B96)+COUNTIFS(Esc_Turno,'Calc_Mix'!$C$36,Esc_Instr,$B96)&gt;0),"",IF(SUMPRODUCT('Calc_Mix'!$D$36:$W$36,'Matriz_Habilidades'!$D96:$W96)=0,"",SUMPRODUCT('Calc_Mix'!$D$36:$W$36,'Matriz_Habilidades'!$D96:$W96)/'Calc_Mix'!$X$36+ROW()*0.000001))</f>
        <v/>
      </c>
      <c r="AN96" s="34">
        <f>IF(OR($B96="",$C96&lt;&gt;"Ativo",$D96&lt;&gt;'Calc_Mix'!$C$37,'Calc_Mix'!$X$37=0,COUNTIFS(Esc_Turno,'Calc_Mix'!$C$37,Esc_Circ,$B96)+COUNTIFS(Esc_Turno,'Calc_Mix'!$C$37,Esc_Instr,$B96)&gt;0),"",IF(SUMPRODUCT('Calc_Mix'!$D$37:$W$37,'Matriz_Habilidades'!$D96:$W96)=0,"",SUMPRODUCT('Calc_Mix'!$D$37:$W$37,'Matriz_Habilidades'!$D96:$W96)/'Calc_Mix'!$X$37+ROW()*0.000001))</f>
        <v/>
      </c>
    </row>
    <row r="97">
      <c r="A97" s="27">
        <f>IF('Matriz_Habilidades'!A97="","",'Matriz_Habilidades'!A97)</f>
        <v/>
      </c>
      <c r="B97" s="28">
        <f>IF('Matriz_Habilidades'!B97="","",'Matriz_Habilidades'!B97)</f>
        <v/>
      </c>
      <c r="C97" s="27">
        <f>IF($A97="","",IFERROR(INDEX(Equipe_Status,MATCH($B97,Equipe_Nome,0)),"?"))</f>
        <v/>
      </c>
      <c r="D97" s="27">
        <f>IF($A97="","",IFERROR(INDEX(Equipe_Turno,MATCH($B97,Equipe_Nome,0)),"?"))</f>
        <v/>
      </c>
      <c r="E97" s="34">
        <f>IF(OR($B97="",$C97&lt;&gt;"Ativo",$D97&lt;&gt;'Calc_Mix'!$C$2,'Calc_Mix'!$X$2=0,COUNTIFS(Esc_Turno,'Calc_Mix'!$C$2,Esc_Circ,$B97)+COUNTIFS(Esc_Turno,'Calc_Mix'!$C$2,Esc_Instr,$B97)&gt;0),"",IF(SUMPRODUCT('Calc_Mix'!$D$2:$W$2,'Matriz_Habilidades'!$D97:$W97)=0,"",SUMPRODUCT('Calc_Mix'!$D$2:$W$2,'Matriz_Habilidades'!$D97:$W97)/'Calc_Mix'!$X$2+ROW()*0.000001))</f>
        <v/>
      </c>
      <c r="F97" s="34">
        <f>IF(OR($B97="",$C97&lt;&gt;"Ativo",$D97&lt;&gt;'Calc_Mix'!$C$3,'Calc_Mix'!$X$3=0,COUNTIFS(Esc_Turno,'Calc_Mix'!$C$3,Esc_Circ,$B97)+COUNTIFS(Esc_Turno,'Calc_Mix'!$C$3,Esc_Instr,$B97)&gt;0),"",IF(SUMPRODUCT('Calc_Mix'!$D$3:$W$3,'Matriz_Habilidades'!$D97:$W97)=0,"",SUMPRODUCT('Calc_Mix'!$D$3:$W$3,'Matriz_Habilidades'!$D97:$W97)/'Calc_Mix'!$X$3+ROW()*0.000001))</f>
        <v/>
      </c>
      <c r="G97" s="34">
        <f>IF(OR($B97="",$C97&lt;&gt;"Ativo",$D97&lt;&gt;'Calc_Mix'!$C$4,'Calc_Mix'!$X$4=0,COUNTIFS(Esc_Turno,'Calc_Mix'!$C$4,Esc_Circ,$B97)+COUNTIFS(Esc_Turno,'Calc_Mix'!$C$4,Esc_Instr,$B97)&gt;0),"",IF(SUMPRODUCT('Calc_Mix'!$D$4:$W$4,'Matriz_Habilidades'!$D97:$W97)=0,"",SUMPRODUCT('Calc_Mix'!$D$4:$W$4,'Matriz_Habilidades'!$D97:$W97)/'Calc_Mix'!$X$4+ROW()*0.000001))</f>
        <v/>
      </c>
      <c r="H97" s="34">
        <f>IF(OR($B97="",$C97&lt;&gt;"Ativo",$D97&lt;&gt;'Calc_Mix'!$C$5,'Calc_Mix'!$X$5=0,COUNTIFS(Esc_Turno,'Calc_Mix'!$C$5,Esc_Circ,$B97)+COUNTIFS(Esc_Turno,'Calc_Mix'!$C$5,Esc_Instr,$B97)&gt;0),"",IF(SUMPRODUCT('Calc_Mix'!$D$5:$W$5,'Matriz_Habilidades'!$D97:$W97)=0,"",SUMPRODUCT('Calc_Mix'!$D$5:$W$5,'Matriz_Habilidades'!$D97:$W97)/'Calc_Mix'!$X$5+ROW()*0.000001))</f>
        <v/>
      </c>
      <c r="I97" s="34">
        <f>IF(OR($B97="",$C97&lt;&gt;"Ativo",$D97&lt;&gt;'Calc_Mix'!$C$6,'Calc_Mix'!$X$6=0,COUNTIFS(Esc_Turno,'Calc_Mix'!$C$6,Esc_Circ,$B97)+COUNTIFS(Esc_Turno,'Calc_Mix'!$C$6,Esc_Instr,$B97)&gt;0),"",IF(SUMPRODUCT('Calc_Mix'!$D$6:$W$6,'Matriz_Habilidades'!$D97:$W97)=0,"",SUMPRODUCT('Calc_Mix'!$D$6:$W$6,'Matriz_Habilidades'!$D97:$W97)/'Calc_Mix'!$X$6+ROW()*0.000001))</f>
        <v/>
      </c>
      <c r="J97" s="34">
        <f>IF(OR($B97="",$C97&lt;&gt;"Ativo",$D97&lt;&gt;'Calc_Mix'!$C$7,'Calc_Mix'!$X$7=0,COUNTIFS(Esc_Turno,'Calc_Mix'!$C$7,Esc_Circ,$B97)+COUNTIFS(Esc_Turno,'Calc_Mix'!$C$7,Esc_Instr,$B97)&gt;0),"",IF(SUMPRODUCT('Calc_Mix'!$D$7:$W$7,'Matriz_Habilidades'!$D97:$W97)=0,"",SUMPRODUCT('Calc_Mix'!$D$7:$W$7,'Matriz_Habilidades'!$D97:$W97)/'Calc_Mix'!$X$7+ROW()*0.000001))</f>
        <v/>
      </c>
      <c r="K97" s="34">
        <f>IF(OR($B97="",$C97&lt;&gt;"Ativo",$D97&lt;&gt;'Calc_Mix'!$C$8,'Calc_Mix'!$X$8=0,COUNTIFS(Esc_Turno,'Calc_Mix'!$C$8,Esc_Circ,$B97)+COUNTIFS(Esc_Turno,'Calc_Mix'!$C$8,Esc_Instr,$B97)&gt;0),"",IF(SUMPRODUCT('Calc_Mix'!$D$8:$W$8,'Matriz_Habilidades'!$D97:$W97)=0,"",SUMPRODUCT('Calc_Mix'!$D$8:$W$8,'Matriz_Habilidades'!$D97:$W97)/'Calc_Mix'!$X$8+ROW()*0.000001))</f>
        <v/>
      </c>
      <c r="L97" s="34">
        <f>IF(OR($B97="",$C97&lt;&gt;"Ativo",$D97&lt;&gt;'Calc_Mix'!$C$9,'Calc_Mix'!$X$9=0,COUNTIFS(Esc_Turno,'Calc_Mix'!$C$9,Esc_Circ,$B97)+COUNTIFS(Esc_Turno,'Calc_Mix'!$C$9,Esc_Instr,$B97)&gt;0),"",IF(SUMPRODUCT('Calc_Mix'!$D$9:$W$9,'Matriz_Habilidades'!$D97:$W97)=0,"",SUMPRODUCT('Calc_Mix'!$D$9:$W$9,'Matriz_Habilidades'!$D97:$W97)/'Calc_Mix'!$X$9+ROW()*0.000001))</f>
        <v/>
      </c>
      <c r="M97" s="34">
        <f>IF(OR($B97="",$C97&lt;&gt;"Ativo",$D97&lt;&gt;'Calc_Mix'!$C$10,'Calc_Mix'!$X$10=0,COUNTIFS(Esc_Turno,'Calc_Mix'!$C$10,Esc_Circ,$B97)+COUNTIFS(Esc_Turno,'Calc_Mix'!$C$10,Esc_Instr,$B97)&gt;0),"",IF(SUMPRODUCT('Calc_Mix'!$D$10:$W$10,'Matriz_Habilidades'!$D97:$W97)=0,"",SUMPRODUCT('Calc_Mix'!$D$10:$W$10,'Matriz_Habilidades'!$D97:$W97)/'Calc_Mix'!$X$10+ROW()*0.000001))</f>
        <v/>
      </c>
      <c r="N97" s="34">
        <f>IF(OR($B97="",$C97&lt;&gt;"Ativo",$D97&lt;&gt;'Calc_Mix'!$C$11,'Calc_Mix'!$X$11=0,COUNTIFS(Esc_Turno,'Calc_Mix'!$C$11,Esc_Circ,$B97)+COUNTIFS(Esc_Turno,'Calc_Mix'!$C$11,Esc_Instr,$B97)&gt;0),"",IF(SUMPRODUCT('Calc_Mix'!$D$11:$W$11,'Matriz_Habilidades'!$D97:$W97)=0,"",SUMPRODUCT('Calc_Mix'!$D$11:$W$11,'Matriz_Habilidades'!$D97:$W97)/'Calc_Mix'!$X$11+ROW()*0.000001))</f>
        <v/>
      </c>
      <c r="O97" s="34">
        <f>IF(OR($B97="",$C97&lt;&gt;"Ativo",$D97&lt;&gt;'Calc_Mix'!$C$12,'Calc_Mix'!$X$12=0,COUNTIFS(Esc_Turno,'Calc_Mix'!$C$12,Esc_Circ,$B97)+COUNTIFS(Esc_Turno,'Calc_Mix'!$C$12,Esc_Instr,$B97)&gt;0),"",IF(SUMPRODUCT('Calc_Mix'!$D$12:$W$12,'Matriz_Habilidades'!$D97:$W97)=0,"",SUMPRODUCT('Calc_Mix'!$D$12:$W$12,'Matriz_Habilidades'!$D97:$W97)/'Calc_Mix'!$X$12+ROW()*0.000001))</f>
        <v/>
      </c>
      <c r="P97" s="34">
        <f>IF(OR($B97="",$C97&lt;&gt;"Ativo",$D97&lt;&gt;'Calc_Mix'!$C$13,'Calc_Mix'!$X$13=0,COUNTIFS(Esc_Turno,'Calc_Mix'!$C$13,Esc_Circ,$B97)+COUNTIFS(Esc_Turno,'Calc_Mix'!$C$13,Esc_Instr,$B97)&gt;0),"",IF(SUMPRODUCT('Calc_Mix'!$D$13:$W$13,'Matriz_Habilidades'!$D97:$W97)=0,"",SUMPRODUCT('Calc_Mix'!$D$13:$W$13,'Matriz_Habilidades'!$D97:$W97)/'Calc_Mix'!$X$13+ROW()*0.000001))</f>
        <v/>
      </c>
      <c r="Q97" s="34">
        <f>IF(OR($B97="",$C97&lt;&gt;"Ativo",$D97&lt;&gt;'Calc_Mix'!$C$14,'Calc_Mix'!$X$14=0,COUNTIFS(Esc_Turno,'Calc_Mix'!$C$14,Esc_Circ,$B97)+COUNTIFS(Esc_Turno,'Calc_Mix'!$C$14,Esc_Instr,$B97)&gt;0),"",IF(SUMPRODUCT('Calc_Mix'!$D$14:$W$14,'Matriz_Habilidades'!$D97:$W97)=0,"",SUMPRODUCT('Calc_Mix'!$D$14:$W$14,'Matriz_Habilidades'!$D97:$W97)/'Calc_Mix'!$X$14+ROW()*0.000001))</f>
        <v/>
      </c>
      <c r="R97" s="34">
        <f>IF(OR($B97="",$C97&lt;&gt;"Ativo",$D97&lt;&gt;'Calc_Mix'!$C$15,'Calc_Mix'!$X$15=0,COUNTIFS(Esc_Turno,'Calc_Mix'!$C$15,Esc_Circ,$B97)+COUNTIFS(Esc_Turno,'Calc_Mix'!$C$15,Esc_Instr,$B97)&gt;0),"",IF(SUMPRODUCT('Calc_Mix'!$D$15:$W$15,'Matriz_Habilidades'!$D97:$W97)=0,"",SUMPRODUCT('Calc_Mix'!$D$15:$W$15,'Matriz_Habilidades'!$D97:$W97)/'Calc_Mix'!$X$15+ROW()*0.000001))</f>
        <v/>
      </c>
      <c r="S97" s="34">
        <f>IF(OR($B97="",$C97&lt;&gt;"Ativo",$D97&lt;&gt;'Calc_Mix'!$C$16,'Calc_Mix'!$X$16=0,COUNTIFS(Esc_Turno,'Calc_Mix'!$C$16,Esc_Circ,$B97)+COUNTIFS(Esc_Turno,'Calc_Mix'!$C$16,Esc_Instr,$B97)&gt;0),"",IF(SUMPRODUCT('Calc_Mix'!$D$16:$W$16,'Matriz_Habilidades'!$D97:$W97)=0,"",SUMPRODUCT('Calc_Mix'!$D$16:$W$16,'Matriz_Habilidades'!$D97:$W97)/'Calc_Mix'!$X$16+ROW()*0.000001))</f>
        <v/>
      </c>
      <c r="T97" s="34">
        <f>IF(OR($B97="",$C97&lt;&gt;"Ativo",$D97&lt;&gt;'Calc_Mix'!$C$17,'Calc_Mix'!$X$17=0,COUNTIFS(Esc_Turno,'Calc_Mix'!$C$17,Esc_Circ,$B97)+COUNTIFS(Esc_Turno,'Calc_Mix'!$C$17,Esc_Instr,$B97)&gt;0),"",IF(SUMPRODUCT('Calc_Mix'!$D$17:$W$17,'Matriz_Habilidades'!$D97:$W97)=0,"",SUMPRODUCT('Calc_Mix'!$D$17:$W$17,'Matriz_Habilidades'!$D97:$W97)/'Calc_Mix'!$X$17+ROW()*0.000001))</f>
        <v/>
      </c>
      <c r="U97" s="34">
        <f>IF(OR($B97="",$C97&lt;&gt;"Ativo",$D97&lt;&gt;'Calc_Mix'!$C$18,'Calc_Mix'!$X$18=0,COUNTIFS(Esc_Turno,'Calc_Mix'!$C$18,Esc_Circ,$B97)+COUNTIFS(Esc_Turno,'Calc_Mix'!$C$18,Esc_Instr,$B97)&gt;0),"",IF(SUMPRODUCT('Calc_Mix'!$D$18:$W$18,'Matriz_Habilidades'!$D97:$W97)=0,"",SUMPRODUCT('Calc_Mix'!$D$18:$W$18,'Matriz_Habilidades'!$D97:$W97)/'Calc_Mix'!$X$18+ROW()*0.000001))</f>
        <v/>
      </c>
      <c r="V97" s="34">
        <f>IF(OR($B97="",$C97&lt;&gt;"Ativo",$D97&lt;&gt;'Calc_Mix'!$C$19,'Calc_Mix'!$X$19=0,COUNTIFS(Esc_Turno,'Calc_Mix'!$C$19,Esc_Circ,$B97)+COUNTIFS(Esc_Turno,'Calc_Mix'!$C$19,Esc_Instr,$B97)&gt;0),"",IF(SUMPRODUCT('Calc_Mix'!$D$19:$W$19,'Matriz_Habilidades'!$D97:$W97)=0,"",SUMPRODUCT('Calc_Mix'!$D$19:$W$19,'Matriz_Habilidades'!$D97:$W97)/'Calc_Mix'!$X$19+ROW()*0.000001))</f>
        <v/>
      </c>
      <c r="W97" s="34">
        <f>IF(OR($B97="",$C97&lt;&gt;"Ativo",$D97&lt;&gt;'Calc_Mix'!$C$20,'Calc_Mix'!$X$20=0,COUNTIFS(Esc_Turno,'Calc_Mix'!$C$20,Esc_Circ,$B97)+COUNTIFS(Esc_Turno,'Calc_Mix'!$C$20,Esc_Instr,$B97)&gt;0),"",IF(SUMPRODUCT('Calc_Mix'!$D$20:$W$20,'Matriz_Habilidades'!$D97:$W97)=0,"",SUMPRODUCT('Calc_Mix'!$D$20:$W$20,'Matriz_Habilidades'!$D97:$W97)/'Calc_Mix'!$X$20+ROW()*0.000001))</f>
        <v/>
      </c>
      <c r="X97" s="34">
        <f>IF(OR($B97="",$C97&lt;&gt;"Ativo",$D97&lt;&gt;'Calc_Mix'!$C$21,'Calc_Mix'!$X$21=0,COUNTIFS(Esc_Turno,'Calc_Mix'!$C$21,Esc_Circ,$B97)+COUNTIFS(Esc_Turno,'Calc_Mix'!$C$21,Esc_Instr,$B97)&gt;0),"",IF(SUMPRODUCT('Calc_Mix'!$D$21:$W$21,'Matriz_Habilidades'!$D97:$W97)=0,"",SUMPRODUCT('Calc_Mix'!$D$21:$W$21,'Matriz_Habilidades'!$D97:$W97)/'Calc_Mix'!$X$21+ROW()*0.000001))</f>
        <v/>
      </c>
      <c r="Y97" s="34">
        <f>IF(OR($B97="",$C97&lt;&gt;"Ativo",$D97&lt;&gt;'Calc_Mix'!$C$22,'Calc_Mix'!$X$22=0,COUNTIFS(Esc_Turno,'Calc_Mix'!$C$22,Esc_Circ,$B97)+COUNTIFS(Esc_Turno,'Calc_Mix'!$C$22,Esc_Instr,$B97)&gt;0),"",IF(SUMPRODUCT('Calc_Mix'!$D$22:$W$22,'Matriz_Habilidades'!$D97:$W97)=0,"",SUMPRODUCT('Calc_Mix'!$D$22:$W$22,'Matriz_Habilidades'!$D97:$W97)/'Calc_Mix'!$X$22+ROW()*0.000001))</f>
        <v/>
      </c>
      <c r="Z97" s="34">
        <f>IF(OR($B97="",$C97&lt;&gt;"Ativo",$D97&lt;&gt;'Calc_Mix'!$C$23,'Calc_Mix'!$X$23=0,COUNTIFS(Esc_Turno,'Calc_Mix'!$C$23,Esc_Circ,$B97)+COUNTIFS(Esc_Turno,'Calc_Mix'!$C$23,Esc_Instr,$B97)&gt;0),"",IF(SUMPRODUCT('Calc_Mix'!$D$23:$W$23,'Matriz_Habilidades'!$D97:$W97)=0,"",SUMPRODUCT('Calc_Mix'!$D$23:$W$23,'Matriz_Habilidades'!$D97:$W97)/'Calc_Mix'!$X$23+ROW()*0.000001))</f>
        <v/>
      </c>
      <c r="AA97" s="34">
        <f>IF(OR($B97="",$C97&lt;&gt;"Ativo",$D97&lt;&gt;'Calc_Mix'!$C$24,'Calc_Mix'!$X$24=0,COUNTIFS(Esc_Turno,'Calc_Mix'!$C$24,Esc_Circ,$B97)+COUNTIFS(Esc_Turno,'Calc_Mix'!$C$24,Esc_Instr,$B97)&gt;0),"",IF(SUMPRODUCT('Calc_Mix'!$D$24:$W$24,'Matriz_Habilidades'!$D97:$W97)=0,"",SUMPRODUCT('Calc_Mix'!$D$24:$W$24,'Matriz_Habilidades'!$D97:$W97)/'Calc_Mix'!$X$24+ROW()*0.000001))</f>
        <v/>
      </c>
      <c r="AB97" s="34">
        <f>IF(OR($B97="",$C97&lt;&gt;"Ativo",$D97&lt;&gt;'Calc_Mix'!$C$25,'Calc_Mix'!$X$25=0,COUNTIFS(Esc_Turno,'Calc_Mix'!$C$25,Esc_Circ,$B97)+COUNTIFS(Esc_Turno,'Calc_Mix'!$C$25,Esc_Instr,$B97)&gt;0),"",IF(SUMPRODUCT('Calc_Mix'!$D$25:$W$25,'Matriz_Habilidades'!$D97:$W97)=0,"",SUMPRODUCT('Calc_Mix'!$D$25:$W$25,'Matriz_Habilidades'!$D97:$W97)/'Calc_Mix'!$X$25+ROW()*0.000001))</f>
        <v/>
      </c>
      <c r="AC97" s="34">
        <f>IF(OR($B97="",$C97&lt;&gt;"Ativo",$D97&lt;&gt;'Calc_Mix'!$C$26,'Calc_Mix'!$X$26=0,COUNTIFS(Esc_Turno,'Calc_Mix'!$C$26,Esc_Circ,$B97)+COUNTIFS(Esc_Turno,'Calc_Mix'!$C$26,Esc_Instr,$B97)&gt;0),"",IF(SUMPRODUCT('Calc_Mix'!$D$26:$W$26,'Matriz_Habilidades'!$D97:$W97)=0,"",SUMPRODUCT('Calc_Mix'!$D$26:$W$26,'Matriz_Habilidades'!$D97:$W97)/'Calc_Mix'!$X$26+ROW()*0.000001))</f>
        <v/>
      </c>
      <c r="AD97" s="34">
        <f>IF(OR($B97="",$C97&lt;&gt;"Ativo",$D97&lt;&gt;'Calc_Mix'!$C$27,'Calc_Mix'!$X$27=0,COUNTIFS(Esc_Turno,'Calc_Mix'!$C$27,Esc_Circ,$B97)+COUNTIFS(Esc_Turno,'Calc_Mix'!$C$27,Esc_Instr,$B97)&gt;0),"",IF(SUMPRODUCT('Calc_Mix'!$D$27:$W$27,'Matriz_Habilidades'!$D97:$W97)=0,"",SUMPRODUCT('Calc_Mix'!$D$27:$W$27,'Matriz_Habilidades'!$D97:$W97)/'Calc_Mix'!$X$27+ROW()*0.000001))</f>
        <v/>
      </c>
      <c r="AE97" s="34">
        <f>IF(OR($B97="",$C97&lt;&gt;"Ativo",$D97&lt;&gt;'Calc_Mix'!$C$28,'Calc_Mix'!$X$28=0,COUNTIFS(Esc_Turno,'Calc_Mix'!$C$28,Esc_Circ,$B97)+COUNTIFS(Esc_Turno,'Calc_Mix'!$C$28,Esc_Instr,$B97)&gt;0),"",IF(SUMPRODUCT('Calc_Mix'!$D$28:$W$28,'Matriz_Habilidades'!$D97:$W97)=0,"",SUMPRODUCT('Calc_Mix'!$D$28:$W$28,'Matriz_Habilidades'!$D97:$W97)/'Calc_Mix'!$X$28+ROW()*0.000001))</f>
        <v/>
      </c>
      <c r="AF97" s="34">
        <f>IF(OR($B97="",$C97&lt;&gt;"Ativo",$D97&lt;&gt;'Calc_Mix'!$C$29,'Calc_Mix'!$X$29=0,COUNTIFS(Esc_Turno,'Calc_Mix'!$C$29,Esc_Circ,$B97)+COUNTIFS(Esc_Turno,'Calc_Mix'!$C$29,Esc_Instr,$B97)&gt;0),"",IF(SUMPRODUCT('Calc_Mix'!$D$29:$W$29,'Matriz_Habilidades'!$D97:$W97)=0,"",SUMPRODUCT('Calc_Mix'!$D$29:$W$29,'Matriz_Habilidades'!$D97:$W97)/'Calc_Mix'!$X$29+ROW()*0.000001))</f>
        <v/>
      </c>
      <c r="AG97" s="34">
        <f>IF(OR($B97="",$C97&lt;&gt;"Ativo",$D97&lt;&gt;'Calc_Mix'!$C$30,'Calc_Mix'!$X$30=0,COUNTIFS(Esc_Turno,'Calc_Mix'!$C$30,Esc_Circ,$B97)+COUNTIFS(Esc_Turno,'Calc_Mix'!$C$30,Esc_Instr,$B97)&gt;0),"",IF(SUMPRODUCT('Calc_Mix'!$D$30:$W$30,'Matriz_Habilidades'!$D97:$W97)=0,"",SUMPRODUCT('Calc_Mix'!$D$30:$W$30,'Matriz_Habilidades'!$D97:$W97)/'Calc_Mix'!$X$30+ROW()*0.000001))</f>
        <v/>
      </c>
      <c r="AH97" s="34">
        <f>IF(OR($B97="",$C97&lt;&gt;"Ativo",$D97&lt;&gt;'Calc_Mix'!$C$31,'Calc_Mix'!$X$31=0,COUNTIFS(Esc_Turno,'Calc_Mix'!$C$31,Esc_Circ,$B97)+COUNTIFS(Esc_Turno,'Calc_Mix'!$C$31,Esc_Instr,$B97)&gt;0),"",IF(SUMPRODUCT('Calc_Mix'!$D$31:$W$31,'Matriz_Habilidades'!$D97:$W97)=0,"",SUMPRODUCT('Calc_Mix'!$D$31:$W$31,'Matriz_Habilidades'!$D97:$W97)/'Calc_Mix'!$X$31+ROW()*0.000001))</f>
        <v/>
      </c>
      <c r="AI97" s="34">
        <f>IF(OR($B97="",$C97&lt;&gt;"Ativo",$D97&lt;&gt;'Calc_Mix'!$C$32,'Calc_Mix'!$X$32=0,COUNTIFS(Esc_Turno,'Calc_Mix'!$C$32,Esc_Circ,$B97)+COUNTIFS(Esc_Turno,'Calc_Mix'!$C$32,Esc_Instr,$B97)&gt;0),"",IF(SUMPRODUCT('Calc_Mix'!$D$32:$W$32,'Matriz_Habilidades'!$D97:$W97)=0,"",SUMPRODUCT('Calc_Mix'!$D$32:$W$32,'Matriz_Habilidades'!$D97:$W97)/'Calc_Mix'!$X$32+ROW()*0.000001))</f>
        <v/>
      </c>
      <c r="AJ97" s="34">
        <f>IF(OR($B97="",$C97&lt;&gt;"Ativo",$D97&lt;&gt;'Calc_Mix'!$C$33,'Calc_Mix'!$X$33=0,COUNTIFS(Esc_Turno,'Calc_Mix'!$C$33,Esc_Circ,$B97)+COUNTIFS(Esc_Turno,'Calc_Mix'!$C$33,Esc_Instr,$B97)&gt;0),"",IF(SUMPRODUCT('Calc_Mix'!$D$33:$W$33,'Matriz_Habilidades'!$D97:$W97)=0,"",SUMPRODUCT('Calc_Mix'!$D$33:$W$33,'Matriz_Habilidades'!$D97:$W97)/'Calc_Mix'!$X$33+ROW()*0.000001))</f>
        <v/>
      </c>
      <c r="AK97" s="34">
        <f>IF(OR($B97="",$C97&lt;&gt;"Ativo",$D97&lt;&gt;'Calc_Mix'!$C$34,'Calc_Mix'!$X$34=0,COUNTIFS(Esc_Turno,'Calc_Mix'!$C$34,Esc_Circ,$B97)+COUNTIFS(Esc_Turno,'Calc_Mix'!$C$34,Esc_Instr,$B97)&gt;0),"",IF(SUMPRODUCT('Calc_Mix'!$D$34:$W$34,'Matriz_Habilidades'!$D97:$W97)=0,"",SUMPRODUCT('Calc_Mix'!$D$34:$W$34,'Matriz_Habilidades'!$D97:$W97)/'Calc_Mix'!$X$34+ROW()*0.000001))</f>
        <v/>
      </c>
      <c r="AL97" s="34">
        <f>IF(OR($B97="",$C97&lt;&gt;"Ativo",$D97&lt;&gt;'Calc_Mix'!$C$35,'Calc_Mix'!$X$35=0,COUNTIFS(Esc_Turno,'Calc_Mix'!$C$35,Esc_Circ,$B97)+COUNTIFS(Esc_Turno,'Calc_Mix'!$C$35,Esc_Instr,$B97)&gt;0),"",IF(SUMPRODUCT('Calc_Mix'!$D$35:$W$35,'Matriz_Habilidades'!$D97:$W97)=0,"",SUMPRODUCT('Calc_Mix'!$D$35:$W$35,'Matriz_Habilidades'!$D97:$W97)/'Calc_Mix'!$X$35+ROW()*0.000001))</f>
        <v/>
      </c>
      <c r="AM97" s="34">
        <f>IF(OR($B97="",$C97&lt;&gt;"Ativo",$D97&lt;&gt;'Calc_Mix'!$C$36,'Calc_Mix'!$X$36=0,COUNTIFS(Esc_Turno,'Calc_Mix'!$C$36,Esc_Circ,$B97)+COUNTIFS(Esc_Turno,'Calc_Mix'!$C$36,Esc_Instr,$B97)&gt;0),"",IF(SUMPRODUCT('Calc_Mix'!$D$36:$W$36,'Matriz_Habilidades'!$D97:$W97)=0,"",SUMPRODUCT('Calc_Mix'!$D$36:$W$36,'Matriz_Habilidades'!$D97:$W97)/'Calc_Mix'!$X$36+ROW()*0.000001))</f>
        <v/>
      </c>
      <c r="AN97" s="34">
        <f>IF(OR($B97="",$C97&lt;&gt;"Ativo",$D97&lt;&gt;'Calc_Mix'!$C$37,'Calc_Mix'!$X$37=0,COUNTIFS(Esc_Turno,'Calc_Mix'!$C$37,Esc_Circ,$B97)+COUNTIFS(Esc_Turno,'Calc_Mix'!$C$37,Esc_Instr,$B97)&gt;0),"",IF(SUMPRODUCT('Calc_Mix'!$D$37:$W$37,'Matriz_Habilidades'!$D97:$W97)=0,"",SUMPRODUCT('Calc_Mix'!$D$37:$W$37,'Matriz_Habilidades'!$D97:$W97)/'Calc_Mix'!$X$37+ROW()*0.000001))</f>
        <v/>
      </c>
    </row>
    <row r="98">
      <c r="A98" s="27">
        <f>IF('Matriz_Habilidades'!A98="","",'Matriz_Habilidades'!A98)</f>
        <v/>
      </c>
      <c r="B98" s="28">
        <f>IF('Matriz_Habilidades'!B98="","",'Matriz_Habilidades'!B98)</f>
        <v/>
      </c>
      <c r="C98" s="27">
        <f>IF($A98="","",IFERROR(INDEX(Equipe_Status,MATCH($B98,Equipe_Nome,0)),"?"))</f>
        <v/>
      </c>
      <c r="D98" s="27">
        <f>IF($A98="","",IFERROR(INDEX(Equipe_Turno,MATCH($B98,Equipe_Nome,0)),"?"))</f>
        <v/>
      </c>
      <c r="E98" s="34">
        <f>IF(OR($B98="",$C98&lt;&gt;"Ativo",$D98&lt;&gt;'Calc_Mix'!$C$2,'Calc_Mix'!$X$2=0,COUNTIFS(Esc_Turno,'Calc_Mix'!$C$2,Esc_Circ,$B98)+COUNTIFS(Esc_Turno,'Calc_Mix'!$C$2,Esc_Instr,$B98)&gt;0),"",IF(SUMPRODUCT('Calc_Mix'!$D$2:$W$2,'Matriz_Habilidades'!$D98:$W98)=0,"",SUMPRODUCT('Calc_Mix'!$D$2:$W$2,'Matriz_Habilidades'!$D98:$W98)/'Calc_Mix'!$X$2+ROW()*0.000001))</f>
        <v/>
      </c>
      <c r="F98" s="34">
        <f>IF(OR($B98="",$C98&lt;&gt;"Ativo",$D98&lt;&gt;'Calc_Mix'!$C$3,'Calc_Mix'!$X$3=0,COUNTIFS(Esc_Turno,'Calc_Mix'!$C$3,Esc_Circ,$B98)+COUNTIFS(Esc_Turno,'Calc_Mix'!$C$3,Esc_Instr,$B98)&gt;0),"",IF(SUMPRODUCT('Calc_Mix'!$D$3:$W$3,'Matriz_Habilidades'!$D98:$W98)=0,"",SUMPRODUCT('Calc_Mix'!$D$3:$W$3,'Matriz_Habilidades'!$D98:$W98)/'Calc_Mix'!$X$3+ROW()*0.000001))</f>
        <v/>
      </c>
      <c r="G98" s="34">
        <f>IF(OR($B98="",$C98&lt;&gt;"Ativo",$D98&lt;&gt;'Calc_Mix'!$C$4,'Calc_Mix'!$X$4=0,COUNTIFS(Esc_Turno,'Calc_Mix'!$C$4,Esc_Circ,$B98)+COUNTIFS(Esc_Turno,'Calc_Mix'!$C$4,Esc_Instr,$B98)&gt;0),"",IF(SUMPRODUCT('Calc_Mix'!$D$4:$W$4,'Matriz_Habilidades'!$D98:$W98)=0,"",SUMPRODUCT('Calc_Mix'!$D$4:$W$4,'Matriz_Habilidades'!$D98:$W98)/'Calc_Mix'!$X$4+ROW()*0.000001))</f>
        <v/>
      </c>
      <c r="H98" s="34">
        <f>IF(OR($B98="",$C98&lt;&gt;"Ativo",$D98&lt;&gt;'Calc_Mix'!$C$5,'Calc_Mix'!$X$5=0,COUNTIFS(Esc_Turno,'Calc_Mix'!$C$5,Esc_Circ,$B98)+COUNTIFS(Esc_Turno,'Calc_Mix'!$C$5,Esc_Instr,$B98)&gt;0),"",IF(SUMPRODUCT('Calc_Mix'!$D$5:$W$5,'Matriz_Habilidades'!$D98:$W98)=0,"",SUMPRODUCT('Calc_Mix'!$D$5:$W$5,'Matriz_Habilidades'!$D98:$W98)/'Calc_Mix'!$X$5+ROW()*0.000001))</f>
        <v/>
      </c>
      <c r="I98" s="34">
        <f>IF(OR($B98="",$C98&lt;&gt;"Ativo",$D98&lt;&gt;'Calc_Mix'!$C$6,'Calc_Mix'!$X$6=0,COUNTIFS(Esc_Turno,'Calc_Mix'!$C$6,Esc_Circ,$B98)+COUNTIFS(Esc_Turno,'Calc_Mix'!$C$6,Esc_Instr,$B98)&gt;0),"",IF(SUMPRODUCT('Calc_Mix'!$D$6:$W$6,'Matriz_Habilidades'!$D98:$W98)=0,"",SUMPRODUCT('Calc_Mix'!$D$6:$W$6,'Matriz_Habilidades'!$D98:$W98)/'Calc_Mix'!$X$6+ROW()*0.000001))</f>
        <v/>
      </c>
      <c r="J98" s="34">
        <f>IF(OR($B98="",$C98&lt;&gt;"Ativo",$D98&lt;&gt;'Calc_Mix'!$C$7,'Calc_Mix'!$X$7=0,COUNTIFS(Esc_Turno,'Calc_Mix'!$C$7,Esc_Circ,$B98)+COUNTIFS(Esc_Turno,'Calc_Mix'!$C$7,Esc_Instr,$B98)&gt;0),"",IF(SUMPRODUCT('Calc_Mix'!$D$7:$W$7,'Matriz_Habilidades'!$D98:$W98)=0,"",SUMPRODUCT('Calc_Mix'!$D$7:$W$7,'Matriz_Habilidades'!$D98:$W98)/'Calc_Mix'!$X$7+ROW()*0.000001))</f>
        <v/>
      </c>
      <c r="K98" s="34">
        <f>IF(OR($B98="",$C98&lt;&gt;"Ativo",$D98&lt;&gt;'Calc_Mix'!$C$8,'Calc_Mix'!$X$8=0,COUNTIFS(Esc_Turno,'Calc_Mix'!$C$8,Esc_Circ,$B98)+COUNTIFS(Esc_Turno,'Calc_Mix'!$C$8,Esc_Instr,$B98)&gt;0),"",IF(SUMPRODUCT('Calc_Mix'!$D$8:$W$8,'Matriz_Habilidades'!$D98:$W98)=0,"",SUMPRODUCT('Calc_Mix'!$D$8:$W$8,'Matriz_Habilidades'!$D98:$W98)/'Calc_Mix'!$X$8+ROW()*0.000001))</f>
        <v/>
      </c>
      <c r="L98" s="34">
        <f>IF(OR($B98="",$C98&lt;&gt;"Ativo",$D98&lt;&gt;'Calc_Mix'!$C$9,'Calc_Mix'!$X$9=0,COUNTIFS(Esc_Turno,'Calc_Mix'!$C$9,Esc_Circ,$B98)+COUNTIFS(Esc_Turno,'Calc_Mix'!$C$9,Esc_Instr,$B98)&gt;0),"",IF(SUMPRODUCT('Calc_Mix'!$D$9:$W$9,'Matriz_Habilidades'!$D98:$W98)=0,"",SUMPRODUCT('Calc_Mix'!$D$9:$W$9,'Matriz_Habilidades'!$D98:$W98)/'Calc_Mix'!$X$9+ROW()*0.000001))</f>
        <v/>
      </c>
      <c r="M98" s="34">
        <f>IF(OR($B98="",$C98&lt;&gt;"Ativo",$D98&lt;&gt;'Calc_Mix'!$C$10,'Calc_Mix'!$X$10=0,COUNTIFS(Esc_Turno,'Calc_Mix'!$C$10,Esc_Circ,$B98)+COUNTIFS(Esc_Turno,'Calc_Mix'!$C$10,Esc_Instr,$B98)&gt;0),"",IF(SUMPRODUCT('Calc_Mix'!$D$10:$W$10,'Matriz_Habilidades'!$D98:$W98)=0,"",SUMPRODUCT('Calc_Mix'!$D$10:$W$10,'Matriz_Habilidades'!$D98:$W98)/'Calc_Mix'!$X$10+ROW()*0.000001))</f>
        <v/>
      </c>
      <c r="N98" s="34">
        <f>IF(OR($B98="",$C98&lt;&gt;"Ativo",$D98&lt;&gt;'Calc_Mix'!$C$11,'Calc_Mix'!$X$11=0,COUNTIFS(Esc_Turno,'Calc_Mix'!$C$11,Esc_Circ,$B98)+COUNTIFS(Esc_Turno,'Calc_Mix'!$C$11,Esc_Instr,$B98)&gt;0),"",IF(SUMPRODUCT('Calc_Mix'!$D$11:$W$11,'Matriz_Habilidades'!$D98:$W98)=0,"",SUMPRODUCT('Calc_Mix'!$D$11:$W$11,'Matriz_Habilidades'!$D98:$W98)/'Calc_Mix'!$X$11+ROW()*0.000001))</f>
        <v/>
      </c>
      <c r="O98" s="34">
        <f>IF(OR($B98="",$C98&lt;&gt;"Ativo",$D98&lt;&gt;'Calc_Mix'!$C$12,'Calc_Mix'!$X$12=0,COUNTIFS(Esc_Turno,'Calc_Mix'!$C$12,Esc_Circ,$B98)+COUNTIFS(Esc_Turno,'Calc_Mix'!$C$12,Esc_Instr,$B98)&gt;0),"",IF(SUMPRODUCT('Calc_Mix'!$D$12:$W$12,'Matriz_Habilidades'!$D98:$W98)=0,"",SUMPRODUCT('Calc_Mix'!$D$12:$W$12,'Matriz_Habilidades'!$D98:$W98)/'Calc_Mix'!$X$12+ROW()*0.000001))</f>
        <v/>
      </c>
      <c r="P98" s="34">
        <f>IF(OR($B98="",$C98&lt;&gt;"Ativo",$D98&lt;&gt;'Calc_Mix'!$C$13,'Calc_Mix'!$X$13=0,COUNTIFS(Esc_Turno,'Calc_Mix'!$C$13,Esc_Circ,$B98)+COUNTIFS(Esc_Turno,'Calc_Mix'!$C$13,Esc_Instr,$B98)&gt;0),"",IF(SUMPRODUCT('Calc_Mix'!$D$13:$W$13,'Matriz_Habilidades'!$D98:$W98)=0,"",SUMPRODUCT('Calc_Mix'!$D$13:$W$13,'Matriz_Habilidades'!$D98:$W98)/'Calc_Mix'!$X$13+ROW()*0.000001))</f>
        <v/>
      </c>
      <c r="Q98" s="34">
        <f>IF(OR($B98="",$C98&lt;&gt;"Ativo",$D98&lt;&gt;'Calc_Mix'!$C$14,'Calc_Mix'!$X$14=0,COUNTIFS(Esc_Turno,'Calc_Mix'!$C$14,Esc_Circ,$B98)+COUNTIFS(Esc_Turno,'Calc_Mix'!$C$14,Esc_Instr,$B98)&gt;0),"",IF(SUMPRODUCT('Calc_Mix'!$D$14:$W$14,'Matriz_Habilidades'!$D98:$W98)=0,"",SUMPRODUCT('Calc_Mix'!$D$14:$W$14,'Matriz_Habilidades'!$D98:$W98)/'Calc_Mix'!$X$14+ROW()*0.000001))</f>
        <v/>
      </c>
      <c r="R98" s="34">
        <f>IF(OR($B98="",$C98&lt;&gt;"Ativo",$D98&lt;&gt;'Calc_Mix'!$C$15,'Calc_Mix'!$X$15=0,COUNTIFS(Esc_Turno,'Calc_Mix'!$C$15,Esc_Circ,$B98)+COUNTIFS(Esc_Turno,'Calc_Mix'!$C$15,Esc_Instr,$B98)&gt;0),"",IF(SUMPRODUCT('Calc_Mix'!$D$15:$W$15,'Matriz_Habilidades'!$D98:$W98)=0,"",SUMPRODUCT('Calc_Mix'!$D$15:$W$15,'Matriz_Habilidades'!$D98:$W98)/'Calc_Mix'!$X$15+ROW()*0.000001))</f>
        <v/>
      </c>
      <c r="S98" s="34">
        <f>IF(OR($B98="",$C98&lt;&gt;"Ativo",$D98&lt;&gt;'Calc_Mix'!$C$16,'Calc_Mix'!$X$16=0,COUNTIFS(Esc_Turno,'Calc_Mix'!$C$16,Esc_Circ,$B98)+COUNTIFS(Esc_Turno,'Calc_Mix'!$C$16,Esc_Instr,$B98)&gt;0),"",IF(SUMPRODUCT('Calc_Mix'!$D$16:$W$16,'Matriz_Habilidades'!$D98:$W98)=0,"",SUMPRODUCT('Calc_Mix'!$D$16:$W$16,'Matriz_Habilidades'!$D98:$W98)/'Calc_Mix'!$X$16+ROW()*0.000001))</f>
        <v/>
      </c>
      <c r="T98" s="34">
        <f>IF(OR($B98="",$C98&lt;&gt;"Ativo",$D98&lt;&gt;'Calc_Mix'!$C$17,'Calc_Mix'!$X$17=0,COUNTIFS(Esc_Turno,'Calc_Mix'!$C$17,Esc_Circ,$B98)+COUNTIFS(Esc_Turno,'Calc_Mix'!$C$17,Esc_Instr,$B98)&gt;0),"",IF(SUMPRODUCT('Calc_Mix'!$D$17:$W$17,'Matriz_Habilidades'!$D98:$W98)=0,"",SUMPRODUCT('Calc_Mix'!$D$17:$W$17,'Matriz_Habilidades'!$D98:$W98)/'Calc_Mix'!$X$17+ROW()*0.000001))</f>
        <v/>
      </c>
      <c r="U98" s="34">
        <f>IF(OR($B98="",$C98&lt;&gt;"Ativo",$D98&lt;&gt;'Calc_Mix'!$C$18,'Calc_Mix'!$X$18=0,COUNTIFS(Esc_Turno,'Calc_Mix'!$C$18,Esc_Circ,$B98)+COUNTIFS(Esc_Turno,'Calc_Mix'!$C$18,Esc_Instr,$B98)&gt;0),"",IF(SUMPRODUCT('Calc_Mix'!$D$18:$W$18,'Matriz_Habilidades'!$D98:$W98)=0,"",SUMPRODUCT('Calc_Mix'!$D$18:$W$18,'Matriz_Habilidades'!$D98:$W98)/'Calc_Mix'!$X$18+ROW()*0.000001))</f>
        <v/>
      </c>
      <c r="V98" s="34">
        <f>IF(OR($B98="",$C98&lt;&gt;"Ativo",$D98&lt;&gt;'Calc_Mix'!$C$19,'Calc_Mix'!$X$19=0,COUNTIFS(Esc_Turno,'Calc_Mix'!$C$19,Esc_Circ,$B98)+COUNTIFS(Esc_Turno,'Calc_Mix'!$C$19,Esc_Instr,$B98)&gt;0),"",IF(SUMPRODUCT('Calc_Mix'!$D$19:$W$19,'Matriz_Habilidades'!$D98:$W98)=0,"",SUMPRODUCT('Calc_Mix'!$D$19:$W$19,'Matriz_Habilidades'!$D98:$W98)/'Calc_Mix'!$X$19+ROW()*0.000001))</f>
        <v/>
      </c>
      <c r="W98" s="34">
        <f>IF(OR($B98="",$C98&lt;&gt;"Ativo",$D98&lt;&gt;'Calc_Mix'!$C$20,'Calc_Mix'!$X$20=0,COUNTIFS(Esc_Turno,'Calc_Mix'!$C$20,Esc_Circ,$B98)+COUNTIFS(Esc_Turno,'Calc_Mix'!$C$20,Esc_Instr,$B98)&gt;0),"",IF(SUMPRODUCT('Calc_Mix'!$D$20:$W$20,'Matriz_Habilidades'!$D98:$W98)=0,"",SUMPRODUCT('Calc_Mix'!$D$20:$W$20,'Matriz_Habilidades'!$D98:$W98)/'Calc_Mix'!$X$20+ROW()*0.000001))</f>
        <v/>
      </c>
      <c r="X98" s="34">
        <f>IF(OR($B98="",$C98&lt;&gt;"Ativo",$D98&lt;&gt;'Calc_Mix'!$C$21,'Calc_Mix'!$X$21=0,COUNTIFS(Esc_Turno,'Calc_Mix'!$C$21,Esc_Circ,$B98)+COUNTIFS(Esc_Turno,'Calc_Mix'!$C$21,Esc_Instr,$B98)&gt;0),"",IF(SUMPRODUCT('Calc_Mix'!$D$21:$W$21,'Matriz_Habilidades'!$D98:$W98)=0,"",SUMPRODUCT('Calc_Mix'!$D$21:$W$21,'Matriz_Habilidades'!$D98:$W98)/'Calc_Mix'!$X$21+ROW()*0.000001))</f>
        <v/>
      </c>
      <c r="Y98" s="34">
        <f>IF(OR($B98="",$C98&lt;&gt;"Ativo",$D98&lt;&gt;'Calc_Mix'!$C$22,'Calc_Mix'!$X$22=0,COUNTIFS(Esc_Turno,'Calc_Mix'!$C$22,Esc_Circ,$B98)+COUNTIFS(Esc_Turno,'Calc_Mix'!$C$22,Esc_Instr,$B98)&gt;0),"",IF(SUMPRODUCT('Calc_Mix'!$D$22:$W$22,'Matriz_Habilidades'!$D98:$W98)=0,"",SUMPRODUCT('Calc_Mix'!$D$22:$W$22,'Matriz_Habilidades'!$D98:$W98)/'Calc_Mix'!$X$22+ROW()*0.000001))</f>
        <v/>
      </c>
      <c r="Z98" s="34">
        <f>IF(OR($B98="",$C98&lt;&gt;"Ativo",$D98&lt;&gt;'Calc_Mix'!$C$23,'Calc_Mix'!$X$23=0,COUNTIFS(Esc_Turno,'Calc_Mix'!$C$23,Esc_Circ,$B98)+COUNTIFS(Esc_Turno,'Calc_Mix'!$C$23,Esc_Instr,$B98)&gt;0),"",IF(SUMPRODUCT('Calc_Mix'!$D$23:$W$23,'Matriz_Habilidades'!$D98:$W98)=0,"",SUMPRODUCT('Calc_Mix'!$D$23:$W$23,'Matriz_Habilidades'!$D98:$W98)/'Calc_Mix'!$X$23+ROW()*0.000001))</f>
        <v/>
      </c>
      <c r="AA98" s="34">
        <f>IF(OR($B98="",$C98&lt;&gt;"Ativo",$D98&lt;&gt;'Calc_Mix'!$C$24,'Calc_Mix'!$X$24=0,COUNTIFS(Esc_Turno,'Calc_Mix'!$C$24,Esc_Circ,$B98)+COUNTIFS(Esc_Turno,'Calc_Mix'!$C$24,Esc_Instr,$B98)&gt;0),"",IF(SUMPRODUCT('Calc_Mix'!$D$24:$W$24,'Matriz_Habilidades'!$D98:$W98)=0,"",SUMPRODUCT('Calc_Mix'!$D$24:$W$24,'Matriz_Habilidades'!$D98:$W98)/'Calc_Mix'!$X$24+ROW()*0.000001))</f>
        <v/>
      </c>
      <c r="AB98" s="34">
        <f>IF(OR($B98="",$C98&lt;&gt;"Ativo",$D98&lt;&gt;'Calc_Mix'!$C$25,'Calc_Mix'!$X$25=0,COUNTIFS(Esc_Turno,'Calc_Mix'!$C$25,Esc_Circ,$B98)+COUNTIFS(Esc_Turno,'Calc_Mix'!$C$25,Esc_Instr,$B98)&gt;0),"",IF(SUMPRODUCT('Calc_Mix'!$D$25:$W$25,'Matriz_Habilidades'!$D98:$W98)=0,"",SUMPRODUCT('Calc_Mix'!$D$25:$W$25,'Matriz_Habilidades'!$D98:$W98)/'Calc_Mix'!$X$25+ROW()*0.000001))</f>
        <v/>
      </c>
      <c r="AC98" s="34">
        <f>IF(OR($B98="",$C98&lt;&gt;"Ativo",$D98&lt;&gt;'Calc_Mix'!$C$26,'Calc_Mix'!$X$26=0,COUNTIFS(Esc_Turno,'Calc_Mix'!$C$26,Esc_Circ,$B98)+COUNTIFS(Esc_Turno,'Calc_Mix'!$C$26,Esc_Instr,$B98)&gt;0),"",IF(SUMPRODUCT('Calc_Mix'!$D$26:$W$26,'Matriz_Habilidades'!$D98:$W98)=0,"",SUMPRODUCT('Calc_Mix'!$D$26:$W$26,'Matriz_Habilidades'!$D98:$W98)/'Calc_Mix'!$X$26+ROW()*0.000001))</f>
        <v/>
      </c>
      <c r="AD98" s="34">
        <f>IF(OR($B98="",$C98&lt;&gt;"Ativo",$D98&lt;&gt;'Calc_Mix'!$C$27,'Calc_Mix'!$X$27=0,COUNTIFS(Esc_Turno,'Calc_Mix'!$C$27,Esc_Circ,$B98)+COUNTIFS(Esc_Turno,'Calc_Mix'!$C$27,Esc_Instr,$B98)&gt;0),"",IF(SUMPRODUCT('Calc_Mix'!$D$27:$W$27,'Matriz_Habilidades'!$D98:$W98)=0,"",SUMPRODUCT('Calc_Mix'!$D$27:$W$27,'Matriz_Habilidades'!$D98:$W98)/'Calc_Mix'!$X$27+ROW()*0.000001))</f>
        <v/>
      </c>
      <c r="AE98" s="34">
        <f>IF(OR($B98="",$C98&lt;&gt;"Ativo",$D98&lt;&gt;'Calc_Mix'!$C$28,'Calc_Mix'!$X$28=0,COUNTIFS(Esc_Turno,'Calc_Mix'!$C$28,Esc_Circ,$B98)+COUNTIFS(Esc_Turno,'Calc_Mix'!$C$28,Esc_Instr,$B98)&gt;0),"",IF(SUMPRODUCT('Calc_Mix'!$D$28:$W$28,'Matriz_Habilidades'!$D98:$W98)=0,"",SUMPRODUCT('Calc_Mix'!$D$28:$W$28,'Matriz_Habilidades'!$D98:$W98)/'Calc_Mix'!$X$28+ROW()*0.000001))</f>
        <v/>
      </c>
      <c r="AF98" s="34">
        <f>IF(OR($B98="",$C98&lt;&gt;"Ativo",$D98&lt;&gt;'Calc_Mix'!$C$29,'Calc_Mix'!$X$29=0,COUNTIFS(Esc_Turno,'Calc_Mix'!$C$29,Esc_Circ,$B98)+COUNTIFS(Esc_Turno,'Calc_Mix'!$C$29,Esc_Instr,$B98)&gt;0),"",IF(SUMPRODUCT('Calc_Mix'!$D$29:$W$29,'Matriz_Habilidades'!$D98:$W98)=0,"",SUMPRODUCT('Calc_Mix'!$D$29:$W$29,'Matriz_Habilidades'!$D98:$W98)/'Calc_Mix'!$X$29+ROW()*0.000001))</f>
        <v/>
      </c>
      <c r="AG98" s="34">
        <f>IF(OR($B98="",$C98&lt;&gt;"Ativo",$D98&lt;&gt;'Calc_Mix'!$C$30,'Calc_Mix'!$X$30=0,COUNTIFS(Esc_Turno,'Calc_Mix'!$C$30,Esc_Circ,$B98)+COUNTIFS(Esc_Turno,'Calc_Mix'!$C$30,Esc_Instr,$B98)&gt;0),"",IF(SUMPRODUCT('Calc_Mix'!$D$30:$W$30,'Matriz_Habilidades'!$D98:$W98)=0,"",SUMPRODUCT('Calc_Mix'!$D$30:$W$30,'Matriz_Habilidades'!$D98:$W98)/'Calc_Mix'!$X$30+ROW()*0.000001))</f>
        <v/>
      </c>
      <c r="AH98" s="34">
        <f>IF(OR($B98="",$C98&lt;&gt;"Ativo",$D98&lt;&gt;'Calc_Mix'!$C$31,'Calc_Mix'!$X$31=0,COUNTIFS(Esc_Turno,'Calc_Mix'!$C$31,Esc_Circ,$B98)+COUNTIFS(Esc_Turno,'Calc_Mix'!$C$31,Esc_Instr,$B98)&gt;0),"",IF(SUMPRODUCT('Calc_Mix'!$D$31:$W$31,'Matriz_Habilidades'!$D98:$W98)=0,"",SUMPRODUCT('Calc_Mix'!$D$31:$W$31,'Matriz_Habilidades'!$D98:$W98)/'Calc_Mix'!$X$31+ROW()*0.000001))</f>
        <v/>
      </c>
      <c r="AI98" s="34">
        <f>IF(OR($B98="",$C98&lt;&gt;"Ativo",$D98&lt;&gt;'Calc_Mix'!$C$32,'Calc_Mix'!$X$32=0,COUNTIFS(Esc_Turno,'Calc_Mix'!$C$32,Esc_Circ,$B98)+COUNTIFS(Esc_Turno,'Calc_Mix'!$C$32,Esc_Instr,$B98)&gt;0),"",IF(SUMPRODUCT('Calc_Mix'!$D$32:$W$32,'Matriz_Habilidades'!$D98:$W98)=0,"",SUMPRODUCT('Calc_Mix'!$D$32:$W$32,'Matriz_Habilidades'!$D98:$W98)/'Calc_Mix'!$X$32+ROW()*0.000001))</f>
        <v/>
      </c>
      <c r="AJ98" s="34">
        <f>IF(OR($B98="",$C98&lt;&gt;"Ativo",$D98&lt;&gt;'Calc_Mix'!$C$33,'Calc_Mix'!$X$33=0,COUNTIFS(Esc_Turno,'Calc_Mix'!$C$33,Esc_Circ,$B98)+COUNTIFS(Esc_Turno,'Calc_Mix'!$C$33,Esc_Instr,$B98)&gt;0),"",IF(SUMPRODUCT('Calc_Mix'!$D$33:$W$33,'Matriz_Habilidades'!$D98:$W98)=0,"",SUMPRODUCT('Calc_Mix'!$D$33:$W$33,'Matriz_Habilidades'!$D98:$W98)/'Calc_Mix'!$X$33+ROW()*0.000001))</f>
        <v/>
      </c>
      <c r="AK98" s="34">
        <f>IF(OR($B98="",$C98&lt;&gt;"Ativo",$D98&lt;&gt;'Calc_Mix'!$C$34,'Calc_Mix'!$X$34=0,COUNTIFS(Esc_Turno,'Calc_Mix'!$C$34,Esc_Circ,$B98)+COUNTIFS(Esc_Turno,'Calc_Mix'!$C$34,Esc_Instr,$B98)&gt;0),"",IF(SUMPRODUCT('Calc_Mix'!$D$34:$W$34,'Matriz_Habilidades'!$D98:$W98)=0,"",SUMPRODUCT('Calc_Mix'!$D$34:$W$34,'Matriz_Habilidades'!$D98:$W98)/'Calc_Mix'!$X$34+ROW()*0.000001))</f>
        <v/>
      </c>
      <c r="AL98" s="34">
        <f>IF(OR($B98="",$C98&lt;&gt;"Ativo",$D98&lt;&gt;'Calc_Mix'!$C$35,'Calc_Mix'!$X$35=0,COUNTIFS(Esc_Turno,'Calc_Mix'!$C$35,Esc_Circ,$B98)+COUNTIFS(Esc_Turno,'Calc_Mix'!$C$35,Esc_Instr,$B98)&gt;0),"",IF(SUMPRODUCT('Calc_Mix'!$D$35:$W$35,'Matriz_Habilidades'!$D98:$W98)=0,"",SUMPRODUCT('Calc_Mix'!$D$35:$W$35,'Matriz_Habilidades'!$D98:$W98)/'Calc_Mix'!$X$35+ROW()*0.000001))</f>
        <v/>
      </c>
      <c r="AM98" s="34">
        <f>IF(OR($B98="",$C98&lt;&gt;"Ativo",$D98&lt;&gt;'Calc_Mix'!$C$36,'Calc_Mix'!$X$36=0,COUNTIFS(Esc_Turno,'Calc_Mix'!$C$36,Esc_Circ,$B98)+COUNTIFS(Esc_Turno,'Calc_Mix'!$C$36,Esc_Instr,$B98)&gt;0),"",IF(SUMPRODUCT('Calc_Mix'!$D$36:$W$36,'Matriz_Habilidades'!$D98:$W98)=0,"",SUMPRODUCT('Calc_Mix'!$D$36:$W$36,'Matriz_Habilidades'!$D98:$W98)/'Calc_Mix'!$X$36+ROW()*0.000001))</f>
        <v/>
      </c>
      <c r="AN98" s="34">
        <f>IF(OR($B98="",$C98&lt;&gt;"Ativo",$D98&lt;&gt;'Calc_Mix'!$C$37,'Calc_Mix'!$X$37=0,COUNTIFS(Esc_Turno,'Calc_Mix'!$C$37,Esc_Circ,$B98)+COUNTIFS(Esc_Turno,'Calc_Mix'!$C$37,Esc_Instr,$B98)&gt;0),"",IF(SUMPRODUCT('Calc_Mix'!$D$37:$W$37,'Matriz_Habilidades'!$D98:$W98)=0,"",SUMPRODUCT('Calc_Mix'!$D$37:$W$37,'Matriz_Habilidades'!$D98:$W98)/'Calc_Mix'!$X$37+ROW()*0.000001))</f>
        <v/>
      </c>
    </row>
    <row r="99">
      <c r="A99" s="27">
        <f>IF('Matriz_Habilidades'!A99="","",'Matriz_Habilidades'!A99)</f>
        <v/>
      </c>
      <c r="B99" s="28">
        <f>IF('Matriz_Habilidades'!B99="","",'Matriz_Habilidades'!B99)</f>
        <v/>
      </c>
      <c r="C99" s="27">
        <f>IF($A99="","",IFERROR(INDEX(Equipe_Status,MATCH($B99,Equipe_Nome,0)),"?"))</f>
        <v/>
      </c>
      <c r="D99" s="27">
        <f>IF($A99="","",IFERROR(INDEX(Equipe_Turno,MATCH($B99,Equipe_Nome,0)),"?"))</f>
        <v/>
      </c>
      <c r="E99" s="34">
        <f>IF(OR($B99="",$C99&lt;&gt;"Ativo",$D99&lt;&gt;'Calc_Mix'!$C$2,'Calc_Mix'!$X$2=0,COUNTIFS(Esc_Turno,'Calc_Mix'!$C$2,Esc_Circ,$B99)+COUNTIFS(Esc_Turno,'Calc_Mix'!$C$2,Esc_Instr,$B99)&gt;0),"",IF(SUMPRODUCT('Calc_Mix'!$D$2:$W$2,'Matriz_Habilidades'!$D99:$W99)=0,"",SUMPRODUCT('Calc_Mix'!$D$2:$W$2,'Matriz_Habilidades'!$D99:$W99)/'Calc_Mix'!$X$2+ROW()*0.000001))</f>
        <v/>
      </c>
      <c r="F99" s="34">
        <f>IF(OR($B99="",$C99&lt;&gt;"Ativo",$D99&lt;&gt;'Calc_Mix'!$C$3,'Calc_Mix'!$X$3=0,COUNTIFS(Esc_Turno,'Calc_Mix'!$C$3,Esc_Circ,$B99)+COUNTIFS(Esc_Turno,'Calc_Mix'!$C$3,Esc_Instr,$B99)&gt;0),"",IF(SUMPRODUCT('Calc_Mix'!$D$3:$W$3,'Matriz_Habilidades'!$D99:$W99)=0,"",SUMPRODUCT('Calc_Mix'!$D$3:$W$3,'Matriz_Habilidades'!$D99:$W99)/'Calc_Mix'!$X$3+ROW()*0.000001))</f>
        <v/>
      </c>
      <c r="G99" s="34">
        <f>IF(OR($B99="",$C99&lt;&gt;"Ativo",$D99&lt;&gt;'Calc_Mix'!$C$4,'Calc_Mix'!$X$4=0,COUNTIFS(Esc_Turno,'Calc_Mix'!$C$4,Esc_Circ,$B99)+COUNTIFS(Esc_Turno,'Calc_Mix'!$C$4,Esc_Instr,$B99)&gt;0),"",IF(SUMPRODUCT('Calc_Mix'!$D$4:$W$4,'Matriz_Habilidades'!$D99:$W99)=0,"",SUMPRODUCT('Calc_Mix'!$D$4:$W$4,'Matriz_Habilidades'!$D99:$W99)/'Calc_Mix'!$X$4+ROW()*0.000001))</f>
        <v/>
      </c>
      <c r="H99" s="34">
        <f>IF(OR($B99="",$C99&lt;&gt;"Ativo",$D99&lt;&gt;'Calc_Mix'!$C$5,'Calc_Mix'!$X$5=0,COUNTIFS(Esc_Turno,'Calc_Mix'!$C$5,Esc_Circ,$B99)+COUNTIFS(Esc_Turno,'Calc_Mix'!$C$5,Esc_Instr,$B99)&gt;0),"",IF(SUMPRODUCT('Calc_Mix'!$D$5:$W$5,'Matriz_Habilidades'!$D99:$W99)=0,"",SUMPRODUCT('Calc_Mix'!$D$5:$W$5,'Matriz_Habilidades'!$D99:$W99)/'Calc_Mix'!$X$5+ROW()*0.000001))</f>
        <v/>
      </c>
      <c r="I99" s="34">
        <f>IF(OR($B99="",$C99&lt;&gt;"Ativo",$D99&lt;&gt;'Calc_Mix'!$C$6,'Calc_Mix'!$X$6=0,COUNTIFS(Esc_Turno,'Calc_Mix'!$C$6,Esc_Circ,$B99)+COUNTIFS(Esc_Turno,'Calc_Mix'!$C$6,Esc_Instr,$B99)&gt;0),"",IF(SUMPRODUCT('Calc_Mix'!$D$6:$W$6,'Matriz_Habilidades'!$D99:$W99)=0,"",SUMPRODUCT('Calc_Mix'!$D$6:$W$6,'Matriz_Habilidades'!$D99:$W99)/'Calc_Mix'!$X$6+ROW()*0.000001))</f>
        <v/>
      </c>
      <c r="J99" s="34">
        <f>IF(OR($B99="",$C99&lt;&gt;"Ativo",$D99&lt;&gt;'Calc_Mix'!$C$7,'Calc_Mix'!$X$7=0,COUNTIFS(Esc_Turno,'Calc_Mix'!$C$7,Esc_Circ,$B99)+COUNTIFS(Esc_Turno,'Calc_Mix'!$C$7,Esc_Instr,$B99)&gt;0),"",IF(SUMPRODUCT('Calc_Mix'!$D$7:$W$7,'Matriz_Habilidades'!$D99:$W99)=0,"",SUMPRODUCT('Calc_Mix'!$D$7:$W$7,'Matriz_Habilidades'!$D99:$W99)/'Calc_Mix'!$X$7+ROW()*0.000001))</f>
        <v/>
      </c>
      <c r="K99" s="34">
        <f>IF(OR($B99="",$C99&lt;&gt;"Ativo",$D99&lt;&gt;'Calc_Mix'!$C$8,'Calc_Mix'!$X$8=0,COUNTIFS(Esc_Turno,'Calc_Mix'!$C$8,Esc_Circ,$B99)+COUNTIFS(Esc_Turno,'Calc_Mix'!$C$8,Esc_Instr,$B99)&gt;0),"",IF(SUMPRODUCT('Calc_Mix'!$D$8:$W$8,'Matriz_Habilidades'!$D99:$W99)=0,"",SUMPRODUCT('Calc_Mix'!$D$8:$W$8,'Matriz_Habilidades'!$D99:$W99)/'Calc_Mix'!$X$8+ROW()*0.000001))</f>
        <v/>
      </c>
      <c r="L99" s="34">
        <f>IF(OR($B99="",$C99&lt;&gt;"Ativo",$D99&lt;&gt;'Calc_Mix'!$C$9,'Calc_Mix'!$X$9=0,COUNTIFS(Esc_Turno,'Calc_Mix'!$C$9,Esc_Circ,$B99)+COUNTIFS(Esc_Turno,'Calc_Mix'!$C$9,Esc_Instr,$B99)&gt;0),"",IF(SUMPRODUCT('Calc_Mix'!$D$9:$W$9,'Matriz_Habilidades'!$D99:$W99)=0,"",SUMPRODUCT('Calc_Mix'!$D$9:$W$9,'Matriz_Habilidades'!$D99:$W99)/'Calc_Mix'!$X$9+ROW()*0.000001))</f>
        <v/>
      </c>
      <c r="M99" s="34">
        <f>IF(OR($B99="",$C99&lt;&gt;"Ativo",$D99&lt;&gt;'Calc_Mix'!$C$10,'Calc_Mix'!$X$10=0,COUNTIFS(Esc_Turno,'Calc_Mix'!$C$10,Esc_Circ,$B99)+COUNTIFS(Esc_Turno,'Calc_Mix'!$C$10,Esc_Instr,$B99)&gt;0),"",IF(SUMPRODUCT('Calc_Mix'!$D$10:$W$10,'Matriz_Habilidades'!$D99:$W99)=0,"",SUMPRODUCT('Calc_Mix'!$D$10:$W$10,'Matriz_Habilidades'!$D99:$W99)/'Calc_Mix'!$X$10+ROW()*0.000001))</f>
        <v/>
      </c>
      <c r="N99" s="34">
        <f>IF(OR($B99="",$C99&lt;&gt;"Ativo",$D99&lt;&gt;'Calc_Mix'!$C$11,'Calc_Mix'!$X$11=0,COUNTIFS(Esc_Turno,'Calc_Mix'!$C$11,Esc_Circ,$B99)+COUNTIFS(Esc_Turno,'Calc_Mix'!$C$11,Esc_Instr,$B99)&gt;0),"",IF(SUMPRODUCT('Calc_Mix'!$D$11:$W$11,'Matriz_Habilidades'!$D99:$W99)=0,"",SUMPRODUCT('Calc_Mix'!$D$11:$W$11,'Matriz_Habilidades'!$D99:$W99)/'Calc_Mix'!$X$11+ROW()*0.000001))</f>
        <v/>
      </c>
      <c r="O99" s="34">
        <f>IF(OR($B99="",$C99&lt;&gt;"Ativo",$D99&lt;&gt;'Calc_Mix'!$C$12,'Calc_Mix'!$X$12=0,COUNTIFS(Esc_Turno,'Calc_Mix'!$C$12,Esc_Circ,$B99)+COUNTIFS(Esc_Turno,'Calc_Mix'!$C$12,Esc_Instr,$B99)&gt;0),"",IF(SUMPRODUCT('Calc_Mix'!$D$12:$W$12,'Matriz_Habilidades'!$D99:$W99)=0,"",SUMPRODUCT('Calc_Mix'!$D$12:$W$12,'Matriz_Habilidades'!$D99:$W99)/'Calc_Mix'!$X$12+ROW()*0.000001))</f>
        <v/>
      </c>
      <c r="P99" s="34">
        <f>IF(OR($B99="",$C99&lt;&gt;"Ativo",$D99&lt;&gt;'Calc_Mix'!$C$13,'Calc_Mix'!$X$13=0,COUNTIFS(Esc_Turno,'Calc_Mix'!$C$13,Esc_Circ,$B99)+COUNTIFS(Esc_Turno,'Calc_Mix'!$C$13,Esc_Instr,$B99)&gt;0),"",IF(SUMPRODUCT('Calc_Mix'!$D$13:$W$13,'Matriz_Habilidades'!$D99:$W99)=0,"",SUMPRODUCT('Calc_Mix'!$D$13:$W$13,'Matriz_Habilidades'!$D99:$W99)/'Calc_Mix'!$X$13+ROW()*0.000001))</f>
        <v/>
      </c>
      <c r="Q99" s="34">
        <f>IF(OR($B99="",$C99&lt;&gt;"Ativo",$D99&lt;&gt;'Calc_Mix'!$C$14,'Calc_Mix'!$X$14=0,COUNTIFS(Esc_Turno,'Calc_Mix'!$C$14,Esc_Circ,$B99)+COUNTIFS(Esc_Turno,'Calc_Mix'!$C$14,Esc_Instr,$B99)&gt;0),"",IF(SUMPRODUCT('Calc_Mix'!$D$14:$W$14,'Matriz_Habilidades'!$D99:$W99)=0,"",SUMPRODUCT('Calc_Mix'!$D$14:$W$14,'Matriz_Habilidades'!$D99:$W99)/'Calc_Mix'!$X$14+ROW()*0.000001))</f>
        <v/>
      </c>
      <c r="R99" s="34">
        <f>IF(OR($B99="",$C99&lt;&gt;"Ativo",$D99&lt;&gt;'Calc_Mix'!$C$15,'Calc_Mix'!$X$15=0,COUNTIFS(Esc_Turno,'Calc_Mix'!$C$15,Esc_Circ,$B99)+COUNTIFS(Esc_Turno,'Calc_Mix'!$C$15,Esc_Instr,$B99)&gt;0),"",IF(SUMPRODUCT('Calc_Mix'!$D$15:$W$15,'Matriz_Habilidades'!$D99:$W99)=0,"",SUMPRODUCT('Calc_Mix'!$D$15:$W$15,'Matriz_Habilidades'!$D99:$W99)/'Calc_Mix'!$X$15+ROW()*0.000001))</f>
        <v/>
      </c>
      <c r="S99" s="34">
        <f>IF(OR($B99="",$C99&lt;&gt;"Ativo",$D99&lt;&gt;'Calc_Mix'!$C$16,'Calc_Mix'!$X$16=0,COUNTIFS(Esc_Turno,'Calc_Mix'!$C$16,Esc_Circ,$B99)+COUNTIFS(Esc_Turno,'Calc_Mix'!$C$16,Esc_Instr,$B99)&gt;0),"",IF(SUMPRODUCT('Calc_Mix'!$D$16:$W$16,'Matriz_Habilidades'!$D99:$W99)=0,"",SUMPRODUCT('Calc_Mix'!$D$16:$W$16,'Matriz_Habilidades'!$D99:$W99)/'Calc_Mix'!$X$16+ROW()*0.000001))</f>
        <v/>
      </c>
      <c r="T99" s="34">
        <f>IF(OR($B99="",$C99&lt;&gt;"Ativo",$D99&lt;&gt;'Calc_Mix'!$C$17,'Calc_Mix'!$X$17=0,COUNTIFS(Esc_Turno,'Calc_Mix'!$C$17,Esc_Circ,$B99)+COUNTIFS(Esc_Turno,'Calc_Mix'!$C$17,Esc_Instr,$B99)&gt;0),"",IF(SUMPRODUCT('Calc_Mix'!$D$17:$W$17,'Matriz_Habilidades'!$D99:$W99)=0,"",SUMPRODUCT('Calc_Mix'!$D$17:$W$17,'Matriz_Habilidades'!$D99:$W99)/'Calc_Mix'!$X$17+ROW()*0.000001))</f>
        <v/>
      </c>
      <c r="U99" s="34">
        <f>IF(OR($B99="",$C99&lt;&gt;"Ativo",$D99&lt;&gt;'Calc_Mix'!$C$18,'Calc_Mix'!$X$18=0,COUNTIFS(Esc_Turno,'Calc_Mix'!$C$18,Esc_Circ,$B99)+COUNTIFS(Esc_Turno,'Calc_Mix'!$C$18,Esc_Instr,$B99)&gt;0),"",IF(SUMPRODUCT('Calc_Mix'!$D$18:$W$18,'Matriz_Habilidades'!$D99:$W99)=0,"",SUMPRODUCT('Calc_Mix'!$D$18:$W$18,'Matriz_Habilidades'!$D99:$W99)/'Calc_Mix'!$X$18+ROW()*0.000001))</f>
        <v/>
      </c>
      <c r="V99" s="34">
        <f>IF(OR($B99="",$C99&lt;&gt;"Ativo",$D99&lt;&gt;'Calc_Mix'!$C$19,'Calc_Mix'!$X$19=0,COUNTIFS(Esc_Turno,'Calc_Mix'!$C$19,Esc_Circ,$B99)+COUNTIFS(Esc_Turno,'Calc_Mix'!$C$19,Esc_Instr,$B99)&gt;0),"",IF(SUMPRODUCT('Calc_Mix'!$D$19:$W$19,'Matriz_Habilidades'!$D99:$W99)=0,"",SUMPRODUCT('Calc_Mix'!$D$19:$W$19,'Matriz_Habilidades'!$D99:$W99)/'Calc_Mix'!$X$19+ROW()*0.000001))</f>
        <v/>
      </c>
      <c r="W99" s="34">
        <f>IF(OR($B99="",$C99&lt;&gt;"Ativo",$D99&lt;&gt;'Calc_Mix'!$C$20,'Calc_Mix'!$X$20=0,COUNTIFS(Esc_Turno,'Calc_Mix'!$C$20,Esc_Circ,$B99)+COUNTIFS(Esc_Turno,'Calc_Mix'!$C$20,Esc_Instr,$B99)&gt;0),"",IF(SUMPRODUCT('Calc_Mix'!$D$20:$W$20,'Matriz_Habilidades'!$D99:$W99)=0,"",SUMPRODUCT('Calc_Mix'!$D$20:$W$20,'Matriz_Habilidades'!$D99:$W99)/'Calc_Mix'!$X$20+ROW()*0.000001))</f>
        <v/>
      </c>
      <c r="X99" s="34">
        <f>IF(OR($B99="",$C99&lt;&gt;"Ativo",$D99&lt;&gt;'Calc_Mix'!$C$21,'Calc_Mix'!$X$21=0,COUNTIFS(Esc_Turno,'Calc_Mix'!$C$21,Esc_Circ,$B99)+COUNTIFS(Esc_Turno,'Calc_Mix'!$C$21,Esc_Instr,$B99)&gt;0),"",IF(SUMPRODUCT('Calc_Mix'!$D$21:$W$21,'Matriz_Habilidades'!$D99:$W99)=0,"",SUMPRODUCT('Calc_Mix'!$D$21:$W$21,'Matriz_Habilidades'!$D99:$W99)/'Calc_Mix'!$X$21+ROW()*0.000001))</f>
        <v/>
      </c>
      <c r="Y99" s="34">
        <f>IF(OR($B99="",$C99&lt;&gt;"Ativo",$D99&lt;&gt;'Calc_Mix'!$C$22,'Calc_Mix'!$X$22=0,COUNTIFS(Esc_Turno,'Calc_Mix'!$C$22,Esc_Circ,$B99)+COUNTIFS(Esc_Turno,'Calc_Mix'!$C$22,Esc_Instr,$B99)&gt;0),"",IF(SUMPRODUCT('Calc_Mix'!$D$22:$W$22,'Matriz_Habilidades'!$D99:$W99)=0,"",SUMPRODUCT('Calc_Mix'!$D$22:$W$22,'Matriz_Habilidades'!$D99:$W99)/'Calc_Mix'!$X$22+ROW()*0.000001))</f>
        <v/>
      </c>
      <c r="Z99" s="34">
        <f>IF(OR($B99="",$C99&lt;&gt;"Ativo",$D99&lt;&gt;'Calc_Mix'!$C$23,'Calc_Mix'!$X$23=0,COUNTIFS(Esc_Turno,'Calc_Mix'!$C$23,Esc_Circ,$B99)+COUNTIFS(Esc_Turno,'Calc_Mix'!$C$23,Esc_Instr,$B99)&gt;0),"",IF(SUMPRODUCT('Calc_Mix'!$D$23:$W$23,'Matriz_Habilidades'!$D99:$W99)=0,"",SUMPRODUCT('Calc_Mix'!$D$23:$W$23,'Matriz_Habilidades'!$D99:$W99)/'Calc_Mix'!$X$23+ROW()*0.000001))</f>
        <v/>
      </c>
      <c r="AA99" s="34">
        <f>IF(OR($B99="",$C99&lt;&gt;"Ativo",$D99&lt;&gt;'Calc_Mix'!$C$24,'Calc_Mix'!$X$24=0,COUNTIFS(Esc_Turno,'Calc_Mix'!$C$24,Esc_Circ,$B99)+COUNTIFS(Esc_Turno,'Calc_Mix'!$C$24,Esc_Instr,$B99)&gt;0),"",IF(SUMPRODUCT('Calc_Mix'!$D$24:$W$24,'Matriz_Habilidades'!$D99:$W99)=0,"",SUMPRODUCT('Calc_Mix'!$D$24:$W$24,'Matriz_Habilidades'!$D99:$W99)/'Calc_Mix'!$X$24+ROW()*0.000001))</f>
        <v/>
      </c>
      <c r="AB99" s="34">
        <f>IF(OR($B99="",$C99&lt;&gt;"Ativo",$D99&lt;&gt;'Calc_Mix'!$C$25,'Calc_Mix'!$X$25=0,COUNTIFS(Esc_Turno,'Calc_Mix'!$C$25,Esc_Circ,$B99)+COUNTIFS(Esc_Turno,'Calc_Mix'!$C$25,Esc_Instr,$B99)&gt;0),"",IF(SUMPRODUCT('Calc_Mix'!$D$25:$W$25,'Matriz_Habilidades'!$D99:$W99)=0,"",SUMPRODUCT('Calc_Mix'!$D$25:$W$25,'Matriz_Habilidades'!$D99:$W99)/'Calc_Mix'!$X$25+ROW()*0.000001))</f>
        <v/>
      </c>
      <c r="AC99" s="34">
        <f>IF(OR($B99="",$C99&lt;&gt;"Ativo",$D99&lt;&gt;'Calc_Mix'!$C$26,'Calc_Mix'!$X$26=0,COUNTIFS(Esc_Turno,'Calc_Mix'!$C$26,Esc_Circ,$B99)+COUNTIFS(Esc_Turno,'Calc_Mix'!$C$26,Esc_Instr,$B99)&gt;0),"",IF(SUMPRODUCT('Calc_Mix'!$D$26:$W$26,'Matriz_Habilidades'!$D99:$W99)=0,"",SUMPRODUCT('Calc_Mix'!$D$26:$W$26,'Matriz_Habilidades'!$D99:$W99)/'Calc_Mix'!$X$26+ROW()*0.000001))</f>
        <v/>
      </c>
      <c r="AD99" s="34">
        <f>IF(OR($B99="",$C99&lt;&gt;"Ativo",$D99&lt;&gt;'Calc_Mix'!$C$27,'Calc_Mix'!$X$27=0,COUNTIFS(Esc_Turno,'Calc_Mix'!$C$27,Esc_Circ,$B99)+COUNTIFS(Esc_Turno,'Calc_Mix'!$C$27,Esc_Instr,$B99)&gt;0),"",IF(SUMPRODUCT('Calc_Mix'!$D$27:$W$27,'Matriz_Habilidades'!$D99:$W99)=0,"",SUMPRODUCT('Calc_Mix'!$D$27:$W$27,'Matriz_Habilidades'!$D99:$W99)/'Calc_Mix'!$X$27+ROW()*0.000001))</f>
        <v/>
      </c>
      <c r="AE99" s="34">
        <f>IF(OR($B99="",$C99&lt;&gt;"Ativo",$D99&lt;&gt;'Calc_Mix'!$C$28,'Calc_Mix'!$X$28=0,COUNTIFS(Esc_Turno,'Calc_Mix'!$C$28,Esc_Circ,$B99)+COUNTIFS(Esc_Turno,'Calc_Mix'!$C$28,Esc_Instr,$B99)&gt;0),"",IF(SUMPRODUCT('Calc_Mix'!$D$28:$W$28,'Matriz_Habilidades'!$D99:$W99)=0,"",SUMPRODUCT('Calc_Mix'!$D$28:$W$28,'Matriz_Habilidades'!$D99:$W99)/'Calc_Mix'!$X$28+ROW()*0.000001))</f>
        <v/>
      </c>
      <c r="AF99" s="34">
        <f>IF(OR($B99="",$C99&lt;&gt;"Ativo",$D99&lt;&gt;'Calc_Mix'!$C$29,'Calc_Mix'!$X$29=0,COUNTIFS(Esc_Turno,'Calc_Mix'!$C$29,Esc_Circ,$B99)+COUNTIFS(Esc_Turno,'Calc_Mix'!$C$29,Esc_Instr,$B99)&gt;0),"",IF(SUMPRODUCT('Calc_Mix'!$D$29:$W$29,'Matriz_Habilidades'!$D99:$W99)=0,"",SUMPRODUCT('Calc_Mix'!$D$29:$W$29,'Matriz_Habilidades'!$D99:$W99)/'Calc_Mix'!$X$29+ROW()*0.000001))</f>
        <v/>
      </c>
      <c r="AG99" s="34">
        <f>IF(OR($B99="",$C99&lt;&gt;"Ativo",$D99&lt;&gt;'Calc_Mix'!$C$30,'Calc_Mix'!$X$30=0,COUNTIFS(Esc_Turno,'Calc_Mix'!$C$30,Esc_Circ,$B99)+COUNTIFS(Esc_Turno,'Calc_Mix'!$C$30,Esc_Instr,$B99)&gt;0),"",IF(SUMPRODUCT('Calc_Mix'!$D$30:$W$30,'Matriz_Habilidades'!$D99:$W99)=0,"",SUMPRODUCT('Calc_Mix'!$D$30:$W$30,'Matriz_Habilidades'!$D99:$W99)/'Calc_Mix'!$X$30+ROW()*0.000001))</f>
        <v/>
      </c>
      <c r="AH99" s="34">
        <f>IF(OR($B99="",$C99&lt;&gt;"Ativo",$D99&lt;&gt;'Calc_Mix'!$C$31,'Calc_Mix'!$X$31=0,COUNTIFS(Esc_Turno,'Calc_Mix'!$C$31,Esc_Circ,$B99)+COUNTIFS(Esc_Turno,'Calc_Mix'!$C$31,Esc_Instr,$B99)&gt;0),"",IF(SUMPRODUCT('Calc_Mix'!$D$31:$W$31,'Matriz_Habilidades'!$D99:$W99)=0,"",SUMPRODUCT('Calc_Mix'!$D$31:$W$31,'Matriz_Habilidades'!$D99:$W99)/'Calc_Mix'!$X$31+ROW()*0.000001))</f>
        <v/>
      </c>
      <c r="AI99" s="34">
        <f>IF(OR($B99="",$C99&lt;&gt;"Ativo",$D99&lt;&gt;'Calc_Mix'!$C$32,'Calc_Mix'!$X$32=0,COUNTIFS(Esc_Turno,'Calc_Mix'!$C$32,Esc_Circ,$B99)+COUNTIFS(Esc_Turno,'Calc_Mix'!$C$32,Esc_Instr,$B99)&gt;0),"",IF(SUMPRODUCT('Calc_Mix'!$D$32:$W$32,'Matriz_Habilidades'!$D99:$W99)=0,"",SUMPRODUCT('Calc_Mix'!$D$32:$W$32,'Matriz_Habilidades'!$D99:$W99)/'Calc_Mix'!$X$32+ROW()*0.000001))</f>
        <v/>
      </c>
      <c r="AJ99" s="34">
        <f>IF(OR($B99="",$C99&lt;&gt;"Ativo",$D99&lt;&gt;'Calc_Mix'!$C$33,'Calc_Mix'!$X$33=0,COUNTIFS(Esc_Turno,'Calc_Mix'!$C$33,Esc_Circ,$B99)+COUNTIFS(Esc_Turno,'Calc_Mix'!$C$33,Esc_Instr,$B99)&gt;0),"",IF(SUMPRODUCT('Calc_Mix'!$D$33:$W$33,'Matriz_Habilidades'!$D99:$W99)=0,"",SUMPRODUCT('Calc_Mix'!$D$33:$W$33,'Matriz_Habilidades'!$D99:$W99)/'Calc_Mix'!$X$33+ROW()*0.000001))</f>
        <v/>
      </c>
      <c r="AK99" s="34">
        <f>IF(OR($B99="",$C99&lt;&gt;"Ativo",$D99&lt;&gt;'Calc_Mix'!$C$34,'Calc_Mix'!$X$34=0,COUNTIFS(Esc_Turno,'Calc_Mix'!$C$34,Esc_Circ,$B99)+COUNTIFS(Esc_Turno,'Calc_Mix'!$C$34,Esc_Instr,$B99)&gt;0),"",IF(SUMPRODUCT('Calc_Mix'!$D$34:$W$34,'Matriz_Habilidades'!$D99:$W99)=0,"",SUMPRODUCT('Calc_Mix'!$D$34:$W$34,'Matriz_Habilidades'!$D99:$W99)/'Calc_Mix'!$X$34+ROW()*0.000001))</f>
        <v/>
      </c>
      <c r="AL99" s="34">
        <f>IF(OR($B99="",$C99&lt;&gt;"Ativo",$D99&lt;&gt;'Calc_Mix'!$C$35,'Calc_Mix'!$X$35=0,COUNTIFS(Esc_Turno,'Calc_Mix'!$C$35,Esc_Circ,$B99)+COUNTIFS(Esc_Turno,'Calc_Mix'!$C$35,Esc_Instr,$B99)&gt;0),"",IF(SUMPRODUCT('Calc_Mix'!$D$35:$W$35,'Matriz_Habilidades'!$D99:$W99)=0,"",SUMPRODUCT('Calc_Mix'!$D$35:$W$35,'Matriz_Habilidades'!$D99:$W99)/'Calc_Mix'!$X$35+ROW()*0.000001))</f>
        <v/>
      </c>
      <c r="AM99" s="34">
        <f>IF(OR($B99="",$C99&lt;&gt;"Ativo",$D99&lt;&gt;'Calc_Mix'!$C$36,'Calc_Mix'!$X$36=0,COUNTIFS(Esc_Turno,'Calc_Mix'!$C$36,Esc_Circ,$B99)+COUNTIFS(Esc_Turno,'Calc_Mix'!$C$36,Esc_Instr,$B99)&gt;0),"",IF(SUMPRODUCT('Calc_Mix'!$D$36:$W$36,'Matriz_Habilidades'!$D99:$W99)=0,"",SUMPRODUCT('Calc_Mix'!$D$36:$W$36,'Matriz_Habilidades'!$D99:$W99)/'Calc_Mix'!$X$36+ROW()*0.000001))</f>
        <v/>
      </c>
      <c r="AN99" s="34">
        <f>IF(OR($B99="",$C99&lt;&gt;"Ativo",$D99&lt;&gt;'Calc_Mix'!$C$37,'Calc_Mix'!$X$37=0,COUNTIFS(Esc_Turno,'Calc_Mix'!$C$37,Esc_Circ,$B99)+COUNTIFS(Esc_Turno,'Calc_Mix'!$C$37,Esc_Instr,$B99)&gt;0),"",IF(SUMPRODUCT('Calc_Mix'!$D$37:$W$37,'Matriz_Habilidades'!$D99:$W99)=0,"",SUMPRODUCT('Calc_Mix'!$D$37:$W$37,'Matriz_Habilidades'!$D99:$W99)/'Calc_Mix'!$X$37+ROW()*0.000001))</f>
        <v/>
      </c>
    </row>
    <row r="100">
      <c r="A100" s="27">
        <f>IF('Matriz_Habilidades'!A100="","",'Matriz_Habilidades'!A100)</f>
        <v/>
      </c>
      <c r="B100" s="28">
        <f>IF('Matriz_Habilidades'!B100="","",'Matriz_Habilidades'!B100)</f>
        <v/>
      </c>
      <c r="C100" s="27">
        <f>IF($A100="","",IFERROR(INDEX(Equipe_Status,MATCH($B100,Equipe_Nome,0)),"?"))</f>
        <v/>
      </c>
      <c r="D100" s="27">
        <f>IF($A100="","",IFERROR(INDEX(Equipe_Turno,MATCH($B100,Equipe_Nome,0)),"?"))</f>
        <v/>
      </c>
      <c r="E100" s="34">
        <f>IF(OR($B100="",$C100&lt;&gt;"Ativo",$D100&lt;&gt;'Calc_Mix'!$C$2,'Calc_Mix'!$X$2=0,COUNTIFS(Esc_Turno,'Calc_Mix'!$C$2,Esc_Circ,$B100)+COUNTIFS(Esc_Turno,'Calc_Mix'!$C$2,Esc_Instr,$B100)&gt;0),"",IF(SUMPRODUCT('Calc_Mix'!$D$2:$W$2,'Matriz_Habilidades'!$D100:$W100)=0,"",SUMPRODUCT('Calc_Mix'!$D$2:$W$2,'Matriz_Habilidades'!$D100:$W100)/'Calc_Mix'!$X$2+ROW()*0.000001))</f>
        <v/>
      </c>
      <c r="F100" s="34">
        <f>IF(OR($B100="",$C100&lt;&gt;"Ativo",$D100&lt;&gt;'Calc_Mix'!$C$3,'Calc_Mix'!$X$3=0,COUNTIFS(Esc_Turno,'Calc_Mix'!$C$3,Esc_Circ,$B100)+COUNTIFS(Esc_Turno,'Calc_Mix'!$C$3,Esc_Instr,$B100)&gt;0),"",IF(SUMPRODUCT('Calc_Mix'!$D$3:$W$3,'Matriz_Habilidades'!$D100:$W100)=0,"",SUMPRODUCT('Calc_Mix'!$D$3:$W$3,'Matriz_Habilidades'!$D100:$W100)/'Calc_Mix'!$X$3+ROW()*0.000001))</f>
        <v/>
      </c>
      <c r="G100" s="34">
        <f>IF(OR($B100="",$C100&lt;&gt;"Ativo",$D100&lt;&gt;'Calc_Mix'!$C$4,'Calc_Mix'!$X$4=0,COUNTIFS(Esc_Turno,'Calc_Mix'!$C$4,Esc_Circ,$B100)+COUNTIFS(Esc_Turno,'Calc_Mix'!$C$4,Esc_Instr,$B100)&gt;0),"",IF(SUMPRODUCT('Calc_Mix'!$D$4:$W$4,'Matriz_Habilidades'!$D100:$W100)=0,"",SUMPRODUCT('Calc_Mix'!$D$4:$W$4,'Matriz_Habilidades'!$D100:$W100)/'Calc_Mix'!$X$4+ROW()*0.000001))</f>
        <v/>
      </c>
      <c r="H100" s="34">
        <f>IF(OR($B100="",$C100&lt;&gt;"Ativo",$D100&lt;&gt;'Calc_Mix'!$C$5,'Calc_Mix'!$X$5=0,COUNTIFS(Esc_Turno,'Calc_Mix'!$C$5,Esc_Circ,$B100)+COUNTIFS(Esc_Turno,'Calc_Mix'!$C$5,Esc_Instr,$B100)&gt;0),"",IF(SUMPRODUCT('Calc_Mix'!$D$5:$W$5,'Matriz_Habilidades'!$D100:$W100)=0,"",SUMPRODUCT('Calc_Mix'!$D$5:$W$5,'Matriz_Habilidades'!$D100:$W100)/'Calc_Mix'!$X$5+ROW()*0.000001))</f>
        <v/>
      </c>
      <c r="I100" s="34">
        <f>IF(OR($B100="",$C100&lt;&gt;"Ativo",$D100&lt;&gt;'Calc_Mix'!$C$6,'Calc_Mix'!$X$6=0,COUNTIFS(Esc_Turno,'Calc_Mix'!$C$6,Esc_Circ,$B100)+COUNTIFS(Esc_Turno,'Calc_Mix'!$C$6,Esc_Instr,$B100)&gt;0),"",IF(SUMPRODUCT('Calc_Mix'!$D$6:$W$6,'Matriz_Habilidades'!$D100:$W100)=0,"",SUMPRODUCT('Calc_Mix'!$D$6:$W$6,'Matriz_Habilidades'!$D100:$W100)/'Calc_Mix'!$X$6+ROW()*0.000001))</f>
        <v/>
      </c>
      <c r="J100" s="34">
        <f>IF(OR($B100="",$C100&lt;&gt;"Ativo",$D100&lt;&gt;'Calc_Mix'!$C$7,'Calc_Mix'!$X$7=0,COUNTIFS(Esc_Turno,'Calc_Mix'!$C$7,Esc_Circ,$B100)+COUNTIFS(Esc_Turno,'Calc_Mix'!$C$7,Esc_Instr,$B100)&gt;0),"",IF(SUMPRODUCT('Calc_Mix'!$D$7:$W$7,'Matriz_Habilidades'!$D100:$W100)=0,"",SUMPRODUCT('Calc_Mix'!$D$7:$W$7,'Matriz_Habilidades'!$D100:$W100)/'Calc_Mix'!$X$7+ROW()*0.000001))</f>
        <v/>
      </c>
      <c r="K100" s="34">
        <f>IF(OR($B100="",$C100&lt;&gt;"Ativo",$D100&lt;&gt;'Calc_Mix'!$C$8,'Calc_Mix'!$X$8=0,COUNTIFS(Esc_Turno,'Calc_Mix'!$C$8,Esc_Circ,$B100)+COUNTIFS(Esc_Turno,'Calc_Mix'!$C$8,Esc_Instr,$B100)&gt;0),"",IF(SUMPRODUCT('Calc_Mix'!$D$8:$W$8,'Matriz_Habilidades'!$D100:$W100)=0,"",SUMPRODUCT('Calc_Mix'!$D$8:$W$8,'Matriz_Habilidades'!$D100:$W100)/'Calc_Mix'!$X$8+ROW()*0.000001))</f>
        <v/>
      </c>
      <c r="L100" s="34">
        <f>IF(OR($B100="",$C100&lt;&gt;"Ativo",$D100&lt;&gt;'Calc_Mix'!$C$9,'Calc_Mix'!$X$9=0,COUNTIFS(Esc_Turno,'Calc_Mix'!$C$9,Esc_Circ,$B100)+COUNTIFS(Esc_Turno,'Calc_Mix'!$C$9,Esc_Instr,$B100)&gt;0),"",IF(SUMPRODUCT('Calc_Mix'!$D$9:$W$9,'Matriz_Habilidades'!$D100:$W100)=0,"",SUMPRODUCT('Calc_Mix'!$D$9:$W$9,'Matriz_Habilidades'!$D100:$W100)/'Calc_Mix'!$X$9+ROW()*0.000001))</f>
        <v/>
      </c>
      <c r="M100" s="34">
        <f>IF(OR($B100="",$C100&lt;&gt;"Ativo",$D100&lt;&gt;'Calc_Mix'!$C$10,'Calc_Mix'!$X$10=0,COUNTIFS(Esc_Turno,'Calc_Mix'!$C$10,Esc_Circ,$B100)+COUNTIFS(Esc_Turno,'Calc_Mix'!$C$10,Esc_Instr,$B100)&gt;0),"",IF(SUMPRODUCT('Calc_Mix'!$D$10:$W$10,'Matriz_Habilidades'!$D100:$W100)=0,"",SUMPRODUCT('Calc_Mix'!$D$10:$W$10,'Matriz_Habilidades'!$D100:$W100)/'Calc_Mix'!$X$10+ROW()*0.000001))</f>
        <v/>
      </c>
      <c r="N100" s="34">
        <f>IF(OR($B100="",$C100&lt;&gt;"Ativo",$D100&lt;&gt;'Calc_Mix'!$C$11,'Calc_Mix'!$X$11=0,COUNTIFS(Esc_Turno,'Calc_Mix'!$C$11,Esc_Circ,$B100)+COUNTIFS(Esc_Turno,'Calc_Mix'!$C$11,Esc_Instr,$B100)&gt;0),"",IF(SUMPRODUCT('Calc_Mix'!$D$11:$W$11,'Matriz_Habilidades'!$D100:$W100)=0,"",SUMPRODUCT('Calc_Mix'!$D$11:$W$11,'Matriz_Habilidades'!$D100:$W100)/'Calc_Mix'!$X$11+ROW()*0.000001))</f>
        <v/>
      </c>
      <c r="O100" s="34">
        <f>IF(OR($B100="",$C100&lt;&gt;"Ativo",$D100&lt;&gt;'Calc_Mix'!$C$12,'Calc_Mix'!$X$12=0,COUNTIFS(Esc_Turno,'Calc_Mix'!$C$12,Esc_Circ,$B100)+COUNTIFS(Esc_Turno,'Calc_Mix'!$C$12,Esc_Instr,$B100)&gt;0),"",IF(SUMPRODUCT('Calc_Mix'!$D$12:$W$12,'Matriz_Habilidades'!$D100:$W100)=0,"",SUMPRODUCT('Calc_Mix'!$D$12:$W$12,'Matriz_Habilidades'!$D100:$W100)/'Calc_Mix'!$X$12+ROW()*0.000001))</f>
        <v/>
      </c>
      <c r="P100" s="34">
        <f>IF(OR($B100="",$C100&lt;&gt;"Ativo",$D100&lt;&gt;'Calc_Mix'!$C$13,'Calc_Mix'!$X$13=0,COUNTIFS(Esc_Turno,'Calc_Mix'!$C$13,Esc_Circ,$B100)+COUNTIFS(Esc_Turno,'Calc_Mix'!$C$13,Esc_Instr,$B100)&gt;0),"",IF(SUMPRODUCT('Calc_Mix'!$D$13:$W$13,'Matriz_Habilidades'!$D100:$W100)=0,"",SUMPRODUCT('Calc_Mix'!$D$13:$W$13,'Matriz_Habilidades'!$D100:$W100)/'Calc_Mix'!$X$13+ROW()*0.000001))</f>
        <v/>
      </c>
      <c r="Q100" s="34">
        <f>IF(OR($B100="",$C100&lt;&gt;"Ativo",$D100&lt;&gt;'Calc_Mix'!$C$14,'Calc_Mix'!$X$14=0,COUNTIFS(Esc_Turno,'Calc_Mix'!$C$14,Esc_Circ,$B100)+COUNTIFS(Esc_Turno,'Calc_Mix'!$C$14,Esc_Instr,$B100)&gt;0),"",IF(SUMPRODUCT('Calc_Mix'!$D$14:$W$14,'Matriz_Habilidades'!$D100:$W100)=0,"",SUMPRODUCT('Calc_Mix'!$D$14:$W$14,'Matriz_Habilidades'!$D100:$W100)/'Calc_Mix'!$X$14+ROW()*0.000001))</f>
        <v/>
      </c>
      <c r="R100" s="34">
        <f>IF(OR($B100="",$C100&lt;&gt;"Ativo",$D100&lt;&gt;'Calc_Mix'!$C$15,'Calc_Mix'!$X$15=0,COUNTIFS(Esc_Turno,'Calc_Mix'!$C$15,Esc_Circ,$B100)+COUNTIFS(Esc_Turno,'Calc_Mix'!$C$15,Esc_Instr,$B100)&gt;0),"",IF(SUMPRODUCT('Calc_Mix'!$D$15:$W$15,'Matriz_Habilidades'!$D100:$W100)=0,"",SUMPRODUCT('Calc_Mix'!$D$15:$W$15,'Matriz_Habilidades'!$D100:$W100)/'Calc_Mix'!$X$15+ROW()*0.000001))</f>
        <v/>
      </c>
      <c r="S100" s="34">
        <f>IF(OR($B100="",$C100&lt;&gt;"Ativo",$D100&lt;&gt;'Calc_Mix'!$C$16,'Calc_Mix'!$X$16=0,COUNTIFS(Esc_Turno,'Calc_Mix'!$C$16,Esc_Circ,$B100)+COUNTIFS(Esc_Turno,'Calc_Mix'!$C$16,Esc_Instr,$B100)&gt;0),"",IF(SUMPRODUCT('Calc_Mix'!$D$16:$W$16,'Matriz_Habilidades'!$D100:$W100)=0,"",SUMPRODUCT('Calc_Mix'!$D$16:$W$16,'Matriz_Habilidades'!$D100:$W100)/'Calc_Mix'!$X$16+ROW()*0.000001))</f>
        <v/>
      </c>
      <c r="T100" s="34">
        <f>IF(OR($B100="",$C100&lt;&gt;"Ativo",$D100&lt;&gt;'Calc_Mix'!$C$17,'Calc_Mix'!$X$17=0,COUNTIFS(Esc_Turno,'Calc_Mix'!$C$17,Esc_Circ,$B100)+COUNTIFS(Esc_Turno,'Calc_Mix'!$C$17,Esc_Instr,$B100)&gt;0),"",IF(SUMPRODUCT('Calc_Mix'!$D$17:$W$17,'Matriz_Habilidades'!$D100:$W100)=0,"",SUMPRODUCT('Calc_Mix'!$D$17:$W$17,'Matriz_Habilidades'!$D100:$W100)/'Calc_Mix'!$X$17+ROW()*0.000001))</f>
        <v/>
      </c>
      <c r="U100" s="34">
        <f>IF(OR($B100="",$C100&lt;&gt;"Ativo",$D100&lt;&gt;'Calc_Mix'!$C$18,'Calc_Mix'!$X$18=0,COUNTIFS(Esc_Turno,'Calc_Mix'!$C$18,Esc_Circ,$B100)+COUNTIFS(Esc_Turno,'Calc_Mix'!$C$18,Esc_Instr,$B100)&gt;0),"",IF(SUMPRODUCT('Calc_Mix'!$D$18:$W$18,'Matriz_Habilidades'!$D100:$W100)=0,"",SUMPRODUCT('Calc_Mix'!$D$18:$W$18,'Matriz_Habilidades'!$D100:$W100)/'Calc_Mix'!$X$18+ROW()*0.000001))</f>
        <v/>
      </c>
      <c r="V100" s="34">
        <f>IF(OR($B100="",$C100&lt;&gt;"Ativo",$D100&lt;&gt;'Calc_Mix'!$C$19,'Calc_Mix'!$X$19=0,COUNTIFS(Esc_Turno,'Calc_Mix'!$C$19,Esc_Circ,$B100)+COUNTIFS(Esc_Turno,'Calc_Mix'!$C$19,Esc_Instr,$B100)&gt;0),"",IF(SUMPRODUCT('Calc_Mix'!$D$19:$W$19,'Matriz_Habilidades'!$D100:$W100)=0,"",SUMPRODUCT('Calc_Mix'!$D$19:$W$19,'Matriz_Habilidades'!$D100:$W100)/'Calc_Mix'!$X$19+ROW()*0.000001))</f>
        <v/>
      </c>
      <c r="W100" s="34">
        <f>IF(OR($B100="",$C100&lt;&gt;"Ativo",$D100&lt;&gt;'Calc_Mix'!$C$20,'Calc_Mix'!$X$20=0,COUNTIFS(Esc_Turno,'Calc_Mix'!$C$20,Esc_Circ,$B100)+COUNTIFS(Esc_Turno,'Calc_Mix'!$C$20,Esc_Instr,$B100)&gt;0),"",IF(SUMPRODUCT('Calc_Mix'!$D$20:$W$20,'Matriz_Habilidades'!$D100:$W100)=0,"",SUMPRODUCT('Calc_Mix'!$D$20:$W$20,'Matriz_Habilidades'!$D100:$W100)/'Calc_Mix'!$X$20+ROW()*0.000001))</f>
        <v/>
      </c>
      <c r="X100" s="34">
        <f>IF(OR($B100="",$C100&lt;&gt;"Ativo",$D100&lt;&gt;'Calc_Mix'!$C$21,'Calc_Mix'!$X$21=0,COUNTIFS(Esc_Turno,'Calc_Mix'!$C$21,Esc_Circ,$B100)+COUNTIFS(Esc_Turno,'Calc_Mix'!$C$21,Esc_Instr,$B100)&gt;0),"",IF(SUMPRODUCT('Calc_Mix'!$D$21:$W$21,'Matriz_Habilidades'!$D100:$W100)=0,"",SUMPRODUCT('Calc_Mix'!$D$21:$W$21,'Matriz_Habilidades'!$D100:$W100)/'Calc_Mix'!$X$21+ROW()*0.000001))</f>
        <v/>
      </c>
      <c r="Y100" s="34">
        <f>IF(OR($B100="",$C100&lt;&gt;"Ativo",$D100&lt;&gt;'Calc_Mix'!$C$22,'Calc_Mix'!$X$22=0,COUNTIFS(Esc_Turno,'Calc_Mix'!$C$22,Esc_Circ,$B100)+COUNTIFS(Esc_Turno,'Calc_Mix'!$C$22,Esc_Instr,$B100)&gt;0),"",IF(SUMPRODUCT('Calc_Mix'!$D$22:$W$22,'Matriz_Habilidades'!$D100:$W100)=0,"",SUMPRODUCT('Calc_Mix'!$D$22:$W$22,'Matriz_Habilidades'!$D100:$W100)/'Calc_Mix'!$X$22+ROW()*0.000001))</f>
        <v/>
      </c>
      <c r="Z100" s="34">
        <f>IF(OR($B100="",$C100&lt;&gt;"Ativo",$D100&lt;&gt;'Calc_Mix'!$C$23,'Calc_Mix'!$X$23=0,COUNTIFS(Esc_Turno,'Calc_Mix'!$C$23,Esc_Circ,$B100)+COUNTIFS(Esc_Turno,'Calc_Mix'!$C$23,Esc_Instr,$B100)&gt;0),"",IF(SUMPRODUCT('Calc_Mix'!$D$23:$W$23,'Matriz_Habilidades'!$D100:$W100)=0,"",SUMPRODUCT('Calc_Mix'!$D$23:$W$23,'Matriz_Habilidades'!$D100:$W100)/'Calc_Mix'!$X$23+ROW()*0.000001))</f>
        <v/>
      </c>
      <c r="AA100" s="34">
        <f>IF(OR($B100="",$C100&lt;&gt;"Ativo",$D100&lt;&gt;'Calc_Mix'!$C$24,'Calc_Mix'!$X$24=0,COUNTIFS(Esc_Turno,'Calc_Mix'!$C$24,Esc_Circ,$B100)+COUNTIFS(Esc_Turno,'Calc_Mix'!$C$24,Esc_Instr,$B100)&gt;0),"",IF(SUMPRODUCT('Calc_Mix'!$D$24:$W$24,'Matriz_Habilidades'!$D100:$W100)=0,"",SUMPRODUCT('Calc_Mix'!$D$24:$W$24,'Matriz_Habilidades'!$D100:$W100)/'Calc_Mix'!$X$24+ROW()*0.000001))</f>
        <v/>
      </c>
      <c r="AB100" s="34">
        <f>IF(OR($B100="",$C100&lt;&gt;"Ativo",$D100&lt;&gt;'Calc_Mix'!$C$25,'Calc_Mix'!$X$25=0,COUNTIFS(Esc_Turno,'Calc_Mix'!$C$25,Esc_Circ,$B100)+COUNTIFS(Esc_Turno,'Calc_Mix'!$C$25,Esc_Instr,$B100)&gt;0),"",IF(SUMPRODUCT('Calc_Mix'!$D$25:$W$25,'Matriz_Habilidades'!$D100:$W100)=0,"",SUMPRODUCT('Calc_Mix'!$D$25:$W$25,'Matriz_Habilidades'!$D100:$W100)/'Calc_Mix'!$X$25+ROW()*0.000001))</f>
        <v/>
      </c>
      <c r="AC100" s="34">
        <f>IF(OR($B100="",$C100&lt;&gt;"Ativo",$D100&lt;&gt;'Calc_Mix'!$C$26,'Calc_Mix'!$X$26=0,COUNTIFS(Esc_Turno,'Calc_Mix'!$C$26,Esc_Circ,$B100)+COUNTIFS(Esc_Turno,'Calc_Mix'!$C$26,Esc_Instr,$B100)&gt;0),"",IF(SUMPRODUCT('Calc_Mix'!$D$26:$W$26,'Matriz_Habilidades'!$D100:$W100)=0,"",SUMPRODUCT('Calc_Mix'!$D$26:$W$26,'Matriz_Habilidades'!$D100:$W100)/'Calc_Mix'!$X$26+ROW()*0.000001))</f>
        <v/>
      </c>
      <c r="AD100" s="34">
        <f>IF(OR($B100="",$C100&lt;&gt;"Ativo",$D100&lt;&gt;'Calc_Mix'!$C$27,'Calc_Mix'!$X$27=0,COUNTIFS(Esc_Turno,'Calc_Mix'!$C$27,Esc_Circ,$B100)+COUNTIFS(Esc_Turno,'Calc_Mix'!$C$27,Esc_Instr,$B100)&gt;0),"",IF(SUMPRODUCT('Calc_Mix'!$D$27:$W$27,'Matriz_Habilidades'!$D100:$W100)=0,"",SUMPRODUCT('Calc_Mix'!$D$27:$W$27,'Matriz_Habilidades'!$D100:$W100)/'Calc_Mix'!$X$27+ROW()*0.000001))</f>
        <v/>
      </c>
      <c r="AE100" s="34">
        <f>IF(OR($B100="",$C100&lt;&gt;"Ativo",$D100&lt;&gt;'Calc_Mix'!$C$28,'Calc_Mix'!$X$28=0,COUNTIFS(Esc_Turno,'Calc_Mix'!$C$28,Esc_Circ,$B100)+COUNTIFS(Esc_Turno,'Calc_Mix'!$C$28,Esc_Instr,$B100)&gt;0),"",IF(SUMPRODUCT('Calc_Mix'!$D$28:$W$28,'Matriz_Habilidades'!$D100:$W100)=0,"",SUMPRODUCT('Calc_Mix'!$D$28:$W$28,'Matriz_Habilidades'!$D100:$W100)/'Calc_Mix'!$X$28+ROW()*0.000001))</f>
        <v/>
      </c>
      <c r="AF100" s="34">
        <f>IF(OR($B100="",$C100&lt;&gt;"Ativo",$D100&lt;&gt;'Calc_Mix'!$C$29,'Calc_Mix'!$X$29=0,COUNTIFS(Esc_Turno,'Calc_Mix'!$C$29,Esc_Circ,$B100)+COUNTIFS(Esc_Turno,'Calc_Mix'!$C$29,Esc_Instr,$B100)&gt;0),"",IF(SUMPRODUCT('Calc_Mix'!$D$29:$W$29,'Matriz_Habilidades'!$D100:$W100)=0,"",SUMPRODUCT('Calc_Mix'!$D$29:$W$29,'Matriz_Habilidades'!$D100:$W100)/'Calc_Mix'!$X$29+ROW()*0.000001))</f>
        <v/>
      </c>
      <c r="AG100" s="34">
        <f>IF(OR($B100="",$C100&lt;&gt;"Ativo",$D100&lt;&gt;'Calc_Mix'!$C$30,'Calc_Mix'!$X$30=0,COUNTIFS(Esc_Turno,'Calc_Mix'!$C$30,Esc_Circ,$B100)+COUNTIFS(Esc_Turno,'Calc_Mix'!$C$30,Esc_Instr,$B100)&gt;0),"",IF(SUMPRODUCT('Calc_Mix'!$D$30:$W$30,'Matriz_Habilidades'!$D100:$W100)=0,"",SUMPRODUCT('Calc_Mix'!$D$30:$W$30,'Matriz_Habilidades'!$D100:$W100)/'Calc_Mix'!$X$30+ROW()*0.000001))</f>
        <v/>
      </c>
      <c r="AH100" s="34">
        <f>IF(OR($B100="",$C100&lt;&gt;"Ativo",$D100&lt;&gt;'Calc_Mix'!$C$31,'Calc_Mix'!$X$31=0,COUNTIFS(Esc_Turno,'Calc_Mix'!$C$31,Esc_Circ,$B100)+COUNTIFS(Esc_Turno,'Calc_Mix'!$C$31,Esc_Instr,$B100)&gt;0),"",IF(SUMPRODUCT('Calc_Mix'!$D$31:$W$31,'Matriz_Habilidades'!$D100:$W100)=0,"",SUMPRODUCT('Calc_Mix'!$D$31:$W$31,'Matriz_Habilidades'!$D100:$W100)/'Calc_Mix'!$X$31+ROW()*0.000001))</f>
        <v/>
      </c>
      <c r="AI100" s="34">
        <f>IF(OR($B100="",$C100&lt;&gt;"Ativo",$D100&lt;&gt;'Calc_Mix'!$C$32,'Calc_Mix'!$X$32=0,COUNTIFS(Esc_Turno,'Calc_Mix'!$C$32,Esc_Circ,$B100)+COUNTIFS(Esc_Turno,'Calc_Mix'!$C$32,Esc_Instr,$B100)&gt;0),"",IF(SUMPRODUCT('Calc_Mix'!$D$32:$W$32,'Matriz_Habilidades'!$D100:$W100)=0,"",SUMPRODUCT('Calc_Mix'!$D$32:$W$32,'Matriz_Habilidades'!$D100:$W100)/'Calc_Mix'!$X$32+ROW()*0.000001))</f>
        <v/>
      </c>
      <c r="AJ100" s="34">
        <f>IF(OR($B100="",$C100&lt;&gt;"Ativo",$D100&lt;&gt;'Calc_Mix'!$C$33,'Calc_Mix'!$X$33=0,COUNTIFS(Esc_Turno,'Calc_Mix'!$C$33,Esc_Circ,$B100)+COUNTIFS(Esc_Turno,'Calc_Mix'!$C$33,Esc_Instr,$B100)&gt;0),"",IF(SUMPRODUCT('Calc_Mix'!$D$33:$W$33,'Matriz_Habilidades'!$D100:$W100)=0,"",SUMPRODUCT('Calc_Mix'!$D$33:$W$33,'Matriz_Habilidades'!$D100:$W100)/'Calc_Mix'!$X$33+ROW()*0.000001))</f>
        <v/>
      </c>
      <c r="AK100" s="34">
        <f>IF(OR($B100="",$C100&lt;&gt;"Ativo",$D100&lt;&gt;'Calc_Mix'!$C$34,'Calc_Mix'!$X$34=0,COUNTIFS(Esc_Turno,'Calc_Mix'!$C$34,Esc_Circ,$B100)+COUNTIFS(Esc_Turno,'Calc_Mix'!$C$34,Esc_Instr,$B100)&gt;0),"",IF(SUMPRODUCT('Calc_Mix'!$D$34:$W$34,'Matriz_Habilidades'!$D100:$W100)=0,"",SUMPRODUCT('Calc_Mix'!$D$34:$W$34,'Matriz_Habilidades'!$D100:$W100)/'Calc_Mix'!$X$34+ROW()*0.000001))</f>
        <v/>
      </c>
      <c r="AL100" s="34">
        <f>IF(OR($B100="",$C100&lt;&gt;"Ativo",$D100&lt;&gt;'Calc_Mix'!$C$35,'Calc_Mix'!$X$35=0,COUNTIFS(Esc_Turno,'Calc_Mix'!$C$35,Esc_Circ,$B100)+COUNTIFS(Esc_Turno,'Calc_Mix'!$C$35,Esc_Instr,$B100)&gt;0),"",IF(SUMPRODUCT('Calc_Mix'!$D$35:$W$35,'Matriz_Habilidades'!$D100:$W100)=0,"",SUMPRODUCT('Calc_Mix'!$D$35:$W$35,'Matriz_Habilidades'!$D100:$W100)/'Calc_Mix'!$X$35+ROW()*0.000001))</f>
        <v/>
      </c>
      <c r="AM100" s="34">
        <f>IF(OR($B100="",$C100&lt;&gt;"Ativo",$D100&lt;&gt;'Calc_Mix'!$C$36,'Calc_Mix'!$X$36=0,COUNTIFS(Esc_Turno,'Calc_Mix'!$C$36,Esc_Circ,$B100)+COUNTIFS(Esc_Turno,'Calc_Mix'!$C$36,Esc_Instr,$B100)&gt;0),"",IF(SUMPRODUCT('Calc_Mix'!$D$36:$W$36,'Matriz_Habilidades'!$D100:$W100)=0,"",SUMPRODUCT('Calc_Mix'!$D$36:$W$36,'Matriz_Habilidades'!$D100:$W100)/'Calc_Mix'!$X$36+ROW()*0.000001))</f>
        <v/>
      </c>
      <c r="AN100" s="34">
        <f>IF(OR($B100="",$C100&lt;&gt;"Ativo",$D100&lt;&gt;'Calc_Mix'!$C$37,'Calc_Mix'!$X$37=0,COUNTIFS(Esc_Turno,'Calc_Mix'!$C$37,Esc_Circ,$B100)+COUNTIFS(Esc_Turno,'Calc_Mix'!$C$37,Esc_Instr,$B100)&gt;0),"",IF(SUMPRODUCT('Calc_Mix'!$D$37:$W$37,'Matriz_Habilidades'!$D100:$W100)=0,"",SUMPRODUCT('Calc_Mix'!$D$37:$W$37,'Matriz_Habilidades'!$D100:$W100)/'Calc_Mix'!$X$37+ROW()*0.000001))</f>
        <v/>
      </c>
    </row>
    <row r="101">
      <c r="A101" s="27">
        <f>IF('Matriz_Habilidades'!A101="","",'Matriz_Habilidades'!A101)</f>
        <v/>
      </c>
      <c r="B101" s="28">
        <f>IF('Matriz_Habilidades'!B101="","",'Matriz_Habilidades'!B101)</f>
        <v/>
      </c>
      <c r="C101" s="27">
        <f>IF($A101="","",IFERROR(INDEX(Equipe_Status,MATCH($B101,Equipe_Nome,0)),"?"))</f>
        <v/>
      </c>
      <c r="D101" s="27">
        <f>IF($A101="","",IFERROR(INDEX(Equipe_Turno,MATCH($B101,Equipe_Nome,0)),"?"))</f>
        <v/>
      </c>
      <c r="E101" s="34">
        <f>IF(OR($B101="",$C101&lt;&gt;"Ativo",$D101&lt;&gt;'Calc_Mix'!$C$2,'Calc_Mix'!$X$2=0,COUNTIFS(Esc_Turno,'Calc_Mix'!$C$2,Esc_Circ,$B101)+COUNTIFS(Esc_Turno,'Calc_Mix'!$C$2,Esc_Instr,$B101)&gt;0),"",IF(SUMPRODUCT('Calc_Mix'!$D$2:$W$2,'Matriz_Habilidades'!$D101:$W101)=0,"",SUMPRODUCT('Calc_Mix'!$D$2:$W$2,'Matriz_Habilidades'!$D101:$W101)/'Calc_Mix'!$X$2+ROW()*0.000001))</f>
        <v/>
      </c>
      <c r="F101" s="34">
        <f>IF(OR($B101="",$C101&lt;&gt;"Ativo",$D101&lt;&gt;'Calc_Mix'!$C$3,'Calc_Mix'!$X$3=0,COUNTIFS(Esc_Turno,'Calc_Mix'!$C$3,Esc_Circ,$B101)+COUNTIFS(Esc_Turno,'Calc_Mix'!$C$3,Esc_Instr,$B101)&gt;0),"",IF(SUMPRODUCT('Calc_Mix'!$D$3:$W$3,'Matriz_Habilidades'!$D101:$W101)=0,"",SUMPRODUCT('Calc_Mix'!$D$3:$W$3,'Matriz_Habilidades'!$D101:$W101)/'Calc_Mix'!$X$3+ROW()*0.000001))</f>
        <v/>
      </c>
      <c r="G101" s="34">
        <f>IF(OR($B101="",$C101&lt;&gt;"Ativo",$D101&lt;&gt;'Calc_Mix'!$C$4,'Calc_Mix'!$X$4=0,COUNTIFS(Esc_Turno,'Calc_Mix'!$C$4,Esc_Circ,$B101)+COUNTIFS(Esc_Turno,'Calc_Mix'!$C$4,Esc_Instr,$B101)&gt;0),"",IF(SUMPRODUCT('Calc_Mix'!$D$4:$W$4,'Matriz_Habilidades'!$D101:$W101)=0,"",SUMPRODUCT('Calc_Mix'!$D$4:$W$4,'Matriz_Habilidades'!$D101:$W101)/'Calc_Mix'!$X$4+ROW()*0.000001))</f>
        <v/>
      </c>
      <c r="H101" s="34">
        <f>IF(OR($B101="",$C101&lt;&gt;"Ativo",$D101&lt;&gt;'Calc_Mix'!$C$5,'Calc_Mix'!$X$5=0,COUNTIFS(Esc_Turno,'Calc_Mix'!$C$5,Esc_Circ,$B101)+COUNTIFS(Esc_Turno,'Calc_Mix'!$C$5,Esc_Instr,$B101)&gt;0),"",IF(SUMPRODUCT('Calc_Mix'!$D$5:$W$5,'Matriz_Habilidades'!$D101:$W101)=0,"",SUMPRODUCT('Calc_Mix'!$D$5:$W$5,'Matriz_Habilidades'!$D101:$W101)/'Calc_Mix'!$X$5+ROW()*0.000001))</f>
        <v/>
      </c>
      <c r="I101" s="34">
        <f>IF(OR($B101="",$C101&lt;&gt;"Ativo",$D101&lt;&gt;'Calc_Mix'!$C$6,'Calc_Mix'!$X$6=0,COUNTIFS(Esc_Turno,'Calc_Mix'!$C$6,Esc_Circ,$B101)+COUNTIFS(Esc_Turno,'Calc_Mix'!$C$6,Esc_Instr,$B101)&gt;0),"",IF(SUMPRODUCT('Calc_Mix'!$D$6:$W$6,'Matriz_Habilidades'!$D101:$W101)=0,"",SUMPRODUCT('Calc_Mix'!$D$6:$W$6,'Matriz_Habilidades'!$D101:$W101)/'Calc_Mix'!$X$6+ROW()*0.000001))</f>
        <v/>
      </c>
      <c r="J101" s="34">
        <f>IF(OR($B101="",$C101&lt;&gt;"Ativo",$D101&lt;&gt;'Calc_Mix'!$C$7,'Calc_Mix'!$X$7=0,COUNTIFS(Esc_Turno,'Calc_Mix'!$C$7,Esc_Circ,$B101)+COUNTIFS(Esc_Turno,'Calc_Mix'!$C$7,Esc_Instr,$B101)&gt;0),"",IF(SUMPRODUCT('Calc_Mix'!$D$7:$W$7,'Matriz_Habilidades'!$D101:$W101)=0,"",SUMPRODUCT('Calc_Mix'!$D$7:$W$7,'Matriz_Habilidades'!$D101:$W101)/'Calc_Mix'!$X$7+ROW()*0.000001))</f>
        <v/>
      </c>
      <c r="K101" s="34">
        <f>IF(OR($B101="",$C101&lt;&gt;"Ativo",$D101&lt;&gt;'Calc_Mix'!$C$8,'Calc_Mix'!$X$8=0,COUNTIFS(Esc_Turno,'Calc_Mix'!$C$8,Esc_Circ,$B101)+COUNTIFS(Esc_Turno,'Calc_Mix'!$C$8,Esc_Instr,$B101)&gt;0),"",IF(SUMPRODUCT('Calc_Mix'!$D$8:$W$8,'Matriz_Habilidades'!$D101:$W101)=0,"",SUMPRODUCT('Calc_Mix'!$D$8:$W$8,'Matriz_Habilidades'!$D101:$W101)/'Calc_Mix'!$X$8+ROW()*0.000001))</f>
        <v/>
      </c>
      <c r="L101" s="34">
        <f>IF(OR($B101="",$C101&lt;&gt;"Ativo",$D101&lt;&gt;'Calc_Mix'!$C$9,'Calc_Mix'!$X$9=0,COUNTIFS(Esc_Turno,'Calc_Mix'!$C$9,Esc_Circ,$B101)+COUNTIFS(Esc_Turno,'Calc_Mix'!$C$9,Esc_Instr,$B101)&gt;0),"",IF(SUMPRODUCT('Calc_Mix'!$D$9:$W$9,'Matriz_Habilidades'!$D101:$W101)=0,"",SUMPRODUCT('Calc_Mix'!$D$9:$W$9,'Matriz_Habilidades'!$D101:$W101)/'Calc_Mix'!$X$9+ROW()*0.000001))</f>
        <v/>
      </c>
      <c r="M101" s="34">
        <f>IF(OR($B101="",$C101&lt;&gt;"Ativo",$D101&lt;&gt;'Calc_Mix'!$C$10,'Calc_Mix'!$X$10=0,COUNTIFS(Esc_Turno,'Calc_Mix'!$C$10,Esc_Circ,$B101)+COUNTIFS(Esc_Turno,'Calc_Mix'!$C$10,Esc_Instr,$B101)&gt;0),"",IF(SUMPRODUCT('Calc_Mix'!$D$10:$W$10,'Matriz_Habilidades'!$D101:$W101)=0,"",SUMPRODUCT('Calc_Mix'!$D$10:$W$10,'Matriz_Habilidades'!$D101:$W101)/'Calc_Mix'!$X$10+ROW()*0.000001))</f>
        <v/>
      </c>
      <c r="N101" s="34">
        <f>IF(OR($B101="",$C101&lt;&gt;"Ativo",$D101&lt;&gt;'Calc_Mix'!$C$11,'Calc_Mix'!$X$11=0,COUNTIFS(Esc_Turno,'Calc_Mix'!$C$11,Esc_Circ,$B101)+COUNTIFS(Esc_Turno,'Calc_Mix'!$C$11,Esc_Instr,$B101)&gt;0),"",IF(SUMPRODUCT('Calc_Mix'!$D$11:$W$11,'Matriz_Habilidades'!$D101:$W101)=0,"",SUMPRODUCT('Calc_Mix'!$D$11:$W$11,'Matriz_Habilidades'!$D101:$W101)/'Calc_Mix'!$X$11+ROW()*0.000001))</f>
        <v/>
      </c>
      <c r="O101" s="34">
        <f>IF(OR($B101="",$C101&lt;&gt;"Ativo",$D101&lt;&gt;'Calc_Mix'!$C$12,'Calc_Mix'!$X$12=0,COUNTIFS(Esc_Turno,'Calc_Mix'!$C$12,Esc_Circ,$B101)+COUNTIFS(Esc_Turno,'Calc_Mix'!$C$12,Esc_Instr,$B101)&gt;0),"",IF(SUMPRODUCT('Calc_Mix'!$D$12:$W$12,'Matriz_Habilidades'!$D101:$W101)=0,"",SUMPRODUCT('Calc_Mix'!$D$12:$W$12,'Matriz_Habilidades'!$D101:$W101)/'Calc_Mix'!$X$12+ROW()*0.000001))</f>
        <v/>
      </c>
      <c r="P101" s="34">
        <f>IF(OR($B101="",$C101&lt;&gt;"Ativo",$D101&lt;&gt;'Calc_Mix'!$C$13,'Calc_Mix'!$X$13=0,COUNTIFS(Esc_Turno,'Calc_Mix'!$C$13,Esc_Circ,$B101)+COUNTIFS(Esc_Turno,'Calc_Mix'!$C$13,Esc_Instr,$B101)&gt;0),"",IF(SUMPRODUCT('Calc_Mix'!$D$13:$W$13,'Matriz_Habilidades'!$D101:$W101)=0,"",SUMPRODUCT('Calc_Mix'!$D$13:$W$13,'Matriz_Habilidades'!$D101:$W101)/'Calc_Mix'!$X$13+ROW()*0.000001))</f>
        <v/>
      </c>
      <c r="Q101" s="34">
        <f>IF(OR($B101="",$C101&lt;&gt;"Ativo",$D101&lt;&gt;'Calc_Mix'!$C$14,'Calc_Mix'!$X$14=0,COUNTIFS(Esc_Turno,'Calc_Mix'!$C$14,Esc_Circ,$B101)+COUNTIFS(Esc_Turno,'Calc_Mix'!$C$14,Esc_Instr,$B101)&gt;0),"",IF(SUMPRODUCT('Calc_Mix'!$D$14:$W$14,'Matriz_Habilidades'!$D101:$W101)=0,"",SUMPRODUCT('Calc_Mix'!$D$14:$W$14,'Matriz_Habilidades'!$D101:$W101)/'Calc_Mix'!$X$14+ROW()*0.000001))</f>
        <v/>
      </c>
      <c r="R101" s="34">
        <f>IF(OR($B101="",$C101&lt;&gt;"Ativo",$D101&lt;&gt;'Calc_Mix'!$C$15,'Calc_Mix'!$X$15=0,COUNTIFS(Esc_Turno,'Calc_Mix'!$C$15,Esc_Circ,$B101)+COUNTIFS(Esc_Turno,'Calc_Mix'!$C$15,Esc_Instr,$B101)&gt;0),"",IF(SUMPRODUCT('Calc_Mix'!$D$15:$W$15,'Matriz_Habilidades'!$D101:$W101)=0,"",SUMPRODUCT('Calc_Mix'!$D$15:$W$15,'Matriz_Habilidades'!$D101:$W101)/'Calc_Mix'!$X$15+ROW()*0.000001))</f>
        <v/>
      </c>
      <c r="S101" s="34">
        <f>IF(OR($B101="",$C101&lt;&gt;"Ativo",$D101&lt;&gt;'Calc_Mix'!$C$16,'Calc_Mix'!$X$16=0,COUNTIFS(Esc_Turno,'Calc_Mix'!$C$16,Esc_Circ,$B101)+COUNTIFS(Esc_Turno,'Calc_Mix'!$C$16,Esc_Instr,$B101)&gt;0),"",IF(SUMPRODUCT('Calc_Mix'!$D$16:$W$16,'Matriz_Habilidades'!$D101:$W101)=0,"",SUMPRODUCT('Calc_Mix'!$D$16:$W$16,'Matriz_Habilidades'!$D101:$W101)/'Calc_Mix'!$X$16+ROW()*0.000001))</f>
        <v/>
      </c>
      <c r="T101" s="34">
        <f>IF(OR($B101="",$C101&lt;&gt;"Ativo",$D101&lt;&gt;'Calc_Mix'!$C$17,'Calc_Mix'!$X$17=0,COUNTIFS(Esc_Turno,'Calc_Mix'!$C$17,Esc_Circ,$B101)+COUNTIFS(Esc_Turno,'Calc_Mix'!$C$17,Esc_Instr,$B101)&gt;0),"",IF(SUMPRODUCT('Calc_Mix'!$D$17:$W$17,'Matriz_Habilidades'!$D101:$W101)=0,"",SUMPRODUCT('Calc_Mix'!$D$17:$W$17,'Matriz_Habilidades'!$D101:$W101)/'Calc_Mix'!$X$17+ROW()*0.000001))</f>
        <v/>
      </c>
      <c r="U101" s="34">
        <f>IF(OR($B101="",$C101&lt;&gt;"Ativo",$D101&lt;&gt;'Calc_Mix'!$C$18,'Calc_Mix'!$X$18=0,COUNTIFS(Esc_Turno,'Calc_Mix'!$C$18,Esc_Circ,$B101)+COUNTIFS(Esc_Turno,'Calc_Mix'!$C$18,Esc_Instr,$B101)&gt;0),"",IF(SUMPRODUCT('Calc_Mix'!$D$18:$W$18,'Matriz_Habilidades'!$D101:$W101)=0,"",SUMPRODUCT('Calc_Mix'!$D$18:$W$18,'Matriz_Habilidades'!$D101:$W101)/'Calc_Mix'!$X$18+ROW()*0.000001))</f>
        <v/>
      </c>
      <c r="V101" s="34">
        <f>IF(OR($B101="",$C101&lt;&gt;"Ativo",$D101&lt;&gt;'Calc_Mix'!$C$19,'Calc_Mix'!$X$19=0,COUNTIFS(Esc_Turno,'Calc_Mix'!$C$19,Esc_Circ,$B101)+COUNTIFS(Esc_Turno,'Calc_Mix'!$C$19,Esc_Instr,$B101)&gt;0),"",IF(SUMPRODUCT('Calc_Mix'!$D$19:$W$19,'Matriz_Habilidades'!$D101:$W101)=0,"",SUMPRODUCT('Calc_Mix'!$D$19:$W$19,'Matriz_Habilidades'!$D101:$W101)/'Calc_Mix'!$X$19+ROW()*0.000001))</f>
        <v/>
      </c>
      <c r="W101" s="34">
        <f>IF(OR($B101="",$C101&lt;&gt;"Ativo",$D101&lt;&gt;'Calc_Mix'!$C$20,'Calc_Mix'!$X$20=0,COUNTIFS(Esc_Turno,'Calc_Mix'!$C$20,Esc_Circ,$B101)+COUNTIFS(Esc_Turno,'Calc_Mix'!$C$20,Esc_Instr,$B101)&gt;0),"",IF(SUMPRODUCT('Calc_Mix'!$D$20:$W$20,'Matriz_Habilidades'!$D101:$W101)=0,"",SUMPRODUCT('Calc_Mix'!$D$20:$W$20,'Matriz_Habilidades'!$D101:$W101)/'Calc_Mix'!$X$20+ROW()*0.000001))</f>
        <v/>
      </c>
      <c r="X101" s="34">
        <f>IF(OR($B101="",$C101&lt;&gt;"Ativo",$D101&lt;&gt;'Calc_Mix'!$C$21,'Calc_Mix'!$X$21=0,COUNTIFS(Esc_Turno,'Calc_Mix'!$C$21,Esc_Circ,$B101)+COUNTIFS(Esc_Turno,'Calc_Mix'!$C$21,Esc_Instr,$B101)&gt;0),"",IF(SUMPRODUCT('Calc_Mix'!$D$21:$W$21,'Matriz_Habilidades'!$D101:$W101)=0,"",SUMPRODUCT('Calc_Mix'!$D$21:$W$21,'Matriz_Habilidades'!$D101:$W101)/'Calc_Mix'!$X$21+ROW()*0.000001))</f>
        <v/>
      </c>
      <c r="Y101" s="34">
        <f>IF(OR($B101="",$C101&lt;&gt;"Ativo",$D101&lt;&gt;'Calc_Mix'!$C$22,'Calc_Mix'!$X$22=0,COUNTIFS(Esc_Turno,'Calc_Mix'!$C$22,Esc_Circ,$B101)+COUNTIFS(Esc_Turno,'Calc_Mix'!$C$22,Esc_Instr,$B101)&gt;0),"",IF(SUMPRODUCT('Calc_Mix'!$D$22:$W$22,'Matriz_Habilidades'!$D101:$W101)=0,"",SUMPRODUCT('Calc_Mix'!$D$22:$W$22,'Matriz_Habilidades'!$D101:$W101)/'Calc_Mix'!$X$22+ROW()*0.000001))</f>
        <v/>
      </c>
      <c r="Z101" s="34">
        <f>IF(OR($B101="",$C101&lt;&gt;"Ativo",$D101&lt;&gt;'Calc_Mix'!$C$23,'Calc_Mix'!$X$23=0,COUNTIFS(Esc_Turno,'Calc_Mix'!$C$23,Esc_Circ,$B101)+COUNTIFS(Esc_Turno,'Calc_Mix'!$C$23,Esc_Instr,$B101)&gt;0),"",IF(SUMPRODUCT('Calc_Mix'!$D$23:$W$23,'Matriz_Habilidades'!$D101:$W101)=0,"",SUMPRODUCT('Calc_Mix'!$D$23:$W$23,'Matriz_Habilidades'!$D101:$W101)/'Calc_Mix'!$X$23+ROW()*0.000001))</f>
        <v/>
      </c>
      <c r="AA101" s="34">
        <f>IF(OR($B101="",$C101&lt;&gt;"Ativo",$D101&lt;&gt;'Calc_Mix'!$C$24,'Calc_Mix'!$X$24=0,COUNTIFS(Esc_Turno,'Calc_Mix'!$C$24,Esc_Circ,$B101)+COUNTIFS(Esc_Turno,'Calc_Mix'!$C$24,Esc_Instr,$B101)&gt;0),"",IF(SUMPRODUCT('Calc_Mix'!$D$24:$W$24,'Matriz_Habilidades'!$D101:$W101)=0,"",SUMPRODUCT('Calc_Mix'!$D$24:$W$24,'Matriz_Habilidades'!$D101:$W101)/'Calc_Mix'!$X$24+ROW()*0.000001))</f>
        <v/>
      </c>
      <c r="AB101" s="34">
        <f>IF(OR($B101="",$C101&lt;&gt;"Ativo",$D101&lt;&gt;'Calc_Mix'!$C$25,'Calc_Mix'!$X$25=0,COUNTIFS(Esc_Turno,'Calc_Mix'!$C$25,Esc_Circ,$B101)+COUNTIFS(Esc_Turno,'Calc_Mix'!$C$25,Esc_Instr,$B101)&gt;0),"",IF(SUMPRODUCT('Calc_Mix'!$D$25:$W$25,'Matriz_Habilidades'!$D101:$W101)=0,"",SUMPRODUCT('Calc_Mix'!$D$25:$W$25,'Matriz_Habilidades'!$D101:$W101)/'Calc_Mix'!$X$25+ROW()*0.000001))</f>
        <v/>
      </c>
      <c r="AC101" s="34">
        <f>IF(OR($B101="",$C101&lt;&gt;"Ativo",$D101&lt;&gt;'Calc_Mix'!$C$26,'Calc_Mix'!$X$26=0,COUNTIFS(Esc_Turno,'Calc_Mix'!$C$26,Esc_Circ,$B101)+COUNTIFS(Esc_Turno,'Calc_Mix'!$C$26,Esc_Instr,$B101)&gt;0),"",IF(SUMPRODUCT('Calc_Mix'!$D$26:$W$26,'Matriz_Habilidades'!$D101:$W101)=0,"",SUMPRODUCT('Calc_Mix'!$D$26:$W$26,'Matriz_Habilidades'!$D101:$W101)/'Calc_Mix'!$X$26+ROW()*0.000001))</f>
        <v/>
      </c>
      <c r="AD101" s="34">
        <f>IF(OR($B101="",$C101&lt;&gt;"Ativo",$D101&lt;&gt;'Calc_Mix'!$C$27,'Calc_Mix'!$X$27=0,COUNTIFS(Esc_Turno,'Calc_Mix'!$C$27,Esc_Circ,$B101)+COUNTIFS(Esc_Turno,'Calc_Mix'!$C$27,Esc_Instr,$B101)&gt;0),"",IF(SUMPRODUCT('Calc_Mix'!$D$27:$W$27,'Matriz_Habilidades'!$D101:$W101)=0,"",SUMPRODUCT('Calc_Mix'!$D$27:$W$27,'Matriz_Habilidades'!$D101:$W101)/'Calc_Mix'!$X$27+ROW()*0.000001))</f>
        <v/>
      </c>
      <c r="AE101" s="34">
        <f>IF(OR($B101="",$C101&lt;&gt;"Ativo",$D101&lt;&gt;'Calc_Mix'!$C$28,'Calc_Mix'!$X$28=0,COUNTIFS(Esc_Turno,'Calc_Mix'!$C$28,Esc_Circ,$B101)+COUNTIFS(Esc_Turno,'Calc_Mix'!$C$28,Esc_Instr,$B101)&gt;0),"",IF(SUMPRODUCT('Calc_Mix'!$D$28:$W$28,'Matriz_Habilidades'!$D101:$W101)=0,"",SUMPRODUCT('Calc_Mix'!$D$28:$W$28,'Matriz_Habilidades'!$D101:$W101)/'Calc_Mix'!$X$28+ROW()*0.000001))</f>
        <v/>
      </c>
      <c r="AF101" s="34">
        <f>IF(OR($B101="",$C101&lt;&gt;"Ativo",$D101&lt;&gt;'Calc_Mix'!$C$29,'Calc_Mix'!$X$29=0,COUNTIFS(Esc_Turno,'Calc_Mix'!$C$29,Esc_Circ,$B101)+COUNTIFS(Esc_Turno,'Calc_Mix'!$C$29,Esc_Instr,$B101)&gt;0),"",IF(SUMPRODUCT('Calc_Mix'!$D$29:$W$29,'Matriz_Habilidades'!$D101:$W101)=0,"",SUMPRODUCT('Calc_Mix'!$D$29:$W$29,'Matriz_Habilidades'!$D101:$W101)/'Calc_Mix'!$X$29+ROW()*0.000001))</f>
        <v/>
      </c>
      <c r="AG101" s="34">
        <f>IF(OR($B101="",$C101&lt;&gt;"Ativo",$D101&lt;&gt;'Calc_Mix'!$C$30,'Calc_Mix'!$X$30=0,COUNTIFS(Esc_Turno,'Calc_Mix'!$C$30,Esc_Circ,$B101)+COUNTIFS(Esc_Turno,'Calc_Mix'!$C$30,Esc_Instr,$B101)&gt;0),"",IF(SUMPRODUCT('Calc_Mix'!$D$30:$W$30,'Matriz_Habilidades'!$D101:$W101)=0,"",SUMPRODUCT('Calc_Mix'!$D$30:$W$30,'Matriz_Habilidades'!$D101:$W101)/'Calc_Mix'!$X$30+ROW()*0.000001))</f>
        <v/>
      </c>
      <c r="AH101" s="34">
        <f>IF(OR($B101="",$C101&lt;&gt;"Ativo",$D101&lt;&gt;'Calc_Mix'!$C$31,'Calc_Mix'!$X$31=0,COUNTIFS(Esc_Turno,'Calc_Mix'!$C$31,Esc_Circ,$B101)+COUNTIFS(Esc_Turno,'Calc_Mix'!$C$31,Esc_Instr,$B101)&gt;0),"",IF(SUMPRODUCT('Calc_Mix'!$D$31:$W$31,'Matriz_Habilidades'!$D101:$W101)=0,"",SUMPRODUCT('Calc_Mix'!$D$31:$W$31,'Matriz_Habilidades'!$D101:$W101)/'Calc_Mix'!$X$31+ROW()*0.000001))</f>
        <v/>
      </c>
      <c r="AI101" s="34">
        <f>IF(OR($B101="",$C101&lt;&gt;"Ativo",$D101&lt;&gt;'Calc_Mix'!$C$32,'Calc_Mix'!$X$32=0,COUNTIFS(Esc_Turno,'Calc_Mix'!$C$32,Esc_Circ,$B101)+COUNTIFS(Esc_Turno,'Calc_Mix'!$C$32,Esc_Instr,$B101)&gt;0),"",IF(SUMPRODUCT('Calc_Mix'!$D$32:$W$32,'Matriz_Habilidades'!$D101:$W101)=0,"",SUMPRODUCT('Calc_Mix'!$D$32:$W$32,'Matriz_Habilidades'!$D101:$W101)/'Calc_Mix'!$X$32+ROW()*0.000001))</f>
        <v/>
      </c>
      <c r="AJ101" s="34">
        <f>IF(OR($B101="",$C101&lt;&gt;"Ativo",$D101&lt;&gt;'Calc_Mix'!$C$33,'Calc_Mix'!$X$33=0,COUNTIFS(Esc_Turno,'Calc_Mix'!$C$33,Esc_Circ,$B101)+COUNTIFS(Esc_Turno,'Calc_Mix'!$C$33,Esc_Instr,$B101)&gt;0),"",IF(SUMPRODUCT('Calc_Mix'!$D$33:$W$33,'Matriz_Habilidades'!$D101:$W101)=0,"",SUMPRODUCT('Calc_Mix'!$D$33:$W$33,'Matriz_Habilidades'!$D101:$W101)/'Calc_Mix'!$X$33+ROW()*0.000001))</f>
        <v/>
      </c>
      <c r="AK101" s="34">
        <f>IF(OR($B101="",$C101&lt;&gt;"Ativo",$D101&lt;&gt;'Calc_Mix'!$C$34,'Calc_Mix'!$X$34=0,COUNTIFS(Esc_Turno,'Calc_Mix'!$C$34,Esc_Circ,$B101)+COUNTIFS(Esc_Turno,'Calc_Mix'!$C$34,Esc_Instr,$B101)&gt;0),"",IF(SUMPRODUCT('Calc_Mix'!$D$34:$W$34,'Matriz_Habilidades'!$D101:$W101)=0,"",SUMPRODUCT('Calc_Mix'!$D$34:$W$34,'Matriz_Habilidades'!$D101:$W101)/'Calc_Mix'!$X$34+ROW()*0.000001))</f>
        <v/>
      </c>
      <c r="AL101" s="34">
        <f>IF(OR($B101="",$C101&lt;&gt;"Ativo",$D101&lt;&gt;'Calc_Mix'!$C$35,'Calc_Mix'!$X$35=0,COUNTIFS(Esc_Turno,'Calc_Mix'!$C$35,Esc_Circ,$B101)+COUNTIFS(Esc_Turno,'Calc_Mix'!$C$35,Esc_Instr,$B101)&gt;0),"",IF(SUMPRODUCT('Calc_Mix'!$D$35:$W$35,'Matriz_Habilidades'!$D101:$W101)=0,"",SUMPRODUCT('Calc_Mix'!$D$35:$W$35,'Matriz_Habilidades'!$D101:$W101)/'Calc_Mix'!$X$35+ROW()*0.000001))</f>
        <v/>
      </c>
      <c r="AM101" s="34">
        <f>IF(OR($B101="",$C101&lt;&gt;"Ativo",$D101&lt;&gt;'Calc_Mix'!$C$36,'Calc_Mix'!$X$36=0,COUNTIFS(Esc_Turno,'Calc_Mix'!$C$36,Esc_Circ,$B101)+COUNTIFS(Esc_Turno,'Calc_Mix'!$C$36,Esc_Instr,$B101)&gt;0),"",IF(SUMPRODUCT('Calc_Mix'!$D$36:$W$36,'Matriz_Habilidades'!$D101:$W101)=0,"",SUMPRODUCT('Calc_Mix'!$D$36:$W$36,'Matriz_Habilidades'!$D101:$W101)/'Calc_Mix'!$X$36+ROW()*0.000001))</f>
        <v/>
      </c>
      <c r="AN101" s="34">
        <f>IF(OR($B101="",$C101&lt;&gt;"Ativo",$D101&lt;&gt;'Calc_Mix'!$C$37,'Calc_Mix'!$X$37=0,COUNTIFS(Esc_Turno,'Calc_Mix'!$C$37,Esc_Circ,$B101)+COUNTIFS(Esc_Turno,'Calc_Mix'!$C$37,Esc_Instr,$B101)&gt;0),"",IF(SUMPRODUCT('Calc_Mix'!$D$37:$W$37,'Matriz_Habilidades'!$D101:$W101)=0,"",SUMPRODUCT('Calc_Mix'!$D$37:$W$37,'Matriz_Habilidades'!$D101:$W101)/'Calc_Mix'!$X$37+ROW()*0.000001))</f>
        <v/>
      </c>
    </row>
    <row r="102">
      <c r="A102" s="27">
        <f>IF('Matriz_Habilidades'!A102="","",'Matriz_Habilidades'!A102)</f>
        <v/>
      </c>
      <c r="B102" s="28">
        <f>IF('Matriz_Habilidades'!B102="","",'Matriz_Habilidades'!B102)</f>
        <v/>
      </c>
      <c r="C102" s="27">
        <f>IF($A102="","",IFERROR(INDEX(Equipe_Status,MATCH($B102,Equipe_Nome,0)),"?"))</f>
        <v/>
      </c>
      <c r="D102" s="27">
        <f>IF($A102="","",IFERROR(INDEX(Equipe_Turno,MATCH($B102,Equipe_Nome,0)),"?"))</f>
        <v/>
      </c>
      <c r="E102" s="34">
        <f>IF(OR($B102="",$C102&lt;&gt;"Ativo",$D102&lt;&gt;'Calc_Mix'!$C$2,'Calc_Mix'!$X$2=0,COUNTIFS(Esc_Turno,'Calc_Mix'!$C$2,Esc_Circ,$B102)+COUNTIFS(Esc_Turno,'Calc_Mix'!$C$2,Esc_Instr,$B102)&gt;0),"",IF(SUMPRODUCT('Calc_Mix'!$D$2:$W$2,'Matriz_Habilidades'!$D102:$W102)=0,"",SUMPRODUCT('Calc_Mix'!$D$2:$W$2,'Matriz_Habilidades'!$D102:$W102)/'Calc_Mix'!$X$2+ROW()*0.000001))</f>
        <v/>
      </c>
      <c r="F102" s="34">
        <f>IF(OR($B102="",$C102&lt;&gt;"Ativo",$D102&lt;&gt;'Calc_Mix'!$C$3,'Calc_Mix'!$X$3=0,COUNTIFS(Esc_Turno,'Calc_Mix'!$C$3,Esc_Circ,$B102)+COUNTIFS(Esc_Turno,'Calc_Mix'!$C$3,Esc_Instr,$B102)&gt;0),"",IF(SUMPRODUCT('Calc_Mix'!$D$3:$W$3,'Matriz_Habilidades'!$D102:$W102)=0,"",SUMPRODUCT('Calc_Mix'!$D$3:$W$3,'Matriz_Habilidades'!$D102:$W102)/'Calc_Mix'!$X$3+ROW()*0.000001))</f>
        <v/>
      </c>
      <c r="G102" s="34">
        <f>IF(OR($B102="",$C102&lt;&gt;"Ativo",$D102&lt;&gt;'Calc_Mix'!$C$4,'Calc_Mix'!$X$4=0,COUNTIFS(Esc_Turno,'Calc_Mix'!$C$4,Esc_Circ,$B102)+COUNTIFS(Esc_Turno,'Calc_Mix'!$C$4,Esc_Instr,$B102)&gt;0),"",IF(SUMPRODUCT('Calc_Mix'!$D$4:$W$4,'Matriz_Habilidades'!$D102:$W102)=0,"",SUMPRODUCT('Calc_Mix'!$D$4:$W$4,'Matriz_Habilidades'!$D102:$W102)/'Calc_Mix'!$X$4+ROW()*0.000001))</f>
        <v/>
      </c>
      <c r="H102" s="34">
        <f>IF(OR($B102="",$C102&lt;&gt;"Ativo",$D102&lt;&gt;'Calc_Mix'!$C$5,'Calc_Mix'!$X$5=0,COUNTIFS(Esc_Turno,'Calc_Mix'!$C$5,Esc_Circ,$B102)+COUNTIFS(Esc_Turno,'Calc_Mix'!$C$5,Esc_Instr,$B102)&gt;0),"",IF(SUMPRODUCT('Calc_Mix'!$D$5:$W$5,'Matriz_Habilidades'!$D102:$W102)=0,"",SUMPRODUCT('Calc_Mix'!$D$5:$W$5,'Matriz_Habilidades'!$D102:$W102)/'Calc_Mix'!$X$5+ROW()*0.000001))</f>
        <v/>
      </c>
      <c r="I102" s="34">
        <f>IF(OR($B102="",$C102&lt;&gt;"Ativo",$D102&lt;&gt;'Calc_Mix'!$C$6,'Calc_Mix'!$X$6=0,COUNTIFS(Esc_Turno,'Calc_Mix'!$C$6,Esc_Circ,$B102)+COUNTIFS(Esc_Turno,'Calc_Mix'!$C$6,Esc_Instr,$B102)&gt;0),"",IF(SUMPRODUCT('Calc_Mix'!$D$6:$W$6,'Matriz_Habilidades'!$D102:$W102)=0,"",SUMPRODUCT('Calc_Mix'!$D$6:$W$6,'Matriz_Habilidades'!$D102:$W102)/'Calc_Mix'!$X$6+ROW()*0.000001))</f>
        <v/>
      </c>
      <c r="J102" s="34">
        <f>IF(OR($B102="",$C102&lt;&gt;"Ativo",$D102&lt;&gt;'Calc_Mix'!$C$7,'Calc_Mix'!$X$7=0,COUNTIFS(Esc_Turno,'Calc_Mix'!$C$7,Esc_Circ,$B102)+COUNTIFS(Esc_Turno,'Calc_Mix'!$C$7,Esc_Instr,$B102)&gt;0),"",IF(SUMPRODUCT('Calc_Mix'!$D$7:$W$7,'Matriz_Habilidades'!$D102:$W102)=0,"",SUMPRODUCT('Calc_Mix'!$D$7:$W$7,'Matriz_Habilidades'!$D102:$W102)/'Calc_Mix'!$X$7+ROW()*0.000001))</f>
        <v/>
      </c>
      <c r="K102" s="34">
        <f>IF(OR($B102="",$C102&lt;&gt;"Ativo",$D102&lt;&gt;'Calc_Mix'!$C$8,'Calc_Mix'!$X$8=0,COUNTIFS(Esc_Turno,'Calc_Mix'!$C$8,Esc_Circ,$B102)+COUNTIFS(Esc_Turno,'Calc_Mix'!$C$8,Esc_Instr,$B102)&gt;0),"",IF(SUMPRODUCT('Calc_Mix'!$D$8:$W$8,'Matriz_Habilidades'!$D102:$W102)=0,"",SUMPRODUCT('Calc_Mix'!$D$8:$W$8,'Matriz_Habilidades'!$D102:$W102)/'Calc_Mix'!$X$8+ROW()*0.000001))</f>
        <v/>
      </c>
      <c r="L102" s="34">
        <f>IF(OR($B102="",$C102&lt;&gt;"Ativo",$D102&lt;&gt;'Calc_Mix'!$C$9,'Calc_Mix'!$X$9=0,COUNTIFS(Esc_Turno,'Calc_Mix'!$C$9,Esc_Circ,$B102)+COUNTIFS(Esc_Turno,'Calc_Mix'!$C$9,Esc_Instr,$B102)&gt;0),"",IF(SUMPRODUCT('Calc_Mix'!$D$9:$W$9,'Matriz_Habilidades'!$D102:$W102)=0,"",SUMPRODUCT('Calc_Mix'!$D$9:$W$9,'Matriz_Habilidades'!$D102:$W102)/'Calc_Mix'!$X$9+ROW()*0.000001))</f>
        <v/>
      </c>
      <c r="M102" s="34">
        <f>IF(OR($B102="",$C102&lt;&gt;"Ativo",$D102&lt;&gt;'Calc_Mix'!$C$10,'Calc_Mix'!$X$10=0,COUNTIFS(Esc_Turno,'Calc_Mix'!$C$10,Esc_Circ,$B102)+COUNTIFS(Esc_Turno,'Calc_Mix'!$C$10,Esc_Instr,$B102)&gt;0),"",IF(SUMPRODUCT('Calc_Mix'!$D$10:$W$10,'Matriz_Habilidades'!$D102:$W102)=0,"",SUMPRODUCT('Calc_Mix'!$D$10:$W$10,'Matriz_Habilidades'!$D102:$W102)/'Calc_Mix'!$X$10+ROW()*0.000001))</f>
        <v/>
      </c>
      <c r="N102" s="34">
        <f>IF(OR($B102="",$C102&lt;&gt;"Ativo",$D102&lt;&gt;'Calc_Mix'!$C$11,'Calc_Mix'!$X$11=0,COUNTIFS(Esc_Turno,'Calc_Mix'!$C$11,Esc_Circ,$B102)+COUNTIFS(Esc_Turno,'Calc_Mix'!$C$11,Esc_Instr,$B102)&gt;0),"",IF(SUMPRODUCT('Calc_Mix'!$D$11:$W$11,'Matriz_Habilidades'!$D102:$W102)=0,"",SUMPRODUCT('Calc_Mix'!$D$11:$W$11,'Matriz_Habilidades'!$D102:$W102)/'Calc_Mix'!$X$11+ROW()*0.000001))</f>
        <v/>
      </c>
      <c r="O102" s="34">
        <f>IF(OR($B102="",$C102&lt;&gt;"Ativo",$D102&lt;&gt;'Calc_Mix'!$C$12,'Calc_Mix'!$X$12=0,COUNTIFS(Esc_Turno,'Calc_Mix'!$C$12,Esc_Circ,$B102)+COUNTIFS(Esc_Turno,'Calc_Mix'!$C$12,Esc_Instr,$B102)&gt;0),"",IF(SUMPRODUCT('Calc_Mix'!$D$12:$W$12,'Matriz_Habilidades'!$D102:$W102)=0,"",SUMPRODUCT('Calc_Mix'!$D$12:$W$12,'Matriz_Habilidades'!$D102:$W102)/'Calc_Mix'!$X$12+ROW()*0.000001))</f>
        <v/>
      </c>
      <c r="P102" s="34">
        <f>IF(OR($B102="",$C102&lt;&gt;"Ativo",$D102&lt;&gt;'Calc_Mix'!$C$13,'Calc_Mix'!$X$13=0,COUNTIFS(Esc_Turno,'Calc_Mix'!$C$13,Esc_Circ,$B102)+COUNTIFS(Esc_Turno,'Calc_Mix'!$C$13,Esc_Instr,$B102)&gt;0),"",IF(SUMPRODUCT('Calc_Mix'!$D$13:$W$13,'Matriz_Habilidades'!$D102:$W102)=0,"",SUMPRODUCT('Calc_Mix'!$D$13:$W$13,'Matriz_Habilidades'!$D102:$W102)/'Calc_Mix'!$X$13+ROW()*0.000001))</f>
        <v/>
      </c>
      <c r="Q102" s="34">
        <f>IF(OR($B102="",$C102&lt;&gt;"Ativo",$D102&lt;&gt;'Calc_Mix'!$C$14,'Calc_Mix'!$X$14=0,COUNTIFS(Esc_Turno,'Calc_Mix'!$C$14,Esc_Circ,$B102)+COUNTIFS(Esc_Turno,'Calc_Mix'!$C$14,Esc_Instr,$B102)&gt;0),"",IF(SUMPRODUCT('Calc_Mix'!$D$14:$W$14,'Matriz_Habilidades'!$D102:$W102)=0,"",SUMPRODUCT('Calc_Mix'!$D$14:$W$14,'Matriz_Habilidades'!$D102:$W102)/'Calc_Mix'!$X$14+ROW()*0.000001))</f>
        <v/>
      </c>
      <c r="R102" s="34">
        <f>IF(OR($B102="",$C102&lt;&gt;"Ativo",$D102&lt;&gt;'Calc_Mix'!$C$15,'Calc_Mix'!$X$15=0,COUNTIFS(Esc_Turno,'Calc_Mix'!$C$15,Esc_Circ,$B102)+COUNTIFS(Esc_Turno,'Calc_Mix'!$C$15,Esc_Instr,$B102)&gt;0),"",IF(SUMPRODUCT('Calc_Mix'!$D$15:$W$15,'Matriz_Habilidades'!$D102:$W102)=0,"",SUMPRODUCT('Calc_Mix'!$D$15:$W$15,'Matriz_Habilidades'!$D102:$W102)/'Calc_Mix'!$X$15+ROW()*0.000001))</f>
        <v/>
      </c>
      <c r="S102" s="34">
        <f>IF(OR($B102="",$C102&lt;&gt;"Ativo",$D102&lt;&gt;'Calc_Mix'!$C$16,'Calc_Mix'!$X$16=0,COUNTIFS(Esc_Turno,'Calc_Mix'!$C$16,Esc_Circ,$B102)+COUNTIFS(Esc_Turno,'Calc_Mix'!$C$16,Esc_Instr,$B102)&gt;0),"",IF(SUMPRODUCT('Calc_Mix'!$D$16:$W$16,'Matriz_Habilidades'!$D102:$W102)=0,"",SUMPRODUCT('Calc_Mix'!$D$16:$W$16,'Matriz_Habilidades'!$D102:$W102)/'Calc_Mix'!$X$16+ROW()*0.000001))</f>
        <v/>
      </c>
      <c r="T102" s="34">
        <f>IF(OR($B102="",$C102&lt;&gt;"Ativo",$D102&lt;&gt;'Calc_Mix'!$C$17,'Calc_Mix'!$X$17=0,COUNTIFS(Esc_Turno,'Calc_Mix'!$C$17,Esc_Circ,$B102)+COUNTIFS(Esc_Turno,'Calc_Mix'!$C$17,Esc_Instr,$B102)&gt;0),"",IF(SUMPRODUCT('Calc_Mix'!$D$17:$W$17,'Matriz_Habilidades'!$D102:$W102)=0,"",SUMPRODUCT('Calc_Mix'!$D$17:$W$17,'Matriz_Habilidades'!$D102:$W102)/'Calc_Mix'!$X$17+ROW()*0.000001))</f>
        <v/>
      </c>
      <c r="U102" s="34">
        <f>IF(OR($B102="",$C102&lt;&gt;"Ativo",$D102&lt;&gt;'Calc_Mix'!$C$18,'Calc_Mix'!$X$18=0,COUNTIFS(Esc_Turno,'Calc_Mix'!$C$18,Esc_Circ,$B102)+COUNTIFS(Esc_Turno,'Calc_Mix'!$C$18,Esc_Instr,$B102)&gt;0),"",IF(SUMPRODUCT('Calc_Mix'!$D$18:$W$18,'Matriz_Habilidades'!$D102:$W102)=0,"",SUMPRODUCT('Calc_Mix'!$D$18:$W$18,'Matriz_Habilidades'!$D102:$W102)/'Calc_Mix'!$X$18+ROW()*0.000001))</f>
        <v/>
      </c>
      <c r="V102" s="34">
        <f>IF(OR($B102="",$C102&lt;&gt;"Ativo",$D102&lt;&gt;'Calc_Mix'!$C$19,'Calc_Mix'!$X$19=0,COUNTIFS(Esc_Turno,'Calc_Mix'!$C$19,Esc_Circ,$B102)+COUNTIFS(Esc_Turno,'Calc_Mix'!$C$19,Esc_Instr,$B102)&gt;0),"",IF(SUMPRODUCT('Calc_Mix'!$D$19:$W$19,'Matriz_Habilidades'!$D102:$W102)=0,"",SUMPRODUCT('Calc_Mix'!$D$19:$W$19,'Matriz_Habilidades'!$D102:$W102)/'Calc_Mix'!$X$19+ROW()*0.000001))</f>
        <v/>
      </c>
      <c r="W102" s="34">
        <f>IF(OR($B102="",$C102&lt;&gt;"Ativo",$D102&lt;&gt;'Calc_Mix'!$C$20,'Calc_Mix'!$X$20=0,COUNTIFS(Esc_Turno,'Calc_Mix'!$C$20,Esc_Circ,$B102)+COUNTIFS(Esc_Turno,'Calc_Mix'!$C$20,Esc_Instr,$B102)&gt;0),"",IF(SUMPRODUCT('Calc_Mix'!$D$20:$W$20,'Matriz_Habilidades'!$D102:$W102)=0,"",SUMPRODUCT('Calc_Mix'!$D$20:$W$20,'Matriz_Habilidades'!$D102:$W102)/'Calc_Mix'!$X$20+ROW()*0.000001))</f>
        <v/>
      </c>
      <c r="X102" s="34">
        <f>IF(OR($B102="",$C102&lt;&gt;"Ativo",$D102&lt;&gt;'Calc_Mix'!$C$21,'Calc_Mix'!$X$21=0,COUNTIFS(Esc_Turno,'Calc_Mix'!$C$21,Esc_Circ,$B102)+COUNTIFS(Esc_Turno,'Calc_Mix'!$C$21,Esc_Instr,$B102)&gt;0),"",IF(SUMPRODUCT('Calc_Mix'!$D$21:$W$21,'Matriz_Habilidades'!$D102:$W102)=0,"",SUMPRODUCT('Calc_Mix'!$D$21:$W$21,'Matriz_Habilidades'!$D102:$W102)/'Calc_Mix'!$X$21+ROW()*0.000001))</f>
        <v/>
      </c>
      <c r="Y102" s="34">
        <f>IF(OR($B102="",$C102&lt;&gt;"Ativo",$D102&lt;&gt;'Calc_Mix'!$C$22,'Calc_Mix'!$X$22=0,COUNTIFS(Esc_Turno,'Calc_Mix'!$C$22,Esc_Circ,$B102)+COUNTIFS(Esc_Turno,'Calc_Mix'!$C$22,Esc_Instr,$B102)&gt;0),"",IF(SUMPRODUCT('Calc_Mix'!$D$22:$W$22,'Matriz_Habilidades'!$D102:$W102)=0,"",SUMPRODUCT('Calc_Mix'!$D$22:$W$22,'Matriz_Habilidades'!$D102:$W102)/'Calc_Mix'!$X$22+ROW()*0.000001))</f>
        <v/>
      </c>
      <c r="Z102" s="34">
        <f>IF(OR($B102="",$C102&lt;&gt;"Ativo",$D102&lt;&gt;'Calc_Mix'!$C$23,'Calc_Mix'!$X$23=0,COUNTIFS(Esc_Turno,'Calc_Mix'!$C$23,Esc_Circ,$B102)+COUNTIFS(Esc_Turno,'Calc_Mix'!$C$23,Esc_Instr,$B102)&gt;0),"",IF(SUMPRODUCT('Calc_Mix'!$D$23:$W$23,'Matriz_Habilidades'!$D102:$W102)=0,"",SUMPRODUCT('Calc_Mix'!$D$23:$W$23,'Matriz_Habilidades'!$D102:$W102)/'Calc_Mix'!$X$23+ROW()*0.000001))</f>
        <v/>
      </c>
      <c r="AA102" s="34">
        <f>IF(OR($B102="",$C102&lt;&gt;"Ativo",$D102&lt;&gt;'Calc_Mix'!$C$24,'Calc_Mix'!$X$24=0,COUNTIFS(Esc_Turno,'Calc_Mix'!$C$24,Esc_Circ,$B102)+COUNTIFS(Esc_Turno,'Calc_Mix'!$C$24,Esc_Instr,$B102)&gt;0),"",IF(SUMPRODUCT('Calc_Mix'!$D$24:$W$24,'Matriz_Habilidades'!$D102:$W102)=0,"",SUMPRODUCT('Calc_Mix'!$D$24:$W$24,'Matriz_Habilidades'!$D102:$W102)/'Calc_Mix'!$X$24+ROW()*0.000001))</f>
        <v/>
      </c>
      <c r="AB102" s="34">
        <f>IF(OR($B102="",$C102&lt;&gt;"Ativo",$D102&lt;&gt;'Calc_Mix'!$C$25,'Calc_Mix'!$X$25=0,COUNTIFS(Esc_Turno,'Calc_Mix'!$C$25,Esc_Circ,$B102)+COUNTIFS(Esc_Turno,'Calc_Mix'!$C$25,Esc_Instr,$B102)&gt;0),"",IF(SUMPRODUCT('Calc_Mix'!$D$25:$W$25,'Matriz_Habilidades'!$D102:$W102)=0,"",SUMPRODUCT('Calc_Mix'!$D$25:$W$25,'Matriz_Habilidades'!$D102:$W102)/'Calc_Mix'!$X$25+ROW()*0.000001))</f>
        <v/>
      </c>
      <c r="AC102" s="34">
        <f>IF(OR($B102="",$C102&lt;&gt;"Ativo",$D102&lt;&gt;'Calc_Mix'!$C$26,'Calc_Mix'!$X$26=0,COUNTIFS(Esc_Turno,'Calc_Mix'!$C$26,Esc_Circ,$B102)+COUNTIFS(Esc_Turno,'Calc_Mix'!$C$26,Esc_Instr,$B102)&gt;0),"",IF(SUMPRODUCT('Calc_Mix'!$D$26:$W$26,'Matriz_Habilidades'!$D102:$W102)=0,"",SUMPRODUCT('Calc_Mix'!$D$26:$W$26,'Matriz_Habilidades'!$D102:$W102)/'Calc_Mix'!$X$26+ROW()*0.000001))</f>
        <v/>
      </c>
      <c r="AD102" s="34">
        <f>IF(OR($B102="",$C102&lt;&gt;"Ativo",$D102&lt;&gt;'Calc_Mix'!$C$27,'Calc_Mix'!$X$27=0,COUNTIFS(Esc_Turno,'Calc_Mix'!$C$27,Esc_Circ,$B102)+COUNTIFS(Esc_Turno,'Calc_Mix'!$C$27,Esc_Instr,$B102)&gt;0),"",IF(SUMPRODUCT('Calc_Mix'!$D$27:$W$27,'Matriz_Habilidades'!$D102:$W102)=0,"",SUMPRODUCT('Calc_Mix'!$D$27:$W$27,'Matriz_Habilidades'!$D102:$W102)/'Calc_Mix'!$X$27+ROW()*0.000001))</f>
        <v/>
      </c>
      <c r="AE102" s="34">
        <f>IF(OR($B102="",$C102&lt;&gt;"Ativo",$D102&lt;&gt;'Calc_Mix'!$C$28,'Calc_Mix'!$X$28=0,COUNTIFS(Esc_Turno,'Calc_Mix'!$C$28,Esc_Circ,$B102)+COUNTIFS(Esc_Turno,'Calc_Mix'!$C$28,Esc_Instr,$B102)&gt;0),"",IF(SUMPRODUCT('Calc_Mix'!$D$28:$W$28,'Matriz_Habilidades'!$D102:$W102)=0,"",SUMPRODUCT('Calc_Mix'!$D$28:$W$28,'Matriz_Habilidades'!$D102:$W102)/'Calc_Mix'!$X$28+ROW()*0.000001))</f>
        <v/>
      </c>
      <c r="AF102" s="34">
        <f>IF(OR($B102="",$C102&lt;&gt;"Ativo",$D102&lt;&gt;'Calc_Mix'!$C$29,'Calc_Mix'!$X$29=0,COUNTIFS(Esc_Turno,'Calc_Mix'!$C$29,Esc_Circ,$B102)+COUNTIFS(Esc_Turno,'Calc_Mix'!$C$29,Esc_Instr,$B102)&gt;0),"",IF(SUMPRODUCT('Calc_Mix'!$D$29:$W$29,'Matriz_Habilidades'!$D102:$W102)=0,"",SUMPRODUCT('Calc_Mix'!$D$29:$W$29,'Matriz_Habilidades'!$D102:$W102)/'Calc_Mix'!$X$29+ROW()*0.000001))</f>
        <v/>
      </c>
      <c r="AG102" s="34">
        <f>IF(OR($B102="",$C102&lt;&gt;"Ativo",$D102&lt;&gt;'Calc_Mix'!$C$30,'Calc_Mix'!$X$30=0,COUNTIFS(Esc_Turno,'Calc_Mix'!$C$30,Esc_Circ,$B102)+COUNTIFS(Esc_Turno,'Calc_Mix'!$C$30,Esc_Instr,$B102)&gt;0),"",IF(SUMPRODUCT('Calc_Mix'!$D$30:$W$30,'Matriz_Habilidades'!$D102:$W102)=0,"",SUMPRODUCT('Calc_Mix'!$D$30:$W$30,'Matriz_Habilidades'!$D102:$W102)/'Calc_Mix'!$X$30+ROW()*0.000001))</f>
        <v/>
      </c>
      <c r="AH102" s="34">
        <f>IF(OR($B102="",$C102&lt;&gt;"Ativo",$D102&lt;&gt;'Calc_Mix'!$C$31,'Calc_Mix'!$X$31=0,COUNTIFS(Esc_Turno,'Calc_Mix'!$C$31,Esc_Circ,$B102)+COUNTIFS(Esc_Turno,'Calc_Mix'!$C$31,Esc_Instr,$B102)&gt;0),"",IF(SUMPRODUCT('Calc_Mix'!$D$31:$W$31,'Matriz_Habilidades'!$D102:$W102)=0,"",SUMPRODUCT('Calc_Mix'!$D$31:$W$31,'Matriz_Habilidades'!$D102:$W102)/'Calc_Mix'!$X$31+ROW()*0.000001))</f>
        <v/>
      </c>
      <c r="AI102" s="34">
        <f>IF(OR($B102="",$C102&lt;&gt;"Ativo",$D102&lt;&gt;'Calc_Mix'!$C$32,'Calc_Mix'!$X$32=0,COUNTIFS(Esc_Turno,'Calc_Mix'!$C$32,Esc_Circ,$B102)+COUNTIFS(Esc_Turno,'Calc_Mix'!$C$32,Esc_Instr,$B102)&gt;0),"",IF(SUMPRODUCT('Calc_Mix'!$D$32:$W$32,'Matriz_Habilidades'!$D102:$W102)=0,"",SUMPRODUCT('Calc_Mix'!$D$32:$W$32,'Matriz_Habilidades'!$D102:$W102)/'Calc_Mix'!$X$32+ROW()*0.000001))</f>
        <v/>
      </c>
      <c r="AJ102" s="34">
        <f>IF(OR($B102="",$C102&lt;&gt;"Ativo",$D102&lt;&gt;'Calc_Mix'!$C$33,'Calc_Mix'!$X$33=0,COUNTIFS(Esc_Turno,'Calc_Mix'!$C$33,Esc_Circ,$B102)+COUNTIFS(Esc_Turno,'Calc_Mix'!$C$33,Esc_Instr,$B102)&gt;0),"",IF(SUMPRODUCT('Calc_Mix'!$D$33:$W$33,'Matriz_Habilidades'!$D102:$W102)=0,"",SUMPRODUCT('Calc_Mix'!$D$33:$W$33,'Matriz_Habilidades'!$D102:$W102)/'Calc_Mix'!$X$33+ROW()*0.000001))</f>
        <v/>
      </c>
      <c r="AK102" s="34">
        <f>IF(OR($B102="",$C102&lt;&gt;"Ativo",$D102&lt;&gt;'Calc_Mix'!$C$34,'Calc_Mix'!$X$34=0,COUNTIFS(Esc_Turno,'Calc_Mix'!$C$34,Esc_Circ,$B102)+COUNTIFS(Esc_Turno,'Calc_Mix'!$C$34,Esc_Instr,$B102)&gt;0),"",IF(SUMPRODUCT('Calc_Mix'!$D$34:$W$34,'Matriz_Habilidades'!$D102:$W102)=0,"",SUMPRODUCT('Calc_Mix'!$D$34:$W$34,'Matriz_Habilidades'!$D102:$W102)/'Calc_Mix'!$X$34+ROW()*0.000001))</f>
        <v/>
      </c>
      <c r="AL102" s="34">
        <f>IF(OR($B102="",$C102&lt;&gt;"Ativo",$D102&lt;&gt;'Calc_Mix'!$C$35,'Calc_Mix'!$X$35=0,COUNTIFS(Esc_Turno,'Calc_Mix'!$C$35,Esc_Circ,$B102)+COUNTIFS(Esc_Turno,'Calc_Mix'!$C$35,Esc_Instr,$B102)&gt;0),"",IF(SUMPRODUCT('Calc_Mix'!$D$35:$W$35,'Matriz_Habilidades'!$D102:$W102)=0,"",SUMPRODUCT('Calc_Mix'!$D$35:$W$35,'Matriz_Habilidades'!$D102:$W102)/'Calc_Mix'!$X$35+ROW()*0.000001))</f>
        <v/>
      </c>
      <c r="AM102" s="34">
        <f>IF(OR($B102="",$C102&lt;&gt;"Ativo",$D102&lt;&gt;'Calc_Mix'!$C$36,'Calc_Mix'!$X$36=0,COUNTIFS(Esc_Turno,'Calc_Mix'!$C$36,Esc_Circ,$B102)+COUNTIFS(Esc_Turno,'Calc_Mix'!$C$36,Esc_Instr,$B102)&gt;0),"",IF(SUMPRODUCT('Calc_Mix'!$D$36:$W$36,'Matriz_Habilidades'!$D102:$W102)=0,"",SUMPRODUCT('Calc_Mix'!$D$36:$W$36,'Matriz_Habilidades'!$D102:$W102)/'Calc_Mix'!$X$36+ROW()*0.000001))</f>
        <v/>
      </c>
      <c r="AN102" s="34">
        <f>IF(OR($B102="",$C102&lt;&gt;"Ativo",$D102&lt;&gt;'Calc_Mix'!$C$37,'Calc_Mix'!$X$37=0,COUNTIFS(Esc_Turno,'Calc_Mix'!$C$37,Esc_Circ,$B102)+COUNTIFS(Esc_Turno,'Calc_Mix'!$C$37,Esc_Instr,$B102)&gt;0),"",IF(SUMPRODUCT('Calc_Mix'!$D$37:$W$37,'Matriz_Habilidades'!$D102:$W102)=0,"",SUMPRODUCT('Calc_Mix'!$D$37:$W$37,'Matriz_Habilidades'!$D102:$W102)/'Calc_Mix'!$X$37+ROW()*0.000001))</f>
        <v/>
      </c>
    </row>
    <row r="103">
      <c r="A103" s="27">
        <f>IF('Matriz_Habilidades'!A103="","",'Matriz_Habilidades'!A103)</f>
        <v/>
      </c>
      <c r="B103" s="28">
        <f>IF('Matriz_Habilidades'!B103="","",'Matriz_Habilidades'!B103)</f>
        <v/>
      </c>
      <c r="C103" s="27">
        <f>IF($A103="","",IFERROR(INDEX(Equipe_Status,MATCH($B103,Equipe_Nome,0)),"?"))</f>
        <v/>
      </c>
      <c r="D103" s="27">
        <f>IF($A103="","",IFERROR(INDEX(Equipe_Turno,MATCH($B103,Equipe_Nome,0)),"?"))</f>
        <v/>
      </c>
      <c r="E103" s="34">
        <f>IF(OR($B103="",$C103&lt;&gt;"Ativo",$D103&lt;&gt;'Calc_Mix'!$C$2,'Calc_Mix'!$X$2=0,COUNTIFS(Esc_Turno,'Calc_Mix'!$C$2,Esc_Circ,$B103)+COUNTIFS(Esc_Turno,'Calc_Mix'!$C$2,Esc_Instr,$B103)&gt;0),"",IF(SUMPRODUCT('Calc_Mix'!$D$2:$W$2,'Matriz_Habilidades'!$D103:$W103)=0,"",SUMPRODUCT('Calc_Mix'!$D$2:$W$2,'Matriz_Habilidades'!$D103:$W103)/'Calc_Mix'!$X$2+ROW()*0.000001))</f>
        <v/>
      </c>
      <c r="F103" s="34">
        <f>IF(OR($B103="",$C103&lt;&gt;"Ativo",$D103&lt;&gt;'Calc_Mix'!$C$3,'Calc_Mix'!$X$3=0,COUNTIFS(Esc_Turno,'Calc_Mix'!$C$3,Esc_Circ,$B103)+COUNTIFS(Esc_Turno,'Calc_Mix'!$C$3,Esc_Instr,$B103)&gt;0),"",IF(SUMPRODUCT('Calc_Mix'!$D$3:$W$3,'Matriz_Habilidades'!$D103:$W103)=0,"",SUMPRODUCT('Calc_Mix'!$D$3:$W$3,'Matriz_Habilidades'!$D103:$W103)/'Calc_Mix'!$X$3+ROW()*0.000001))</f>
        <v/>
      </c>
      <c r="G103" s="34">
        <f>IF(OR($B103="",$C103&lt;&gt;"Ativo",$D103&lt;&gt;'Calc_Mix'!$C$4,'Calc_Mix'!$X$4=0,COUNTIFS(Esc_Turno,'Calc_Mix'!$C$4,Esc_Circ,$B103)+COUNTIFS(Esc_Turno,'Calc_Mix'!$C$4,Esc_Instr,$B103)&gt;0),"",IF(SUMPRODUCT('Calc_Mix'!$D$4:$W$4,'Matriz_Habilidades'!$D103:$W103)=0,"",SUMPRODUCT('Calc_Mix'!$D$4:$W$4,'Matriz_Habilidades'!$D103:$W103)/'Calc_Mix'!$X$4+ROW()*0.000001))</f>
        <v/>
      </c>
      <c r="H103" s="34">
        <f>IF(OR($B103="",$C103&lt;&gt;"Ativo",$D103&lt;&gt;'Calc_Mix'!$C$5,'Calc_Mix'!$X$5=0,COUNTIFS(Esc_Turno,'Calc_Mix'!$C$5,Esc_Circ,$B103)+COUNTIFS(Esc_Turno,'Calc_Mix'!$C$5,Esc_Instr,$B103)&gt;0),"",IF(SUMPRODUCT('Calc_Mix'!$D$5:$W$5,'Matriz_Habilidades'!$D103:$W103)=0,"",SUMPRODUCT('Calc_Mix'!$D$5:$W$5,'Matriz_Habilidades'!$D103:$W103)/'Calc_Mix'!$X$5+ROW()*0.000001))</f>
        <v/>
      </c>
      <c r="I103" s="34">
        <f>IF(OR($B103="",$C103&lt;&gt;"Ativo",$D103&lt;&gt;'Calc_Mix'!$C$6,'Calc_Mix'!$X$6=0,COUNTIFS(Esc_Turno,'Calc_Mix'!$C$6,Esc_Circ,$B103)+COUNTIFS(Esc_Turno,'Calc_Mix'!$C$6,Esc_Instr,$B103)&gt;0),"",IF(SUMPRODUCT('Calc_Mix'!$D$6:$W$6,'Matriz_Habilidades'!$D103:$W103)=0,"",SUMPRODUCT('Calc_Mix'!$D$6:$W$6,'Matriz_Habilidades'!$D103:$W103)/'Calc_Mix'!$X$6+ROW()*0.000001))</f>
        <v/>
      </c>
      <c r="J103" s="34">
        <f>IF(OR($B103="",$C103&lt;&gt;"Ativo",$D103&lt;&gt;'Calc_Mix'!$C$7,'Calc_Mix'!$X$7=0,COUNTIFS(Esc_Turno,'Calc_Mix'!$C$7,Esc_Circ,$B103)+COUNTIFS(Esc_Turno,'Calc_Mix'!$C$7,Esc_Instr,$B103)&gt;0),"",IF(SUMPRODUCT('Calc_Mix'!$D$7:$W$7,'Matriz_Habilidades'!$D103:$W103)=0,"",SUMPRODUCT('Calc_Mix'!$D$7:$W$7,'Matriz_Habilidades'!$D103:$W103)/'Calc_Mix'!$X$7+ROW()*0.000001))</f>
        <v/>
      </c>
      <c r="K103" s="34">
        <f>IF(OR($B103="",$C103&lt;&gt;"Ativo",$D103&lt;&gt;'Calc_Mix'!$C$8,'Calc_Mix'!$X$8=0,COUNTIFS(Esc_Turno,'Calc_Mix'!$C$8,Esc_Circ,$B103)+COUNTIFS(Esc_Turno,'Calc_Mix'!$C$8,Esc_Instr,$B103)&gt;0),"",IF(SUMPRODUCT('Calc_Mix'!$D$8:$W$8,'Matriz_Habilidades'!$D103:$W103)=0,"",SUMPRODUCT('Calc_Mix'!$D$8:$W$8,'Matriz_Habilidades'!$D103:$W103)/'Calc_Mix'!$X$8+ROW()*0.000001))</f>
        <v/>
      </c>
      <c r="L103" s="34">
        <f>IF(OR($B103="",$C103&lt;&gt;"Ativo",$D103&lt;&gt;'Calc_Mix'!$C$9,'Calc_Mix'!$X$9=0,COUNTIFS(Esc_Turno,'Calc_Mix'!$C$9,Esc_Circ,$B103)+COUNTIFS(Esc_Turno,'Calc_Mix'!$C$9,Esc_Instr,$B103)&gt;0),"",IF(SUMPRODUCT('Calc_Mix'!$D$9:$W$9,'Matriz_Habilidades'!$D103:$W103)=0,"",SUMPRODUCT('Calc_Mix'!$D$9:$W$9,'Matriz_Habilidades'!$D103:$W103)/'Calc_Mix'!$X$9+ROW()*0.000001))</f>
        <v/>
      </c>
      <c r="M103" s="34">
        <f>IF(OR($B103="",$C103&lt;&gt;"Ativo",$D103&lt;&gt;'Calc_Mix'!$C$10,'Calc_Mix'!$X$10=0,COUNTIFS(Esc_Turno,'Calc_Mix'!$C$10,Esc_Circ,$B103)+COUNTIFS(Esc_Turno,'Calc_Mix'!$C$10,Esc_Instr,$B103)&gt;0),"",IF(SUMPRODUCT('Calc_Mix'!$D$10:$W$10,'Matriz_Habilidades'!$D103:$W103)=0,"",SUMPRODUCT('Calc_Mix'!$D$10:$W$10,'Matriz_Habilidades'!$D103:$W103)/'Calc_Mix'!$X$10+ROW()*0.000001))</f>
        <v/>
      </c>
      <c r="N103" s="34">
        <f>IF(OR($B103="",$C103&lt;&gt;"Ativo",$D103&lt;&gt;'Calc_Mix'!$C$11,'Calc_Mix'!$X$11=0,COUNTIFS(Esc_Turno,'Calc_Mix'!$C$11,Esc_Circ,$B103)+COUNTIFS(Esc_Turno,'Calc_Mix'!$C$11,Esc_Instr,$B103)&gt;0),"",IF(SUMPRODUCT('Calc_Mix'!$D$11:$W$11,'Matriz_Habilidades'!$D103:$W103)=0,"",SUMPRODUCT('Calc_Mix'!$D$11:$W$11,'Matriz_Habilidades'!$D103:$W103)/'Calc_Mix'!$X$11+ROW()*0.000001))</f>
        <v/>
      </c>
      <c r="O103" s="34">
        <f>IF(OR($B103="",$C103&lt;&gt;"Ativo",$D103&lt;&gt;'Calc_Mix'!$C$12,'Calc_Mix'!$X$12=0,COUNTIFS(Esc_Turno,'Calc_Mix'!$C$12,Esc_Circ,$B103)+COUNTIFS(Esc_Turno,'Calc_Mix'!$C$12,Esc_Instr,$B103)&gt;0),"",IF(SUMPRODUCT('Calc_Mix'!$D$12:$W$12,'Matriz_Habilidades'!$D103:$W103)=0,"",SUMPRODUCT('Calc_Mix'!$D$12:$W$12,'Matriz_Habilidades'!$D103:$W103)/'Calc_Mix'!$X$12+ROW()*0.000001))</f>
        <v/>
      </c>
      <c r="P103" s="34">
        <f>IF(OR($B103="",$C103&lt;&gt;"Ativo",$D103&lt;&gt;'Calc_Mix'!$C$13,'Calc_Mix'!$X$13=0,COUNTIFS(Esc_Turno,'Calc_Mix'!$C$13,Esc_Circ,$B103)+COUNTIFS(Esc_Turno,'Calc_Mix'!$C$13,Esc_Instr,$B103)&gt;0),"",IF(SUMPRODUCT('Calc_Mix'!$D$13:$W$13,'Matriz_Habilidades'!$D103:$W103)=0,"",SUMPRODUCT('Calc_Mix'!$D$13:$W$13,'Matriz_Habilidades'!$D103:$W103)/'Calc_Mix'!$X$13+ROW()*0.000001))</f>
        <v/>
      </c>
      <c r="Q103" s="34">
        <f>IF(OR($B103="",$C103&lt;&gt;"Ativo",$D103&lt;&gt;'Calc_Mix'!$C$14,'Calc_Mix'!$X$14=0,COUNTIFS(Esc_Turno,'Calc_Mix'!$C$14,Esc_Circ,$B103)+COUNTIFS(Esc_Turno,'Calc_Mix'!$C$14,Esc_Instr,$B103)&gt;0),"",IF(SUMPRODUCT('Calc_Mix'!$D$14:$W$14,'Matriz_Habilidades'!$D103:$W103)=0,"",SUMPRODUCT('Calc_Mix'!$D$14:$W$14,'Matriz_Habilidades'!$D103:$W103)/'Calc_Mix'!$X$14+ROW()*0.000001))</f>
        <v/>
      </c>
      <c r="R103" s="34">
        <f>IF(OR($B103="",$C103&lt;&gt;"Ativo",$D103&lt;&gt;'Calc_Mix'!$C$15,'Calc_Mix'!$X$15=0,COUNTIFS(Esc_Turno,'Calc_Mix'!$C$15,Esc_Circ,$B103)+COUNTIFS(Esc_Turno,'Calc_Mix'!$C$15,Esc_Instr,$B103)&gt;0),"",IF(SUMPRODUCT('Calc_Mix'!$D$15:$W$15,'Matriz_Habilidades'!$D103:$W103)=0,"",SUMPRODUCT('Calc_Mix'!$D$15:$W$15,'Matriz_Habilidades'!$D103:$W103)/'Calc_Mix'!$X$15+ROW()*0.000001))</f>
        <v/>
      </c>
      <c r="S103" s="34">
        <f>IF(OR($B103="",$C103&lt;&gt;"Ativo",$D103&lt;&gt;'Calc_Mix'!$C$16,'Calc_Mix'!$X$16=0,COUNTIFS(Esc_Turno,'Calc_Mix'!$C$16,Esc_Circ,$B103)+COUNTIFS(Esc_Turno,'Calc_Mix'!$C$16,Esc_Instr,$B103)&gt;0),"",IF(SUMPRODUCT('Calc_Mix'!$D$16:$W$16,'Matriz_Habilidades'!$D103:$W103)=0,"",SUMPRODUCT('Calc_Mix'!$D$16:$W$16,'Matriz_Habilidades'!$D103:$W103)/'Calc_Mix'!$X$16+ROW()*0.000001))</f>
        <v/>
      </c>
      <c r="T103" s="34">
        <f>IF(OR($B103="",$C103&lt;&gt;"Ativo",$D103&lt;&gt;'Calc_Mix'!$C$17,'Calc_Mix'!$X$17=0,COUNTIFS(Esc_Turno,'Calc_Mix'!$C$17,Esc_Circ,$B103)+COUNTIFS(Esc_Turno,'Calc_Mix'!$C$17,Esc_Instr,$B103)&gt;0),"",IF(SUMPRODUCT('Calc_Mix'!$D$17:$W$17,'Matriz_Habilidades'!$D103:$W103)=0,"",SUMPRODUCT('Calc_Mix'!$D$17:$W$17,'Matriz_Habilidades'!$D103:$W103)/'Calc_Mix'!$X$17+ROW()*0.000001))</f>
        <v/>
      </c>
      <c r="U103" s="34">
        <f>IF(OR($B103="",$C103&lt;&gt;"Ativo",$D103&lt;&gt;'Calc_Mix'!$C$18,'Calc_Mix'!$X$18=0,COUNTIFS(Esc_Turno,'Calc_Mix'!$C$18,Esc_Circ,$B103)+COUNTIFS(Esc_Turno,'Calc_Mix'!$C$18,Esc_Instr,$B103)&gt;0),"",IF(SUMPRODUCT('Calc_Mix'!$D$18:$W$18,'Matriz_Habilidades'!$D103:$W103)=0,"",SUMPRODUCT('Calc_Mix'!$D$18:$W$18,'Matriz_Habilidades'!$D103:$W103)/'Calc_Mix'!$X$18+ROW()*0.000001))</f>
        <v/>
      </c>
      <c r="V103" s="34">
        <f>IF(OR($B103="",$C103&lt;&gt;"Ativo",$D103&lt;&gt;'Calc_Mix'!$C$19,'Calc_Mix'!$X$19=0,COUNTIFS(Esc_Turno,'Calc_Mix'!$C$19,Esc_Circ,$B103)+COUNTIFS(Esc_Turno,'Calc_Mix'!$C$19,Esc_Instr,$B103)&gt;0),"",IF(SUMPRODUCT('Calc_Mix'!$D$19:$W$19,'Matriz_Habilidades'!$D103:$W103)=0,"",SUMPRODUCT('Calc_Mix'!$D$19:$W$19,'Matriz_Habilidades'!$D103:$W103)/'Calc_Mix'!$X$19+ROW()*0.000001))</f>
        <v/>
      </c>
      <c r="W103" s="34">
        <f>IF(OR($B103="",$C103&lt;&gt;"Ativo",$D103&lt;&gt;'Calc_Mix'!$C$20,'Calc_Mix'!$X$20=0,COUNTIFS(Esc_Turno,'Calc_Mix'!$C$20,Esc_Circ,$B103)+COUNTIFS(Esc_Turno,'Calc_Mix'!$C$20,Esc_Instr,$B103)&gt;0),"",IF(SUMPRODUCT('Calc_Mix'!$D$20:$W$20,'Matriz_Habilidades'!$D103:$W103)=0,"",SUMPRODUCT('Calc_Mix'!$D$20:$W$20,'Matriz_Habilidades'!$D103:$W103)/'Calc_Mix'!$X$20+ROW()*0.000001))</f>
        <v/>
      </c>
      <c r="X103" s="34">
        <f>IF(OR($B103="",$C103&lt;&gt;"Ativo",$D103&lt;&gt;'Calc_Mix'!$C$21,'Calc_Mix'!$X$21=0,COUNTIFS(Esc_Turno,'Calc_Mix'!$C$21,Esc_Circ,$B103)+COUNTIFS(Esc_Turno,'Calc_Mix'!$C$21,Esc_Instr,$B103)&gt;0),"",IF(SUMPRODUCT('Calc_Mix'!$D$21:$W$21,'Matriz_Habilidades'!$D103:$W103)=0,"",SUMPRODUCT('Calc_Mix'!$D$21:$W$21,'Matriz_Habilidades'!$D103:$W103)/'Calc_Mix'!$X$21+ROW()*0.000001))</f>
        <v/>
      </c>
      <c r="Y103" s="34">
        <f>IF(OR($B103="",$C103&lt;&gt;"Ativo",$D103&lt;&gt;'Calc_Mix'!$C$22,'Calc_Mix'!$X$22=0,COUNTIFS(Esc_Turno,'Calc_Mix'!$C$22,Esc_Circ,$B103)+COUNTIFS(Esc_Turno,'Calc_Mix'!$C$22,Esc_Instr,$B103)&gt;0),"",IF(SUMPRODUCT('Calc_Mix'!$D$22:$W$22,'Matriz_Habilidades'!$D103:$W103)=0,"",SUMPRODUCT('Calc_Mix'!$D$22:$W$22,'Matriz_Habilidades'!$D103:$W103)/'Calc_Mix'!$X$22+ROW()*0.000001))</f>
        <v/>
      </c>
      <c r="Z103" s="34">
        <f>IF(OR($B103="",$C103&lt;&gt;"Ativo",$D103&lt;&gt;'Calc_Mix'!$C$23,'Calc_Mix'!$X$23=0,COUNTIFS(Esc_Turno,'Calc_Mix'!$C$23,Esc_Circ,$B103)+COUNTIFS(Esc_Turno,'Calc_Mix'!$C$23,Esc_Instr,$B103)&gt;0),"",IF(SUMPRODUCT('Calc_Mix'!$D$23:$W$23,'Matriz_Habilidades'!$D103:$W103)=0,"",SUMPRODUCT('Calc_Mix'!$D$23:$W$23,'Matriz_Habilidades'!$D103:$W103)/'Calc_Mix'!$X$23+ROW()*0.000001))</f>
        <v/>
      </c>
      <c r="AA103" s="34">
        <f>IF(OR($B103="",$C103&lt;&gt;"Ativo",$D103&lt;&gt;'Calc_Mix'!$C$24,'Calc_Mix'!$X$24=0,COUNTIFS(Esc_Turno,'Calc_Mix'!$C$24,Esc_Circ,$B103)+COUNTIFS(Esc_Turno,'Calc_Mix'!$C$24,Esc_Instr,$B103)&gt;0),"",IF(SUMPRODUCT('Calc_Mix'!$D$24:$W$24,'Matriz_Habilidades'!$D103:$W103)=0,"",SUMPRODUCT('Calc_Mix'!$D$24:$W$24,'Matriz_Habilidades'!$D103:$W103)/'Calc_Mix'!$X$24+ROW()*0.000001))</f>
        <v/>
      </c>
      <c r="AB103" s="34">
        <f>IF(OR($B103="",$C103&lt;&gt;"Ativo",$D103&lt;&gt;'Calc_Mix'!$C$25,'Calc_Mix'!$X$25=0,COUNTIFS(Esc_Turno,'Calc_Mix'!$C$25,Esc_Circ,$B103)+COUNTIFS(Esc_Turno,'Calc_Mix'!$C$25,Esc_Instr,$B103)&gt;0),"",IF(SUMPRODUCT('Calc_Mix'!$D$25:$W$25,'Matriz_Habilidades'!$D103:$W103)=0,"",SUMPRODUCT('Calc_Mix'!$D$25:$W$25,'Matriz_Habilidades'!$D103:$W103)/'Calc_Mix'!$X$25+ROW()*0.000001))</f>
        <v/>
      </c>
      <c r="AC103" s="34">
        <f>IF(OR($B103="",$C103&lt;&gt;"Ativo",$D103&lt;&gt;'Calc_Mix'!$C$26,'Calc_Mix'!$X$26=0,COUNTIFS(Esc_Turno,'Calc_Mix'!$C$26,Esc_Circ,$B103)+COUNTIFS(Esc_Turno,'Calc_Mix'!$C$26,Esc_Instr,$B103)&gt;0),"",IF(SUMPRODUCT('Calc_Mix'!$D$26:$W$26,'Matriz_Habilidades'!$D103:$W103)=0,"",SUMPRODUCT('Calc_Mix'!$D$26:$W$26,'Matriz_Habilidades'!$D103:$W103)/'Calc_Mix'!$X$26+ROW()*0.000001))</f>
        <v/>
      </c>
      <c r="AD103" s="34">
        <f>IF(OR($B103="",$C103&lt;&gt;"Ativo",$D103&lt;&gt;'Calc_Mix'!$C$27,'Calc_Mix'!$X$27=0,COUNTIFS(Esc_Turno,'Calc_Mix'!$C$27,Esc_Circ,$B103)+COUNTIFS(Esc_Turno,'Calc_Mix'!$C$27,Esc_Instr,$B103)&gt;0),"",IF(SUMPRODUCT('Calc_Mix'!$D$27:$W$27,'Matriz_Habilidades'!$D103:$W103)=0,"",SUMPRODUCT('Calc_Mix'!$D$27:$W$27,'Matriz_Habilidades'!$D103:$W103)/'Calc_Mix'!$X$27+ROW()*0.000001))</f>
        <v/>
      </c>
      <c r="AE103" s="34">
        <f>IF(OR($B103="",$C103&lt;&gt;"Ativo",$D103&lt;&gt;'Calc_Mix'!$C$28,'Calc_Mix'!$X$28=0,COUNTIFS(Esc_Turno,'Calc_Mix'!$C$28,Esc_Circ,$B103)+COUNTIFS(Esc_Turno,'Calc_Mix'!$C$28,Esc_Instr,$B103)&gt;0),"",IF(SUMPRODUCT('Calc_Mix'!$D$28:$W$28,'Matriz_Habilidades'!$D103:$W103)=0,"",SUMPRODUCT('Calc_Mix'!$D$28:$W$28,'Matriz_Habilidades'!$D103:$W103)/'Calc_Mix'!$X$28+ROW()*0.000001))</f>
        <v/>
      </c>
      <c r="AF103" s="34">
        <f>IF(OR($B103="",$C103&lt;&gt;"Ativo",$D103&lt;&gt;'Calc_Mix'!$C$29,'Calc_Mix'!$X$29=0,COUNTIFS(Esc_Turno,'Calc_Mix'!$C$29,Esc_Circ,$B103)+COUNTIFS(Esc_Turno,'Calc_Mix'!$C$29,Esc_Instr,$B103)&gt;0),"",IF(SUMPRODUCT('Calc_Mix'!$D$29:$W$29,'Matriz_Habilidades'!$D103:$W103)=0,"",SUMPRODUCT('Calc_Mix'!$D$29:$W$29,'Matriz_Habilidades'!$D103:$W103)/'Calc_Mix'!$X$29+ROW()*0.000001))</f>
        <v/>
      </c>
      <c r="AG103" s="34">
        <f>IF(OR($B103="",$C103&lt;&gt;"Ativo",$D103&lt;&gt;'Calc_Mix'!$C$30,'Calc_Mix'!$X$30=0,COUNTIFS(Esc_Turno,'Calc_Mix'!$C$30,Esc_Circ,$B103)+COUNTIFS(Esc_Turno,'Calc_Mix'!$C$30,Esc_Instr,$B103)&gt;0),"",IF(SUMPRODUCT('Calc_Mix'!$D$30:$W$30,'Matriz_Habilidades'!$D103:$W103)=0,"",SUMPRODUCT('Calc_Mix'!$D$30:$W$30,'Matriz_Habilidades'!$D103:$W103)/'Calc_Mix'!$X$30+ROW()*0.000001))</f>
        <v/>
      </c>
      <c r="AH103" s="34">
        <f>IF(OR($B103="",$C103&lt;&gt;"Ativo",$D103&lt;&gt;'Calc_Mix'!$C$31,'Calc_Mix'!$X$31=0,COUNTIFS(Esc_Turno,'Calc_Mix'!$C$31,Esc_Circ,$B103)+COUNTIFS(Esc_Turno,'Calc_Mix'!$C$31,Esc_Instr,$B103)&gt;0),"",IF(SUMPRODUCT('Calc_Mix'!$D$31:$W$31,'Matriz_Habilidades'!$D103:$W103)=0,"",SUMPRODUCT('Calc_Mix'!$D$31:$W$31,'Matriz_Habilidades'!$D103:$W103)/'Calc_Mix'!$X$31+ROW()*0.000001))</f>
        <v/>
      </c>
      <c r="AI103" s="34">
        <f>IF(OR($B103="",$C103&lt;&gt;"Ativo",$D103&lt;&gt;'Calc_Mix'!$C$32,'Calc_Mix'!$X$32=0,COUNTIFS(Esc_Turno,'Calc_Mix'!$C$32,Esc_Circ,$B103)+COUNTIFS(Esc_Turno,'Calc_Mix'!$C$32,Esc_Instr,$B103)&gt;0),"",IF(SUMPRODUCT('Calc_Mix'!$D$32:$W$32,'Matriz_Habilidades'!$D103:$W103)=0,"",SUMPRODUCT('Calc_Mix'!$D$32:$W$32,'Matriz_Habilidades'!$D103:$W103)/'Calc_Mix'!$X$32+ROW()*0.000001))</f>
        <v/>
      </c>
      <c r="AJ103" s="34">
        <f>IF(OR($B103="",$C103&lt;&gt;"Ativo",$D103&lt;&gt;'Calc_Mix'!$C$33,'Calc_Mix'!$X$33=0,COUNTIFS(Esc_Turno,'Calc_Mix'!$C$33,Esc_Circ,$B103)+COUNTIFS(Esc_Turno,'Calc_Mix'!$C$33,Esc_Instr,$B103)&gt;0),"",IF(SUMPRODUCT('Calc_Mix'!$D$33:$W$33,'Matriz_Habilidades'!$D103:$W103)=0,"",SUMPRODUCT('Calc_Mix'!$D$33:$W$33,'Matriz_Habilidades'!$D103:$W103)/'Calc_Mix'!$X$33+ROW()*0.000001))</f>
        <v/>
      </c>
      <c r="AK103" s="34">
        <f>IF(OR($B103="",$C103&lt;&gt;"Ativo",$D103&lt;&gt;'Calc_Mix'!$C$34,'Calc_Mix'!$X$34=0,COUNTIFS(Esc_Turno,'Calc_Mix'!$C$34,Esc_Circ,$B103)+COUNTIFS(Esc_Turno,'Calc_Mix'!$C$34,Esc_Instr,$B103)&gt;0),"",IF(SUMPRODUCT('Calc_Mix'!$D$34:$W$34,'Matriz_Habilidades'!$D103:$W103)=0,"",SUMPRODUCT('Calc_Mix'!$D$34:$W$34,'Matriz_Habilidades'!$D103:$W103)/'Calc_Mix'!$X$34+ROW()*0.000001))</f>
        <v/>
      </c>
      <c r="AL103" s="34">
        <f>IF(OR($B103="",$C103&lt;&gt;"Ativo",$D103&lt;&gt;'Calc_Mix'!$C$35,'Calc_Mix'!$X$35=0,COUNTIFS(Esc_Turno,'Calc_Mix'!$C$35,Esc_Circ,$B103)+COUNTIFS(Esc_Turno,'Calc_Mix'!$C$35,Esc_Instr,$B103)&gt;0),"",IF(SUMPRODUCT('Calc_Mix'!$D$35:$W$35,'Matriz_Habilidades'!$D103:$W103)=0,"",SUMPRODUCT('Calc_Mix'!$D$35:$W$35,'Matriz_Habilidades'!$D103:$W103)/'Calc_Mix'!$X$35+ROW()*0.000001))</f>
        <v/>
      </c>
      <c r="AM103" s="34">
        <f>IF(OR($B103="",$C103&lt;&gt;"Ativo",$D103&lt;&gt;'Calc_Mix'!$C$36,'Calc_Mix'!$X$36=0,COUNTIFS(Esc_Turno,'Calc_Mix'!$C$36,Esc_Circ,$B103)+COUNTIFS(Esc_Turno,'Calc_Mix'!$C$36,Esc_Instr,$B103)&gt;0),"",IF(SUMPRODUCT('Calc_Mix'!$D$36:$W$36,'Matriz_Habilidades'!$D103:$W103)=0,"",SUMPRODUCT('Calc_Mix'!$D$36:$W$36,'Matriz_Habilidades'!$D103:$W103)/'Calc_Mix'!$X$36+ROW()*0.000001))</f>
        <v/>
      </c>
      <c r="AN103" s="34">
        <f>IF(OR($B103="",$C103&lt;&gt;"Ativo",$D103&lt;&gt;'Calc_Mix'!$C$37,'Calc_Mix'!$X$37=0,COUNTIFS(Esc_Turno,'Calc_Mix'!$C$37,Esc_Circ,$B103)+COUNTIFS(Esc_Turno,'Calc_Mix'!$C$37,Esc_Instr,$B103)&gt;0),"",IF(SUMPRODUCT('Calc_Mix'!$D$37:$W$37,'Matriz_Habilidades'!$D103:$W103)=0,"",SUMPRODUCT('Calc_Mix'!$D$37:$W$37,'Matriz_Habilidades'!$D103:$W103)/'Calc_Mix'!$X$37+ROW()*0.000001))</f>
        <v/>
      </c>
    </row>
    <row r="104">
      <c r="A104" s="27">
        <f>IF('Matriz_Habilidades'!A104="","",'Matriz_Habilidades'!A104)</f>
        <v/>
      </c>
      <c r="B104" s="28">
        <f>IF('Matriz_Habilidades'!B104="","",'Matriz_Habilidades'!B104)</f>
        <v/>
      </c>
      <c r="C104" s="27">
        <f>IF($A104="","",IFERROR(INDEX(Equipe_Status,MATCH($B104,Equipe_Nome,0)),"?"))</f>
        <v/>
      </c>
      <c r="D104" s="27">
        <f>IF($A104="","",IFERROR(INDEX(Equipe_Turno,MATCH($B104,Equipe_Nome,0)),"?"))</f>
        <v/>
      </c>
      <c r="E104" s="34">
        <f>IF(OR($B104="",$C104&lt;&gt;"Ativo",$D104&lt;&gt;'Calc_Mix'!$C$2,'Calc_Mix'!$X$2=0,COUNTIFS(Esc_Turno,'Calc_Mix'!$C$2,Esc_Circ,$B104)+COUNTIFS(Esc_Turno,'Calc_Mix'!$C$2,Esc_Instr,$B104)&gt;0),"",IF(SUMPRODUCT('Calc_Mix'!$D$2:$W$2,'Matriz_Habilidades'!$D104:$W104)=0,"",SUMPRODUCT('Calc_Mix'!$D$2:$W$2,'Matriz_Habilidades'!$D104:$W104)/'Calc_Mix'!$X$2+ROW()*0.000001))</f>
        <v/>
      </c>
      <c r="F104" s="34">
        <f>IF(OR($B104="",$C104&lt;&gt;"Ativo",$D104&lt;&gt;'Calc_Mix'!$C$3,'Calc_Mix'!$X$3=0,COUNTIFS(Esc_Turno,'Calc_Mix'!$C$3,Esc_Circ,$B104)+COUNTIFS(Esc_Turno,'Calc_Mix'!$C$3,Esc_Instr,$B104)&gt;0),"",IF(SUMPRODUCT('Calc_Mix'!$D$3:$W$3,'Matriz_Habilidades'!$D104:$W104)=0,"",SUMPRODUCT('Calc_Mix'!$D$3:$W$3,'Matriz_Habilidades'!$D104:$W104)/'Calc_Mix'!$X$3+ROW()*0.000001))</f>
        <v/>
      </c>
      <c r="G104" s="34">
        <f>IF(OR($B104="",$C104&lt;&gt;"Ativo",$D104&lt;&gt;'Calc_Mix'!$C$4,'Calc_Mix'!$X$4=0,COUNTIFS(Esc_Turno,'Calc_Mix'!$C$4,Esc_Circ,$B104)+COUNTIFS(Esc_Turno,'Calc_Mix'!$C$4,Esc_Instr,$B104)&gt;0),"",IF(SUMPRODUCT('Calc_Mix'!$D$4:$W$4,'Matriz_Habilidades'!$D104:$W104)=0,"",SUMPRODUCT('Calc_Mix'!$D$4:$W$4,'Matriz_Habilidades'!$D104:$W104)/'Calc_Mix'!$X$4+ROW()*0.000001))</f>
        <v/>
      </c>
      <c r="H104" s="34">
        <f>IF(OR($B104="",$C104&lt;&gt;"Ativo",$D104&lt;&gt;'Calc_Mix'!$C$5,'Calc_Mix'!$X$5=0,COUNTIFS(Esc_Turno,'Calc_Mix'!$C$5,Esc_Circ,$B104)+COUNTIFS(Esc_Turno,'Calc_Mix'!$C$5,Esc_Instr,$B104)&gt;0),"",IF(SUMPRODUCT('Calc_Mix'!$D$5:$W$5,'Matriz_Habilidades'!$D104:$W104)=0,"",SUMPRODUCT('Calc_Mix'!$D$5:$W$5,'Matriz_Habilidades'!$D104:$W104)/'Calc_Mix'!$X$5+ROW()*0.000001))</f>
        <v/>
      </c>
      <c r="I104" s="34">
        <f>IF(OR($B104="",$C104&lt;&gt;"Ativo",$D104&lt;&gt;'Calc_Mix'!$C$6,'Calc_Mix'!$X$6=0,COUNTIFS(Esc_Turno,'Calc_Mix'!$C$6,Esc_Circ,$B104)+COUNTIFS(Esc_Turno,'Calc_Mix'!$C$6,Esc_Instr,$B104)&gt;0),"",IF(SUMPRODUCT('Calc_Mix'!$D$6:$W$6,'Matriz_Habilidades'!$D104:$W104)=0,"",SUMPRODUCT('Calc_Mix'!$D$6:$W$6,'Matriz_Habilidades'!$D104:$W104)/'Calc_Mix'!$X$6+ROW()*0.000001))</f>
        <v/>
      </c>
      <c r="J104" s="34">
        <f>IF(OR($B104="",$C104&lt;&gt;"Ativo",$D104&lt;&gt;'Calc_Mix'!$C$7,'Calc_Mix'!$X$7=0,COUNTIFS(Esc_Turno,'Calc_Mix'!$C$7,Esc_Circ,$B104)+COUNTIFS(Esc_Turno,'Calc_Mix'!$C$7,Esc_Instr,$B104)&gt;0),"",IF(SUMPRODUCT('Calc_Mix'!$D$7:$W$7,'Matriz_Habilidades'!$D104:$W104)=0,"",SUMPRODUCT('Calc_Mix'!$D$7:$W$7,'Matriz_Habilidades'!$D104:$W104)/'Calc_Mix'!$X$7+ROW()*0.000001))</f>
        <v/>
      </c>
      <c r="K104" s="34">
        <f>IF(OR($B104="",$C104&lt;&gt;"Ativo",$D104&lt;&gt;'Calc_Mix'!$C$8,'Calc_Mix'!$X$8=0,COUNTIFS(Esc_Turno,'Calc_Mix'!$C$8,Esc_Circ,$B104)+COUNTIFS(Esc_Turno,'Calc_Mix'!$C$8,Esc_Instr,$B104)&gt;0),"",IF(SUMPRODUCT('Calc_Mix'!$D$8:$W$8,'Matriz_Habilidades'!$D104:$W104)=0,"",SUMPRODUCT('Calc_Mix'!$D$8:$W$8,'Matriz_Habilidades'!$D104:$W104)/'Calc_Mix'!$X$8+ROW()*0.000001))</f>
        <v/>
      </c>
      <c r="L104" s="34">
        <f>IF(OR($B104="",$C104&lt;&gt;"Ativo",$D104&lt;&gt;'Calc_Mix'!$C$9,'Calc_Mix'!$X$9=0,COUNTIFS(Esc_Turno,'Calc_Mix'!$C$9,Esc_Circ,$B104)+COUNTIFS(Esc_Turno,'Calc_Mix'!$C$9,Esc_Instr,$B104)&gt;0),"",IF(SUMPRODUCT('Calc_Mix'!$D$9:$W$9,'Matriz_Habilidades'!$D104:$W104)=0,"",SUMPRODUCT('Calc_Mix'!$D$9:$W$9,'Matriz_Habilidades'!$D104:$W104)/'Calc_Mix'!$X$9+ROW()*0.000001))</f>
        <v/>
      </c>
      <c r="M104" s="34">
        <f>IF(OR($B104="",$C104&lt;&gt;"Ativo",$D104&lt;&gt;'Calc_Mix'!$C$10,'Calc_Mix'!$X$10=0,COUNTIFS(Esc_Turno,'Calc_Mix'!$C$10,Esc_Circ,$B104)+COUNTIFS(Esc_Turno,'Calc_Mix'!$C$10,Esc_Instr,$B104)&gt;0),"",IF(SUMPRODUCT('Calc_Mix'!$D$10:$W$10,'Matriz_Habilidades'!$D104:$W104)=0,"",SUMPRODUCT('Calc_Mix'!$D$10:$W$10,'Matriz_Habilidades'!$D104:$W104)/'Calc_Mix'!$X$10+ROW()*0.000001))</f>
        <v/>
      </c>
      <c r="N104" s="34">
        <f>IF(OR($B104="",$C104&lt;&gt;"Ativo",$D104&lt;&gt;'Calc_Mix'!$C$11,'Calc_Mix'!$X$11=0,COUNTIFS(Esc_Turno,'Calc_Mix'!$C$11,Esc_Circ,$B104)+COUNTIFS(Esc_Turno,'Calc_Mix'!$C$11,Esc_Instr,$B104)&gt;0),"",IF(SUMPRODUCT('Calc_Mix'!$D$11:$W$11,'Matriz_Habilidades'!$D104:$W104)=0,"",SUMPRODUCT('Calc_Mix'!$D$11:$W$11,'Matriz_Habilidades'!$D104:$W104)/'Calc_Mix'!$X$11+ROW()*0.000001))</f>
        <v/>
      </c>
      <c r="O104" s="34">
        <f>IF(OR($B104="",$C104&lt;&gt;"Ativo",$D104&lt;&gt;'Calc_Mix'!$C$12,'Calc_Mix'!$X$12=0,COUNTIFS(Esc_Turno,'Calc_Mix'!$C$12,Esc_Circ,$B104)+COUNTIFS(Esc_Turno,'Calc_Mix'!$C$12,Esc_Instr,$B104)&gt;0),"",IF(SUMPRODUCT('Calc_Mix'!$D$12:$W$12,'Matriz_Habilidades'!$D104:$W104)=0,"",SUMPRODUCT('Calc_Mix'!$D$12:$W$12,'Matriz_Habilidades'!$D104:$W104)/'Calc_Mix'!$X$12+ROW()*0.000001))</f>
        <v/>
      </c>
      <c r="P104" s="34">
        <f>IF(OR($B104="",$C104&lt;&gt;"Ativo",$D104&lt;&gt;'Calc_Mix'!$C$13,'Calc_Mix'!$X$13=0,COUNTIFS(Esc_Turno,'Calc_Mix'!$C$13,Esc_Circ,$B104)+COUNTIFS(Esc_Turno,'Calc_Mix'!$C$13,Esc_Instr,$B104)&gt;0),"",IF(SUMPRODUCT('Calc_Mix'!$D$13:$W$13,'Matriz_Habilidades'!$D104:$W104)=0,"",SUMPRODUCT('Calc_Mix'!$D$13:$W$13,'Matriz_Habilidades'!$D104:$W104)/'Calc_Mix'!$X$13+ROW()*0.000001))</f>
        <v/>
      </c>
      <c r="Q104" s="34">
        <f>IF(OR($B104="",$C104&lt;&gt;"Ativo",$D104&lt;&gt;'Calc_Mix'!$C$14,'Calc_Mix'!$X$14=0,COUNTIFS(Esc_Turno,'Calc_Mix'!$C$14,Esc_Circ,$B104)+COUNTIFS(Esc_Turno,'Calc_Mix'!$C$14,Esc_Instr,$B104)&gt;0),"",IF(SUMPRODUCT('Calc_Mix'!$D$14:$W$14,'Matriz_Habilidades'!$D104:$W104)=0,"",SUMPRODUCT('Calc_Mix'!$D$14:$W$14,'Matriz_Habilidades'!$D104:$W104)/'Calc_Mix'!$X$14+ROW()*0.000001))</f>
        <v/>
      </c>
      <c r="R104" s="34">
        <f>IF(OR($B104="",$C104&lt;&gt;"Ativo",$D104&lt;&gt;'Calc_Mix'!$C$15,'Calc_Mix'!$X$15=0,COUNTIFS(Esc_Turno,'Calc_Mix'!$C$15,Esc_Circ,$B104)+COUNTIFS(Esc_Turno,'Calc_Mix'!$C$15,Esc_Instr,$B104)&gt;0),"",IF(SUMPRODUCT('Calc_Mix'!$D$15:$W$15,'Matriz_Habilidades'!$D104:$W104)=0,"",SUMPRODUCT('Calc_Mix'!$D$15:$W$15,'Matriz_Habilidades'!$D104:$W104)/'Calc_Mix'!$X$15+ROW()*0.000001))</f>
        <v/>
      </c>
      <c r="S104" s="34">
        <f>IF(OR($B104="",$C104&lt;&gt;"Ativo",$D104&lt;&gt;'Calc_Mix'!$C$16,'Calc_Mix'!$X$16=0,COUNTIFS(Esc_Turno,'Calc_Mix'!$C$16,Esc_Circ,$B104)+COUNTIFS(Esc_Turno,'Calc_Mix'!$C$16,Esc_Instr,$B104)&gt;0),"",IF(SUMPRODUCT('Calc_Mix'!$D$16:$W$16,'Matriz_Habilidades'!$D104:$W104)=0,"",SUMPRODUCT('Calc_Mix'!$D$16:$W$16,'Matriz_Habilidades'!$D104:$W104)/'Calc_Mix'!$X$16+ROW()*0.000001))</f>
        <v/>
      </c>
      <c r="T104" s="34">
        <f>IF(OR($B104="",$C104&lt;&gt;"Ativo",$D104&lt;&gt;'Calc_Mix'!$C$17,'Calc_Mix'!$X$17=0,COUNTIFS(Esc_Turno,'Calc_Mix'!$C$17,Esc_Circ,$B104)+COUNTIFS(Esc_Turno,'Calc_Mix'!$C$17,Esc_Instr,$B104)&gt;0),"",IF(SUMPRODUCT('Calc_Mix'!$D$17:$W$17,'Matriz_Habilidades'!$D104:$W104)=0,"",SUMPRODUCT('Calc_Mix'!$D$17:$W$17,'Matriz_Habilidades'!$D104:$W104)/'Calc_Mix'!$X$17+ROW()*0.000001))</f>
        <v/>
      </c>
      <c r="U104" s="34">
        <f>IF(OR($B104="",$C104&lt;&gt;"Ativo",$D104&lt;&gt;'Calc_Mix'!$C$18,'Calc_Mix'!$X$18=0,COUNTIFS(Esc_Turno,'Calc_Mix'!$C$18,Esc_Circ,$B104)+COUNTIFS(Esc_Turno,'Calc_Mix'!$C$18,Esc_Instr,$B104)&gt;0),"",IF(SUMPRODUCT('Calc_Mix'!$D$18:$W$18,'Matriz_Habilidades'!$D104:$W104)=0,"",SUMPRODUCT('Calc_Mix'!$D$18:$W$18,'Matriz_Habilidades'!$D104:$W104)/'Calc_Mix'!$X$18+ROW()*0.000001))</f>
        <v/>
      </c>
      <c r="V104" s="34">
        <f>IF(OR($B104="",$C104&lt;&gt;"Ativo",$D104&lt;&gt;'Calc_Mix'!$C$19,'Calc_Mix'!$X$19=0,COUNTIFS(Esc_Turno,'Calc_Mix'!$C$19,Esc_Circ,$B104)+COUNTIFS(Esc_Turno,'Calc_Mix'!$C$19,Esc_Instr,$B104)&gt;0),"",IF(SUMPRODUCT('Calc_Mix'!$D$19:$W$19,'Matriz_Habilidades'!$D104:$W104)=0,"",SUMPRODUCT('Calc_Mix'!$D$19:$W$19,'Matriz_Habilidades'!$D104:$W104)/'Calc_Mix'!$X$19+ROW()*0.000001))</f>
        <v/>
      </c>
      <c r="W104" s="34">
        <f>IF(OR($B104="",$C104&lt;&gt;"Ativo",$D104&lt;&gt;'Calc_Mix'!$C$20,'Calc_Mix'!$X$20=0,COUNTIFS(Esc_Turno,'Calc_Mix'!$C$20,Esc_Circ,$B104)+COUNTIFS(Esc_Turno,'Calc_Mix'!$C$20,Esc_Instr,$B104)&gt;0),"",IF(SUMPRODUCT('Calc_Mix'!$D$20:$W$20,'Matriz_Habilidades'!$D104:$W104)=0,"",SUMPRODUCT('Calc_Mix'!$D$20:$W$20,'Matriz_Habilidades'!$D104:$W104)/'Calc_Mix'!$X$20+ROW()*0.000001))</f>
        <v/>
      </c>
      <c r="X104" s="34">
        <f>IF(OR($B104="",$C104&lt;&gt;"Ativo",$D104&lt;&gt;'Calc_Mix'!$C$21,'Calc_Mix'!$X$21=0,COUNTIFS(Esc_Turno,'Calc_Mix'!$C$21,Esc_Circ,$B104)+COUNTIFS(Esc_Turno,'Calc_Mix'!$C$21,Esc_Instr,$B104)&gt;0),"",IF(SUMPRODUCT('Calc_Mix'!$D$21:$W$21,'Matriz_Habilidades'!$D104:$W104)=0,"",SUMPRODUCT('Calc_Mix'!$D$21:$W$21,'Matriz_Habilidades'!$D104:$W104)/'Calc_Mix'!$X$21+ROW()*0.000001))</f>
        <v/>
      </c>
      <c r="Y104" s="34">
        <f>IF(OR($B104="",$C104&lt;&gt;"Ativo",$D104&lt;&gt;'Calc_Mix'!$C$22,'Calc_Mix'!$X$22=0,COUNTIFS(Esc_Turno,'Calc_Mix'!$C$22,Esc_Circ,$B104)+COUNTIFS(Esc_Turno,'Calc_Mix'!$C$22,Esc_Instr,$B104)&gt;0),"",IF(SUMPRODUCT('Calc_Mix'!$D$22:$W$22,'Matriz_Habilidades'!$D104:$W104)=0,"",SUMPRODUCT('Calc_Mix'!$D$22:$W$22,'Matriz_Habilidades'!$D104:$W104)/'Calc_Mix'!$X$22+ROW()*0.000001))</f>
        <v/>
      </c>
      <c r="Z104" s="34">
        <f>IF(OR($B104="",$C104&lt;&gt;"Ativo",$D104&lt;&gt;'Calc_Mix'!$C$23,'Calc_Mix'!$X$23=0,COUNTIFS(Esc_Turno,'Calc_Mix'!$C$23,Esc_Circ,$B104)+COUNTIFS(Esc_Turno,'Calc_Mix'!$C$23,Esc_Instr,$B104)&gt;0),"",IF(SUMPRODUCT('Calc_Mix'!$D$23:$W$23,'Matriz_Habilidades'!$D104:$W104)=0,"",SUMPRODUCT('Calc_Mix'!$D$23:$W$23,'Matriz_Habilidades'!$D104:$W104)/'Calc_Mix'!$X$23+ROW()*0.000001))</f>
        <v/>
      </c>
      <c r="AA104" s="34">
        <f>IF(OR($B104="",$C104&lt;&gt;"Ativo",$D104&lt;&gt;'Calc_Mix'!$C$24,'Calc_Mix'!$X$24=0,COUNTIFS(Esc_Turno,'Calc_Mix'!$C$24,Esc_Circ,$B104)+COUNTIFS(Esc_Turno,'Calc_Mix'!$C$24,Esc_Instr,$B104)&gt;0),"",IF(SUMPRODUCT('Calc_Mix'!$D$24:$W$24,'Matriz_Habilidades'!$D104:$W104)=0,"",SUMPRODUCT('Calc_Mix'!$D$24:$W$24,'Matriz_Habilidades'!$D104:$W104)/'Calc_Mix'!$X$24+ROW()*0.000001))</f>
        <v/>
      </c>
      <c r="AB104" s="34">
        <f>IF(OR($B104="",$C104&lt;&gt;"Ativo",$D104&lt;&gt;'Calc_Mix'!$C$25,'Calc_Mix'!$X$25=0,COUNTIFS(Esc_Turno,'Calc_Mix'!$C$25,Esc_Circ,$B104)+COUNTIFS(Esc_Turno,'Calc_Mix'!$C$25,Esc_Instr,$B104)&gt;0),"",IF(SUMPRODUCT('Calc_Mix'!$D$25:$W$25,'Matriz_Habilidades'!$D104:$W104)=0,"",SUMPRODUCT('Calc_Mix'!$D$25:$W$25,'Matriz_Habilidades'!$D104:$W104)/'Calc_Mix'!$X$25+ROW()*0.000001))</f>
        <v/>
      </c>
      <c r="AC104" s="34">
        <f>IF(OR($B104="",$C104&lt;&gt;"Ativo",$D104&lt;&gt;'Calc_Mix'!$C$26,'Calc_Mix'!$X$26=0,COUNTIFS(Esc_Turno,'Calc_Mix'!$C$26,Esc_Circ,$B104)+COUNTIFS(Esc_Turno,'Calc_Mix'!$C$26,Esc_Instr,$B104)&gt;0),"",IF(SUMPRODUCT('Calc_Mix'!$D$26:$W$26,'Matriz_Habilidades'!$D104:$W104)=0,"",SUMPRODUCT('Calc_Mix'!$D$26:$W$26,'Matriz_Habilidades'!$D104:$W104)/'Calc_Mix'!$X$26+ROW()*0.000001))</f>
        <v/>
      </c>
      <c r="AD104" s="34">
        <f>IF(OR($B104="",$C104&lt;&gt;"Ativo",$D104&lt;&gt;'Calc_Mix'!$C$27,'Calc_Mix'!$X$27=0,COUNTIFS(Esc_Turno,'Calc_Mix'!$C$27,Esc_Circ,$B104)+COUNTIFS(Esc_Turno,'Calc_Mix'!$C$27,Esc_Instr,$B104)&gt;0),"",IF(SUMPRODUCT('Calc_Mix'!$D$27:$W$27,'Matriz_Habilidades'!$D104:$W104)=0,"",SUMPRODUCT('Calc_Mix'!$D$27:$W$27,'Matriz_Habilidades'!$D104:$W104)/'Calc_Mix'!$X$27+ROW()*0.000001))</f>
        <v/>
      </c>
      <c r="AE104" s="34">
        <f>IF(OR($B104="",$C104&lt;&gt;"Ativo",$D104&lt;&gt;'Calc_Mix'!$C$28,'Calc_Mix'!$X$28=0,COUNTIFS(Esc_Turno,'Calc_Mix'!$C$28,Esc_Circ,$B104)+COUNTIFS(Esc_Turno,'Calc_Mix'!$C$28,Esc_Instr,$B104)&gt;0),"",IF(SUMPRODUCT('Calc_Mix'!$D$28:$W$28,'Matriz_Habilidades'!$D104:$W104)=0,"",SUMPRODUCT('Calc_Mix'!$D$28:$W$28,'Matriz_Habilidades'!$D104:$W104)/'Calc_Mix'!$X$28+ROW()*0.000001))</f>
        <v/>
      </c>
      <c r="AF104" s="34">
        <f>IF(OR($B104="",$C104&lt;&gt;"Ativo",$D104&lt;&gt;'Calc_Mix'!$C$29,'Calc_Mix'!$X$29=0,COUNTIFS(Esc_Turno,'Calc_Mix'!$C$29,Esc_Circ,$B104)+COUNTIFS(Esc_Turno,'Calc_Mix'!$C$29,Esc_Instr,$B104)&gt;0),"",IF(SUMPRODUCT('Calc_Mix'!$D$29:$W$29,'Matriz_Habilidades'!$D104:$W104)=0,"",SUMPRODUCT('Calc_Mix'!$D$29:$W$29,'Matriz_Habilidades'!$D104:$W104)/'Calc_Mix'!$X$29+ROW()*0.000001))</f>
        <v/>
      </c>
      <c r="AG104" s="34">
        <f>IF(OR($B104="",$C104&lt;&gt;"Ativo",$D104&lt;&gt;'Calc_Mix'!$C$30,'Calc_Mix'!$X$30=0,COUNTIFS(Esc_Turno,'Calc_Mix'!$C$30,Esc_Circ,$B104)+COUNTIFS(Esc_Turno,'Calc_Mix'!$C$30,Esc_Instr,$B104)&gt;0),"",IF(SUMPRODUCT('Calc_Mix'!$D$30:$W$30,'Matriz_Habilidades'!$D104:$W104)=0,"",SUMPRODUCT('Calc_Mix'!$D$30:$W$30,'Matriz_Habilidades'!$D104:$W104)/'Calc_Mix'!$X$30+ROW()*0.000001))</f>
        <v/>
      </c>
      <c r="AH104" s="34">
        <f>IF(OR($B104="",$C104&lt;&gt;"Ativo",$D104&lt;&gt;'Calc_Mix'!$C$31,'Calc_Mix'!$X$31=0,COUNTIFS(Esc_Turno,'Calc_Mix'!$C$31,Esc_Circ,$B104)+COUNTIFS(Esc_Turno,'Calc_Mix'!$C$31,Esc_Instr,$B104)&gt;0),"",IF(SUMPRODUCT('Calc_Mix'!$D$31:$W$31,'Matriz_Habilidades'!$D104:$W104)=0,"",SUMPRODUCT('Calc_Mix'!$D$31:$W$31,'Matriz_Habilidades'!$D104:$W104)/'Calc_Mix'!$X$31+ROW()*0.000001))</f>
        <v/>
      </c>
      <c r="AI104" s="34">
        <f>IF(OR($B104="",$C104&lt;&gt;"Ativo",$D104&lt;&gt;'Calc_Mix'!$C$32,'Calc_Mix'!$X$32=0,COUNTIFS(Esc_Turno,'Calc_Mix'!$C$32,Esc_Circ,$B104)+COUNTIFS(Esc_Turno,'Calc_Mix'!$C$32,Esc_Instr,$B104)&gt;0),"",IF(SUMPRODUCT('Calc_Mix'!$D$32:$W$32,'Matriz_Habilidades'!$D104:$W104)=0,"",SUMPRODUCT('Calc_Mix'!$D$32:$W$32,'Matriz_Habilidades'!$D104:$W104)/'Calc_Mix'!$X$32+ROW()*0.000001))</f>
        <v/>
      </c>
      <c r="AJ104" s="34">
        <f>IF(OR($B104="",$C104&lt;&gt;"Ativo",$D104&lt;&gt;'Calc_Mix'!$C$33,'Calc_Mix'!$X$33=0,COUNTIFS(Esc_Turno,'Calc_Mix'!$C$33,Esc_Circ,$B104)+COUNTIFS(Esc_Turno,'Calc_Mix'!$C$33,Esc_Instr,$B104)&gt;0),"",IF(SUMPRODUCT('Calc_Mix'!$D$33:$W$33,'Matriz_Habilidades'!$D104:$W104)=0,"",SUMPRODUCT('Calc_Mix'!$D$33:$W$33,'Matriz_Habilidades'!$D104:$W104)/'Calc_Mix'!$X$33+ROW()*0.000001))</f>
        <v/>
      </c>
      <c r="AK104" s="34">
        <f>IF(OR($B104="",$C104&lt;&gt;"Ativo",$D104&lt;&gt;'Calc_Mix'!$C$34,'Calc_Mix'!$X$34=0,COUNTIFS(Esc_Turno,'Calc_Mix'!$C$34,Esc_Circ,$B104)+COUNTIFS(Esc_Turno,'Calc_Mix'!$C$34,Esc_Instr,$B104)&gt;0),"",IF(SUMPRODUCT('Calc_Mix'!$D$34:$W$34,'Matriz_Habilidades'!$D104:$W104)=0,"",SUMPRODUCT('Calc_Mix'!$D$34:$W$34,'Matriz_Habilidades'!$D104:$W104)/'Calc_Mix'!$X$34+ROW()*0.000001))</f>
        <v/>
      </c>
      <c r="AL104" s="34">
        <f>IF(OR($B104="",$C104&lt;&gt;"Ativo",$D104&lt;&gt;'Calc_Mix'!$C$35,'Calc_Mix'!$X$35=0,COUNTIFS(Esc_Turno,'Calc_Mix'!$C$35,Esc_Circ,$B104)+COUNTIFS(Esc_Turno,'Calc_Mix'!$C$35,Esc_Instr,$B104)&gt;0),"",IF(SUMPRODUCT('Calc_Mix'!$D$35:$W$35,'Matriz_Habilidades'!$D104:$W104)=0,"",SUMPRODUCT('Calc_Mix'!$D$35:$W$35,'Matriz_Habilidades'!$D104:$W104)/'Calc_Mix'!$X$35+ROW()*0.000001))</f>
        <v/>
      </c>
      <c r="AM104" s="34">
        <f>IF(OR($B104="",$C104&lt;&gt;"Ativo",$D104&lt;&gt;'Calc_Mix'!$C$36,'Calc_Mix'!$X$36=0,COUNTIFS(Esc_Turno,'Calc_Mix'!$C$36,Esc_Circ,$B104)+COUNTIFS(Esc_Turno,'Calc_Mix'!$C$36,Esc_Instr,$B104)&gt;0),"",IF(SUMPRODUCT('Calc_Mix'!$D$36:$W$36,'Matriz_Habilidades'!$D104:$W104)=0,"",SUMPRODUCT('Calc_Mix'!$D$36:$W$36,'Matriz_Habilidades'!$D104:$W104)/'Calc_Mix'!$X$36+ROW()*0.000001))</f>
        <v/>
      </c>
      <c r="AN104" s="34">
        <f>IF(OR($B104="",$C104&lt;&gt;"Ativo",$D104&lt;&gt;'Calc_Mix'!$C$37,'Calc_Mix'!$X$37=0,COUNTIFS(Esc_Turno,'Calc_Mix'!$C$37,Esc_Circ,$B104)+COUNTIFS(Esc_Turno,'Calc_Mix'!$C$37,Esc_Instr,$B104)&gt;0),"",IF(SUMPRODUCT('Calc_Mix'!$D$37:$W$37,'Matriz_Habilidades'!$D104:$W104)=0,"",SUMPRODUCT('Calc_Mix'!$D$37:$W$37,'Matriz_Habilidades'!$D104:$W104)/'Calc_Mix'!$X$37+ROW()*0.000001))</f>
        <v/>
      </c>
    </row>
    <row r="105">
      <c r="A105" s="27">
        <f>IF('Matriz_Habilidades'!A105="","",'Matriz_Habilidades'!A105)</f>
        <v/>
      </c>
      <c r="B105" s="28">
        <f>IF('Matriz_Habilidades'!B105="","",'Matriz_Habilidades'!B105)</f>
        <v/>
      </c>
      <c r="C105" s="27">
        <f>IF($A105="","",IFERROR(INDEX(Equipe_Status,MATCH($B105,Equipe_Nome,0)),"?"))</f>
        <v/>
      </c>
      <c r="D105" s="27">
        <f>IF($A105="","",IFERROR(INDEX(Equipe_Turno,MATCH($B105,Equipe_Nome,0)),"?"))</f>
        <v/>
      </c>
      <c r="E105" s="34">
        <f>IF(OR($B105="",$C105&lt;&gt;"Ativo",$D105&lt;&gt;'Calc_Mix'!$C$2,'Calc_Mix'!$X$2=0,COUNTIFS(Esc_Turno,'Calc_Mix'!$C$2,Esc_Circ,$B105)+COUNTIFS(Esc_Turno,'Calc_Mix'!$C$2,Esc_Instr,$B105)&gt;0),"",IF(SUMPRODUCT('Calc_Mix'!$D$2:$W$2,'Matriz_Habilidades'!$D105:$W105)=0,"",SUMPRODUCT('Calc_Mix'!$D$2:$W$2,'Matriz_Habilidades'!$D105:$W105)/'Calc_Mix'!$X$2+ROW()*0.000001))</f>
        <v/>
      </c>
      <c r="F105" s="34">
        <f>IF(OR($B105="",$C105&lt;&gt;"Ativo",$D105&lt;&gt;'Calc_Mix'!$C$3,'Calc_Mix'!$X$3=0,COUNTIFS(Esc_Turno,'Calc_Mix'!$C$3,Esc_Circ,$B105)+COUNTIFS(Esc_Turno,'Calc_Mix'!$C$3,Esc_Instr,$B105)&gt;0),"",IF(SUMPRODUCT('Calc_Mix'!$D$3:$W$3,'Matriz_Habilidades'!$D105:$W105)=0,"",SUMPRODUCT('Calc_Mix'!$D$3:$W$3,'Matriz_Habilidades'!$D105:$W105)/'Calc_Mix'!$X$3+ROW()*0.000001))</f>
        <v/>
      </c>
      <c r="G105" s="34">
        <f>IF(OR($B105="",$C105&lt;&gt;"Ativo",$D105&lt;&gt;'Calc_Mix'!$C$4,'Calc_Mix'!$X$4=0,COUNTIFS(Esc_Turno,'Calc_Mix'!$C$4,Esc_Circ,$B105)+COUNTIFS(Esc_Turno,'Calc_Mix'!$C$4,Esc_Instr,$B105)&gt;0),"",IF(SUMPRODUCT('Calc_Mix'!$D$4:$W$4,'Matriz_Habilidades'!$D105:$W105)=0,"",SUMPRODUCT('Calc_Mix'!$D$4:$W$4,'Matriz_Habilidades'!$D105:$W105)/'Calc_Mix'!$X$4+ROW()*0.000001))</f>
        <v/>
      </c>
      <c r="H105" s="34">
        <f>IF(OR($B105="",$C105&lt;&gt;"Ativo",$D105&lt;&gt;'Calc_Mix'!$C$5,'Calc_Mix'!$X$5=0,COUNTIFS(Esc_Turno,'Calc_Mix'!$C$5,Esc_Circ,$B105)+COUNTIFS(Esc_Turno,'Calc_Mix'!$C$5,Esc_Instr,$B105)&gt;0),"",IF(SUMPRODUCT('Calc_Mix'!$D$5:$W$5,'Matriz_Habilidades'!$D105:$W105)=0,"",SUMPRODUCT('Calc_Mix'!$D$5:$W$5,'Matriz_Habilidades'!$D105:$W105)/'Calc_Mix'!$X$5+ROW()*0.000001))</f>
        <v/>
      </c>
      <c r="I105" s="34">
        <f>IF(OR($B105="",$C105&lt;&gt;"Ativo",$D105&lt;&gt;'Calc_Mix'!$C$6,'Calc_Mix'!$X$6=0,COUNTIFS(Esc_Turno,'Calc_Mix'!$C$6,Esc_Circ,$B105)+COUNTIFS(Esc_Turno,'Calc_Mix'!$C$6,Esc_Instr,$B105)&gt;0),"",IF(SUMPRODUCT('Calc_Mix'!$D$6:$W$6,'Matriz_Habilidades'!$D105:$W105)=0,"",SUMPRODUCT('Calc_Mix'!$D$6:$W$6,'Matriz_Habilidades'!$D105:$W105)/'Calc_Mix'!$X$6+ROW()*0.000001))</f>
        <v/>
      </c>
      <c r="J105" s="34">
        <f>IF(OR($B105="",$C105&lt;&gt;"Ativo",$D105&lt;&gt;'Calc_Mix'!$C$7,'Calc_Mix'!$X$7=0,COUNTIFS(Esc_Turno,'Calc_Mix'!$C$7,Esc_Circ,$B105)+COUNTIFS(Esc_Turno,'Calc_Mix'!$C$7,Esc_Instr,$B105)&gt;0),"",IF(SUMPRODUCT('Calc_Mix'!$D$7:$W$7,'Matriz_Habilidades'!$D105:$W105)=0,"",SUMPRODUCT('Calc_Mix'!$D$7:$W$7,'Matriz_Habilidades'!$D105:$W105)/'Calc_Mix'!$X$7+ROW()*0.000001))</f>
        <v/>
      </c>
      <c r="K105" s="34">
        <f>IF(OR($B105="",$C105&lt;&gt;"Ativo",$D105&lt;&gt;'Calc_Mix'!$C$8,'Calc_Mix'!$X$8=0,COUNTIFS(Esc_Turno,'Calc_Mix'!$C$8,Esc_Circ,$B105)+COUNTIFS(Esc_Turno,'Calc_Mix'!$C$8,Esc_Instr,$B105)&gt;0),"",IF(SUMPRODUCT('Calc_Mix'!$D$8:$W$8,'Matriz_Habilidades'!$D105:$W105)=0,"",SUMPRODUCT('Calc_Mix'!$D$8:$W$8,'Matriz_Habilidades'!$D105:$W105)/'Calc_Mix'!$X$8+ROW()*0.000001))</f>
        <v/>
      </c>
      <c r="L105" s="34">
        <f>IF(OR($B105="",$C105&lt;&gt;"Ativo",$D105&lt;&gt;'Calc_Mix'!$C$9,'Calc_Mix'!$X$9=0,COUNTIFS(Esc_Turno,'Calc_Mix'!$C$9,Esc_Circ,$B105)+COUNTIFS(Esc_Turno,'Calc_Mix'!$C$9,Esc_Instr,$B105)&gt;0),"",IF(SUMPRODUCT('Calc_Mix'!$D$9:$W$9,'Matriz_Habilidades'!$D105:$W105)=0,"",SUMPRODUCT('Calc_Mix'!$D$9:$W$9,'Matriz_Habilidades'!$D105:$W105)/'Calc_Mix'!$X$9+ROW()*0.000001))</f>
        <v/>
      </c>
      <c r="M105" s="34">
        <f>IF(OR($B105="",$C105&lt;&gt;"Ativo",$D105&lt;&gt;'Calc_Mix'!$C$10,'Calc_Mix'!$X$10=0,COUNTIFS(Esc_Turno,'Calc_Mix'!$C$10,Esc_Circ,$B105)+COUNTIFS(Esc_Turno,'Calc_Mix'!$C$10,Esc_Instr,$B105)&gt;0),"",IF(SUMPRODUCT('Calc_Mix'!$D$10:$W$10,'Matriz_Habilidades'!$D105:$W105)=0,"",SUMPRODUCT('Calc_Mix'!$D$10:$W$10,'Matriz_Habilidades'!$D105:$W105)/'Calc_Mix'!$X$10+ROW()*0.000001))</f>
        <v/>
      </c>
      <c r="N105" s="34">
        <f>IF(OR($B105="",$C105&lt;&gt;"Ativo",$D105&lt;&gt;'Calc_Mix'!$C$11,'Calc_Mix'!$X$11=0,COUNTIFS(Esc_Turno,'Calc_Mix'!$C$11,Esc_Circ,$B105)+COUNTIFS(Esc_Turno,'Calc_Mix'!$C$11,Esc_Instr,$B105)&gt;0),"",IF(SUMPRODUCT('Calc_Mix'!$D$11:$W$11,'Matriz_Habilidades'!$D105:$W105)=0,"",SUMPRODUCT('Calc_Mix'!$D$11:$W$11,'Matriz_Habilidades'!$D105:$W105)/'Calc_Mix'!$X$11+ROW()*0.000001))</f>
        <v/>
      </c>
      <c r="O105" s="34">
        <f>IF(OR($B105="",$C105&lt;&gt;"Ativo",$D105&lt;&gt;'Calc_Mix'!$C$12,'Calc_Mix'!$X$12=0,COUNTIFS(Esc_Turno,'Calc_Mix'!$C$12,Esc_Circ,$B105)+COUNTIFS(Esc_Turno,'Calc_Mix'!$C$12,Esc_Instr,$B105)&gt;0),"",IF(SUMPRODUCT('Calc_Mix'!$D$12:$W$12,'Matriz_Habilidades'!$D105:$W105)=0,"",SUMPRODUCT('Calc_Mix'!$D$12:$W$12,'Matriz_Habilidades'!$D105:$W105)/'Calc_Mix'!$X$12+ROW()*0.000001))</f>
        <v/>
      </c>
      <c r="P105" s="34">
        <f>IF(OR($B105="",$C105&lt;&gt;"Ativo",$D105&lt;&gt;'Calc_Mix'!$C$13,'Calc_Mix'!$X$13=0,COUNTIFS(Esc_Turno,'Calc_Mix'!$C$13,Esc_Circ,$B105)+COUNTIFS(Esc_Turno,'Calc_Mix'!$C$13,Esc_Instr,$B105)&gt;0),"",IF(SUMPRODUCT('Calc_Mix'!$D$13:$W$13,'Matriz_Habilidades'!$D105:$W105)=0,"",SUMPRODUCT('Calc_Mix'!$D$13:$W$13,'Matriz_Habilidades'!$D105:$W105)/'Calc_Mix'!$X$13+ROW()*0.000001))</f>
        <v/>
      </c>
      <c r="Q105" s="34">
        <f>IF(OR($B105="",$C105&lt;&gt;"Ativo",$D105&lt;&gt;'Calc_Mix'!$C$14,'Calc_Mix'!$X$14=0,COUNTIFS(Esc_Turno,'Calc_Mix'!$C$14,Esc_Circ,$B105)+COUNTIFS(Esc_Turno,'Calc_Mix'!$C$14,Esc_Instr,$B105)&gt;0),"",IF(SUMPRODUCT('Calc_Mix'!$D$14:$W$14,'Matriz_Habilidades'!$D105:$W105)=0,"",SUMPRODUCT('Calc_Mix'!$D$14:$W$14,'Matriz_Habilidades'!$D105:$W105)/'Calc_Mix'!$X$14+ROW()*0.000001))</f>
        <v/>
      </c>
      <c r="R105" s="34">
        <f>IF(OR($B105="",$C105&lt;&gt;"Ativo",$D105&lt;&gt;'Calc_Mix'!$C$15,'Calc_Mix'!$X$15=0,COUNTIFS(Esc_Turno,'Calc_Mix'!$C$15,Esc_Circ,$B105)+COUNTIFS(Esc_Turno,'Calc_Mix'!$C$15,Esc_Instr,$B105)&gt;0),"",IF(SUMPRODUCT('Calc_Mix'!$D$15:$W$15,'Matriz_Habilidades'!$D105:$W105)=0,"",SUMPRODUCT('Calc_Mix'!$D$15:$W$15,'Matriz_Habilidades'!$D105:$W105)/'Calc_Mix'!$X$15+ROW()*0.000001))</f>
        <v/>
      </c>
      <c r="S105" s="34">
        <f>IF(OR($B105="",$C105&lt;&gt;"Ativo",$D105&lt;&gt;'Calc_Mix'!$C$16,'Calc_Mix'!$X$16=0,COUNTIFS(Esc_Turno,'Calc_Mix'!$C$16,Esc_Circ,$B105)+COUNTIFS(Esc_Turno,'Calc_Mix'!$C$16,Esc_Instr,$B105)&gt;0),"",IF(SUMPRODUCT('Calc_Mix'!$D$16:$W$16,'Matriz_Habilidades'!$D105:$W105)=0,"",SUMPRODUCT('Calc_Mix'!$D$16:$W$16,'Matriz_Habilidades'!$D105:$W105)/'Calc_Mix'!$X$16+ROW()*0.000001))</f>
        <v/>
      </c>
      <c r="T105" s="34">
        <f>IF(OR($B105="",$C105&lt;&gt;"Ativo",$D105&lt;&gt;'Calc_Mix'!$C$17,'Calc_Mix'!$X$17=0,COUNTIFS(Esc_Turno,'Calc_Mix'!$C$17,Esc_Circ,$B105)+COUNTIFS(Esc_Turno,'Calc_Mix'!$C$17,Esc_Instr,$B105)&gt;0),"",IF(SUMPRODUCT('Calc_Mix'!$D$17:$W$17,'Matriz_Habilidades'!$D105:$W105)=0,"",SUMPRODUCT('Calc_Mix'!$D$17:$W$17,'Matriz_Habilidades'!$D105:$W105)/'Calc_Mix'!$X$17+ROW()*0.000001))</f>
        <v/>
      </c>
      <c r="U105" s="34">
        <f>IF(OR($B105="",$C105&lt;&gt;"Ativo",$D105&lt;&gt;'Calc_Mix'!$C$18,'Calc_Mix'!$X$18=0,COUNTIFS(Esc_Turno,'Calc_Mix'!$C$18,Esc_Circ,$B105)+COUNTIFS(Esc_Turno,'Calc_Mix'!$C$18,Esc_Instr,$B105)&gt;0),"",IF(SUMPRODUCT('Calc_Mix'!$D$18:$W$18,'Matriz_Habilidades'!$D105:$W105)=0,"",SUMPRODUCT('Calc_Mix'!$D$18:$W$18,'Matriz_Habilidades'!$D105:$W105)/'Calc_Mix'!$X$18+ROW()*0.000001))</f>
        <v/>
      </c>
      <c r="V105" s="34">
        <f>IF(OR($B105="",$C105&lt;&gt;"Ativo",$D105&lt;&gt;'Calc_Mix'!$C$19,'Calc_Mix'!$X$19=0,COUNTIFS(Esc_Turno,'Calc_Mix'!$C$19,Esc_Circ,$B105)+COUNTIFS(Esc_Turno,'Calc_Mix'!$C$19,Esc_Instr,$B105)&gt;0),"",IF(SUMPRODUCT('Calc_Mix'!$D$19:$W$19,'Matriz_Habilidades'!$D105:$W105)=0,"",SUMPRODUCT('Calc_Mix'!$D$19:$W$19,'Matriz_Habilidades'!$D105:$W105)/'Calc_Mix'!$X$19+ROW()*0.000001))</f>
        <v/>
      </c>
      <c r="W105" s="34">
        <f>IF(OR($B105="",$C105&lt;&gt;"Ativo",$D105&lt;&gt;'Calc_Mix'!$C$20,'Calc_Mix'!$X$20=0,COUNTIFS(Esc_Turno,'Calc_Mix'!$C$20,Esc_Circ,$B105)+COUNTIFS(Esc_Turno,'Calc_Mix'!$C$20,Esc_Instr,$B105)&gt;0),"",IF(SUMPRODUCT('Calc_Mix'!$D$20:$W$20,'Matriz_Habilidades'!$D105:$W105)=0,"",SUMPRODUCT('Calc_Mix'!$D$20:$W$20,'Matriz_Habilidades'!$D105:$W105)/'Calc_Mix'!$X$20+ROW()*0.000001))</f>
        <v/>
      </c>
      <c r="X105" s="34">
        <f>IF(OR($B105="",$C105&lt;&gt;"Ativo",$D105&lt;&gt;'Calc_Mix'!$C$21,'Calc_Mix'!$X$21=0,COUNTIFS(Esc_Turno,'Calc_Mix'!$C$21,Esc_Circ,$B105)+COUNTIFS(Esc_Turno,'Calc_Mix'!$C$21,Esc_Instr,$B105)&gt;0),"",IF(SUMPRODUCT('Calc_Mix'!$D$21:$W$21,'Matriz_Habilidades'!$D105:$W105)=0,"",SUMPRODUCT('Calc_Mix'!$D$21:$W$21,'Matriz_Habilidades'!$D105:$W105)/'Calc_Mix'!$X$21+ROW()*0.000001))</f>
        <v/>
      </c>
      <c r="Y105" s="34">
        <f>IF(OR($B105="",$C105&lt;&gt;"Ativo",$D105&lt;&gt;'Calc_Mix'!$C$22,'Calc_Mix'!$X$22=0,COUNTIFS(Esc_Turno,'Calc_Mix'!$C$22,Esc_Circ,$B105)+COUNTIFS(Esc_Turno,'Calc_Mix'!$C$22,Esc_Instr,$B105)&gt;0),"",IF(SUMPRODUCT('Calc_Mix'!$D$22:$W$22,'Matriz_Habilidades'!$D105:$W105)=0,"",SUMPRODUCT('Calc_Mix'!$D$22:$W$22,'Matriz_Habilidades'!$D105:$W105)/'Calc_Mix'!$X$22+ROW()*0.000001))</f>
        <v/>
      </c>
      <c r="Z105" s="34">
        <f>IF(OR($B105="",$C105&lt;&gt;"Ativo",$D105&lt;&gt;'Calc_Mix'!$C$23,'Calc_Mix'!$X$23=0,COUNTIFS(Esc_Turno,'Calc_Mix'!$C$23,Esc_Circ,$B105)+COUNTIFS(Esc_Turno,'Calc_Mix'!$C$23,Esc_Instr,$B105)&gt;0),"",IF(SUMPRODUCT('Calc_Mix'!$D$23:$W$23,'Matriz_Habilidades'!$D105:$W105)=0,"",SUMPRODUCT('Calc_Mix'!$D$23:$W$23,'Matriz_Habilidades'!$D105:$W105)/'Calc_Mix'!$X$23+ROW()*0.000001))</f>
        <v/>
      </c>
      <c r="AA105" s="34">
        <f>IF(OR($B105="",$C105&lt;&gt;"Ativo",$D105&lt;&gt;'Calc_Mix'!$C$24,'Calc_Mix'!$X$24=0,COUNTIFS(Esc_Turno,'Calc_Mix'!$C$24,Esc_Circ,$B105)+COUNTIFS(Esc_Turno,'Calc_Mix'!$C$24,Esc_Instr,$B105)&gt;0),"",IF(SUMPRODUCT('Calc_Mix'!$D$24:$W$24,'Matriz_Habilidades'!$D105:$W105)=0,"",SUMPRODUCT('Calc_Mix'!$D$24:$W$24,'Matriz_Habilidades'!$D105:$W105)/'Calc_Mix'!$X$24+ROW()*0.000001))</f>
        <v/>
      </c>
      <c r="AB105" s="34">
        <f>IF(OR($B105="",$C105&lt;&gt;"Ativo",$D105&lt;&gt;'Calc_Mix'!$C$25,'Calc_Mix'!$X$25=0,COUNTIFS(Esc_Turno,'Calc_Mix'!$C$25,Esc_Circ,$B105)+COUNTIFS(Esc_Turno,'Calc_Mix'!$C$25,Esc_Instr,$B105)&gt;0),"",IF(SUMPRODUCT('Calc_Mix'!$D$25:$W$25,'Matriz_Habilidades'!$D105:$W105)=0,"",SUMPRODUCT('Calc_Mix'!$D$25:$W$25,'Matriz_Habilidades'!$D105:$W105)/'Calc_Mix'!$X$25+ROW()*0.000001))</f>
        <v/>
      </c>
      <c r="AC105" s="34">
        <f>IF(OR($B105="",$C105&lt;&gt;"Ativo",$D105&lt;&gt;'Calc_Mix'!$C$26,'Calc_Mix'!$X$26=0,COUNTIFS(Esc_Turno,'Calc_Mix'!$C$26,Esc_Circ,$B105)+COUNTIFS(Esc_Turno,'Calc_Mix'!$C$26,Esc_Instr,$B105)&gt;0),"",IF(SUMPRODUCT('Calc_Mix'!$D$26:$W$26,'Matriz_Habilidades'!$D105:$W105)=0,"",SUMPRODUCT('Calc_Mix'!$D$26:$W$26,'Matriz_Habilidades'!$D105:$W105)/'Calc_Mix'!$X$26+ROW()*0.000001))</f>
        <v/>
      </c>
      <c r="AD105" s="34">
        <f>IF(OR($B105="",$C105&lt;&gt;"Ativo",$D105&lt;&gt;'Calc_Mix'!$C$27,'Calc_Mix'!$X$27=0,COUNTIFS(Esc_Turno,'Calc_Mix'!$C$27,Esc_Circ,$B105)+COUNTIFS(Esc_Turno,'Calc_Mix'!$C$27,Esc_Instr,$B105)&gt;0),"",IF(SUMPRODUCT('Calc_Mix'!$D$27:$W$27,'Matriz_Habilidades'!$D105:$W105)=0,"",SUMPRODUCT('Calc_Mix'!$D$27:$W$27,'Matriz_Habilidades'!$D105:$W105)/'Calc_Mix'!$X$27+ROW()*0.000001))</f>
        <v/>
      </c>
      <c r="AE105" s="34">
        <f>IF(OR($B105="",$C105&lt;&gt;"Ativo",$D105&lt;&gt;'Calc_Mix'!$C$28,'Calc_Mix'!$X$28=0,COUNTIFS(Esc_Turno,'Calc_Mix'!$C$28,Esc_Circ,$B105)+COUNTIFS(Esc_Turno,'Calc_Mix'!$C$28,Esc_Instr,$B105)&gt;0),"",IF(SUMPRODUCT('Calc_Mix'!$D$28:$W$28,'Matriz_Habilidades'!$D105:$W105)=0,"",SUMPRODUCT('Calc_Mix'!$D$28:$W$28,'Matriz_Habilidades'!$D105:$W105)/'Calc_Mix'!$X$28+ROW()*0.000001))</f>
        <v/>
      </c>
      <c r="AF105" s="34">
        <f>IF(OR($B105="",$C105&lt;&gt;"Ativo",$D105&lt;&gt;'Calc_Mix'!$C$29,'Calc_Mix'!$X$29=0,COUNTIFS(Esc_Turno,'Calc_Mix'!$C$29,Esc_Circ,$B105)+COUNTIFS(Esc_Turno,'Calc_Mix'!$C$29,Esc_Instr,$B105)&gt;0),"",IF(SUMPRODUCT('Calc_Mix'!$D$29:$W$29,'Matriz_Habilidades'!$D105:$W105)=0,"",SUMPRODUCT('Calc_Mix'!$D$29:$W$29,'Matriz_Habilidades'!$D105:$W105)/'Calc_Mix'!$X$29+ROW()*0.000001))</f>
        <v/>
      </c>
      <c r="AG105" s="34">
        <f>IF(OR($B105="",$C105&lt;&gt;"Ativo",$D105&lt;&gt;'Calc_Mix'!$C$30,'Calc_Mix'!$X$30=0,COUNTIFS(Esc_Turno,'Calc_Mix'!$C$30,Esc_Circ,$B105)+COUNTIFS(Esc_Turno,'Calc_Mix'!$C$30,Esc_Instr,$B105)&gt;0),"",IF(SUMPRODUCT('Calc_Mix'!$D$30:$W$30,'Matriz_Habilidades'!$D105:$W105)=0,"",SUMPRODUCT('Calc_Mix'!$D$30:$W$30,'Matriz_Habilidades'!$D105:$W105)/'Calc_Mix'!$X$30+ROW()*0.000001))</f>
        <v/>
      </c>
      <c r="AH105" s="34">
        <f>IF(OR($B105="",$C105&lt;&gt;"Ativo",$D105&lt;&gt;'Calc_Mix'!$C$31,'Calc_Mix'!$X$31=0,COUNTIFS(Esc_Turno,'Calc_Mix'!$C$31,Esc_Circ,$B105)+COUNTIFS(Esc_Turno,'Calc_Mix'!$C$31,Esc_Instr,$B105)&gt;0),"",IF(SUMPRODUCT('Calc_Mix'!$D$31:$W$31,'Matriz_Habilidades'!$D105:$W105)=0,"",SUMPRODUCT('Calc_Mix'!$D$31:$W$31,'Matriz_Habilidades'!$D105:$W105)/'Calc_Mix'!$X$31+ROW()*0.000001))</f>
        <v/>
      </c>
      <c r="AI105" s="34">
        <f>IF(OR($B105="",$C105&lt;&gt;"Ativo",$D105&lt;&gt;'Calc_Mix'!$C$32,'Calc_Mix'!$X$32=0,COUNTIFS(Esc_Turno,'Calc_Mix'!$C$32,Esc_Circ,$B105)+COUNTIFS(Esc_Turno,'Calc_Mix'!$C$32,Esc_Instr,$B105)&gt;0),"",IF(SUMPRODUCT('Calc_Mix'!$D$32:$W$32,'Matriz_Habilidades'!$D105:$W105)=0,"",SUMPRODUCT('Calc_Mix'!$D$32:$W$32,'Matriz_Habilidades'!$D105:$W105)/'Calc_Mix'!$X$32+ROW()*0.000001))</f>
        <v/>
      </c>
      <c r="AJ105" s="34">
        <f>IF(OR($B105="",$C105&lt;&gt;"Ativo",$D105&lt;&gt;'Calc_Mix'!$C$33,'Calc_Mix'!$X$33=0,COUNTIFS(Esc_Turno,'Calc_Mix'!$C$33,Esc_Circ,$B105)+COUNTIFS(Esc_Turno,'Calc_Mix'!$C$33,Esc_Instr,$B105)&gt;0),"",IF(SUMPRODUCT('Calc_Mix'!$D$33:$W$33,'Matriz_Habilidades'!$D105:$W105)=0,"",SUMPRODUCT('Calc_Mix'!$D$33:$W$33,'Matriz_Habilidades'!$D105:$W105)/'Calc_Mix'!$X$33+ROW()*0.000001))</f>
        <v/>
      </c>
      <c r="AK105" s="34">
        <f>IF(OR($B105="",$C105&lt;&gt;"Ativo",$D105&lt;&gt;'Calc_Mix'!$C$34,'Calc_Mix'!$X$34=0,COUNTIFS(Esc_Turno,'Calc_Mix'!$C$34,Esc_Circ,$B105)+COUNTIFS(Esc_Turno,'Calc_Mix'!$C$34,Esc_Instr,$B105)&gt;0),"",IF(SUMPRODUCT('Calc_Mix'!$D$34:$W$34,'Matriz_Habilidades'!$D105:$W105)=0,"",SUMPRODUCT('Calc_Mix'!$D$34:$W$34,'Matriz_Habilidades'!$D105:$W105)/'Calc_Mix'!$X$34+ROW()*0.000001))</f>
        <v/>
      </c>
      <c r="AL105" s="34">
        <f>IF(OR($B105="",$C105&lt;&gt;"Ativo",$D105&lt;&gt;'Calc_Mix'!$C$35,'Calc_Mix'!$X$35=0,COUNTIFS(Esc_Turno,'Calc_Mix'!$C$35,Esc_Circ,$B105)+COUNTIFS(Esc_Turno,'Calc_Mix'!$C$35,Esc_Instr,$B105)&gt;0),"",IF(SUMPRODUCT('Calc_Mix'!$D$35:$W$35,'Matriz_Habilidades'!$D105:$W105)=0,"",SUMPRODUCT('Calc_Mix'!$D$35:$W$35,'Matriz_Habilidades'!$D105:$W105)/'Calc_Mix'!$X$35+ROW()*0.000001))</f>
        <v/>
      </c>
      <c r="AM105" s="34">
        <f>IF(OR($B105="",$C105&lt;&gt;"Ativo",$D105&lt;&gt;'Calc_Mix'!$C$36,'Calc_Mix'!$X$36=0,COUNTIFS(Esc_Turno,'Calc_Mix'!$C$36,Esc_Circ,$B105)+COUNTIFS(Esc_Turno,'Calc_Mix'!$C$36,Esc_Instr,$B105)&gt;0),"",IF(SUMPRODUCT('Calc_Mix'!$D$36:$W$36,'Matriz_Habilidades'!$D105:$W105)=0,"",SUMPRODUCT('Calc_Mix'!$D$36:$W$36,'Matriz_Habilidades'!$D105:$W105)/'Calc_Mix'!$X$36+ROW()*0.000001))</f>
        <v/>
      </c>
      <c r="AN105" s="34">
        <f>IF(OR($B105="",$C105&lt;&gt;"Ativo",$D105&lt;&gt;'Calc_Mix'!$C$37,'Calc_Mix'!$X$37=0,COUNTIFS(Esc_Turno,'Calc_Mix'!$C$37,Esc_Circ,$B105)+COUNTIFS(Esc_Turno,'Calc_Mix'!$C$37,Esc_Instr,$B105)&gt;0),"",IF(SUMPRODUCT('Calc_Mix'!$D$37:$W$37,'Matriz_Habilidades'!$D105:$W105)=0,"",SUMPRODUCT('Calc_Mix'!$D$37:$W$37,'Matriz_Habilidades'!$D105:$W105)/'Calc_Mix'!$X$37+ROW()*0.000001))</f>
        <v/>
      </c>
    </row>
    <row r="106">
      <c r="A106" s="27">
        <f>IF('Matriz_Habilidades'!A106="","",'Matriz_Habilidades'!A106)</f>
        <v/>
      </c>
      <c r="B106" s="28">
        <f>IF('Matriz_Habilidades'!B106="","",'Matriz_Habilidades'!B106)</f>
        <v/>
      </c>
      <c r="C106" s="27">
        <f>IF($A106="","",IFERROR(INDEX(Equipe_Status,MATCH($B106,Equipe_Nome,0)),"?"))</f>
        <v/>
      </c>
      <c r="D106" s="27">
        <f>IF($A106="","",IFERROR(INDEX(Equipe_Turno,MATCH($B106,Equipe_Nome,0)),"?"))</f>
        <v/>
      </c>
      <c r="E106" s="34">
        <f>IF(OR($B106="",$C106&lt;&gt;"Ativo",$D106&lt;&gt;'Calc_Mix'!$C$2,'Calc_Mix'!$X$2=0,COUNTIFS(Esc_Turno,'Calc_Mix'!$C$2,Esc_Circ,$B106)+COUNTIFS(Esc_Turno,'Calc_Mix'!$C$2,Esc_Instr,$B106)&gt;0),"",IF(SUMPRODUCT('Calc_Mix'!$D$2:$W$2,'Matriz_Habilidades'!$D106:$W106)=0,"",SUMPRODUCT('Calc_Mix'!$D$2:$W$2,'Matriz_Habilidades'!$D106:$W106)/'Calc_Mix'!$X$2+ROW()*0.000001))</f>
        <v/>
      </c>
      <c r="F106" s="34">
        <f>IF(OR($B106="",$C106&lt;&gt;"Ativo",$D106&lt;&gt;'Calc_Mix'!$C$3,'Calc_Mix'!$X$3=0,COUNTIFS(Esc_Turno,'Calc_Mix'!$C$3,Esc_Circ,$B106)+COUNTIFS(Esc_Turno,'Calc_Mix'!$C$3,Esc_Instr,$B106)&gt;0),"",IF(SUMPRODUCT('Calc_Mix'!$D$3:$W$3,'Matriz_Habilidades'!$D106:$W106)=0,"",SUMPRODUCT('Calc_Mix'!$D$3:$W$3,'Matriz_Habilidades'!$D106:$W106)/'Calc_Mix'!$X$3+ROW()*0.000001))</f>
        <v/>
      </c>
      <c r="G106" s="34">
        <f>IF(OR($B106="",$C106&lt;&gt;"Ativo",$D106&lt;&gt;'Calc_Mix'!$C$4,'Calc_Mix'!$X$4=0,COUNTIFS(Esc_Turno,'Calc_Mix'!$C$4,Esc_Circ,$B106)+COUNTIFS(Esc_Turno,'Calc_Mix'!$C$4,Esc_Instr,$B106)&gt;0),"",IF(SUMPRODUCT('Calc_Mix'!$D$4:$W$4,'Matriz_Habilidades'!$D106:$W106)=0,"",SUMPRODUCT('Calc_Mix'!$D$4:$W$4,'Matriz_Habilidades'!$D106:$W106)/'Calc_Mix'!$X$4+ROW()*0.000001))</f>
        <v/>
      </c>
      <c r="H106" s="34">
        <f>IF(OR($B106="",$C106&lt;&gt;"Ativo",$D106&lt;&gt;'Calc_Mix'!$C$5,'Calc_Mix'!$X$5=0,COUNTIFS(Esc_Turno,'Calc_Mix'!$C$5,Esc_Circ,$B106)+COUNTIFS(Esc_Turno,'Calc_Mix'!$C$5,Esc_Instr,$B106)&gt;0),"",IF(SUMPRODUCT('Calc_Mix'!$D$5:$W$5,'Matriz_Habilidades'!$D106:$W106)=0,"",SUMPRODUCT('Calc_Mix'!$D$5:$W$5,'Matriz_Habilidades'!$D106:$W106)/'Calc_Mix'!$X$5+ROW()*0.000001))</f>
        <v/>
      </c>
      <c r="I106" s="34">
        <f>IF(OR($B106="",$C106&lt;&gt;"Ativo",$D106&lt;&gt;'Calc_Mix'!$C$6,'Calc_Mix'!$X$6=0,COUNTIFS(Esc_Turno,'Calc_Mix'!$C$6,Esc_Circ,$B106)+COUNTIFS(Esc_Turno,'Calc_Mix'!$C$6,Esc_Instr,$B106)&gt;0),"",IF(SUMPRODUCT('Calc_Mix'!$D$6:$W$6,'Matriz_Habilidades'!$D106:$W106)=0,"",SUMPRODUCT('Calc_Mix'!$D$6:$W$6,'Matriz_Habilidades'!$D106:$W106)/'Calc_Mix'!$X$6+ROW()*0.000001))</f>
        <v/>
      </c>
      <c r="J106" s="34">
        <f>IF(OR($B106="",$C106&lt;&gt;"Ativo",$D106&lt;&gt;'Calc_Mix'!$C$7,'Calc_Mix'!$X$7=0,COUNTIFS(Esc_Turno,'Calc_Mix'!$C$7,Esc_Circ,$B106)+COUNTIFS(Esc_Turno,'Calc_Mix'!$C$7,Esc_Instr,$B106)&gt;0),"",IF(SUMPRODUCT('Calc_Mix'!$D$7:$W$7,'Matriz_Habilidades'!$D106:$W106)=0,"",SUMPRODUCT('Calc_Mix'!$D$7:$W$7,'Matriz_Habilidades'!$D106:$W106)/'Calc_Mix'!$X$7+ROW()*0.000001))</f>
        <v/>
      </c>
      <c r="K106" s="34">
        <f>IF(OR($B106="",$C106&lt;&gt;"Ativo",$D106&lt;&gt;'Calc_Mix'!$C$8,'Calc_Mix'!$X$8=0,COUNTIFS(Esc_Turno,'Calc_Mix'!$C$8,Esc_Circ,$B106)+COUNTIFS(Esc_Turno,'Calc_Mix'!$C$8,Esc_Instr,$B106)&gt;0),"",IF(SUMPRODUCT('Calc_Mix'!$D$8:$W$8,'Matriz_Habilidades'!$D106:$W106)=0,"",SUMPRODUCT('Calc_Mix'!$D$8:$W$8,'Matriz_Habilidades'!$D106:$W106)/'Calc_Mix'!$X$8+ROW()*0.000001))</f>
        <v/>
      </c>
      <c r="L106" s="34">
        <f>IF(OR($B106="",$C106&lt;&gt;"Ativo",$D106&lt;&gt;'Calc_Mix'!$C$9,'Calc_Mix'!$X$9=0,COUNTIFS(Esc_Turno,'Calc_Mix'!$C$9,Esc_Circ,$B106)+COUNTIFS(Esc_Turno,'Calc_Mix'!$C$9,Esc_Instr,$B106)&gt;0),"",IF(SUMPRODUCT('Calc_Mix'!$D$9:$W$9,'Matriz_Habilidades'!$D106:$W106)=0,"",SUMPRODUCT('Calc_Mix'!$D$9:$W$9,'Matriz_Habilidades'!$D106:$W106)/'Calc_Mix'!$X$9+ROW()*0.000001))</f>
        <v/>
      </c>
      <c r="M106" s="34">
        <f>IF(OR($B106="",$C106&lt;&gt;"Ativo",$D106&lt;&gt;'Calc_Mix'!$C$10,'Calc_Mix'!$X$10=0,COUNTIFS(Esc_Turno,'Calc_Mix'!$C$10,Esc_Circ,$B106)+COUNTIFS(Esc_Turno,'Calc_Mix'!$C$10,Esc_Instr,$B106)&gt;0),"",IF(SUMPRODUCT('Calc_Mix'!$D$10:$W$10,'Matriz_Habilidades'!$D106:$W106)=0,"",SUMPRODUCT('Calc_Mix'!$D$10:$W$10,'Matriz_Habilidades'!$D106:$W106)/'Calc_Mix'!$X$10+ROW()*0.000001))</f>
        <v/>
      </c>
      <c r="N106" s="34">
        <f>IF(OR($B106="",$C106&lt;&gt;"Ativo",$D106&lt;&gt;'Calc_Mix'!$C$11,'Calc_Mix'!$X$11=0,COUNTIFS(Esc_Turno,'Calc_Mix'!$C$11,Esc_Circ,$B106)+COUNTIFS(Esc_Turno,'Calc_Mix'!$C$11,Esc_Instr,$B106)&gt;0),"",IF(SUMPRODUCT('Calc_Mix'!$D$11:$W$11,'Matriz_Habilidades'!$D106:$W106)=0,"",SUMPRODUCT('Calc_Mix'!$D$11:$W$11,'Matriz_Habilidades'!$D106:$W106)/'Calc_Mix'!$X$11+ROW()*0.000001))</f>
        <v/>
      </c>
      <c r="O106" s="34">
        <f>IF(OR($B106="",$C106&lt;&gt;"Ativo",$D106&lt;&gt;'Calc_Mix'!$C$12,'Calc_Mix'!$X$12=0,COUNTIFS(Esc_Turno,'Calc_Mix'!$C$12,Esc_Circ,$B106)+COUNTIFS(Esc_Turno,'Calc_Mix'!$C$12,Esc_Instr,$B106)&gt;0),"",IF(SUMPRODUCT('Calc_Mix'!$D$12:$W$12,'Matriz_Habilidades'!$D106:$W106)=0,"",SUMPRODUCT('Calc_Mix'!$D$12:$W$12,'Matriz_Habilidades'!$D106:$W106)/'Calc_Mix'!$X$12+ROW()*0.000001))</f>
        <v/>
      </c>
      <c r="P106" s="34">
        <f>IF(OR($B106="",$C106&lt;&gt;"Ativo",$D106&lt;&gt;'Calc_Mix'!$C$13,'Calc_Mix'!$X$13=0,COUNTIFS(Esc_Turno,'Calc_Mix'!$C$13,Esc_Circ,$B106)+COUNTIFS(Esc_Turno,'Calc_Mix'!$C$13,Esc_Instr,$B106)&gt;0),"",IF(SUMPRODUCT('Calc_Mix'!$D$13:$W$13,'Matriz_Habilidades'!$D106:$W106)=0,"",SUMPRODUCT('Calc_Mix'!$D$13:$W$13,'Matriz_Habilidades'!$D106:$W106)/'Calc_Mix'!$X$13+ROW()*0.000001))</f>
        <v/>
      </c>
      <c r="Q106" s="34">
        <f>IF(OR($B106="",$C106&lt;&gt;"Ativo",$D106&lt;&gt;'Calc_Mix'!$C$14,'Calc_Mix'!$X$14=0,COUNTIFS(Esc_Turno,'Calc_Mix'!$C$14,Esc_Circ,$B106)+COUNTIFS(Esc_Turno,'Calc_Mix'!$C$14,Esc_Instr,$B106)&gt;0),"",IF(SUMPRODUCT('Calc_Mix'!$D$14:$W$14,'Matriz_Habilidades'!$D106:$W106)=0,"",SUMPRODUCT('Calc_Mix'!$D$14:$W$14,'Matriz_Habilidades'!$D106:$W106)/'Calc_Mix'!$X$14+ROW()*0.000001))</f>
        <v/>
      </c>
      <c r="R106" s="34">
        <f>IF(OR($B106="",$C106&lt;&gt;"Ativo",$D106&lt;&gt;'Calc_Mix'!$C$15,'Calc_Mix'!$X$15=0,COUNTIFS(Esc_Turno,'Calc_Mix'!$C$15,Esc_Circ,$B106)+COUNTIFS(Esc_Turno,'Calc_Mix'!$C$15,Esc_Instr,$B106)&gt;0),"",IF(SUMPRODUCT('Calc_Mix'!$D$15:$W$15,'Matriz_Habilidades'!$D106:$W106)=0,"",SUMPRODUCT('Calc_Mix'!$D$15:$W$15,'Matriz_Habilidades'!$D106:$W106)/'Calc_Mix'!$X$15+ROW()*0.000001))</f>
        <v/>
      </c>
      <c r="S106" s="34">
        <f>IF(OR($B106="",$C106&lt;&gt;"Ativo",$D106&lt;&gt;'Calc_Mix'!$C$16,'Calc_Mix'!$X$16=0,COUNTIFS(Esc_Turno,'Calc_Mix'!$C$16,Esc_Circ,$B106)+COUNTIFS(Esc_Turno,'Calc_Mix'!$C$16,Esc_Instr,$B106)&gt;0),"",IF(SUMPRODUCT('Calc_Mix'!$D$16:$W$16,'Matriz_Habilidades'!$D106:$W106)=0,"",SUMPRODUCT('Calc_Mix'!$D$16:$W$16,'Matriz_Habilidades'!$D106:$W106)/'Calc_Mix'!$X$16+ROW()*0.000001))</f>
        <v/>
      </c>
      <c r="T106" s="34">
        <f>IF(OR($B106="",$C106&lt;&gt;"Ativo",$D106&lt;&gt;'Calc_Mix'!$C$17,'Calc_Mix'!$X$17=0,COUNTIFS(Esc_Turno,'Calc_Mix'!$C$17,Esc_Circ,$B106)+COUNTIFS(Esc_Turno,'Calc_Mix'!$C$17,Esc_Instr,$B106)&gt;0),"",IF(SUMPRODUCT('Calc_Mix'!$D$17:$W$17,'Matriz_Habilidades'!$D106:$W106)=0,"",SUMPRODUCT('Calc_Mix'!$D$17:$W$17,'Matriz_Habilidades'!$D106:$W106)/'Calc_Mix'!$X$17+ROW()*0.000001))</f>
        <v/>
      </c>
      <c r="U106" s="34">
        <f>IF(OR($B106="",$C106&lt;&gt;"Ativo",$D106&lt;&gt;'Calc_Mix'!$C$18,'Calc_Mix'!$X$18=0,COUNTIFS(Esc_Turno,'Calc_Mix'!$C$18,Esc_Circ,$B106)+COUNTIFS(Esc_Turno,'Calc_Mix'!$C$18,Esc_Instr,$B106)&gt;0),"",IF(SUMPRODUCT('Calc_Mix'!$D$18:$W$18,'Matriz_Habilidades'!$D106:$W106)=0,"",SUMPRODUCT('Calc_Mix'!$D$18:$W$18,'Matriz_Habilidades'!$D106:$W106)/'Calc_Mix'!$X$18+ROW()*0.000001))</f>
        <v/>
      </c>
      <c r="V106" s="34">
        <f>IF(OR($B106="",$C106&lt;&gt;"Ativo",$D106&lt;&gt;'Calc_Mix'!$C$19,'Calc_Mix'!$X$19=0,COUNTIFS(Esc_Turno,'Calc_Mix'!$C$19,Esc_Circ,$B106)+COUNTIFS(Esc_Turno,'Calc_Mix'!$C$19,Esc_Instr,$B106)&gt;0),"",IF(SUMPRODUCT('Calc_Mix'!$D$19:$W$19,'Matriz_Habilidades'!$D106:$W106)=0,"",SUMPRODUCT('Calc_Mix'!$D$19:$W$19,'Matriz_Habilidades'!$D106:$W106)/'Calc_Mix'!$X$19+ROW()*0.000001))</f>
        <v/>
      </c>
      <c r="W106" s="34">
        <f>IF(OR($B106="",$C106&lt;&gt;"Ativo",$D106&lt;&gt;'Calc_Mix'!$C$20,'Calc_Mix'!$X$20=0,COUNTIFS(Esc_Turno,'Calc_Mix'!$C$20,Esc_Circ,$B106)+COUNTIFS(Esc_Turno,'Calc_Mix'!$C$20,Esc_Instr,$B106)&gt;0),"",IF(SUMPRODUCT('Calc_Mix'!$D$20:$W$20,'Matriz_Habilidades'!$D106:$W106)=0,"",SUMPRODUCT('Calc_Mix'!$D$20:$W$20,'Matriz_Habilidades'!$D106:$W106)/'Calc_Mix'!$X$20+ROW()*0.000001))</f>
        <v/>
      </c>
      <c r="X106" s="34">
        <f>IF(OR($B106="",$C106&lt;&gt;"Ativo",$D106&lt;&gt;'Calc_Mix'!$C$21,'Calc_Mix'!$X$21=0,COUNTIFS(Esc_Turno,'Calc_Mix'!$C$21,Esc_Circ,$B106)+COUNTIFS(Esc_Turno,'Calc_Mix'!$C$21,Esc_Instr,$B106)&gt;0),"",IF(SUMPRODUCT('Calc_Mix'!$D$21:$W$21,'Matriz_Habilidades'!$D106:$W106)=0,"",SUMPRODUCT('Calc_Mix'!$D$21:$W$21,'Matriz_Habilidades'!$D106:$W106)/'Calc_Mix'!$X$21+ROW()*0.000001))</f>
        <v/>
      </c>
      <c r="Y106" s="34">
        <f>IF(OR($B106="",$C106&lt;&gt;"Ativo",$D106&lt;&gt;'Calc_Mix'!$C$22,'Calc_Mix'!$X$22=0,COUNTIFS(Esc_Turno,'Calc_Mix'!$C$22,Esc_Circ,$B106)+COUNTIFS(Esc_Turno,'Calc_Mix'!$C$22,Esc_Instr,$B106)&gt;0),"",IF(SUMPRODUCT('Calc_Mix'!$D$22:$W$22,'Matriz_Habilidades'!$D106:$W106)=0,"",SUMPRODUCT('Calc_Mix'!$D$22:$W$22,'Matriz_Habilidades'!$D106:$W106)/'Calc_Mix'!$X$22+ROW()*0.000001))</f>
        <v/>
      </c>
      <c r="Z106" s="34">
        <f>IF(OR($B106="",$C106&lt;&gt;"Ativo",$D106&lt;&gt;'Calc_Mix'!$C$23,'Calc_Mix'!$X$23=0,COUNTIFS(Esc_Turno,'Calc_Mix'!$C$23,Esc_Circ,$B106)+COUNTIFS(Esc_Turno,'Calc_Mix'!$C$23,Esc_Instr,$B106)&gt;0),"",IF(SUMPRODUCT('Calc_Mix'!$D$23:$W$23,'Matriz_Habilidades'!$D106:$W106)=0,"",SUMPRODUCT('Calc_Mix'!$D$23:$W$23,'Matriz_Habilidades'!$D106:$W106)/'Calc_Mix'!$X$23+ROW()*0.000001))</f>
        <v/>
      </c>
      <c r="AA106" s="34">
        <f>IF(OR($B106="",$C106&lt;&gt;"Ativo",$D106&lt;&gt;'Calc_Mix'!$C$24,'Calc_Mix'!$X$24=0,COUNTIFS(Esc_Turno,'Calc_Mix'!$C$24,Esc_Circ,$B106)+COUNTIFS(Esc_Turno,'Calc_Mix'!$C$24,Esc_Instr,$B106)&gt;0),"",IF(SUMPRODUCT('Calc_Mix'!$D$24:$W$24,'Matriz_Habilidades'!$D106:$W106)=0,"",SUMPRODUCT('Calc_Mix'!$D$24:$W$24,'Matriz_Habilidades'!$D106:$W106)/'Calc_Mix'!$X$24+ROW()*0.000001))</f>
        <v/>
      </c>
      <c r="AB106" s="34">
        <f>IF(OR($B106="",$C106&lt;&gt;"Ativo",$D106&lt;&gt;'Calc_Mix'!$C$25,'Calc_Mix'!$X$25=0,COUNTIFS(Esc_Turno,'Calc_Mix'!$C$25,Esc_Circ,$B106)+COUNTIFS(Esc_Turno,'Calc_Mix'!$C$25,Esc_Instr,$B106)&gt;0),"",IF(SUMPRODUCT('Calc_Mix'!$D$25:$W$25,'Matriz_Habilidades'!$D106:$W106)=0,"",SUMPRODUCT('Calc_Mix'!$D$25:$W$25,'Matriz_Habilidades'!$D106:$W106)/'Calc_Mix'!$X$25+ROW()*0.000001))</f>
        <v/>
      </c>
      <c r="AC106" s="34">
        <f>IF(OR($B106="",$C106&lt;&gt;"Ativo",$D106&lt;&gt;'Calc_Mix'!$C$26,'Calc_Mix'!$X$26=0,COUNTIFS(Esc_Turno,'Calc_Mix'!$C$26,Esc_Circ,$B106)+COUNTIFS(Esc_Turno,'Calc_Mix'!$C$26,Esc_Instr,$B106)&gt;0),"",IF(SUMPRODUCT('Calc_Mix'!$D$26:$W$26,'Matriz_Habilidades'!$D106:$W106)=0,"",SUMPRODUCT('Calc_Mix'!$D$26:$W$26,'Matriz_Habilidades'!$D106:$W106)/'Calc_Mix'!$X$26+ROW()*0.000001))</f>
        <v/>
      </c>
      <c r="AD106" s="34">
        <f>IF(OR($B106="",$C106&lt;&gt;"Ativo",$D106&lt;&gt;'Calc_Mix'!$C$27,'Calc_Mix'!$X$27=0,COUNTIFS(Esc_Turno,'Calc_Mix'!$C$27,Esc_Circ,$B106)+COUNTIFS(Esc_Turno,'Calc_Mix'!$C$27,Esc_Instr,$B106)&gt;0),"",IF(SUMPRODUCT('Calc_Mix'!$D$27:$W$27,'Matriz_Habilidades'!$D106:$W106)=0,"",SUMPRODUCT('Calc_Mix'!$D$27:$W$27,'Matriz_Habilidades'!$D106:$W106)/'Calc_Mix'!$X$27+ROW()*0.000001))</f>
        <v/>
      </c>
      <c r="AE106" s="34">
        <f>IF(OR($B106="",$C106&lt;&gt;"Ativo",$D106&lt;&gt;'Calc_Mix'!$C$28,'Calc_Mix'!$X$28=0,COUNTIFS(Esc_Turno,'Calc_Mix'!$C$28,Esc_Circ,$B106)+COUNTIFS(Esc_Turno,'Calc_Mix'!$C$28,Esc_Instr,$B106)&gt;0),"",IF(SUMPRODUCT('Calc_Mix'!$D$28:$W$28,'Matriz_Habilidades'!$D106:$W106)=0,"",SUMPRODUCT('Calc_Mix'!$D$28:$W$28,'Matriz_Habilidades'!$D106:$W106)/'Calc_Mix'!$X$28+ROW()*0.000001))</f>
        <v/>
      </c>
      <c r="AF106" s="34">
        <f>IF(OR($B106="",$C106&lt;&gt;"Ativo",$D106&lt;&gt;'Calc_Mix'!$C$29,'Calc_Mix'!$X$29=0,COUNTIFS(Esc_Turno,'Calc_Mix'!$C$29,Esc_Circ,$B106)+COUNTIFS(Esc_Turno,'Calc_Mix'!$C$29,Esc_Instr,$B106)&gt;0),"",IF(SUMPRODUCT('Calc_Mix'!$D$29:$W$29,'Matriz_Habilidades'!$D106:$W106)=0,"",SUMPRODUCT('Calc_Mix'!$D$29:$W$29,'Matriz_Habilidades'!$D106:$W106)/'Calc_Mix'!$X$29+ROW()*0.000001))</f>
        <v/>
      </c>
      <c r="AG106" s="34">
        <f>IF(OR($B106="",$C106&lt;&gt;"Ativo",$D106&lt;&gt;'Calc_Mix'!$C$30,'Calc_Mix'!$X$30=0,COUNTIFS(Esc_Turno,'Calc_Mix'!$C$30,Esc_Circ,$B106)+COUNTIFS(Esc_Turno,'Calc_Mix'!$C$30,Esc_Instr,$B106)&gt;0),"",IF(SUMPRODUCT('Calc_Mix'!$D$30:$W$30,'Matriz_Habilidades'!$D106:$W106)=0,"",SUMPRODUCT('Calc_Mix'!$D$30:$W$30,'Matriz_Habilidades'!$D106:$W106)/'Calc_Mix'!$X$30+ROW()*0.000001))</f>
        <v/>
      </c>
      <c r="AH106" s="34">
        <f>IF(OR($B106="",$C106&lt;&gt;"Ativo",$D106&lt;&gt;'Calc_Mix'!$C$31,'Calc_Mix'!$X$31=0,COUNTIFS(Esc_Turno,'Calc_Mix'!$C$31,Esc_Circ,$B106)+COUNTIFS(Esc_Turno,'Calc_Mix'!$C$31,Esc_Instr,$B106)&gt;0),"",IF(SUMPRODUCT('Calc_Mix'!$D$31:$W$31,'Matriz_Habilidades'!$D106:$W106)=0,"",SUMPRODUCT('Calc_Mix'!$D$31:$W$31,'Matriz_Habilidades'!$D106:$W106)/'Calc_Mix'!$X$31+ROW()*0.000001))</f>
        <v/>
      </c>
      <c r="AI106" s="34">
        <f>IF(OR($B106="",$C106&lt;&gt;"Ativo",$D106&lt;&gt;'Calc_Mix'!$C$32,'Calc_Mix'!$X$32=0,COUNTIFS(Esc_Turno,'Calc_Mix'!$C$32,Esc_Circ,$B106)+COUNTIFS(Esc_Turno,'Calc_Mix'!$C$32,Esc_Instr,$B106)&gt;0),"",IF(SUMPRODUCT('Calc_Mix'!$D$32:$W$32,'Matriz_Habilidades'!$D106:$W106)=0,"",SUMPRODUCT('Calc_Mix'!$D$32:$W$32,'Matriz_Habilidades'!$D106:$W106)/'Calc_Mix'!$X$32+ROW()*0.000001))</f>
        <v/>
      </c>
      <c r="AJ106" s="34">
        <f>IF(OR($B106="",$C106&lt;&gt;"Ativo",$D106&lt;&gt;'Calc_Mix'!$C$33,'Calc_Mix'!$X$33=0,COUNTIFS(Esc_Turno,'Calc_Mix'!$C$33,Esc_Circ,$B106)+COUNTIFS(Esc_Turno,'Calc_Mix'!$C$33,Esc_Instr,$B106)&gt;0),"",IF(SUMPRODUCT('Calc_Mix'!$D$33:$W$33,'Matriz_Habilidades'!$D106:$W106)=0,"",SUMPRODUCT('Calc_Mix'!$D$33:$W$33,'Matriz_Habilidades'!$D106:$W106)/'Calc_Mix'!$X$33+ROW()*0.000001))</f>
        <v/>
      </c>
      <c r="AK106" s="34">
        <f>IF(OR($B106="",$C106&lt;&gt;"Ativo",$D106&lt;&gt;'Calc_Mix'!$C$34,'Calc_Mix'!$X$34=0,COUNTIFS(Esc_Turno,'Calc_Mix'!$C$34,Esc_Circ,$B106)+COUNTIFS(Esc_Turno,'Calc_Mix'!$C$34,Esc_Instr,$B106)&gt;0),"",IF(SUMPRODUCT('Calc_Mix'!$D$34:$W$34,'Matriz_Habilidades'!$D106:$W106)=0,"",SUMPRODUCT('Calc_Mix'!$D$34:$W$34,'Matriz_Habilidades'!$D106:$W106)/'Calc_Mix'!$X$34+ROW()*0.000001))</f>
        <v/>
      </c>
      <c r="AL106" s="34">
        <f>IF(OR($B106="",$C106&lt;&gt;"Ativo",$D106&lt;&gt;'Calc_Mix'!$C$35,'Calc_Mix'!$X$35=0,COUNTIFS(Esc_Turno,'Calc_Mix'!$C$35,Esc_Circ,$B106)+COUNTIFS(Esc_Turno,'Calc_Mix'!$C$35,Esc_Instr,$B106)&gt;0),"",IF(SUMPRODUCT('Calc_Mix'!$D$35:$W$35,'Matriz_Habilidades'!$D106:$W106)=0,"",SUMPRODUCT('Calc_Mix'!$D$35:$W$35,'Matriz_Habilidades'!$D106:$W106)/'Calc_Mix'!$X$35+ROW()*0.000001))</f>
        <v/>
      </c>
      <c r="AM106" s="34">
        <f>IF(OR($B106="",$C106&lt;&gt;"Ativo",$D106&lt;&gt;'Calc_Mix'!$C$36,'Calc_Mix'!$X$36=0,COUNTIFS(Esc_Turno,'Calc_Mix'!$C$36,Esc_Circ,$B106)+COUNTIFS(Esc_Turno,'Calc_Mix'!$C$36,Esc_Instr,$B106)&gt;0),"",IF(SUMPRODUCT('Calc_Mix'!$D$36:$W$36,'Matriz_Habilidades'!$D106:$W106)=0,"",SUMPRODUCT('Calc_Mix'!$D$36:$W$36,'Matriz_Habilidades'!$D106:$W106)/'Calc_Mix'!$X$36+ROW()*0.000001))</f>
        <v/>
      </c>
      <c r="AN106" s="34">
        <f>IF(OR($B106="",$C106&lt;&gt;"Ativo",$D106&lt;&gt;'Calc_Mix'!$C$37,'Calc_Mix'!$X$37=0,COUNTIFS(Esc_Turno,'Calc_Mix'!$C$37,Esc_Circ,$B106)+COUNTIFS(Esc_Turno,'Calc_Mix'!$C$37,Esc_Instr,$B106)&gt;0),"",IF(SUMPRODUCT('Calc_Mix'!$D$37:$W$37,'Matriz_Habilidades'!$D106:$W106)=0,"",SUMPRODUCT('Calc_Mix'!$D$37:$W$37,'Matriz_Habilidades'!$D106:$W106)/'Calc_Mix'!$X$37+ROW()*0.000001))</f>
        <v/>
      </c>
    </row>
    <row r="107">
      <c r="A107" s="27">
        <f>IF('Matriz_Habilidades'!A107="","",'Matriz_Habilidades'!A107)</f>
        <v/>
      </c>
      <c r="B107" s="28">
        <f>IF('Matriz_Habilidades'!B107="","",'Matriz_Habilidades'!B107)</f>
        <v/>
      </c>
      <c r="C107" s="27">
        <f>IF($A107="","",IFERROR(INDEX(Equipe_Status,MATCH($B107,Equipe_Nome,0)),"?"))</f>
        <v/>
      </c>
      <c r="D107" s="27">
        <f>IF($A107="","",IFERROR(INDEX(Equipe_Turno,MATCH($B107,Equipe_Nome,0)),"?"))</f>
        <v/>
      </c>
      <c r="E107" s="34">
        <f>IF(OR($B107="",$C107&lt;&gt;"Ativo",$D107&lt;&gt;'Calc_Mix'!$C$2,'Calc_Mix'!$X$2=0,COUNTIFS(Esc_Turno,'Calc_Mix'!$C$2,Esc_Circ,$B107)+COUNTIFS(Esc_Turno,'Calc_Mix'!$C$2,Esc_Instr,$B107)&gt;0),"",IF(SUMPRODUCT('Calc_Mix'!$D$2:$W$2,'Matriz_Habilidades'!$D107:$W107)=0,"",SUMPRODUCT('Calc_Mix'!$D$2:$W$2,'Matriz_Habilidades'!$D107:$W107)/'Calc_Mix'!$X$2+ROW()*0.000001))</f>
        <v/>
      </c>
      <c r="F107" s="34">
        <f>IF(OR($B107="",$C107&lt;&gt;"Ativo",$D107&lt;&gt;'Calc_Mix'!$C$3,'Calc_Mix'!$X$3=0,COUNTIFS(Esc_Turno,'Calc_Mix'!$C$3,Esc_Circ,$B107)+COUNTIFS(Esc_Turno,'Calc_Mix'!$C$3,Esc_Instr,$B107)&gt;0),"",IF(SUMPRODUCT('Calc_Mix'!$D$3:$W$3,'Matriz_Habilidades'!$D107:$W107)=0,"",SUMPRODUCT('Calc_Mix'!$D$3:$W$3,'Matriz_Habilidades'!$D107:$W107)/'Calc_Mix'!$X$3+ROW()*0.000001))</f>
        <v/>
      </c>
      <c r="G107" s="34">
        <f>IF(OR($B107="",$C107&lt;&gt;"Ativo",$D107&lt;&gt;'Calc_Mix'!$C$4,'Calc_Mix'!$X$4=0,COUNTIFS(Esc_Turno,'Calc_Mix'!$C$4,Esc_Circ,$B107)+COUNTIFS(Esc_Turno,'Calc_Mix'!$C$4,Esc_Instr,$B107)&gt;0),"",IF(SUMPRODUCT('Calc_Mix'!$D$4:$W$4,'Matriz_Habilidades'!$D107:$W107)=0,"",SUMPRODUCT('Calc_Mix'!$D$4:$W$4,'Matriz_Habilidades'!$D107:$W107)/'Calc_Mix'!$X$4+ROW()*0.000001))</f>
        <v/>
      </c>
      <c r="H107" s="34">
        <f>IF(OR($B107="",$C107&lt;&gt;"Ativo",$D107&lt;&gt;'Calc_Mix'!$C$5,'Calc_Mix'!$X$5=0,COUNTIFS(Esc_Turno,'Calc_Mix'!$C$5,Esc_Circ,$B107)+COUNTIFS(Esc_Turno,'Calc_Mix'!$C$5,Esc_Instr,$B107)&gt;0),"",IF(SUMPRODUCT('Calc_Mix'!$D$5:$W$5,'Matriz_Habilidades'!$D107:$W107)=0,"",SUMPRODUCT('Calc_Mix'!$D$5:$W$5,'Matriz_Habilidades'!$D107:$W107)/'Calc_Mix'!$X$5+ROW()*0.000001))</f>
        <v/>
      </c>
      <c r="I107" s="34">
        <f>IF(OR($B107="",$C107&lt;&gt;"Ativo",$D107&lt;&gt;'Calc_Mix'!$C$6,'Calc_Mix'!$X$6=0,COUNTIFS(Esc_Turno,'Calc_Mix'!$C$6,Esc_Circ,$B107)+COUNTIFS(Esc_Turno,'Calc_Mix'!$C$6,Esc_Instr,$B107)&gt;0),"",IF(SUMPRODUCT('Calc_Mix'!$D$6:$W$6,'Matriz_Habilidades'!$D107:$W107)=0,"",SUMPRODUCT('Calc_Mix'!$D$6:$W$6,'Matriz_Habilidades'!$D107:$W107)/'Calc_Mix'!$X$6+ROW()*0.000001))</f>
        <v/>
      </c>
      <c r="J107" s="34">
        <f>IF(OR($B107="",$C107&lt;&gt;"Ativo",$D107&lt;&gt;'Calc_Mix'!$C$7,'Calc_Mix'!$X$7=0,COUNTIFS(Esc_Turno,'Calc_Mix'!$C$7,Esc_Circ,$B107)+COUNTIFS(Esc_Turno,'Calc_Mix'!$C$7,Esc_Instr,$B107)&gt;0),"",IF(SUMPRODUCT('Calc_Mix'!$D$7:$W$7,'Matriz_Habilidades'!$D107:$W107)=0,"",SUMPRODUCT('Calc_Mix'!$D$7:$W$7,'Matriz_Habilidades'!$D107:$W107)/'Calc_Mix'!$X$7+ROW()*0.000001))</f>
        <v/>
      </c>
      <c r="K107" s="34">
        <f>IF(OR($B107="",$C107&lt;&gt;"Ativo",$D107&lt;&gt;'Calc_Mix'!$C$8,'Calc_Mix'!$X$8=0,COUNTIFS(Esc_Turno,'Calc_Mix'!$C$8,Esc_Circ,$B107)+COUNTIFS(Esc_Turno,'Calc_Mix'!$C$8,Esc_Instr,$B107)&gt;0),"",IF(SUMPRODUCT('Calc_Mix'!$D$8:$W$8,'Matriz_Habilidades'!$D107:$W107)=0,"",SUMPRODUCT('Calc_Mix'!$D$8:$W$8,'Matriz_Habilidades'!$D107:$W107)/'Calc_Mix'!$X$8+ROW()*0.000001))</f>
        <v/>
      </c>
      <c r="L107" s="34">
        <f>IF(OR($B107="",$C107&lt;&gt;"Ativo",$D107&lt;&gt;'Calc_Mix'!$C$9,'Calc_Mix'!$X$9=0,COUNTIFS(Esc_Turno,'Calc_Mix'!$C$9,Esc_Circ,$B107)+COUNTIFS(Esc_Turno,'Calc_Mix'!$C$9,Esc_Instr,$B107)&gt;0),"",IF(SUMPRODUCT('Calc_Mix'!$D$9:$W$9,'Matriz_Habilidades'!$D107:$W107)=0,"",SUMPRODUCT('Calc_Mix'!$D$9:$W$9,'Matriz_Habilidades'!$D107:$W107)/'Calc_Mix'!$X$9+ROW()*0.000001))</f>
        <v/>
      </c>
      <c r="M107" s="34">
        <f>IF(OR($B107="",$C107&lt;&gt;"Ativo",$D107&lt;&gt;'Calc_Mix'!$C$10,'Calc_Mix'!$X$10=0,COUNTIFS(Esc_Turno,'Calc_Mix'!$C$10,Esc_Circ,$B107)+COUNTIFS(Esc_Turno,'Calc_Mix'!$C$10,Esc_Instr,$B107)&gt;0),"",IF(SUMPRODUCT('Calc_Mix'!$D$10:$W$10,'Matriz_Habilidades'!$D107:$W107)=0,"",SUMPRODUCT('Calc_Mix'!$D$10:$W$10,'Matriz_Habilidades'!$D107:$W107)/'Calc_Mix'!$X$10+ROW()*0.000001))</f>
        <v/>
      </c>
      <c r="N107" s="34">
        <f>IF(OR($B107="",$C107&lt;&gt;"Ativo",$D107&lt;&gt;'Calc_Mix'!$C$11,'Calc_Mix'!$X$11=0,COUNTIFS(Esc_Turno,'Calc_Mix'!$C$11,Esc_Circ,$B107)+COUNTIFS(Esc_Turno,'Calc_Mix'!$C$11,Esc_Instr,$B107)&gt;0),"",IF(SUMPRODUCT('Calc_Mix'!$D$11:$W$11,'Matriz_Habilidades'!$D107:$W107)=0,"",SUMPRODUCT('Calc_Mix'!$D$11:$W$11,'Matriz_Habilidades'!$D107:$W107)/'Calc_Mix'!$X$11+ROW()*0.000001))</f>
        <v/>
      </c>
      <c r="O107" s="34">
        <f>IF(OR($B107="",$C107&lt;&gt;"Ativo",$D107&lt;&gt;'Calc_Mix'!$C$12,'Calc_Mix'!$X$12=0,COUNTIFS(Esc_Turno,'Calc_Mix'!$C$12,Esc_Circ,$B107)+COUNTIFS(Esc_Turno,'Calc_Mix'!$C$12,Esc_Instr,$B107)&gt;0),"",IF(SUMPRODUCT('Calc_Mix'!$D$12:$W$12,'Matriz_Habilidades'!$D107:$W107)=0,"",SUMPRODUCT('Calc_Mix'!$D$12:$W$12,'Matriz_Habilidades'!$D107:$W107)/'Calc_Mix'!$X$12+ROW()*0.000001))</f>
        <v/>
      </c>
      <c r="P107" s="34">
        <f>IF(OR($B107="",$C107&lt;&gt;"Ativo",$D107&lt;&gt;'Calc_Mix'!$C$13,'Calc_Mix'!$X$13=0,COUNTIFS(Esc_Turno,'Calc_Mix'!$C$13,Esc_Circ,$B107)+COUNTIFS(Esc_Turno,'Calc_Mix'!$C$13,Esc_Instr,$B107)&gt;0),"",IF(SUMPRODUCT('Calc_Mix'!$D$13:$W$13,'Matriz_Habilidades'!$D107:$W107)=0,"",SUMPRODUCT('Calc_Mix'!$D$13:$W$13,'Matriz_Habilidades'!$D107:$W107)/'Calc_Mix'!$X$13+ROW()*0.000001))</f>
        <v/>
      </c>
      <c r="Q107" s="34">
        <f>IF(OR($B107="",$C107&lt;&gt;"Ativo",$D107&lt;&gt;'Calc_Mix'!$C$14,'Calc_Mix'!$X$14=0,COUNTIFS(Esc_Turno,'Calc_Mix'!$C$14,Esc_Circ,$B107)+COUNTIFS(Esc_Turno,'Calc_Mix'!$C$14,Esc_Instr,$B107)&gt;0),"",IF(SUMPRODUCT('Calc_Mix'!$D$14:$W$14,'Matriz_Habilidades'!$D107:$W107)=0,"",SUMPRODUCT('Calc_Mix'!$D$14:$W$14,'Matriz_Habilidades'!$D107:$W107)/'Calc_Mix'!$X$14+ROW()*0.000001))</f>
        <v/>
      </c>
      <c r="R107" s="34">
        <f>IF(OR($B107="",$C107&lt;&gt;"Ativo",$D107&lt;&gt;'Calc_Mix'!$C$15,'Calc_Mix'!$X$15=0,COUNTIFS(Esc_Turno,'Calc_Mix'!$C$15,Esc_Circ,$B107)+COUNTIFS(Esc_Turno,'Calc_Mix'!$C$15,Esc_Instr,$B107)&gt;0),"",IF(SUMPRODUCT('Calc_Mix'!$D$15:$W$15,'Matriz_Habilidades'!$D107:$W107)=0,"",SUMPRODUCT('Calc_Mix'!$D$15:$W$15,'Matriz_Habilidades'!$D107:$W107)/'Calc_Mix'!$X$15+ROW()*0.000001))</f>
        <v/>
      </c>
      <c r="S107" s="34">
        <f>IF(OR($B107="",$C107&lt;&gt;"Ativo",$D107&lt;&gt;'Calc_Mix'!$C$16,'Calc_Mix'!$X$16=0,COUNTIFS(Esc_Turno,'Calc_Mix'!$C$16,Esc_Circ,$B107)+COUNTIFS(Esc_Turno,'Calc_Mix'!$C$16,Esc_Instr,$B107)&gt;0),"",IF(SUMPRODUCT('Calc_Mix'!$D$16:$W$16,'Matriz_Habilidades'!$D107:$W107)=0,"",SUMPRODUCT('Calc_Mix'!$D$16:$W$16,'Matriz_Habilidades'!$D107:$W107)/'Calc_Mix'!$X$16+ROW()*0.000001))</f>
        <v/>
      </c>
      <c r="T107" s="34">
        <f>IF(OR($B107="",$C107&lt;&gt;"Ativo",$D107&lt;&gt;'Calc_Mix'!$C$17,'Calc_Mix'!$X$17=0,COUNTIFS(Esc_Turno,'Calc_Mix'!$C$17,Esc_Circ,$B107)+COUNTIFS(Esc_Turno,'Calc_Mix'!$C$17,Esc_Instr,$B107)&gt;0),"",IF(SUMPRODUCT('Calc_Mix'!$D$17:$W$17,'Matriz_Habilidades'!$D107:$W107)=0,"",SUMPRODUCT('Calc_Mix'!$D$17:$W$17,'Matriz_Habilidades'!$D107:$W107)/'Calc_Mix'!$X$17+ROW()*0.000001))</f>
        <v/>
      </c>
      <c r="U107" s="34">
        <f>IF(OR($B107="",$C107&lt;&gt;"Ativo",$D107&lt;&gt;'Calc_Mix'!$C$18,'Calc_Mix'!$X$18=0,COUNTIFS(Esc_Turno,'Calc_Mix'!$C$18,Esc_Circ,$B107)+COUNTIFS(Esc_Turno,'Calc_Mix'!$C$18,Esc_Instr,$B107)&gt;0),"",IF(SUMPRODUCT('Calc_Mix'!$D$18:$W$18,'Matriz_Habilidades'!$D107:$W107)=0,"",SUMPRODUCT('Calc_Mix'!$D$18:$W$18,'Matriz_Habilidades'!$D107:$W107)/'Calc_Mix'!$X$18+ROW()*0.000001))</f>
        <v/>
      </c>
      <c r="V107" s="34">
        <f>IF(OR($B107="",$C107&lt;&gt;"Ativo",$D107&lt;&gt;'Calc_Mix'!$C$19,'Calc_Mix'!$X$19=0,COUNTIFS(Esc_Turno,'Calc_Mix'!$C$19,Esc_Circ,$B107)+COUNTIFS(Esc_Turno,'Calc_Mix'!$C$19,Esc_Instr,$B107)&gt;0),"",IF(SUMPRODUCT('Calc_Mix'!$D$19:$W$19,'Matriz_Habilidades'!$D107:$W107)=0,"",SUMPRODUCT('Calc_Mix'!$D$19:$W$19,'Matriz_Habilidades'!$D107:$W107)/'Calc_Mix'!$X$19+ROW()*0.000001))</f>
        <v/>
      </c>
      <c r="W107" s="34">
        <f>IF(OR($B107="",$C107&lt;&gt;"Ativo",$D107&lt;&gt;'Calc_Mix'!$C$20,'Calc_Mix'!$X$20=0,COUNTIFS(Esc_Turno,'Calc_Mix'!$C$20,Esc_Circ,$B107)+COUNTIFS(Esc_Turno,'Calc_Mix'!$C$20,Esc_Instr,$B107)&gt;0),"",IF(SUMPRODUCT('Calc_Mix'!$D$20:$W$20,'Matriz_Habilidades'!$D107:$W107)=0,"",SUMPRODUCT('Calc_Mix'!$D$20:$W$20,'Matriz_Habilidades'!$D107:$W107)/'Calc_Mix'!$X$20+ROW()*0.000001))</f>
        <v/>
      </c>
      <c r="X107" s="34">
        <f>IF(OR($B107="",$C107&lt;&gt;"Ativo",$D107&lt;&gt;'Calc_Mix'!$C$21,'Calc_Mix'!$X$21=0,COUNTIFS(Esc_Turno,'Calc_Mix'!$C$21,Esc_Circ,$B107)+COUNTIFS(Esc_Turno,'Calc_Mix'!$C$21,Esc_Instr,$B107)&gt;0),"",IF(SUMPRODUCT('Calc_Mix'!$D$21:$W$21,'Matriz_Habilidades'!$D107:$W107)=0,"",SUMPRODUCT('Calc_Mix'!$D$21:$W$21,'Matriz_Habilidades'!$D107:$W107)/'Calc_Mix'!$X$21+ROW()*0.000001))</f>
        <v/>
      </c>
      <c r="Y107" s="34">
        <f>IF(OR($B107="",$C107&lt;&gt;"Ativo",$D107&lt;&gt;'Calc_Mix'!$C$22,'Calc_Mix'!$X$22=0,COUNTIFS(Esc_Turno,'Calc_Mix'!$C$22,Esc_Circ,$B107)+COUNTIFS(Esc_Turno,'Calc_Mix'!$C$22,Esc_Instr,$B107)&gt;0),"",IF(SUMPRODUCT('Calc_Mix'!$D$22:$W$22,'Matriz_Habilidades'!$D107:$W107)=0,"",SUMPRODUCT('Calc_Mix'!$D$22:$W$22,'Matriz_Habilidades'!$D107:$W107)/'Calc_Mix'!$X$22+ROW()*0.000001))</f>
        <v/>
      </c>
      <c r="Z107" s="34">
        <f>IF(OR($B107="",$C107&lt;&gt;"Ativo",$D107&lt;&gt;'Calc_Mix'!$C$23,'Calc_Mix'!$X$23=0,COUNTIFS(Esc_Turno,'Calc_Mix'!$C$23,Esc_Circ,$B107)+COUNTIFS(Esc_Turno,'Calc_Mix'!$C$23,Esc_Instr,$B107)&gt;0),"",IF(SUMPRODUCT('Calc_Mix'!$D$23:$W$23,'Matriz_Habilidades'!$D107:$W107)=0,"",SUMPRODUCT('Calc_Mix'!$D$23:$W$23,'Matriz_Habilidades'!$D107:$W107)/'Calc_Mix'!$X$23+ROW()*0.000001))</f>
        <v/>
      </c>
      <c r="AA107" s="34">
        <f>IF(OR($B107="",$C107&lt;&gt;"Ativo",$D107&lt;&gt;'Calc_Mix'!$C$24,'Calc_Mix'!$X$24=0,COUNTIFS(Esc_Turno,'Calc_Mix'!$C$24,Esc_Circ,$B107)+COUNTIFS(Esc_Turno,'Calc_Mix'!$C$24,Esc_Instr,$B107)&gt;0),"",IF(SUMPRODUCT('Calc_Mix'!$D$24:$W$24,'Matriz_Habilidades'!$D107:$W107)=0,"",SUMPRODUCT('Calc_Mix'!$D$24:$W$24,'Matriz_Habilidades'!$D107:$W107)/'Calc_Mix'!$X$24+ROW()*0.000001))</f>
        <v/>
      </c>
      <c r="AB107" s="34">
        <f>IF(OR($B107="",$C107&lt;&gt;"Ativo",$D107&lt;&gt;'Calc_Mix'!$C$25,'Calc_Mix'!$X$25=0,COUNTIFS(Esc_Turno,'Calc_Mix'!$C$25,Esc_Circ,$B107)+COUNTIFS(Esc_Turno,'Calc_Mix'!$C$25,Esc_Instr,$B107)&gt;0),"",IF(SUMPRODUCT('Calc_Mix'!$D$25:$W$25,'Matriz_Habilidades'!$D107:$W107)=0,"",SUMPRODUCT('Calc_Mix'!$D$25:$W$25,'Matriz_Habilidades'!$D107:$W107)/'Calc_Mix'!$X$25+ROW()*0.000001))</f>
        <v/>
      </c>
      <c r="AC107" s="34">
        <f>IF(OR($B107="",$C107&lt;&gt;"Ativo",$D107&lt;&gt;'Calc_Mix'!$C$26,'Calc_Mix'!$X$26=0,COUNTIFS(Esc_Turno,'Calc_Mix'!$C$26,Esc_Circ,$B107)+COUNTIFS(Esc_Turno,'Calc_Mix'!$C$26,Esc_Instr,$B107)&gt;0),"",IF(SUMPRODUCT('Calc_Mix'!$D$26:$W$26,'Matriz_Habilidades'!$D107:$W107)=0,"",SUMPRODUCT('Calc_Mix'!$D$26:$W$26,'Matriz_Habilidades'!$D107:$W107)/'Calc_Mix'!$X$26+ROW()*0.000001))</f>
        <v/>
      </c>
      <c r="AD107" s="34">
        <f>IF(OR($B107="",$C107&lt;&gt;"Ativo",$D107&lt;&gt;'Calc_Mix'!$C$27,'Calc_Mix'!$X$27=0,COUNTIFS(Esc_Turno,'Calc_Mix'!$C$27,Esc_Circ,$B107)+COUNTIFS(Esc_Turno,'Calc_Mix'!$C$27,Esc_Instr,$B107)&gt;0),"",IF(SUMPRODUCT('Calc_Mix'!$D$27:$W$27,'Matriz_Habilidades'!$D107:$W107)=0,"",SUMPRODUCT('Calc_Mix'!$D$27:$W$27,'Matriz_Habilidades'!$D107:$W107)/'Calc_Mix'!$X$27+ROW()*0.000001))</f>
        <v/>
      </c>
      <c r="AE107" s="34">
        <f>IF(OR($B107="",$C107&lt;&gt;"Ativo",$D107&lt;&gt;'Calc_Mix'!$C$28,'Calc_Mix'!$X$28=0,COUNTIFS(Esc_Turno,'Calc_Mix'!$C$28,Esc_Circ,$B107)+COUNTIFS(Esc_Turno,'Calc_Mix'!$C$28,Esc_Instr,$B107)&gt;0),"",IF(SUMPRODUCT('Calc_Mix'!$D$28:$W$28,'Matriz_Habilidades'!$D107:$W107)=0,"",SUMPRODUCT('Calc_Mix'!$D$28:$W$28,'Matriz_Habilidades'!$D107:$W107)/'Calc_Mix'!$X$28+ROW()*0.000001))</f>
        <v/>
      </c>
      <c r="AF107" s="34">
        <f>IF(OR($B107="",$C107&lt;&gt;"Ativo",$D107&lt;&gt;'Calc_Mix'!$C$29,'Calc_Mix'!$X$29=0,COUNTIFS(Esc_Turno,'Calc_Mix'!$C$29,Esc_Circ,$B107)+COUNTIFS(Esc_Turno,'Calc_Mix'!$C$29,Esc_Instr,$B107)&gt;0),"",IF(SUMPRODUCT('Calc_Mix'!$D$29:$W$29,'Matriz_Habilidades'!$D107:$W107)=0,"",SUMPRODUCT('Calc_Mix'!$D$29:$W$29,'Matriz_Habilidades'!$D107:$W107)/'Calc_Mix'!$X$29+ROW()*0.000001))</f>
        <v/>
      </c>
      <c r="AG107" s="34">
        <f>IF(OR($B107="",$C107&lt;&gt;"Ativo",$D107&lt;&gt;'Calc_Mix'!$C$30,'Calc_Mix'!$X$30=0,COUNTIFS(Esc_Turno,'Calc_Mix'!$C$30,Esc_Circ,$B107)+COUNTIFS(Esc_Turno,'Calc_Mix'!$C$30,Esc_Instr,$B107)&gt;0),"",IF(SUMPRODUCT('Calc_Mix'!$D$30:$W$30,'Matriz_Habilidades'!$D107:$W107)=0,"",SUMPRODUCT('Calc_Mix'!$D$30:$W$30,'Matriz_Habilidades'!$D107:$W107)/'Calc_Mix'!$X$30+ROW()*0.000001))</f>
        <v/>
      </c>
      <c r="AH107" s="34">
        <f>IF(OR($B107="",$C107&lt;&gt;"Ativo",$D107&lt;&gt;'Calc_Mix'!$C$31,'Calc_Mix'!$X$31=0,COUNTIFS(Esc_Turno,'Calc_Mix'!$C$31,Esc_Circ,$B107)+COUNTIFS(Esc_Turno,'Calc_Mix'!$C$31,Esc_Instr,$B107)&gt;0),"",IF(SUMPRODUCT('Calc_Mix'!$D$31:$W$31,'Matriz_Habilidades'!$D107:$W107)=0,"",SUMPRODUCT('Calc_Mix'!$D$31:$W$31,'Matriz_Habilidades'!$D107:$W107)/'Calc_Mix'!$X$31+ROW()*0.000001))</f>
        <v/>
      </c>
      <c r="AI107" s="34">
        <f>IF(OR($B107="",$C107&lt;&gt;"Ativo",$D107&lt;&gt;'Calc_Mix'!$C$32,'Calc_Mix'!$X$32=0,COUNTIFS(Esc_Turno,'Calc_Mix'!$C$32,Esc_Circ,$B107)+COUNTIFS(Esc_Turno,'Calc_Mix'!$C$32,Esc_Instr,$B107)&gt;0),"",IF(SUMPRODUCT('Calc_Mix'!$D$32:$W$32,'Matriz_Habilidades'!$D107:$W107)=0,"",SUMPRODUCT('Calc_Mix'!$D$32:$W$32,'Matriz_Habilidades'!$D107:$W107)/'Calc_Mix'!$X$32+ROW()*0.000001))</f>
        <v/>
      </c>
      <c r="AJ107" s="34">
        <f>IF(OR($B107="",$C107&lt;&gt;"Ativo",$D107&lt;&gt;'Calc_Mix'!$C$33,'Calc_Mix'!$X$33=0,COUNTIFS(Esc_Turno,'Calc_Mix'!$C$33,Esc_Circ,$B107)+COUNTIFS(Esc_Turno,'Calc_Mix'!$C$33,Esc_Instr,$B107)&gt;0),"",IF(SUMPRODUCT('Calc_Mix'!$D$33:$W$33,'Matriz_Habilidades'!$D107:$W107)=0,"",SUMPRODUCT('Calc_Mix'!$D$33:$W$33,'Matriz_Habilidades'!$D107:$W107)/'Calc_Mix'!$X$33+ROW()*0.000001))</f>
        <v/>
      </c>
      <c r="AK107" s="34">
        <f>IF(OR($B107="",$C107&lt;&gt;"Ativo",$D107&lt;&gt;'Calc_Mix'!$C$34,'Calc_Mix'!$X$34=0,COUNTIFS(Esc_Turno,'Calc_Mix'!$C$34,Esc_Circ,$B107)+COUNTIFS(Esc_Turno,'Calc_Mix'!$C$34,Esc_Instr,$B107)&gt;0),"",IF(SUMPRODUCT('Calc_Mix'!$D$34:$W$34,'Matriz_Habilidades'!$D107:$W107)=0,"",SUMPRODUCT('Calc_Mix'!$D$34:$W$34,'Matriz_Habilidades'!$D107:$W107)/'Calc_Mix'!$X$34+ROW()*0.000001))</f>
        <v/>
      </c>
      <c r="AL107" s="34">
        <f>IF(OR($B107="",$C107&lt;&gt;"Ativo",$D107&lt;&gt;'Calc_Mix'!$C$35,'Calc_Mix'!$X$35=0,COUNTIFS(Esc_Turno,'Calc_Mix'!$C$35,Esc_Circ,$B107)+COUNTIFS(Esc_Turno,'Calc_Mix'!$C$35,Esc_Instr,$B107)&gt;0),"",IF(SUMPRODUCT('Calc_Mix'!$D$35:$W$35,'Matriz_Habilidades'!$D107:$W107)=0,"",SUMPRODUCT('Calc_Mix'!$D$35:$W$35,'Matriz_Habilidades'!$D107:$W107)/'Calc_Mix'!$X$35+ROW()*0.000001))</f>
        <v/>
      </c>
      <c r="AM107" s="34">
        <f>IF(OR($B107="",$C107&lt;&gt;"Ativo",$D107&lt;&gt;'Calc_Mix'!$C$36,'Calc_Mix'!$X$36=0,COUNTIFS(Esc_Turno,'Calc_Mix'!$C$36,Esc_Circ,$B107)+COUNTIFS(Esc_Turno,'Calc_Mix'!$C$36,Esc_Instr,$B107)&gt;0),"",IF(SUMPRODUCT('Calc_Mix'!$D$36:$W$36,'Matriz_Habilidades'!$D107:$W107)=0,"",SUMPRODUCT('Calc_Mix'!$D$36:$W$36,'Matriz_Habilidades'!$D107:$W107)/'Calc_Mix'!$X$36+ROW()*0.000001))</f>
        <v/>
      </c>
      <c r="AN107" s="34">
        <f>IF(OR($B107="",$C107&lt;&gt;"Ativo",$D107&lt;&gt;'Calc_Mix'!$C$37,'Calc_Mix'!$X$37=0,COUNTIFS(Esc_Turno,'Calc_Mix'!$C$37,Esc_Circ,$B107)+COUNTIFS(Esc_Turno,'Calc_Mix'!$C$37,Esc_Instr,$B107)&gt;0),"",IF(SUMPRODUCT('Calc_Mix'!$D$37:$W$37,'Matriz_Habilidades'!$D107:$W107)=0,"",SUMPRODUCT('Calc_Mix'!$D$37:$W$37,'Matriz_Habilidades'!$D107:$W107)/'Calc_Mix'!$X$37+ROW()*0.000001))</f>
        <v/>
      </c>
    </row>
    <row r="108">
      <c r="A108" s="27">
        <f>IF('Matriz_Habilidades'!A108="","",'Matriz_Habilidades'!A108)</f>
        <v/>
      </c>
      <c r="B108" s="28">
        <f>IF('Matriz_Habilidades'!B108="","",'Matriz_Habilidades'!B108)</f>
        <v/>
      </c>
      <c r="C108" s="27">
        <f>IF($A108="","",IFERROR(INDEX(Equipe_Status,MATCH($B108,Equipe_Nome,0)),"?"))</f>
        <v/>
      </c>
      <c r="D108" s="27">
        <f>IF($A108="","",IFERROR(INDEX(Equipe_Turno,MATCH($B108,Equipe_Nome,0)),"?"))</f>
        <v/>
      </c>
      <c r="E108" s="34">
        <f>IF(OR($B108="",$C108&lt;&gt;"Ativo",$D108&lt;&gt;'Calc_Mix'!$C$2,'Calc_Mix'!$X$2=0,COUNTIFS(Esc_Turno,'Calc_Mix'!$C$2,Esc_Circ,$B108)+COUNTIFS(Esc_Turno,'Calc_Mix'!$C$2,Esc_Instr,$B108)&gt;0),"",IF(SUMPRODUCT('Calc_Mix'!$D$2:$W$2,'Matriz_Habilidades'!$D108:$W108)=0,"",SUMPRODUCT('Calc_Mix'!$D$2:$W$2,'Matriz_Habilidades'!$D108:$W108)/'Calc_Mix'!$X$2+ROW()*0.000001))</f>
        <v/>
      </c>
      <c r="F108" s="34">
        <f>IF(OR($B108="",$C108&lt;&gt;"Ativo",$D108&lt;&gt;'Calc_Mix'!$C$3,'Calc_Mix'!$X$3=0,COUNTIFS(Esc_Turno,'Calc_Mix'!$C$3,Esc_Circ,$B108)+COUNTIFS(Esc_Turno,'Calc_Mix'!$C$3,Esc_Instr,$B108)&gt;0),"",IF(SUMPRODUCT('Calc_Mix'!$D$3:$W$3,'Matriz_Habilidades'!$D108:$W108)=0,"",SUMPRODUCT('Calc_Mix'!$D$3:$W$3,'Matriz_Habilidades'!$D108:$W108)/'Calc_Mix'!$X$3+ROW()*0.000001))</f>
        <v/>
      </c>
      <c r="G108" s="34">
        <f>IF(OR($B108="",$C108&lt;&gt;"Ativo",$D108&lt;&gt;'Calc_Mix'!$C$4,'Calc_Mix'!$X$4=0,COUNTIFS(Esc_Turno,'Calc_Mix'!$C$4,Esc_Circ,$B108)+COUNTIFS(Esc_Turno,'Calc_Mix'!$C$4,Esc_Instr,$B108)&gt;0),"",IF(SUMPRODUCT('Calc_Mix'!$D$4:$W$4,'Matriz_Habilidades'!$D108:$W108)=0,"",SUMPRODUCT('Calc_Mix'!$D$4:$W$4,'Matriz_Habilidades'!$D108:$W108)/'Calc_Mix'!$X$4+ROW()*0.000001))</f>
        <v/>
      </c>
      <c r="H108" s="34">
        <f>IF(OR($B108="",$C108&lt;&gt;"Ativo",$D108&lt;&gt;'Calc_Mix'!$C$5,'Calc_Mix'!$X$5=0,COUNTIFS(Esc_Turno,'Calc_Mix'!$C$5,Esc_Circ,$B108)+COUNTIFS(Esc_Turno,'Calc_Mix'!$C$5,Esc_Instr,$B108)&gt;0),"",IF(SUMPRODUCT('Calc_Mix'!$D$5:$W$5,'Matriz_Habilidades'!$D108:$W108)=0,"",SUMPRODUCT('Calc_Mix'!$D$5:$W$5,'Matriz_Habilidades'!$D108:$W108)/'Calc_Mix'!$X$5+ROW()*0.000001))</f>
        <v/>
      </c>
      <c r="I108" s="34">
        <f>IF(OR($B108="",$C108&lt;&gt;"Ativo",$D108&lt;&gt;'Calc_Mix'!$C$6,'Calc_Mix'!$X$6=0,COUNTIFS(Esc_Turno,'Calc_Mix'!$C$6,Esc_Circ,$B108)+COUNTIFS(Esc_Turno,'Calc_Mix'!$C$6,Esc_Instr,$B108)&gt;0),"",IF(SUMPRODUCT('Calc_Mix'!$D$6:$W$6,'Matriz_Habilidades'!$D108:$W108)=0,"",SUMPRODUCT('Calc_Mix'!$D$6:$W$6,'Matriz_Habilidades'!$D108:$W108)/'Calc_Mix'!$X$6+ROW()*0.000001))</f>
        <v/>
      </c>
      <c r="J108" s="34">
        <f>IF(OR($B108="",$C108&lt;&gt;"Ativo",$D108&lt;&gt;'Calc_Mix'!$C$7,'Calc_Mix'!$X$7=0,COUNTIFS(Esc_Turno,'Calc_Mix'!$C$7,Esc_Circ,$B108)+COUNTIFS(Esc_Turno,'Calc_Mix'!$C$7,Esc_Instr,$B108)&gt;0),"",IF(SUMPRODUCT('Calc_Mix'!$D$7:$W$7,'Matriz_Habilidades'!$D108:$W108)=0,"",SUMPRODUCT('Calc_Mix'!$D$7:$W$7,'Matriz_Habilidades'!$D108:$W108)/'Calc_Mix'!$X$7+ROW()*0.000001))</f>
        <v/>
      </c>
      <c r="K108" s="34">
        <f>IF(OR($B108="",$C108&lt;&gt;"Ativo",$D108&lt;&gt;'Calc_Mix'!$C$8,'Calc_Mix'!$X$8=0,COUNTIFS(Esc_Turno,'Calc_Mix'!$C$8,Esc_Circ,$B108)+COUNTIFS(Esc_Turno,'Calc_Mix'!$C$8,Esc_Instr,$B108)&gt;0),"",IF(SUMPRODUCT('Calc_Mix'!$D$8:$W$8,'Matriz_Habilidades'!$D108:$W108)=0,"",SUMPRODUCT('Calc_Mix'!$D$8:$W$8,'Matriz_Habilidades'!$D108:$W108)/'Calc_Mix'!$X$8+ROW()*0.000001))</f>
        <v/>
      </c>
      <c r="L108" s="34">
        <f>IF(OR($B108="",$C108&lt;&gt;"Ativo",$D108&lt;&gt;'Calc_Mix'!$C$9,'Calc_Mix'!$X$9=0,COUNTIFS(Esc_Turno,'Calc_Mix'!$C$9,Esc_Circ,$B108)+COUNTIFS(Esc_Turno,'Calc_Mix'!$C$9,Esc_Instr,$B108)&gt;0),"",IF(SUMPRODUCT('Calc_Mix'!$D$9:$W$9,'Matriz_Habilidades'!$D108:$W108)=0,"",SUMPRODUCT('Calc_Mix'!$D$9:$W$9,'Matriz_Habilidades'!$D108:$W108)/'Calc_Mix'!$X$9+ROW()*0.000001))</f>
        <v/>
      </c>
      <c r="M108" s="34">
        <f>IF(OR($B108="",$C108&lt;&gt;"Ativo",$D108&lt;&gt;'Calc_Mix'!$C$10,'Calc_Mix'!$X$10=0,COUNTIFS(Esc_Turno,'Calc_Mix'!$C$10,Esc_Circ,$B108)+COUNTIFS(Esc_Turno,'Calc_Mix'!$C$10,Esc_Instr,$B108)&gt;0),"",IF(SUMPRODUCT('Calc_Mix'!$D$10:$W$10,'Matriz_Habilidades'!$D108:$W108)=0,"",SUMPRODUCT('Calc_Mix'!$D$10:$W$10,'Matriz_Habilidades'!$D108:$W108)/'Calc_Mix'!$X$10+ROW()*0.000001))</f>
        <v/>
      </c>
      <c r="N108" s="34">
        <f>IF(OR($B108="",$C108&lt;&gt;"Ativo",$D108&lt;&gt;'Calc_Mix'!$C$11,'Calc_Mix'!$X$11=0,COUNTIFS(Esc_Turno,'Calc_Mix'!$C$11,Esc_Circ,$B108)+COUNTIFS(Esc_Turno,'Calc_Mix'!$C$11,Esc_Instr,$B108)&gt;0),"",IF(SUMPRODUCT('Calc_Mix'!$D$11:$W$11,'Matriz_Habilidades'!$D108:$W108)=0,"",SUMPRODUCT('Calc_Mix'!$D$11:$W$11,'Matriz_Habilidades'!$D108:$W108)/'Calc_Mix'!$X$11+ROW()*0.000001))</f>
        <v/>
      </c>
      <c r="O108" s="34">
        <f>IF(OR($B108="",$C108&lt;&gt;"Ativo",$D108&lt;&gt;'Calc_Mix'!$C$12,'Calc_Mix'!$X$12=0,COUNTIFS(Esc_Turno,'Calc_Mix'!$C$12,Esc_Circ,$B108)+COUNTIFS(Esc_Turno,'Calc_Mix'!$C$12,Esc_Instr,$B108)&gt;0),"",IF(SUMPRODUCT('Calc_Mix'!$D$12:$W$12,'Matriz_Habilidades'!$D108:$W108)=0,"",SUMPRODUCT('Calc_Mix'!$D$12:$W$12,'Matriz_Habilidades'!$D108:$W108)/'Calc_Mix'!$X$12+ROW()*0.000001))</f>
        <v/>
      </c>
      <c r="P108" s="34">
        <f>IF(OR($B108="",$C108&lt;&gt;"Ativo",$D108&lt;&gt;'Calc_Mix'!$C$13,'Calc_Mix'!$X$13=0,COUNTIFS(Esc_Turno,'Calc_Mix'!$C$13,Esc_Circ,$B108)+COUNTIFS(Esc_Turno,'Calc_Mix'!$C$13,Esc_Instr,$B108)&gt;0),"",IF(SUMPRODUCT('Calc_Mix'!$D$13:$W$13,'Matriz_Habilidades'!$D108:$W108)=0,"",SUMPRODUCT('Calc_Mix'!$D$13:$W$13,'Matriz_Habilidades'!$D108:$W108)/'Calc_Mix'!$X$13+ROW()*0.000001))</f>
        <v/>
      </c>
      <c r="Q108" s="34">
        <f>IF(OR($B108="",$C108&lt;&gt;"Ativo",$D108&lt;&gt;'Calc_Mix'!$C$14,'Calc_Mix'!$X$14=0,COUNTIFS(Esc_Turno,'Calc_Mix'!$C$14,Esc_Circ,$B108)+COUNTIFS(Esc_Turno,'Calc_Mix'!$C$14,Esc_Instr,$B108)&gt;0),"",IF(SUMPRODUCT('Calc_Mix'!$D$14:$W$14,'Matriz_Habilidades'!$D108:$W108)=0,"",SUMPRODUCT('Calc_Mix'!$D$14:$W$14,'Matriz_Habilidades'!$D108:$W108)/'Calc_Mix'!$X$14+ROW()*0.000001))</f>
        <v/>
      </c>
      <c r="R108" s="34">
        <f>IF(OR($B108="",$C108&lt;&gt;"Ativo",$D108&lt;&gt;'Calc_Mix'!$C$15,'Calc_Mix'!$X$15=0,COUNTIFS(Esc_Turno,'Calc_Mix'!$C$15,Esc_Circ,$B108)+COUNTIFS(Esc_Turno,'Calc_Mix'!$C$15,Esc_Instr,$B108)&gt;0),"",IF(SUMPRODUCT('Calc_Mix'!$D$15:$W$15,'Matriz_Habilidades'!$D108:$W108)=0,"",SUMPRODUCT('Calc_Mix'!$D$15:$W$15,'Matriz_Habilidades'!$D108:$W108)/'Calc_Mix'!$X$15+ROW()*0.000001))</f>
        <v/>
      </c>
      <c r="S108" s="34">
        <f>IF(OR($B108="",$C108&lt;&gt;"Ativo",$D108&lt;&gt;'Calc_Mix'!$C$16,'Calc_Mix'!$X$16=0,COUNTIFS(Esc_Turno,'Calc_Mix'!$C$16,Esc_Circ,$B108)+COUNTIFS(Esc_Turno,'Calc_Mix'!$C$16,Esc_Instr,$B108)&gt;0),"",IF(SUMPRODUCT('Calc_Mix'!$D$16:$W$16,'Matriz_Habilidades'!$D108:$W108)=0,"",SUMPRODUCT('Calc_Mix'!$D$16:$W$16,'Matriz_Habilidades'!$D108:$W108)/'Calc_Mix'!$X$16+ROW()*0.000001))</f>
        <v/>
      </c>
      <c r="T108" s="34">
        <f>IF(OR($B108="",$C108&lt;&gt;"Ativo",$D108&lt;&gt;'Calc_Mix'!$C$17,'Calc_Mix'!$X$17=0,COUNTIFS(Esc_Turno,'Calc_Mix'!$C$17,Esc_Circ,$B108)+COUNTIFS(Esc_Turno,'Calc_Mix'!$C$17,Esc_Instr,$B108)&gt;0),"",IF(SUMPRODUCT('Calc_Mix'!$D$17:$W$17,'Matriz_Habilidades'!$D108:$W108)=0,"",SUMPRODUCT('Calc_Mix'!$D$17:$W$17,'Matriz_Habilidades'!$D108:$W108)/'Calc_Mix'!$X$17+ROW()*0.000001))</f>
        <v/>
      </c>
      <c r="U108" s="34">
        <f>IF(OR($B108="",$C108&lt;&gt;"Ativo",$D108&lt;&gt;'Calc_Mix'!$C$18,'Calc_Mix'!$X$18=0,COUNTIFS(Esc_Turno,'Calc_Mix'!$C$18,Esc_Circ,$B108)+COUNTIFS(Esc_Turno,'Calc_Mix'!$C$18,Esc_Instr,$B108)&gt;0),"",IF(SUMPRODUCT('Calc_Mix'!$D$18:$W$18,'Matriz_Habilidades'!$D108:$W108)=0,"",SUMPRODUCT('Calc_Mix'!$D$18:$W$18,'Matriz_Habilidades'!$D108:$W108)/'Calc_Mix'!$X$18+ROW()*0.000001))</f>
        <v/>
      </c>
      <c r="V108" s="34">
        <f>IF(OR($B108="",$C108&lt;&gt;"Ativo",$D108&lt;&gt;'Calc_Mix'!$C$19,'Calc_Mix'!$X$19=0,COUNTIFS(Esc_Turno,'Calc_Mix'!$C$19,Esc_Circ,$B108)+COUNTIFS(Esc_Turno,'Calc_Mix'!$C$19,Esc_Instr,$B108)&gt;0),"",IF(SUMPRODUCT('Calc_Mix'!$D$19:$W$19,'Matriz_Habilidades'!$D108:$W108)=0,"",SUMPRODUCT('Calc_Mix'!$D$19:$W$19,'Matriz_Habilidades'!$D108:$W108)/'Calc_Mix'!$X$19+ROW()*0.000001))</f>
        <v/>
      </c>
      <c r="W108" s="34">
        <f>IF(OR($B108="",$C108&lt;&gt;"Ativo",$D108&lt;&gt;'Calc_Mix'!$C$20,'Calc_Mix'!$X$20=0,COUNTIFS(Esc_Turno,'Calc_Mix'!$C$20,Esc_Circ,$B108)+COUNTIFS(Esc_Turno,'Calc_Mix'!$C$20,Esc_Instr,$B108)&gt;0),"",IF(SUMPRODUCT('Calc_Mix'!$D$20:$W$20,'Matriz_Habilidades'!$D108:$W108)=0,"",SUMPRODUCT('Calc_Mix'!$D$20:$W$20,'Matriz_Habilidades'!$D108:$W108)/'Calc_Mix'!$X$20+ROW()*0.000001))</f>
        <v/>
      </c>
      <c r="X108" s="34">
        <f>IF(OR($B108="",$C108&lt;&gt;"Ativo",$D108&lt;&gt;'Calc_Mix'!$C$21,'Calc_Mix'!$X$21=0,COUNTIFS(Esc_Turno,'Calc_Mix'!$C$21,Esc_Circ,$B108)+COUNTIFS(Esc_Turno,'Calc_Mix'!$C$21,Esc_Instr,$B108)&gt;0),"",IF(SUMPRODUCT('Calc_Mix'!$D$21:$W$21,'Matriz_Habilidades'!$D108:$W108)=0,"",SUMPRODUCT('Calc_Mix'!$D$21:$W$21,'Matriz_Habilidades'!$D108:$W108)/'Calc_Mix'!$X$21+ROW()*0.000001))</f>
        <v/>
      </c>
      <c r="Y108" s="34">
        <f>IF(OR($B108="",$C108&lt;&gt;"Ativo",$D108&lt;&gt;'Calc_Mix'!$C$22,'Calc_Mix'!$X$22=0,COUNTIFS(Esc_Turno,'Calc_Mix'!$C$22,Esc_Circ,$B108)+COUNTIFS(Esc_Turno,'Calc_Mix'!$C$22,Esc_Instr,$B108)&gt;0),"",IF(SUMPRODUCT('Calc_Mix'!$D$22:$W$22,'Matriz_Habilidades'!$D108:$W108)=0,"",SUMPRODUCT('Calc_Mix'!$D$22:$W$22,'Matriz_Habilidades'!$D108:$W108)/'Calc_Mix'!$X$22+ROW()*0.000001))</f>
        <v/>
      </c>
      <c r="Z108" s="34">
        <f>IF(OR($B108="",$C108&lt;&gt;"Ativo",$D108&lt;&gt;'Calc_Mix'!$C$23,'Calc_Mix'!$X$23=0,COUNTIFS(Esc_Turno,'Calc_Mix'!$C$23,Esc_Circ,$B108)+COUNTIFS(Esc_Turno,'Calc_Mix'!$C$23,Esc_Instr,$B108)&gt;0),"",IF(SUMPRODUCT('Calc_Mix'!$D$23:$W$23,'Matriz_Habilidades'!$D108:$W108)=0,"",SUMPRODUCT('Calc_Mix'!$D$23:$W$23,'Matriz_Habilidades'!$D108:$W108)/'Calc_Mix'!$X$23+ROW()*0.000001))</f>
        <v/>
      </c>
      <c r="AA108" s="34">
        <f>IF(OR($B108="",$C108&lt;&gt;"Ativo",$D108&lt;&gt;'Calc_Mix'!$C$24,'Calc_Mix'!$X$24=0,COUNTIFS(Esc_Turno,'Calc_Mix'!$C$24,Esc_Circ,$B108)+COUNTIFS(Esc_Turno,'Calc_Mix'!$C$24,Esc_Instr,$B108)&gt;0),"",IF(SUMPRODUCT('Calc_Mix'!$D$24:$W$24,'Matriz_Habilidades'!$D108:$W108)=0,"",SUMPRODUCT('Calc_Mix'!$D$24:$W$24,'Matriz_Habilidades'!$D108:$W108)/'Calc_Mix'!$X$24+ROW()*0.000001))</f>
        <v/>
      </c>
      <c r="AB108" s="34">
        <f>IF(OR($B108="",$C108&lt;&gt;"Ativo",$D108&lt;&gt;'Calc_Mix'!$C$25,'Calc_Mix'!$X$25=0,COUNTIFS(Esc_Turno,'Calc_Mix'!$C$25,Esc_Circ,$B108)+COUNTIFS(Esc_Turno,'Calc_Mix'!$C$25,Esc_Instr,$B108)&gt;0),"",IF(SUMPRODUCT('Calc_Mix'!$D$25:$W$25,'Matriz_Habilidades'!$D108:$W108)=0,"",SUMPRODUCT('Calc_Mix'!$D$25:$W$25,'Matriz_Habilidades'!$D108:$W108)/'Calc_Mix'!$X$25+ROW()*0.000001))</f>
        <v/>
      </c>
      <c r="AC108" s="34">
        <f>IF(OR($B108="",$C108&lt;&gt;"Ativo",$D108&lt;&gt;'Calc_Mix'!$C$26,'Calc_Mix'!$X$26=0,COUNTIFS(Esc_Turno,'Calc_Mix'!$C$26,Esc_Circ,$B108)+COUNTIFS(Esc_Turno,'Calc_Mix'!$C$26,Esc_Instr,$B108)&gt;0),"",IF(SUMPRODUCT('Calc_Mix'!$D$26:$W$26,'Matriz_Habilidades'!$D108:$W108)=0,"",SUMPRODUCT('Calc_Mix'!$D$26:$W$26,'Matriz_Habilidades'!$D108:$W108)/'Calc_Mix'!$X$26+ROW()*0.000001))</f>
        <v/>
      </c>
      <c r="AD108" s="34">
        <f>IF(OR($B108="",$C108&lt;&gt;"Ativo",$D108&lt;&gt;'Calc_Mix'!$C$27,'Calc_Mix'!$X$27=0,COUNTIFS(Esc_Turno,'Calc_Mix'!$C$27,Esc_Circ,$B108)+COUNTIFS(Esc_Turno,'Calc_Mix'!$C$27,Esc_Instr,$B108)&gt;0),"",IF(SUMPRODUCT('Calc_Mix'!$D$27:$W$27,'Matriz_Habilidades'!$D108:$W108)=0,"",SUMPRODUCT('Calc_Mix'!$D$27:$W$27,'Matriz_Habilidades'!$D108:$W108)/'Calc_Mix'!$X$27+ROW()*0.000001))</f>
        <v/>
      </c>
      <c r="AE108" s="34">
        <f>IF(OR($B108="",$C108&lt;&gt;"Ativo",$D108&lt;&gt;'Calc_Mix'!$C$28,'Calc_Mix'!$X$28=0,COUNTIFS(Esc_Turno,'Calc_Mix'!$C$28,Esc_Circ,$B108)+COUNTIFS(Esc_Turno,'Calc_Mix'!$C$28,Esc_Instr,$B108)&gt;0),"",IF(SUMPRODUCT('Calc_Mix'!$D$28:$W$28,'Matriz_Habilidades'!$D108:$W108)=0,"",SUMPRODUCT('Calc_Mix'!$D$28:$W$28,'Matriz_Habilidades'!$D108:$W108)/'Calc_Mix'!$X$28+ROW()*0.000001))</f>
        <v/>
      </c>
      <c r="AF108" s="34">
        <f>IF(OR($B108="",$C108&lt;&gt;"Ativo",$D108&lt;&gt;'Calc_Mix'!$C$29,'Calc_Mix'!$X$29=0,COUNTIFS(Esc_Turno,'Calc_Mix'!$C$29,Esc_Circ,$B108)+COUNTIFS(Esc_Turno,'Calc_Mix'!$C$29,Esc_Instr,$B108)&gt;0),"",IF(SUMPRODUCT('Calc_Mix'!$D$29:$W$29,'Matriz_Habilidades'!$D108:$W108)=0,"",SUMPRODUCT('Calc_Mix'!$D$29:$W$29,'Matriz_Habilidades'!$D108:$W108)/'Calc_Mix'!$X$29+ROW()*0.000001))</f>
        <v/>
      </c>
      <c r="AG108" s="34">
        <f>IF(OR($B108="",$C108&lt;&gt;"Ativo",$D108&lt;&gt;'Calc_Mix'!$C$30,'Calc_Mix'!$X$30=0,COUNTIFS(Esc_Turno,'Calc_Mix'!$C$30,Esc_Circ,$B108)+COUNTIFS(Esc_Turno,'Calc_Mix'!$C$30,Esc_Instr,$B108)&gt;0),"",IF(SUMPRODUCT('Calc_Mix'!$D$30:$W$30,'Matriz_Habilidades'!$D108:$W108)=0,"",SUMPRODUCT('Calc_Mix'!$D$30:$W$30,'Matriz_Habilidades'!$D108:$W108)/'Calc_Mix'!$X$30+ROW()*0.000001))</f>
        <v/>
      </c>
      <c r="AH108" s="34">
        <f>IF(OR($B108="",$C108&lt;&gt;"Ativo",$D108&lt;&gt;'Calc_Mix'!$C$31,'Calc_Mix'!$X$31=0,COUNTIFS(Esc_Turno,'Calc_Mix'!$C$31,Esc_Circ,$B108)+COUNTIFS(Esc_Turno,'Calc_Mix'!$C$31,Esc_Instr,$B108)&gt;0),"",IF(SUMPRODUCT('Calc_Mix'!$D$31:$W$31,'Matriz_Habilidades'!$D108:$W108)=0,"",SUMPRODUCT('Calc_Mix'!$D$31:$W$31,'Matriz_Habilidades'!$D108:$W108)/'Calc_Mix'!$X$31+ROW()*0.000001))</f>
        <v/>
      </c>
      <c r="AI108" s="34">
        <f>IF(OR($B108="",$C108&lt;&gt;"Ativo",$D108&lt;&gt;'Calc_Mix'!$C$32,'Calc_Mix'!$X$32=0,COUNTIFS(Esc_Turno,'Calc_Mix'!$C$32,Esc_Circ,$B108)+COUNTIFS(Esc_Turno,'Calc_Mix'!$C$32,Esc_Instr,$B108)&gt;0),"",IF(SUMPRODUCT('Calc_Mix'!$D$32:$W$32,'Matriz_Habilidades'!$D108:$W108)=0,"",SUMPRODUCT('Calc_Mix'!$D$32:$W$32,'Matriz_Habilidades'!$D108:$W108)/'Calc_Mix'!$X$32+ROW()*0.000001))</f>
        <v/>
      </c>
      <c r="AJ108" s="34">
        <f>IF(OR($B108="",$C108&lt;&gt;"Ativo",$D108&lt;&gt;'Calc_Mix'!$C$33,'Calc_Mix'!$X$33=0,COUNTIFS(Esc_Turno,'Calc_Mix'!$C$33,Esc_Circ,$B108)+COUNTIFS(Esc_Turno,'Calc_Mix'!$C$33,Esc_Instr,$B108)&gt;0),"",IF(SUMPRODUCT('Calc_Mix'!$D$33:$W$33,'Matriz_Habilidades'!$D108:$W108)=0,"",SUMPRODUCT('Calc_Mix'!$D$33:$W$33,'Matriz_Habilidades'!$D108:$W108)/'Calc_Mix'!$X$33+ROW()*0.000001))</f>
        <v/>
      </c>
      <c r="AK108" s="34">
        <f>IF(OR($B108="",$C108&lt;&gt;"Ativo",$D108&lt;&gt;'Calc_Mix'!$C$34,'Calc_Mix'!$X$34=0,COUNTIFS(Esc_Turno,'Calc_Mix'!$C$34,Esc_Circ,$B108)+COUNTIFS(Esc_Turno,'Calc_Mix'!$C$34,Esc_Instr,$B108)&gt;0),"",IF(SUMPRODUCT('Calc_Mix'!$D$34:$W$34,'Matriz_Habilidades'!$D108:$W108)=0,"",SUMPRODUCT('Calc_Mix'!$D$34:$W$34,'Matriz_Habilidades'!$D108:$W108)/'Calc_Mix'!$X$34+ROW()*0.000001))</f>
        <v/>
      </c>
      <c r="AL108" s="34">
        <f>IF(OR($B108="",$C108&lt;&gt;"Ativo",$D108&lt;&gt;'Calc_Mix'!$C$35,'Calc_Mix'!$X$35=0,COUNTIFS(Esc_Turno,'Calc_Mix'!$C$35,Esc_Circ,$B108)+COUNTIFS(Esc_Turno,'Calc_Mix'!$C$35,Esc_Instr,$B108)&gt;0),"",IF(SUMPRODUCT('Calc_Mix'!$D$35:$W$35,'Matriz_Habilidades'!$D108:$W108)=0,"",SUMPRODUCT('Calc_Mix'!$D$35:$W$35,'Matriz_Habilidades'!$D108:$W108)/'Calc_Mix'!$X$35+ROW()*0.000001))</f>
        <v/>
      </c>
      <c r="AM108" s="34">
        <f>IF(OR($B108="",$C108&lt;&gt;"Ativo",$D108&lt;&gt;'Calc_Mix'!$C$36,'Calc_Mix'!$X$36=0,COUNTIFS(Esc_Turno,'Calc_Mix'!$C$36,Esc_Circ,$B108)+COUNTIFS(Esc_Turno,'Calc_Mix'!$C$36,Esc_Instr,$B108)&gt;0),"",IF(SUMPRODUCT('Calc_Mix'!$D$36:$W$36,'Matriz_Habilidades'!$D108:$W108)=0,"",SUMPRODUCT('Calc_Mix'!$D$36:$W$36,'Matriz_Habilidades'!$D108:$W108)/'Calc_Mix'!$X$36+ROW()*0.000001))</f>
        <v/>
      </c>
      <c r="AN108" s="34">
        <f>IF(OR($B108="",$C108&lt;&gt;"Ativo",$D108&lt;&gt;'Calc_Mix'!$C$37,'Calc_Mix'!$X$37=0,COUNTIFS(Esc_Turno,'Calc_Mix'!$C$37,Esc_Circ,$B108)+COUNTIFS(Esc_Turno,'Calc_Mix'!$C$37,Esc_Instr,$B108)&gt;0),"",IF(SUMPRODUCT('Calc_Mix'!$D$37:$W$37,'Matriz_Habilidades'!$D108:$W108)=0,"",SUMPRODUCT('Calc_Mix'!$D$37:$W$37,'Matriz_Habilidades'!$D108:$W108)/'Calc_Mix'!$X$37+ROW()*0.000001))</f>
        <v/>
      </c>
    </row>
    <row r="109">
      <c r="A109" s="27">
        <f>IF('Matriz_Habilidades'!A109="","",'Matriz_Habilidades'!A109)</f>
        <v/>
      </c>
      <c r="B109" s="28">
        <f>IF('Matriz_Habilidades'!B109="","",'Matriz_Habilidades'!B109)</f>
        <v/>
      </c>
      <c r="C109" s="27">
        <f>IF($A109="","",IFERROR(INDEX(Equipe_Status,MATCH($B109,Equipe_Nome,0)),"?"))</f>
        <v/>
      </c>
      <c r="D109" s="27">
        <f>IF($A109="","",IFERROR(INDEX(Equipe_Turno,MATCH($B109,Equipe_Nome,0)),"?"))</f>
        <v/>
      </c>
      <c r="E109" s="34">
        <f>IF(OR($B109="",$C109&lt;&gt;"Ativo",$D109&lt;&gt;'Calc_Mix'!$C$2,'Calc_Mix'!$X$2=0,COUNTIFS(Esc_Turno,'Calc_Mix'!$C$2,Esc_Circ,$B109)+COUNTIFS(Esc_Turno,'Calc_Mix'!$C$2,Esc_Instr,$B109)&gt;0),"",IF(SUMPRODUCT('Calc_Mix'!$D$2:$W$2,'Matriz_Habilidades'!$D109:$W109)=0,"",SUMPRODUCT('Calc_Mix'!$D$2:$W$2,'Matriz_Habilidades'!$D109:$W109)/'Calc_Mix'!$X$2+ROW()*0.000001))</f>
        <v/>
      </c>
      <c r="F109" s="34">
        <f>IF(OR($B109="",$C109&lt;&gt;"Ativo",$D109&lt;&gt;'Calc_Mix'!$C$3,'Calc_Mix'!$X$3=0,COUNTIFS(Esc_Turno,'Calc_Mix'!$C$3,Esc_Circ,$B109)+COUNTIFS(Esc_Turno,'Calc_Mix'!$C$3,Esc_Instr,$B109)&gt;0),"",IF(SUMPRODUCT('Calc_Mix'!$D$3:$W$3,'Matriz_Habilidades'!$D109:$W109)=0,"",SUMPRODUCT('Calc_Mix'!$D$3:$W$3,'Matriz_Habilidades'!$D109:$W109)/'Calc_Mix'!$X$3+ROW()*0.000001))</f>
        <v/>
      </c>
      <c r="G109" s="34">
        <f>IF(OR($B109="",$C109&lt;&gt;"Ativo",$D109&lt;&gt;'Calc_Mix'!$C$4,'Calc_Mix'!$X$4=0,COUNTIFS(Esc_Turno,'Calc_Mix'!$C$4,Esc_Circ,$B109)+COUNTIFS(Esc_Turno,'Calc_Mix'!$C$4,Esc_Instr,$B109)&gt;0),"",IF(SUMPRODUCT('Calc_Mix'!$D$4:$W$4,'Matriz_Habilidades'!$D109:$W109)=0,"",SUMPRODUCT('Calc_Mix'!$D$4:$W$4,'Matriz_Habilidades'!$D109:$W109)/'Calc_Mix'!$X$4+ROW()*0.000001))</f>
        <v/>
      </c>
      <c r="H109" s="34">
        <f>IF(OR($B109="",$C109&lt;&gt;"Ativo",$D109&lt;&gt;'Calc_Mix'!$C$5,'Calc_Mix'!$X$5=0,COUNTIFS(Esc_Turno,'Calc_Mix'!$C$5,Esc_Circ,$B109)+COUNTIFS(Esc_Turno,'Calc_Mix'!$C$5,Esc_Instr,$B109)&gt;0),"",IF(SUMPRODUCT('Calc_Mix'!$D$5:$W$5,'Matriz_Habilidades'!$D109:$W109)=0,"",SUMPRODUCT('Calc_Mix'!$D$5:$W$5,'Matriz_Habilidades'!$D109:$W109)/'Calc_Mix'!$X$5+ROW()*0.000001))</f>
        <v/>
      </c>
      <c r="I109" s="34">
        <f>IF(OR($B109="",$C109&lt;&gt;"Ativo",$D109&lt;&gt;'Calc_Mix'!$C$6,'Calc_Mix'!$X$6=0,COUNTIFS(Esc_Turno,'Calc_Mix'!$C$6,Esc_Circ,$B109)+COUNTIFS(Esc_Turno,'Calc_Mix'!$C$6,Esc_Instr,$B109)&gt;0),"",IF(SUMPRODUCT('Calc_Mix'!$D$6:$W$6,'Matriz_Habilidades'!$D109:$W109)=0,"",SUMPRODUCT('Calc_Mix'!$D$6:$W$6,'Matriz_Habilidades'!$D109:$W109)/'Calc_Mix'!$X$6+ROW()*0.000001))</f>
        <v/>
      </c>
      <c r="J109" s="34">
        <f>IF(OR($B109="",$C109&lt;&gt;"Ativo",$D109&lt;&gt;'Calc_Mix'!$C$7,'Calc_Mix'!$X$7=0,COUNTIFS(Esc_Turno,'Calc_Mix'!$C$7,Esc_Circ,$B109)+COUNTIFS(Esc_Turno,'Calc_Mix'!$C$7,Esc_Instr,$B109)&gt;0),"",IF(SUMPRODUCT('Calc_Mix'!$D$7:$W$7,'Matriz_Habilidades'!$D109:$W109)=0,"",SUMPRODUCT('Calc_Mix'!$D$7:$W$7,'Matriz_Habilidades'!$D109:$W109)/'Calc_Mix'!$X$7+ROW()*0.000001))</f>
        <v/>
      </c>
      <c r="K109" s="34">
        <f>IF(OR($B109="",$C109&lt;&gt;"Ativo",$D109&lt;&gt;'Calc_Mix'!$C$8,'Calc_Mix'!$X$8=0,COUNTIFS(Esc_Turno,'Calc_Mix'!$C$8,Esc_Circ,$B109)+COUNTIFS(Esc_Turno,'Calc_Mix'!$C$8,Esc_Instr,$B109)&gt;0),"",IF(SUMPRODUCT('Calc_Mix'!$D$8:$W$8,'Matriz_Habilidades'!$D109:$W109)=0,"",SUMPRODUCT('Calc_Mix'!$D$8:$W$8,'Matriz_Habilidades'!$D109:$W109)/'Calc_Mix'!$X$8+ROW()*0.000001))</f>
        <v/>
      </c>
      <c r="L109" s="34">
        <f>IF(OR($B109="",$C109&lt;&gt;"Ativo",$D109&lt;&gt;'Calc_Mix'!$C$9,'Calc_Mix'!$X$9=0,COUNTIFS(Esc_Turno,'Calc_Mix'!$C$9,Esc_Circ,$B109)+COUNTIFS(Esc_Turno,'Calc_Mix'!$C$9,Esc_Instr,$B109)&gt;0),"",IF(SUMPRODUCT('Calc_Mix'!$D$9:$W$9,'Matriz_Habilidades'!$D109:$W109)=0,"",SUMPRODUCT('Calc_Mix'!$D$9:$W$9,'Matriz_Habilidades'!$D109:$W109)/'Calc_Mix'!$X$9+ROW()*0.000001))</f>
        <v/>
      </c>
      <c r="M109" s="34">
        <f>IF(OR($B109="",$C109&lt;&gt;"Ativo",$D109&lt;&gt;'Calc_Mix'!$C$10,'Calc_Mix'!$X$10=0,COUNTIFS(Esc_Turno,'Calc_Mix'!$C$10,Esc_Circ,$B109)+COUNTIFS(Esc_Turno,'Calc_Mix'!$C$10,Esc_Instr,$B109)&gt;0),"",IF(SUMPRODUCT('Calc_Mix'!$D$10:$W$10,'Matriz_Habilidades'!$D109:$W109)=0,"",SUMPRODUCT('Calc_Mix'!$D$10:$W$10,'Matriz_Habilidades'!$D109:$W109)/'Calc_Mix'!$X$10+ROW()*0.000001))</f>
        <v/>
      </c>
      <c r="N109" s="34">
        <f>IF(OR($B109="",$C109&lt;&gt;"Ativo",$D109&lt;&gt;'Calc_Mix'!$C$11,'Calc_Mix'!$X$11=0,COUNTIFS(Esc_Turno,'Calc_Mix'!$C$11,Esc_Circ,$B109)+COUNTIFS(Esc_Turno,'Calc_Mix'!$C$11,Esc_Instr,$B109)&gt;0),"",IF(SUMPRODUCT('Calc_Mix'!$D$11:$W$11,'Matriz_Habilidades'!$D109:$W109)=0,"",SUMPRODUCT('Calc_Mix'!$D$11:$W$11,'Matriz_Habilidades'!$D109:$W109)/'Calc_Mix'!$X$11+ROW()*0.000001))</f>
        <v/>
      </c>
      <c r="O109" s="34">
        <f>IF(OR($B109="",$C109&lt;&gt;"Ativo",$D109&lt;&gt;'Calc_Mix'!$C$12,'Calc_Mix'!$X$12=0,COUNTIFS(Esc_Turno,'Calc_Mix'!$C$12,Esc_Circ,$B109)+COUNTIFS(Esc_Turno,'Calc_Mix'!$C$12,Esc_Instr,$B109)&gt;0),"",IF(SUMPRODUCT('Calc_Mix'!$D$12:$W$12,'Matriz_Habilidades'!$D109:$W109)=0,"",SUMPRODUCT('Calc_Mix'!$D$12:$W$12,'Matriz_Habilidades'!$D109:$W109)/'Calc_Mix'!$X$12+ROW()*0.000001))</f>
        <v/>
      </c>
      <c r="P109" s="34">
        <f>IF(OR($B109="",$C109&lt;&gt;"Ativo",$D109&lt;&gt;'Calc_Mix'!$C$13,'Calc_Mix'!$X$13=0,COUNTIFS(Esc_Turno,'Calc_Mix'!$C$13,Esc_Circ,$B109)+COUNTIFS(Esc_Turno,'Calc_Mix'!$C$13,Esc_Instr,$B109)&gt;0),"",IF(SUMPRODUCT('Calc_Mix'!$D$13:$W$13,'Matriz_Habilidades'!$D109:$W109)=0,"",SUMPRODUCT('Calc_Mix'!$D$13:$W$13,'Matriz_Habilidades'!$D109:$W109)/'Calc_Mix'!$X$13+ROW()*0.000001))</f>
        <v/>
      </c>
      <c r="Q109" s="34">
        <f>IF(OR($B109="",$C109&lt;&gt;"Ativo",$D109&lt;&gt;'Calc_Mix'!$C$14,'Calc_Mix'!$X$14=0,COUNTIFS(Esc_Turno,'Calc_Mix'!$C$14,Esc_Circ,$B109)+COUNTIFS(Esc_Turno,'Calc_Mix'!$C$14,Esc_Instr,$B109)&gt;0),"",IF(SUMPRODUCT('Calc_Mix'!$D$14:$W$14,'Matriz_Habilidades'!$D109:$W109)=0,"",SUMPRODUCT('Calc_Mix'!$D$14:$W$14,'Matriz_Habilidades'!$D109:$W109)/'Calc_Mix'!$X$14+ROW()*0.000001))</f>
        <v/>
      </c>
      <c r="R109" s="34">
        <f>IF(OR($B109="",$C109&lt;&gt;"Ativo",$D109&lt;&gt;'Calc_Mix'!$C$15,'Calc_Mix'!$X$15=0,COUNTIFS(Esc_Turno,'Calc_Mix'!$C$15,Esc_Circ,$B109)+COUNTIFS(Esc_Turno,'Calc_Mix'!$C$15,Esc_Instr,$B109)&gt;0),"",IF(SUMPRODUCT('Calc_Mix'!$D$15:$W$15,'Matriz_Habilidades'!$D109:$W109)=0,"",SUMPRODUCT('Calc_Mix'!$D$15:$W$15,'Matriz_Habilidades'!$D109:$W109)/'Calc_Mix'!$X$15+ROW()*0.000001))</f>
        <v/>
      </c>
      <c r="S109" s="34">
        <f>IF(OR($B109="",$C109&lt;&gt;"Ativo",$D109&lt;&gt;'Calc_Mix'!$C$16,'Calc_Mix'!$X$16=0,COUNTIFS(Esc_Turno,'Calc_Mix'!$C$16,Esc_Circ,$B109)+COUNTIFS(Esc_Turno,'Calc_Mix'!$C$16,Esc_Instr,$B109)&gt;0),"",IF(SUMPRODUCT('Calc_Mix'!$D$16:$W$16,'Matriz_Habilidades'!$D109:$W109)=0,"",SUMPRODUCT('Calc_Mix'!$D$16:$W$16,'Matriz_Habilidades'!$D109:$W109)/'Calc_Mix'!$X$16+ROW()*0.000001))</f>
        <v/>
      </c>
      <c r="T109" s="34">
        <f>IF(OR($B109="",$C109&lt;&gt;"Ativo",$D109&lt;&gt;'Calc_Mix'!$C$17,'Calc_Mix'!$X$17=0,COUNTIFS(Esc_Turno,'Calc_Mix'!$C$17,Esc_Circ,$B109)+COUNTIFS(Esc_Turno,'Calc_Mix'!$C$17,Esc_Instr,$B109)&gt;0),"",IF(SUMPRODUCT('Calc_Mix'!$D$17:$W$17,'Matriz_Habilidades'!$D109:$W109)=0,"",SUMPRODUCT('Calc_Mix'!$D$17:$W$17,'Matriz_Habilidades'!$D109:$W109)/'Calc_Mix'!$X$17+ROW()*0.000001))</f>
        <v/>
      </c>
      <c r="U109" s="34">
        <f>IF(OR($B109="",$C109&lt;&gt;"Ativo",$D109&lt;&gt;'Calc_Mix'!$C$18,'Calc_Mix'!$X$18=0,COUNTIFS(Esc_Turno,'Calc_Mix'!$C$18,Esc_Circ,$B109)+COUNTIFS(Esc_Turno,'Calc_Mix'!$C$18,Esc_Instr,$B109)&gt;0),"",IF(SUMPRODUCT('Calc_Mix'!$D$18:$W$18,'Matriz_Habilidades'!$D109:$W109)=0,"",SUMPRODUCT('Calc_Mix'!$D$18:$W$18,'Matriz_Habilidades'!$D109:$W109)/'Calc_Mix'!$X$18+ROW()*0.000001))</f>
        <v/>
      </c>
      <c r="V109" s="34">
        <f>IF(OR($B109="",$C109&lt;&gt;"Ativo",$D109&lt;&gt;'Calc_Mix'!$C$19,'Calc_Mix'!$X$19=0,COUNTIFS(Esc_Turno,'Calc_Mix'!$C$19,Esc_Circ,$B109)+COUNTIFS(Esc_Turno,'Calc_Mix'!$C$19,Esc_Instr,$B109)&gt;0),"",IF(SUMPRODUCT('Calc_Mix'!$D$19:$W$19,'Matriz_Habilidades'!$D109:$W109)=0,"",SUMPRODUCT('Calc_Mix'!$D$19:$W$19,'Matriz_Habilidades'!$D109:$W109)/'Calc_Mix'!$X$19+ROW()*0.000001))</f>
        <v/>
      </c>
      <c r="W109" s="34">
        <f>IF(OR($B109="",$C109&lt;&gt;"Ativo",$D109&lt;&gt;'Calc_Mix'!$C$20,'Calc_Mix'!$X$20=0,COUNTIFS(Esc_Turno,'Calc_Mix'!$C$20,Esc_Circ,$B109)+COUNTIFS(Esc_Turno,'Calc_Mix'!$C$20,Esc_Instr,$B109)&gt;0),"",IF(SUMPRODUCT('Calc_Mix'!$D$20:$W$20,'Matriz_Habilidades'!$D109:$W109)=0,"",SUMPRODUCT('Calc_Mix'!$D$20:$W$20,'Matriz_Habilidades'!$D109:$W109)/'Calc_Mix'!$X$20+ROW()*0.000001))</f>
        <v/>
      </c>
      <c r="X109" s="34">
        <f>IF(OR($B109="",$C109&lt;&gt;"Ativo",$D109&lt;&gt;'Calc_Mix'!$C$21,'Calc_Mix'!$X$21=0,COUNTIFS(Esc_Turno,'Calc_Mix'!$C$21,Esc_Circ,$B109)+COUNTIFS(Esc_Turno,'Calc_Mix'!$C$21,Esc_Instr,$B109)&gt;0),"",IF(SUMPRODUCT('Calc_Mix'!$D$21:$W$21,'Matriz_Habilidades'!$D109:$W109)=0,"",SUMPRODUCT('Calc_Mix'!$D$21:$W$21,'Matriz_Habilidades'!$D109:$W109)/'Calc_Mix'!$X$21+ROW()*0.000001))</f>
        <v/>
      </c>
      <c r="Y109" s="34">
        <f>IF(OR($B109="",$C109&lt;&gt;"Ativo",$D109&lt;&gt;'Calc_Mix'!$C$22,'Calc_Mix'!$X$22=0,COUNTIFS(Esc_Turno,'Calc_Mix'!$C$22,Esc_Circ,$B109)+COUNTIFS(Esc_Turno,'Calc_Mix'!$C$22,Esc_Instr,$B109)&gt;0),"",IF(SUMPRODUCT('Calc_Mix'!$D$22:$W$22,'Matriz_Habilidades'!$D109:$W109)=0,"",SUMPRODUCT('Calc_Mix'!$D$22:$W$22,'Matriz_Habilidades'!$D109:$W109)/'Calc_Mix'!$X$22+ROW()*0.000001))</f>
        <v/>
      </c>
      <c r="Z109" s="34">
        <f>IF(OR($B109="",$C109&lt;&gt;"Ativo",$D109&lt;&gt;'Calc_Mix'!$C$23,'Calc_Mix'!$X$23=0,COUNTIFS(Esc_Turno,'Calc_Mix'!$C$23,Esc_Circ,$B109)+COUNTIFS(Esc_Turno,'Calc_Mix'!$C$23,Esc_Instr,$B109)&gt;0),"",IF(SUMPRODUCT('Calc_Mix'!$D$23:$W$23,'Matriz_Habilidades'!$D109:$W109)=0,"",SUMPRODUCT('Calc_Mix'!$D$23:$W$23,'Matriz_Habilidades'!$D109:$W109)/'Calc_Mix'!$X$23+ROW()*0.000001))</f>
        <v/>
      </c>
      <c r="AA109" s="34">
        <f>IF(OR($B109="",$C109&lt;&gt;"Ativo",$D109&lt;&gt;'Calc_Mix'!$C$24,'Calc_Mix'!$X$24=0,COUNTIFS(Esc_Turno,'Calc_Mix'!$C$24,Esc_Circ,$B109)+COUNTIFS(Esc_Turno,'Calc_Mix'!$C$24,Esc_Instr,$B109)&gt;0),"",IF(SUMPRODUCT('Calc_Mix'!$D$24:$W$24,'Matriz_Habilidades'!$D109:$W109)=0,"",SUMPRODUCT('Calc_Mix'!$D$24:$W$24,'Matriz_Habilidades'!$D109:$W109)/'Calc_Mix'!$X$24+ROW()*0.000001))</f>
        <v/>
      </c>
      <c r="AB109" s="34">
        <f>IF(OR($B109="",$C109&lt;&gt;"Ativo",$D109&lt;&gt;'Calc_Mix'!$C$25,'Calc_Mix'!$X$25=0,COUNTIFS(Esc_Turno,'Calc_Mix'!$C$25,Esc_Circ,$B109)+COUNTIFS(Esc_Turno,'Calc_Mix'!$C$25,Esc_Instr,$B109)&gt;0),"",IF(SUMPRODUCT('Calc_Mix'!$D$25:$W$25,'Matriz_Habilidades'!$D109:$W109)=0,"",SUMPRODUCT('Calc_Mix'!$D$25:$W$25,'Matriz_Habilidades'!$D109:$W109)/'Calc_Mix'!$X$25+ROW()*0.000001))</f>
        <v/>
      </c>
      <c r="AC109" s="34">
        <f>IF(OR($B109="",$C109&lt;&gt;"Ativo",$D109&lt;&gt;'Calc_Mix'!$C$26,'Calc_Mix'!$X$26=0,COUNTIFS(Esc_Turno,'Calc_Mix'!$C$26,Esc_Circ,$B109)+COUNTIFS(Esc_Turno,'Calc_Mix'!$C$26,Esc_Instr,$B109)&gt;0),"",IF(SUMPRODUCT('Calc_Mix'!$D$26:$W$26,'Matriz_Habilidades'!$D109:$W109)=0,"",SUMPRODUCT('Calc_Mix'!$D$26:$W$26,'Matriz_Habilidades'!$D109:$W109)/'Calc_Mix'!$X$26+ROW()*0.000001))</f>
        <v/>
      </c>
      <c r="AD109" s="34">
        <f>IF(OR($B109="",$C109&lt;&gt;"Ativo",$D109&lt;&gt;'Calc_Mix'!$C$27,'Calc_Mix'!$X$27=0,COUNTIFS(Esc_Turno,'Calc_Mix'!$C$27,Esc_Circ,$B109)+COUNTIFS(Esc_Turno,'Calc_Mix'!$C$27,Esc_Instr,$B109)&gt;0),"",IF(SUMPRODUCT('Calc_Mix'!$D$27:$W$27,'Matriz_Habilidades'!$D109:$W109)=0,"",SUMPRODUCT('Calc_Mix'!$D$27:$W$27,'Matriz_Habilidades'!$D109:$W109)/'Calc_Mix'!$X$27+ROW()*0.000001))</f>
        <v/>
      </c>
      <c r="AE109" s="34">
        <f>IF(OR($B109="",$C109&lt;&gt;"Ativo",$D109&lt;&gt;'Calc_Mix'!$C$28,'Calc_Mix'!$X$28=0,COUNTIFS(Esc_Turno,'Calc_Mix'!$C$28,Esc_Circ,$B109)+COUNTIFS(Esc_Turno,'Calc_Mix'!$C$28,Esc_Instr,$B109)&gt;0),"",IF(SUMPRODUCT('Calc_Mix'!$D$28:$W$28,'Matriz_Habilidades'!$D109:$W109)=0,"",SUMPRODUCT('Calc_Mix'!$D$28:$W$28,'Matriz_Habilidades'!$D109:$W109)/'Calc_Mix'!$X$28+ROW()*0.000001))</f>
        <v/>
      </c>
      <c r="AF109" s="34">
        <f>IF(OR($B109="",$C109&lt;&gt;"Ativo",$D109&lt;&gt;'Calc_Mix'!$C$29,'Calc_Mix'!$X$29=0,COUNTIFS(Esc_Turno,'Calc_Mix'!$C$29,Esc_Circ,$B109)+COUNTIFS(Esc_Turno,'Calc_Mix'!$C$29,Esc_Instr,$B109)&gt;0),"",IF(SUMPRODUCT('Calc_Mix'!$D$29:$W$29,'Matriz_Habilidades'!$D109:$W109)=0,"",SUMPRODUCT('Calc_Mix'!$D$29:$W$29,'Matriz_Habilidades'!$D109:$W109)/'Calc_Mix'!$X$29+ROW()*0.000001))</f>
        <v/>
      </c>
      <c r="AG109" s="34">
        <f>IF(OR($B109="",$C109&lt;&gt;"Ativo",$D109&lt;&gt;'Calc_Mix'!$C$30,'Calc_Mix'!$X$30=0,COUNTIFS(Esc_Turno,'Calc_Mix'!$C$30,Esc_Circ,$B109)+COUNTIFS(Esc_Turno,'Calc_Mix'!$C$30,Esc_Instr,$B109)&gt;0),"",IF(SUMPRODUCT('Calc_Mix'!$D$30:$W$30,'Matriz_Habilidades'!$D109:$W109)=0,"",SUMPRODUCT('Calc_Mix'!$D$30:$W$30,'Matriz_Habilidades'!$D109:$W109)/'Calc_Mix'!$X$30+ROW()*0.000001))</f>
        <v/>
      </c>
      <c r="AH109" s="34">
        <f>IF(OR($B109="",$C109&lt;&gt;"Ativo",$D109&lt;&gt;'Calc_Mix'!$C$31,'Calc_Mix'!$X$31=0,COUNTIFS(Esc_Turno,'Calc_Mix'!$C$31,Esc_Circ,$B109)+COUNTIFS(Esc_Turno,'Calc_Mix'!$C$31,Esc_Instr,$B109)&gt;0),"",IF(SUMPRODUCT('Calc_Mix'!$D$31:$W$31,'Matriz_Habilidades'!$D109:$W109)=0,"",SUMPRODUCT('Calc_Mix'!$D$31:$W$31,'Matriz_Habilidades'!$D109:$W109)/'Calc_Mix'!$X$31+ROW()*0.000001))</f>
        <v/>
      </c>
      <c r="AI109" s="34">
        <f>IF(OR($B109="",$C109&lt;&gt;"Ativo",$D109&lt;&gt;'Calc_Mix'!$C$32,'Calc_Mix'!$X$32=0,COUNTIFS(Esc_Turno,'Calc_Mix'!$C$32,Esc_Circ,$B109)+COUNTIFS(Esc_Turno,'Calc_Mix'!$C$32,Esc_Instr,$B109)&gt;0),"",IF(SUMPRODUCT('Calc_Mix'!$D$32:$W$32,'Matriz_Habilidades'!$D109:$W109)=0,"",SUMPRODUCT('Calc_Mix'!$D$32:$W$32,'Matriz_Habilidades'!$D109:$W109)/'Calc_Mix'!$X$32+ROW()*0.000001))</f>
        <v/>
      </c>
      <c r="AJ109" s="34">
        <f>IF(OR($B109="",$C109&lt;&gt;"Ativo",$D109&lt;&gt;'Calc_Mix'!$C$33,'Calc_Mix'!$X$33=0,COUNTIFS(Esc_Turno,'Calc_Mix'!$C$33,Esc_Circ,$B109)+COUNTIFS(Esc_Turno,'Calc_Mix'!$C$33,Esc_Instr,$B109)&gt;0),"",IF(SUMPRODUCT('Calc_Mix'!$D$33:$W$33,'Matriz_Habilidades'!$D109:$W109)=0,"",SUMPRODUCT('Calc_Mix'!$D$33:$W$33,'Matriz_Habilidades'!$D109:$W109)/'Calc_Mix'!$X$33+ROW()*0.000001))</f>
        <v/>
      </c>
      <c r="AK109" s="34">
        <f>IF(OR($B109="",$C109&lt;&gt;"Ativo",$D109&lt;&gt;'Calc_Mix'!$C$34,'Calc_Mix'!$X$34=0,COUNTIFS(Esc_Turno,'Calc_Mix'!$C$34,Esc_Circ,$B109)+COUNTIFS(Esc_Turno,'Calc_Mix'!$C$34,Esc_Instr,$B109)&gt;0),"",IF(SUMPRODUCT('Calc_Mix'!$D$34:$W$34,'Matriz_Habilidades'!$D109:$W109)=0,"",SUMPRODUCT('Calc_Mix'!$D$34:$W$34,'Matriz_Habilidades'!$D109:$W109)/'Calc_Mix'!$X$34+ROW()*0.000001))</f>
        <v/>
      </c>
      <c r="AL109" s="34">
        <f>IF(OR($B109="",$C109&lt;&gt;"Ativo",$D109&lt;&gt;'Calc_Mix'!$C$35,'Calc_Mix'!$X$35=0,COUNTIFS(Esc_Turno,'Calc_Mix'!$C$35,Esc_Circ,$B109)+COUNTIFS(Esc_Turno,'Calc_Mix'!$C$35,Esc_Instr,$B109)&gt;0),"",IF(SUMPRODUCT('Calc_Mix'!$D$35:$W$35,'Matriz_Habilidades'!$D109:$W109)=0,"",SUMPRODUCT('Calc_Mix'!$D$35:$W$35,'Matriz_Habilidades'!$D109:$W109)/'Calc_Mix'!$X$35+ROW()*0.000001))</f>
        <v/>
      </c>
      <c r="AM109" s="34">
        <f>IF(OR($B109="",$C109&lt;&gt;"Ativo",$D109&lt;&gt;'Calc_Mix'!$C$36,'Calc_Mix'!$X$36=0,COUNTIFS(Esc_Turno,'Calc_Mix'!$C$36,Esc_Circ,$B109)+COUNTIFS(Esc_Turno,'Calc_Mix'!$C$36,Esc_Instr,$B109)&gt;0),"",IF(SUMPRODUCT('Calc_Mix'!$D$36:$W$36,'Matriz_Habilidades'!$D109:$W109)=0,"",SUMPRODUCT('Calc_Mix'!$D$36:$W$36,'Matriz_Habilidades'!$D109:$W109)/'Calc_Mix'!$X$36+ROW()*0.000001))</f>
        <v/>
      </c>
      <c r="AN109" s="34">
        <f>IF(OR($B109="",$C109&lt;&gt;"Ativo",$D109&lt;&gt;'Calc_Mix'!$C$37,'Calc_Mix'!$X$37=0,COUNTIFS(Esc_Turno,'Calc_Mix'!$C$37,Esc_Circ,$B109)+COUNTIFS(Esc_Turno,'Calc_Mix'!$C$37,Esc_Instr,$B109)&gt;0),"",IF(SUMPRODUCT('Calc_Mix'!$D$37:$W$37,'Matriz_Habilidades'!$D109:$W109)=0,"",SUMPRODUCT('Calc_Mix'!$D$37:$W$37,'Matriz_Habilidades'!$D109:$W109)/'Calc_Mix'!$X$37+ROW()*0.000001))</f>
        <v/>
      </c>
    </row>
    <row r="110">
      <c r="A110" s="27">
        <f>IF('Matriz_Habilidades'!A110="","",'Matriz_Habilidades'!A110)</f>
        <v/>
      </c>
      <c r="B110" s="28">
        <f>IF('Matriz_Habilidades'!B110="","",'Matriz_Habilidades'!B110)</f>
        <v/>
      </c>
      <c r="C110" s="27">
        <f>IF($A110="","",IFERROR(INDEX(Equipe_Status,MATCH($B110,Equipe_Nome,0)),"?"))</f>
        <v/>
      </c>
      <c r="D110" s="27">
        <f>IF($A110="","",IFERROR(INDEX(Equipe_Turno,MATCH($B110,Equipe_Nome,0)),"?"))</f>
        <v/>
      </c>
      <c r="E110" s="34">
        <f>IF(OR($B110="",$C110&lt;&gt;"Ativo",$D110&lt;&gt;'Calc_Mix'!$C$2,'Calc_Mix'!$X$2=0,COUNTIFS(Esc_Turno,'Calc_Mix'!$C$2,Esc_Circ,$B110)+COUNTIFS(Esc_Turno,'Calc_Mix'!$C$2,Esc_Instr,$B110)&gt;0),"",IF(SUMPRODUCT('Calc_Mix'!$D$2:$W$2,'Matriz_Habilidades'!$D110:$W110)=0,"",SUMPRODUCT('Calc_Mix'!$D$2:$W$2,'Matriz_Habilidades'!$D110:$W110)/'Calc_Mix'!$X$2+ROW()*0.000001))</f>
        <v/>
      </c>
      <c r="F110" s="34">
        <f>IF(OR($B110="",$C110&lt;&gt;"Ativo",$D110&lt;&gt;'Calc_Mix'!$C$3,'Calc_Mix'!$X$3=0,COUNTIFS(Esc_Turno,'Calc_Mix'!$C$3,Esc_Circ,$B110)+COUNTIFS(Esc_Turno,'Calc_Mix'!$C$3,Esc_Instr,$B110)&gt;0),"",IF(SUMPRODUCT('Calc_Mix'!$D$3:$W$3,'Matriz_Habilidades'!$D110:$W110)=0,"",SUMPRODUCT('Calc_Mix'!$D$3:$W$3,'Matriz_Habilidades'!$D110:$W110)/'Calc_Mix'!$X$3+ROW()*0.000001))</f>
        <v/>
      </c>
      <c r="G110" s="34">
        <f>IF(OR($B110="",$C110&lt;&gt;"Ativo",$D110&lt;&gt;'Calc_Mix'!$C$4,'Calc_Mix'!$X$4=0,COUNTIFS(Esc_Turno,'Calc_Mix'!$C$4,Esc_Circ,$B110)+COUNTIFS(Esc_Turno,'Calc_Mix'!$C$4,Esc_Instr,$B110)&gt;0),"",IF(SUMPRODUCT('Calc_Mix'!$D$4:$W$4,'Matriz_Habilidades'!$D110:$W110)=0,"",SUMPRODUCT('Calc_Mix'!$D$4:$W$4,'Matriz_Habilidades'!$D110:$W110)/'Calc_Mix'!$X$4+ROW()*0.000001))</f>
        <v/>
      </c>
      <c r="H110" s="34">
        <f>IF(OR($B110="",$C110&lt;&gt;"Ativo",$D110&lt;&gt;'Calc_Mix'!$C$5,'Calc_Mix'!$X$5=0,COUNTIFS(Esc_Turno,'Calc_Mix'!$C$5,Esc_Circ,$B110)+COUNTIFS(Esc_Turno,'Calc_Mix'!$C$5,Esc_Instr,$B110)&gt;0),"",IF(SUMPRODUCT('Calc_Mix'!$D$5:$W$5,'Matriz_Habilidades'!$D110:$W110)=0,"",SUMPRODUCT('Calc_Mix'!$D$5:$W$5,'Matriz_Habilidades'!$D110:$W110)/'Calc_Mix'!$X$5+ROW()*0.000001))</f>
        <v/>
      </c>
      <c r="I110" s="34">
        <f>IF(OR($B110="",$C110&lt;&gt;"Ativo",$D110&lt;&gt;'Calc_Mix'!$C$6,'Calc_Mix'!$X$6=0,COUNTIFS(Esc_Turno,'Calc_Mix'!$C$6,Esc_Circ,$B110)+COUNTIFS(Esc_Turno,'Calc_Mix'!$C$6,Esc_Instr,$B110)&gt;0),"",IF(SUMPRODUCT('Calc_Mix'!$D$6:$W$6,'Matriz_Habilidades'!$D110:$W110)=0,"",SUMPRODUCT('Calc_Mix'!$D$6:$W$6,'Matriz_Habilidades'!$D110:$W110)/'Calc_Mix'!$X$6+ROW()*0.000001))</f>
        <v/>
      </c>
      <c r="J110" s="34">
        <f>IF(OR($B110="",$C110&lt;&gt;"Ativo",$D110&lt;&gt;'Calc_Mix'!$C$7,'Calc_Mix'!$X$7=0,COUNTIFS(Esc_Turno,'Calc_Mix'!$C$7,Esc_Circ,$B110)+COUNTIFS(Esc_Turno,'Calc_Mix'!$C$7,Esc_Instr,$B110)&gt;0),"",IF(SUMPRODUCT('Calc_Mix'!$D$7:$W$7,'Matriz_Habilidades'!$D110:$W110)=0,"",SUMPRODUCT('Calc_Mix'!$D$7:$W$7,'Matriz_Habilidades'!$D110:$W110)/'Calc_Mix'!$X$7+ROW()*0.000001))</f>
        <v/>
      </c>
      <c r="K110" s="34">
        <f>IF(OR($B110="",$C110&lt;&gt;"Ativo",$D110&lt;&gt;'Calc_Mix'!$C$8,'Calc_Mix'!$X$8=0,COUNTIFS(Esc_Turno,'Calc_Mix'!$C$8,Esc_Circ,$B110)+COUNTIFS(Esc_Turno,'Calc_Mix'!$C$8,Esc_Instr,$B110)&gt;0),"",IF(SUMPRODUCT('Calc_Mix'!$D$8:$W$8,'Matriz_Habilidades'!$D110:$W110)=0,"",SUMPRODUCT('Calc_Mix'!$D$8:$W$8,'Matriz_Habilidades'!$D110:$W110)/'Calc_Mix'!$X$8+ROW()*0.000001))</f>
        <v/>
      </c>
      <c r="L110" s="34">
        <f>IF(OR($B110="",$C110&lt;&gt;"Ativo",$D110&lt;&gt;'Calc_Mix'!$C$9,'Calc_Mix'!$X$9=0,COUNTIFS(Esc_Turno,'Calc_Mix'!$C$9,Esc_Circ,$B110)+COUNTIFS(Esc_Turno,'Calc_Mix'!$C$9,Esc_Instr,$B110)&gt;0),"",IF(SUMPRODUCT('Calc_Mix'!$D$9:$W$9,'Matriz_Habilidades'!$D110:$W110)=0,"",SUMPRODUCT('Calc_Mix'!$D$9:$W$9,'Matriz_Habilidades'!$D110:$W110)/'Calc_Mix'!$X$9+ROW()*0.000001))</f>
        <v/>
      </c>
      <c r="M110" s="34">
        <f>IF(OR($B110="",$C110&lt;&gt;"Ativo",$D110&lt;&gt;'Calc_Mix'!$C$10,'Calc_Mix'!$X$10=0,COUNTIFS(Esc_Turno,'Calc_Mix'!$C$10,Esc_Circ,$B110)+COUNTIFS(Esc_Turno,'Calc_Mix'!$C$10,Esc_Instr,$B110)&gt;0),"",IF(SUMPRODUCT('Calc_Mix'!$D$10:$W$10,'Matriz_Habilidades'!$D110:$W110)=0,"",SUMPRODUCT('Calc_Mix'!$D$10:$W$10,'Matriz_Habilidades'!$D110:$W110)/'Calc_Mix'!$X$10+ROW()*0.000001))</f>
        <v/>
      </c>
      <c r="N110" s="34">
        <f>IF(OR($B110="",$C110&lt;&gt;"Ativo",$D110&lt;&gt;'Calc_Mix'!$C$11,'Calc_Mix'!$X$11=0,COUNTIFS(Esc_Turno,'Calc_Mix'!$C$11,Esc_Circ,$B110)+COUNTIFS(Esc_Turno,'Calc_Mix'!$C$11,Esc_Instr,$B110)&gt;0),"",IF(SUMPRODUCT('Calc_Mix'!$D$11:$W$11,'Matriz_Habilidades'!$D110:$W110)=0,"",SUMPRODUCT('Calc_Mix'!$D$11:$W$11,'Matriz_Habilidades'!$D110:$W110)/'Calc_Mix'!$X$11+ROW()*0.000001))</f>
        <v/>
      </c>
      <c r="O110" s="34">
        <f>IF(OR($B110="",$C110&lt;&gt;"Ativo",$D110&lt;&gt;'Calc_Mix'!$C$12,'Calc_Mix'!$X$12=0,COUNTIFS(Esc_Turno,'Calc_Mix'!$C$12,Esc_Circ,$B110)+COUNTIFS(Esc_Turno,'Calc_Mix'!$C$12,Esc_Instr,$B110)&gt;0),"",IF(SUMPRODUCT('Calc_Mix'!$D$12:$W$12,'Matriz_Habilidades'!$D110:$W110)=0,"",SUMPRODUCT('Calc_Mix'!$D$12:$W$12,'Matriz_Habilidades'!$D110:$W110)/'Calc_Mix'!$X$12+ROW()*0.000001))</f>
        <v/>
      </c>
      <c r="P110" s="34">
        <f>IF(OR($B110="",$C110&lt;&gt;"Ativo",$D110&lt;&gt;'Calc_Mix'!$C$13,'Calc_Mix'!$X$13=0,COUNTIFS(Esc_Turno,'Calc_Mix'!$C$13,Esc_Circ,$B110)+COUNTIFS(Esc_Turno,'Calc_Mix'!$C$13,Esc_Instr,$B110)&gt;0),"",IF(SUMPRODUCT('Calc_Mix'!$D$13:$W$13,'Matriz_Habilidades'!$D110:$W110)=0,"",SUMPRODUCT('Calc_Mix'!$D$13:$W$13,'Matriz_Habilidades'!$D110:$W110)/'Calc_Mix'!$X$13+ROW()*0.000001))</f>
        <v/>
      </c>
      <c r="Q110" s="34">
        <f>IF(OR($B110="",$C110&lt;&gt;"Ativo",$D110&lt;&gt;'Calc_Mix'!$C$14,'Calc_Mix'!$X$14=0,COUNTIFS(Esc_Turno,'Calc_Mix'!$C$14,Esc_Circ,$B110)+COUNTIFS(Esc_Turno,'Calc_Mix'!$C$14,Esc_Instr,$B110)&gt;0),"",IF(SUMPRODUCT('Calc_Mix'!$D$14:$W$14,'Matriz_Habilidades'!$D110:$W110)=0,"",SUMPRODUCT('Calc_Mix'!$D$14:$W$14,'Matriz_Habilidades'!$D110:$W110)/'Calc_Mix'!$X$14+ROW()*0.000001))</f>
        <v/>
      </c>
      <c r="R110" s="34">
        <f>IF(OR($B110="",$C110&lt;&gt;"Ativo",$D110&lt;&gt;'Calc_Mix'!$C$15,'Calc_Mix'!$X$15=0,COUNTIFS(Esc_Turno,'Calc_Mix'!$C$15,Esc_Circ,$B110)+COUNTIFS(Esc_Turno,'Calc_Mix'!$C$15,Esc_Instr,$B110)&gt;0),"",IF(SUMPRODUCT('Calc_Mix'!$D$15:$W$15,'Matriz_Habilidades'!$D110:$W110)=0,"",SUMPRODUCT('Calc_Mix'!$D$15:$W$15,'Matriz_Habilidades'!$D110:$W110)/'Calc_Mix'!$X$15+ROW()*0.000001))</f>
        <v/>
      </c>
      <c r="S110" s="34">
        <f>IF(OR($B110="",$C110&lt;&gt;"Ativo",$D110&lt;&gt;'Calc_Mix'!$C$16,'Calc_Mix'!$X$16=0,COUNTIFS(Esc_Turno,'Calc_Mix'!$C$16,Esc_Circ,$B110)+COUNTIFS(Esc_Turno,'Calc_Mix'!$C$16,Esc_Instr,$B110)&gt;0),"",IF(SUMPRODUCT('Calc_Mix'!$D$16:$W$16,'Matriz_Habilidades'!$D110:$W110)=0,"",SUMPRODUCT('Calc_Mix'!$D$16:$W$16,'Matriz_Habilidades'!$D110:$W110)/'Calc_Mix'!$X$16+ROW()*0.000001))</f>
        <v/>
      </c>
      <c r="T110" s="34">
        <f>IF(OR($B110="",$C110&lt;&gt;"Ativo",$D110&lt;&gt;'Calc_Mix'!$C$17,'Calc_Mix'!$X$17=0,COUNTIFS(Esc_Turno,'Calc_Mix'!$C$17,Esc_Circ,$B110)+COUNTIFS(Esc_Turno,'Calc_Mix'!$C$17,Esc_Instr,$B110)&gt;0),"",IF(SUMPRODUCT('Calc_Mix'!$D$17:$W$17,'Matriz_Habilidades'!$D110:$W110)=0,"",SUMPRODUCT('Calc_Mix'!$D$17:$W$17,'Matriz_Habilidades'!$D110:$W110)/'Calc_Mix'!$X$17+ROW()*0.000001))</f>
        <v/>
      </c>
      <c r="U110" s="34">
        <f>IF(OR($B110="",$C110&lt;&gt;"Ativo",$D110&lt;&gt;'Calc_Mix'!$C$18,'Calc_Mix'!$X$18=0,COUNTIFS(Esc_Turno,'Calc_Mix'!$C$18,Esc_Circ,$B110)+COUNTIFS(Esc_Turno,'Calc_Mix'!$C$18,Esc_Instr,$B110)&gt;0),"",IF(SUMPRODUCT('Calc_Mix'!$D$18:$W$18,'Matriz_Habilidades'!$D110:$W110)=0,"",SUMPRODUCT('Calc_Mix'!$D$18:$W$18,'Matriz_Habilidades'!$D110:$W110)/'Calc_Mix'!$X$18+ROW()*0.000001))</f>
        <v/>
      </c>
      <c r="V110" s="34">
        <f>IF(OR($B110="",$C110&lt;&gt;"Ativo",$D110&lt;&gt;'Calc_Mix'!$C$19,'Calc_Mix'!$X$19=0,COUNTIFS(Esc_Turno,'Calc_Mix'!$C$19,Esc_Circ,$B110)+COUNTIFS(Esc_Turno,'Calc_Mix'!$C$19,Esc_Instr,$B110)&gt;0),"",IF(SUMPRODUCT('Calc_Mix'!$D$19:$W$19,'Matriz_Habilidades'!$D110:$W110)=0,"",SUMPRODUCT('Calc_Mix'!$D$19:$W$19,'Matriz_Habilidades'!$D110:$W110)/'Calc_Mix'!$X$19+ROW()*0.000001))</f>
        <v/>
      </c>
      <c r="W110" s="34">
        <f>IF(OR($B110="",$C110&lt;&gt;"Ativo",$D110&lt;&gt;'Calc_Mix'!$C$20,'Calc_Mix'!$X$20=0,COUNTIFS(Esc_Turno,'Calc_Mix'!$C$20,Esc_Circ,$B110)+COUNTIFS(Esc_Turno,'Calc_Mix'!$C$20,Esc_Instr,$B110)&gt;0),"",IF(SUMPRODUCT('Calc_Mix'!$D$20:$W$20,'Matriz_Habilidades'!$D110:$W110)=0,"",SUMPRODUCT('Calc_Mix'!$D$20:$W$20,'Matriz_Habilidades'!$D110:$W110)/'Calc_Mix'!$X$20+ROW()*0.000001))</f>
        <v/>
      </c>
      <c r="X110" s="34">
        <f>IF(OR($B110="",$C110&lt;&gt;"Ativo",$D110&lt;&gt;'Calc_Mix'!$C$21,'Calc_Mix'!$X$21=0,COUNTIFS(Esc_Turno,'Calc_Mix'!$C$21,Esc_Circ,$B110)+COUNTIFS(Esc_Turno,'Calc_Mix'!$C$21,Esc_Instr,$B110)&gt;0),"",IF(SUMPRODUCT('Calc_Mix'!$D$21:$W$21,'Matriz_Habilidades'!$D110:$W110)=0,"",SUMPRODUCT('Calc_Mix'!$D$21:$W$21,'Matriz_Habilidades'!$D110:$W110)/'Calc_Mix'!$X$21+ROW()*0.000001))</f>
        <v/>
      </c>
      <c r="Y110" s="34">
        <f>IF(OR($B110="",$C110&lt;&gt;"Ativo",$D110&lt;&gt;'Calc_Mix'!$C$22,'Calc_Mix'!$X$22=0,COUNTIFS(Esc_Turno,'Calc_Mix'!$C$22,Esc_Circ,$B110)+COUNTIFS(Esc_Turno,'Calc_Mix'!$C$22,Esc_Instr,$B110)&gt;0),"",IF(SUMPRODUCT('Calc_Mix'!$D$22:$W$22,'Matriz_Habilidades'!$D110:$W110)=0,"",SUMPRODUCT('Calc_Mix'!$D$22:$W$22,'Matriz_Habilidades'!$D110:$W110)/'Calc_Mix'!$X$22+ROW()*0.000001))</f>
        <v/>
      </c>
      <c r="Z110" s="34">
        <f>IF(OR($B110="",$C110&lt;&gt;"Ativo",$D110&lt;&gt;'Calc_Mix'!$C$23,'Calc_Mix'!$X$23=0,COUNTIFS(Esc_Turno,'Calc_Mix'!$C$23,Esc_Circ,$B110)+COUNTIFS(Esc_Turno,'Calc_Mix'!$C$23,Esc_Instr,$B110)&gt;0),"",IF(SUMPRODUCT('Calc_Mix'!$D$23:$W$23,'Matriz_Habilidades'!$D110:$W110)=0,"",SUMPRODUCT('Calc_Mix'!$D$23:$W$23,'Matriz_Habilidades'!$D110:$W110)/'Calc_Mix'!$X$23+ROW()*0.000001))</f>
        <v/>
      </c>
      <c r="AA110" s="34">
        <f>IF(OR($B110="",$C110&lt;&gt;"Ativo",$D110&lt;&gt;'Calc_Mix'!$C$24,'Calc_Mix'!$X$24=0,COUNTIFS(Esc_Turno,'Calc_Mix'!$C$24,Esc_Circ,$B110)+COUNTIFS(Esc_Turno,'Calc_Mix'!$C$24,Esc_Instr,$B110)&gt;0),"",IF(SUMPRODUCT('Calc_Mix'!$D$24:$W$24,'Matriz_Habilidades'!$D110:$W110)=0,"",SUMPRODUCT('Calc_Mix'!$D$24:$W$24,'Matriz_Habilidades'!$D110:$W110)/'Calc_Mix'!$X$24+ROW()*0.000001))</f>
        <v/>
      </c>
      <c r="AB110" s="34">
        <f>IF(OR($B110="",$C110&lt;&gt;"Ativo",$D110&lt;&gt;'Calc_Mix'!$C$25,'Calc_Mix'!$X$25=0,COUNTIFS(Esc_Turno,'Calc_Mix'!$C$25,Esc_Circ,$B110)+COUNTIFS(Esc_Turno,'Calc_Mix'!$C$25,Esc_Instr,$B110)&gt;0),"",IF(SUMPRODUCT('Calc_Mix'!$D$25:$W$25,'Matriz_Habilidades'!$D110:$W110)=0,"",SUMPRODUCT('Calc_Mix'!$D$25:$W$25,'Matriz_Habilidades'!$D110:$W110)/'Calc_Mix'!$X$25+ROW()*0.000001))</f>
        <v/>
      </c>
      <c r="AC110" s="34">
        <f>IF(OR($B110="",$C110&lt;&gt;"Ativo",$D110&lt;&gt;'Calc_Mix'!$C$26,'Calc_Mix'!$X$26=0,COUNTIFS(Esc_Turno,'Calc_Mix'!$C$26,Esc_Circ,$B110)+COUNTIFS(Esc_Turno,'Calc_Mix'!$C$26,Esc_Instr,$B110)&gt;0),"",IF(SUMPRODUCT('Calc_Mix'!$D$26:$W$26,'Matriz_Habilidades'!$D110:$W110)=0,"",SUMPRODUCT('Calc_Mix'!$D$26:$W$26,'Matriz_Habilidades'!$D110:$W110)/'Calc_Mix'!$X$26+ROW()*0.000001))</f>
        <v/>
      </c>
      <c r="AD110" s="34">
        <f>IF(OR($B110="",$C110&lt;&gt;"Ativo",$D110&lt;&gt;'Calc_Mix'!$C$27,'Calc_Mix'!$X$27=0,COUNTIFS(Esc_Turno,'Calc_Mix'!$C$27,Esc_Circ,$B110)+COUNTIFS(Esc_Turno,'Calc_Mix'!$C$27,Esc_Instr,$B110)&gt;0),"",IF(SUMPRODUCT('Calc_Mix'!$D$27:$W$27,'Matriz_Habilidades'!$D110:$W110)=0,"",SUMPRODUCT('Calc_Mix'!$D$27:$W$27,'Matriz_Habilidades'!$D110:$W110)/'Calc_Mix'!$X$27+ROW()*0.000001))</f>
        <v/>
      </c>
      <c r="AE110" s="34">
        <f>IF(OR($B110="",$C110&lt;&gt;"Ativo",$D110&lt;&gt;'Calc_Mix'!$C$28,'Calc_Mix'!$X$28=0,COUNTIFS(Esc_Turno,'Calc_Mix'!$C$28,Esc_Circ,$B110)+COUNTIFS(Esc_Turno,'Calc_Mix'!$C$28,Esc_Instr,$B110)&gt;0),"",IF(SUMPRODUCT('Calc_Mix'!$D$28:$W$28,'Matriz_Habilidades'!$D110:$W110)=0,"",SUMPRODUCT('Calc_Mix'!$D$28:$W$28,'Matriz_Habilidades'!$D110:$W110)/'Calc_Mix'!$X$28+ROW()*0.000001))</f>
        <v/>
      </c>
      <c r="AF110" s="34">
        <f>IF(OR($B110="",$C110&lt;&gt;"Ativo",$D110&lt;&gt;'Calc_Mix'!$C$29,'Calc_Mix'!$X$29=0,COUNTIFS(Esc_Turno,'Calc_Mix'!$C$29,Esc_Circ,$B110)+COUNTIFS(Esc_Turno,'Calc_Mix'!$C$29,Esc_Instr,$B110)&gt;0),"",IF(SUMPRODUCT('Calc_Mix'!$D$29:$W$29,'Matriz_Habilidades'!$D110:$W110)=0,"",SUMPRODUCT('Calc_Mix'!$D$29:$W$29,'Matriz_Habilidades'!$D110:$W110)/'Calc_Mix'!$X$29+ROW()*0.000001))</f>
        <v/>
      </c>
      <c r="AG110" s="34">
        <f>IF(OR($B110="",$C110&lt;&gt;"Ativo",$D110&lt;&gt;'Calc_Mix'!$C$30,'Calc_Mix'!$X$30=0,COUNTIFS(Esc_Turno,'Calc_Mix'!$C$30,Esc_Circ,$B110)+COUNTIFS(Esc_Turno,'Calc_Mix'!$C$30,Esc_Instr,$B110)&gt;0),"",IF(SUMPRODUCT('Calc_Mix'!$D$30:$W$30,'Matriz_Habilidades'!$D110:$W110)=0,"",SUMPRODUCT('Calc_Mix'!$D$30:$W$30,'Matriz_Habilidades'!$D110:$W110)/'Calc_Mix'!$X$30+ROW()*0.000001))</f>
        <v/>
      </c>
      <c r="AH110" s="34">
        <f>IF(OR($B110="",$C110&lt;&gt;"Ativo",$D110&lt;&gt;'Calc_Mix'!$C$31,'Calc_Mix'!$X$31=0,COUNTIFS(Esc_Turno,'Calc_Mix'!$C$31,Esc_Circ,$B110)+COUNTIFS(Esc_Turno,'Calc_Mix'!$C$31,Esc_Instr,$B110)&gt;0),"",IF(SUMPRODUCT('Calc_Mix'!$D$31:$W$31,'Matriz_Habilidades'!$D110:$W110)=0,"",SUMPRODUCT('Calc_Mix'!$D$31:$W$31,'Matriz_Habilidades'!$D110:$W110)/'Calc_Mix'!$X$31+ROW()*0.000001))</f>
        <v/>
      </c>
      <c r="AI110" s="34">
        <f>IF(OR($B110="",$C110&lt;&gt;"Ativo",$D110&lt;&gt;'Calc_Mix'!$C$32,'Calc_Mix'!$X$32=0,COUNTIFS(Esc_Turno,'Calc_Mix'!$C$32,Esc_Circ,$B110)+COUNTIFS(Esc_Turno,'Calc_Mix'!$C$32,Esc_Instr,$B110)&gt;0),"",IF(SUMPRODUCT('Calc_Mix'!$D$32:$W$32,'Matriz_Habilidades'!$D110:$W110)=0,"",SUMPRODUCT('Calc_Mix'!$D$32:$W$32,'Matriz_Habilidades'!$D110:$W110)/'Calc_Mix'!$X$32+ROW()*0.000001))</f>
        <v/>
      </c>
      <c r="AJ110" s="34">
        <f>IF(OR($B110="",$C110&lt;&gt;"Ativo",$D110&lt;&gt;'Calc_Mix'!$C$33,'Calc_Mix'!$X$33=0,COUNTIFS(Esc_Turno,'Calc_Mix'!$C$33,Esc_Circ,$B110)+COUNTIFS(Esc_Turno,'Calc_Mix'!$C$33,Esc_Instr,$B110)&gt;0),"",IF(SUMPRODUCT('Calc_Mix'!$D$33:$W$33,'Matriz_Habilidades'!$D110:$W110)=0,"",SUMPRODUCT('Calc_Mix'!$D$33:$W$33,'Matriz_Habilidades'!$D110:$W110)/'Calc_Mix'!$X$33+ROW()*0.000001))</f>
        <v/>
      </c>
      <c r="AK110" s="34">
        <f>IF(OR($B110="",$C110&lt;&gt;"Ativo",$D110&lt;&gt;'Calc_Mix'!$C$34,'Calc_Mix'!$X$34=0,COUNTIFS(Esc_Turno,'Calc_Mix'!$C$34,Esc_Circ,$B110)+COUNTIFS(Esc_Turno,'Calc_Mix'!$C$34,Esc_Instr,$B110)&gt;0),"",IF(SUMPRODUCT('Calc_Mix'!$D$34:$W$34,'Matriz_Habilidades'!$D110:$W110)=0,"",SUMPRODUCT('Calc_Mix'!$D$34:$W$34,'Matriz_Habilidades'!$D110:$W110)/'Calc_Mix'!$X$34+ROW()*0.000001))</f>
        <v/>
      </c>
      <c r="AL110" s="34">
        <f>IF(OR($B110="",$C110&lt;&gt;"Ativo",$D110&lt;&gt;'Calc_Mix'!$C$35,'Calc_Mix'!$X$35=0,COUNTIFS(Esc_Turno,'Calc_Mix'!$C$35,Esc_Circ,$B110)+COUNTIFS(Esc_Turno,'Calc_Mix'!$C$35,Esc_Instr,$B110)&gt;0),"",IF(SUMPRODUCT('Calc_Mix'!$D$35:$W$35,'Matriz_Habilidades'!$D110:$W110)=0,"",SUMPRODUCT('Calc_Mix'!$D$35:$W$35,'Matriz_Habilidades'!$D110:$W110)/'Calc_Mix'!$X$35+ROW()*0.000001))</f>
        <v/>
      </c>
      <c r="AM110" s="34">
        <f>IF(OR($B110="",$C110&lt;&gt;"Ativo",$D110&lt;&gt;'Calc_Mix'!$C$36,'Calc_Mix'!$X$36=0,COUNTIFS(Esc_Turno,'Calc_Mix'!$C$36,Esc_Circ,$B110)+COUNTIFS(Esc_Turno,'Calc_Mix'!$C$36,Esc_Instr,$B110)&gt;0),"",IF(SUMPRODUCT('Calc_Mix'!$D$36:$W$36,'Matriz_Habilidades'!$D110:$W110)=0,"",SUMPRODUCT('Calc_Mix'!$D$36:$W$36,'Matriz_Habilidades'!$D110:$W110)/'Calc_Mix'!$X$36+ROW()*0.000001))</f>
        <v/>
      </c>
      <c r="AN110" s="34">
        <f>IF(OR($B110="",$C110&lt;&gt;"Ativo",$D110&lt;&gt;'Calc_Mix'!$C$37,'Calc_Mix'!$X$37=0,COUNTIFS(Esc_Turno,'Calc_Mix'!$C$37,Esc_Circ,$B110)+COUNTIFS(Esc_Turno,'Calc_Mix'!$C$37,Esc_Instr,$B110)&gt;0),"",IF(SUMPRODUCT('Calc_Mix'!$D$37:$W$37,'Matriz_Habilidades'!$D110:$W110)=0,"",SUMPRODUCT('Calc_Mix'!$D$37:$W$37,'Matriz_Habilidades'!$D110:$W110)/'Calc_Mix'!$X$37+ROW()*0.000001))</f>
        <v/>
      </c>
    </row>
    <row r="111">
      <c r="A111" s="27">
        <f>IF('Matriz_Habilidades'!A111="","",'Matriz_Habilidades'!A111)</f>
        <v/>
      </c>
      <c r="B111" s="28">
        <f>IF('Matriz_Habilidades'!B111="","",'Matriz_Habilidades'!B111)</f>
        <v/>
      </c>
      <c r="C111" s="27">
        <f>IF($A111="","",IFERROR(INDEX(Equipe_Status,MATCH($B111,Equipe_Nome,0)),"?"))</f>
        <v/>
      </c>
      <c r="D111" s="27">
        <f>IF($A111="","",IFERROR(INDEX(Equipe_Turno,MATCH($B111,Equipe_Nome,0)),"?"))</f>
        <v/>
      </c>
      <c r="E111" s="34">
        <f>IF(OR($B111="",$C111&lt;&gt;"Ativo",$D111&lt;&gt;'Calc_Mix'!$C$2,'Calc_Mix'!$X$2=0,COUNTIFS(Esc_Turno,'Calc_Mix'!$C$2,Esc_Circ,$B111)+COUNTIFS(Esc_Turno,'Calc_Mix'!$C$2,Esc_Instr,$B111)&gt;0),"",IF(SUMPRODUCT('Calc_Mix'!$D$2:$W$2,'Matriz_Habilidades'!$D111:$W111)=0,"",SUMPRODUCT('Calc_Mix'!$D$2:$W$2,'Matriz_Habilidades'!$D111:$W111)/'Calc_Mix'!$X$2+ROW()*0.000001))</f>
        <v/>
      </c>
      <c r="F111" s="34">
        <f>IF(OR($B111="",$C111&lt;&gt;"Ativo",$D111&lt;&gt;'Calc_Mix'!$C$3,'Calc_Mix'!$X$3=0,COUNTIFS(Esc_Turno,'Calc_Mix'!$C$3,Esc_Circ,$B111)+COUNTIFS(Esc_Turno,'Calc_Mix'!$C$3,Esc_Instr,$B111)&gt;0),"",IF(SUMPRODUCT('Calc_Mix'!$D$3:$W$3,'Matriz_Habilidades'!$D111:$W111)=0,"",SUMPRODUCT('Calc_Mix'!$D$3:$W$3,'Matriz_Habilidades'!$D111:$W111)/'Calc_Mix'!$X$3+ROW()*0.000001))</f>
        <v/>
      </c>
      <c r="G111" s="34">
        <f>IF(OR($B111="",$C111&lt;&gt;"Ativo",$D111&lt;&gt;'Calc_Mix'!$C$4,'Calc_Mix'!$X$4=0,COUNTIFS(Esc_Turno,'Calc_Mix'!$C$4,Esc_Circ,$B111)+COUNTIFS(Esc_Turno,'Calc_Mix'!$C$4,Esc_Instr,$B111)&gt;0),"",IF(SUMPRODUCT('Calc_Mix'!$D$4:$W$4,'Matriz_Habilidades'!$D111:$W111)=0,"",SUMPRODUCT('Calc_Mix'!$D$4:$W$4,'Matriz_Habilidades'!$D111:$W111)/'Calc_Mix'!$X$4+ROW()*0.000001))</f>
        <v/>
      </c>
      <c r="H111" s="34">
        <f>IF(OR($B111="",$C111&lt;&gt;"Ativo",$D111&lt;&gt;'Calc_Mix'!$C$5,'Calc_Mix'!$X$5=0,COUNTIFS(Esc_Turno,'Calc_Mix'!$C$5,Esc_Circ,$B111)+COUNTIFS(Esc_Turno,'Calc_Mix'!$C$5,Esc_Instr,$B111)&gt;0),"",IF(SUMPRODUCT('Calc_Mix'!$D$5:$W$5,'Matriz_Habilidades'!$D111:$W111)=0,"",SUMPRODUCT('Calc_Mix'!$D$5:$W$5,'Matriz_Habilidades'!$D111:$W111)/'Calc_Mix'!$X$5+ROW()*0.000001))</f>
        <v/>
      </c>
      <c r="I111" s="34">
        <f>IF(OR($B111="",$C111&lt;&gt;"Ativo",$D111&lt;&gt;'Calc_Mix'!$C$6,'Calc_Mix'!$X$6=0,COUNTIFS(Esc_Turno,'Calc_Mix'!$C$6,Esc_Circ,$B111)+COUNTIFS(Esc_Turno,'Calc_Mix'!$C$6,Esc_Instr,$B111)&gt;0),"",IF(SUMPRODUCT('Calc_Mix'!$D$6:$W$6,'Matriz_Habilidades'!$D111:$W111)=0,"",SUMPRODUCT('Calc_Mix'!$D$6:$W$6,'Matriz_Habilidades'!$D111:$W111)/'Calc_Mix'!$X$6+ROW()*0.000001))</f>
        <v/>
      </c>
      <c r="J111" s="34">
        <f>IF(OR($B111="",$C111&lt;&gt;"Ativo",$D111&lt;&gt;'Calc_Mix'!$C$7,'Calc_Mix'!$X$7=0,COUNTIFS(Esc_Turno,'Calc_Mix'!$C$7,Esc_Circ,$B111)+COUNTIFS(Esc_Turno,'Calc_Mix'!$C$7,Esc_Instr,$B111)&gt;0),"",IF(SUMPRODUCT('Calc_Mix'!$D$7:$W$7,'Matriz_Habilidades'!$D111:$W111)=0,"",SUMPRODUCT('Calc_Mix'!$D$7:$W$7,'Matriz_Habilidades'!$D111:$W111)/'Calc_Mix'!$X$7+ROW()*0.000001))</f>
        <v/>
      </c>
      <c r="K111" s="34">
        <f>IF(OR($B111="",$C111&lt;&gt;"Ativo",$D111&lt;&gt;'Calc_Mix'!$C$8,'Calc_Mix'!$X$8=0,COUNTIFS(Esc_Turno,'Calc_Mix'!$C$8,Esc_Circ,$B111)+COUNTIFS(Esc_Turno,'Calc_Mix'!$C$8,Esc_Instr,$B111)&gt;0),"",IF(SUMPRODUCT('Calc_Mix'!$D$8:$W$8,'Matriz_Habilidades'!$D111:$W111)=0,"",SUMPRODUCT('Calc_Mix'!$D$8:$W$8,'Matriz_Habilidades'!$D111:$W111)/'Calc_Mix'!$X$8+ROW()*0.000001))</f>
        <v/>
      </c>
      <c r="L111" s="34">
        <f>IF(OR($B111="",$C111&lt;&gt;"Ativo",$D111&lt;&gt;'Calc_Mix'!$C$9,'Calc_Mix'!$X$9=0,COUNTIFS(Esc_Turno,'Calc_Mix'!$C$9,Esc_Circ,$B111)+COUNTIFS(Esc_Turno,'Calc_Mix'!$C$9,Esc_Instr,$B111)&gt;0),"",IF(SUMPRODUCT('Calc_Mix'!$D$9:$W$9,'Matriz_Habilidades'!$D111:$W111)=0,"",SUMPRODUCT('Calc_Mix'!$D$9:$W$9,'Matriz_Habilidades'!$D111:$W111)/'Calc_Mix'!$X$9+ROW()*0.000001))</f>
        <v/>
      </c>
      <c r="M111" s="34">
        <f>IF(OR($B111="",$C111&lt;&gt;"Ativo",$D111&lt;&gt;'Calc_Mix'!$C$10,'Calc_Mix'!$X$10=0,COUNTIFS(Esc_Turno,'Calc_Mix'!$C$10,Esc_Circ,$B111)+COUNTIFS(Esc_Turno,'Calc_Mix'!$C$10,Esc_Instr,$B111)&gt;0),"",IF(SUMPRODUCT('Calc_Mix'!$D$10:$W$10,'Matriz_Habilidades'!$D111:$W111)=0,"",SUMPRODUCT('Calc_Mix'!$D$10:$W$10,'Matriz_Habilidades'!$D111:$W111)/'Calc_Mix'!$X$10+ROW()*0.000001))</f>
        <v/>
      </c>
      <c r="N111" s="34">
        <f>IF(OR($B111="",$C111&lt;&gt;"Ativo",$D111&lt;&gt;'Calc_Mix'!$C$11,'Calc_Mix'!$X$11=0,COUNTIFS(Esc_Turno,'Calc_Mix'!$C$11,Esc_Circ,$B111)+COUNTIFS(Esc_Turno,'Calc_Mix'!$C$11,Esc_Instr,$B111)&gt;0),"",IF(SUMPRODUCT('Calc_Mix'!$D$11:$W$11,'Matriz_Habilidades'!$D111:$W111)=0,"",SUMPRODUCT('Calc_Mix'!$D$11:$W$11,'Matriz_Habilidades'!$D111:$W111)/'Calc_Mix'!$X$11+ROW()*0.000001))</f>
        <v/>
      </c>
      <c r="O111" s="34">
        <f>IF(OR($B111="",$C111&lt;&gt;"Ativo",$D111&lt;&gt;'Calc_Mix'!$C$12,'Calc_Mix'!$X$12=0,COUNTIFS(Esc_Turno,'Calc_Mix'!$C$12,Esc_Circ,$B111)+COUNTIFS(Esc_Turno,'Calc_Mix'!$C$12,Esc_Instr,$B111)&gt;0),"",IF(SUMPRODUCT('Calc_Mix'!$D$12:$W$12,'Matriz_Habilidades'!$D111:$W111)=0,"",SUMPRODUCT('Calc_Mix'!$D$12:$W$12,'Matriz_Habilidades'!$D111:$W111)/'Calc_Mix'!$X$12+ROW()*0.000001))</f>
        <v/>
      </c>
      <c r="P111" s="34">
        <f>IF(OR($B111="",$C111&lt;&gt;"Ativo",$D111&lt;&gt;'Calc_Mix'!$C$13,'Calc_Mix'!$X$13=0,COUNTIFS(Esc_Turno,'Calc_Mix'!$C$13,Esc_Circ,$B111)+COUNTIFS(Esc_Turno,'Calc_Mix'!$C$13,Esc_Instr,$B111)&gt;0),"",IF(SUMPRODUCT('Calc_Mix'!$D$13:$W$13,'Matriz_Habilidades'!$D111:$W111)=0,"",SUMPRODUCT('Calc_Mix'!$D$13:$W$13,'Matriz_Habilidades'!$D111:$W111)/'Calc_Mix'!$X$13+ROW()*0.000001))</f>
        <v/>
      </c>
      <c r="Q111" s="34">
        <f>IF(OR($B111="",$C111&lt;&gt;"Ativo",$D111&lt;&gt;'Calc_Mix'!$C$14,'Calc_Mix'!$X$14=0,COUNTIFS(Esc_Turno,'Calc_Mix'!$C$14,Esc_Circ,$B111)+COUNTIFS(Esc_Turno,'Calc_Mix'!$C$14,Esc_Instr,$B111)&gt;0),"",IF(SUMPRODUCT('Calc_Mix'!$D$14:$W$14,'Matriz_Habilidades'!$D111:$W111)=0,"",SUMPRODUCT('Calc_Mix'!$D$14:$W$14,'Matriz_Habilidades'!$D111:$W111)/'Calc_Mix'!$X$14+ROW()*0.000001))</f>
        <v/>
      </c>
      <c r="R111" s="34">
        <f>IF(OR($B111="",$C111&lt;&gt;"Ativo",$D111&lt;&gt;'Calc_Mix'!$C$15,'Calc_Mix'!$X$15=0,COUNTIFS(Esc_Turno,'Calc_Mix'!$C$15,Esc_Circ,$B111)+COUNTIFS(Esc_Turno,'Calc_Mix'!$C$15,Esc_Instr,$B111)&gt;0),"",IF(SUMPRODUCT('Calc_Mix'!$D$15:$W$15,'Matriz_Habilidades'!$D111:$W111)=0,"",SUMPRODUCT('Calc_Mix'!$D$15:$W$15,'Matriz_Habilidades'!$D111:$W111)/'Calc_Mix'!$X$15+ROW()*0.000001))</f>
        <v/>
      </c>
      <c r="S111" s="34">
        <f>IF(OR($B111="",$C111&lt;&gt;"Ativo",$D111&lt;&gt;'Calc_Mix'!$C$16,'Calc_Mix'!$X$16=0,COUNTIFS(Esc_Turno,'Calc_Mix'!$C$16,Esc_Circ,$B111)+COUNTIFS(Esc_Turno,'Calc_Mix'!$C$16,Esc_Instr,$B111)&gt;0),"",IF(SUMPRODUCT('Calc_Mix'!$D$16:$W$16,'Matriz_Habilidades'!$D111:$W111)=0,"",SUMPRODUCT('Calc_Mix'!$D$16:$W$16,'Matriz_Habilidades'!$D111:$W111)/'Calc_Mix'!$X$16+ROW()*0.000001))</f>
        <v/>
      </c>
      <c r="T111" s="34">
        <f>IF(OR($B111="",$C111&lt;&gt;"Ativo",$D111&lt;&gt;'Calc_Mix'!$C$17,'Calc_Mix'!$X$17=0,COUNTIFS(Esc_Turno,'Calc_Mix'!$C$17,Esc_Circ,$B111)+COUNTIFS(Esc_Turno,'Calc_Mix'!$C$17,Esc_Instr,$B111)&gt;0),"",IF(SUMPRODUCT('Calc_Mix'!$D$17:$W$17,'Matriz_Habilidades'!$D111:$W111)=0,"",SUMPRODUCT('Calc_Mix'!$D$17:$W$17,'Matriz_Habilidades'!$D111:$W111)/'Calc_Mix'!$X$17+ROW()*0.000001))</f>
        <v/>
      </c>
      <c r="U111" s="34">
        <f>IF(OR($B111="",$C111&lt;&gt;"Ativo",$D111&lt;&gt;'Calc_Mix'!$C$18,'Calc_Mix'!$X$18=0,COUNTIFS(Esc_Turno,'Calc_Mix'!$C$18,Esc_Circ,$B111)+COUNTIFS(Esc_Turno,'Calc_Mix'!$C$18,Esc_Instr,$B111)&gt;0),"",IF(SUMPRODUCT('Calc_Mix'!$D$18:$W$18,'Matriz_Habilidades'!$D111:$W111)=0,"",SUMPRODUCT('Calc_Mix'!$D$18:$W$18,'Matriz_Habilidades'!$D111:$W111)/'Calc_Mix'!$X$18+ROW()*0.000001))</f>
        <v/>
      </c>
      <c r="V111" s="34">
        <f>IF(OR($B111="",$C111&lt;&gt;"Ativo",$D111&lt;&gt;'Calc_Mix'!$C$19,'Calc_Mix'!$X$19=0,COUNTIFS(Esc_Turno,'Calc_Mix'!$C$19,Esc_Circ,$B111)+COUNTIFS(Esc_Turno,'Calc_Mix'!$C$19,Esc_Instr,$B111)&gt;0),"",IF(SUMPRODUCT('Calc_Mix'!$D$19:$W$19,'Matriz_Habilidades'!$D111:$W111)=0,"",SUMPRODUCT('Calc_Mix'!$D$19:$W$19,'Matriz_Habilidades'!$D111:$W111)/'Calc_Mix'!$X$19+ROW()*0.000001))</f>
        <v/>
      </c>
      <c r="W111" s="34">
        <f>IF(OR($B111="",$C111&lt;&gt;"Ativo",$D111&lt;&gt;'Calc_Mix'!$C$20,'Calc_Mix'!$X$20=0,COUNTIFS(Esc_Turno,'Calc_Mix'!$C$20,Esc_Circ,$B111)+COUNTIFS(Esc_Turno,'Calc_Mix'!$C$20,Esc_Instr,$B111)&gt;0),"",IF(SUMPRODUCT('Calc_Mix'!$D$20:$W$20,'Matriz_Habilidades'!$D111:$W111)=0,"",SUMPRODUCT('Calc_Mix'!$D$20:$W$20,'Matriz_Habilidades'!$D111:$W111)/'Calc_Mix'!$X$20+ROW()*0.000001))</f>
        <v/>
      </c>
      <c r="X111" s="34">
        <f>IF(OR($B111="",$C111&lt;&gt;"Ativo",$D111&lt;&gt;'Calc_Mix'!$C$21,'Calc_Mix'!$X$21=0,COUNTIFS(Esc_Turno,'Calc_Mix'!$C$21,Esc_Circ,$B111)+COUNTIFS(Esc_Turno,'Calc_Mix'!$C$21,Esc_Instr,$B111)&gt;0),"",IF(SUMPRODUCT('Calc_Mix'!$D$21:$W$21,'Matriz_Habilidades'!$D111:$W111)=0,"",SUMPRODUCT('Calc_Mix'!$D$21:$W$21,'Matriz_Habilidades'!$D111:$W111)/'Calc_Mix'!$X$21+ROW()*0.000001))</f>
        <v/>
      </c>
      <c r="Y111" s="34">
        <f>IF(OR($B111="",$C111&lt;&gt;"Ativo",$D111&lt;&gt;'Calc_Mix'!$C$22,'Calc_Mix'!$X$22=0,COUNTIFS(Esc_Turno,'Calc_Mix'!$C$22,Esc_Circ,$B111)+COUNTIFS(Esc_Turno,'Calc_Mix'!$C$22,Esc_Instr,$B111)&gt;0),"",IF(SUMPRODUCT('Calc_Mix'!$D$22:$W$22,'Matriz_Habilidades'!$D111:$W111)=0,"",SUMPRODUCT('Calc_Mix'!$D$22:$W$22,'Matriz_Habilidades'!$D111:$W111)/'Calc_Mix'!$X$22+ROW()*0.000001))</f>
        <v/>
      </c>
      <c r="Z111" s="34">
        <f>IF(OR($B111="",$C111&lt;&gt;"Ativo",$D111&lt;&gt;'Calc_Mix'!$C$23,'Calc_Mix'!$X$23=0,COUNTIFS(Esc_Turno,'Calc_Mix'!$C$23,Esc_Circ,$B111)+COUNTIFS(Esc_Turno,'Calc_Mix'!$C$23,Esc_Instr,$B111)&gt;0),"",IF(SUMPRODUCT('Calc_Mix'!$D$23:$W$23,'Matriz_Habilidades'!$D111:$W111)=0,"",SUMPRODUCT('Calc_Mix'!$D$23:$W$23,'Matriz_Habilidades'!$D111:$W111)/'Calc_Mix'!$X$23+ROW()*0.000001))</f>
        <v/>
      </c>
      <c r="AA111" s="34">
        <f>IF(OR($B111="",$C111&lt;&gt;"Ativo",$D111&lt;&gt;'Calc_Mix'!$C$24,'Calc_Mix'!$X$24=0,COUNTIFS(Esc_Turno,'Calc_Mix'!$C$24,Esc_Circ,$B111)+COUNTIFS(Esc_Turno,'Calc_Mix'!$C$24,Esc_Instr,$B111)&gt;0),"",IF(SUMPRODUCT('Calc_Mix'!$D$24:$W$24,'Matriz_Habilidades'!$D111:$W111)=0,"",SUMPRODUCT('Calc_Mix'!$D$24:$W$24,'Matriz_Habilidades'!$D111:$W111)/'Calc_Mix'!$X$24+ROW()*0.000001))</f>
        <v/>
      </c>
      <c r="AB111" s="34">
        <f>IF(OR($B111="",$C111&lt;&gt;"Ativo",$D111&lt;&gt;'Calc_Mix'!$C$25,'Calc_Mix'!$X$25=0,COUNTIFS(Esc_Turno,'Calc_Mix'!$C$25,Esc_Circ,$B111)+COUNTIFS(Esc_Turno,'Calc_Mix'!$C$25,Esc_Instr,$B111)&gt;0),"",IF(SUMPRODUCT('Calc_Mix'!$D$25:$W$25,'Matriz_Habilidades'!$D111:$W111)=0,"",SUMPRODUCT('Calc_Mix'!$D$25:$W$25,'Matriz_Habilidades'!$D111:$W111)/'Calc_Mix'!$X$25+ROW()*0.000001))</f>
        <v/>
      </c>
      <c r="AC111" s="34">
        <f>IF(OR($B111="",$C111&lt;&gt;"Ativo",$D111&lt;&gt;'Calc_Mix'!$C$26,'Calc_Mix'!$X$26=0,COUNTIFS(Esc_Turno,'Calc_Mix'!$C$26,Esc_Circ,$B111)+COUNTIFS(Esc_Turno,'Calc_Mix'!$C$26,Esc_Instr,$B111)&gt;0),"",IF(SUMPRODUCT('Calc_Mix'!$D$26:$W$26,'Matriz_Habilidades'!$D111:$W111)=0,"",SUMPRODUCT('Calc_Mix'!$D$26:$W$26,'Matriz_Habilidades'!$D111:$W111)/'Calc_Mix'!$X$26+ROW()*0.000001))</f>
        <v/>
      </c>
      <c r="AD111" s="34">
        <f>IF(OR($B111="",$C111&lt;&gt;"Ativo",$D111&lt;&gt;'Calc_Mix'!$C$27,'Calc_Mix'!$X$27=0,COUNTIFS(Esc_Turno,'Calc_Mix'!$C$27,Esc_Circ,$B111)+COUNTIFS(Esc_Turno,'Calc_Mix'!$C$27,Esc_Instr,$B111)&gt;0),"",IF(SUMPRODUCT('Calc_Mix'!$D$27:$W$27,'Matriz_Habilidades'!$D111:$W111)=0,"",SUMPRODUCT('Calc_Mix'!$D$27:$W$27,'Matriz_Habilidades'!$D111:$W111)/'Calc_Mix'!$X$27+ROW()*0.000001))</f>
        <v/>
      </c>
      <c r="AE111" s="34">
        <f>IF(OR($B111="",$C111&lt;&gt;"Ativo",$D111&lt;&gt;'Calc_Mix'!$C$28,'Calc_Mix'!$X$28=0,COUNTIFS(Esc_Turno,'Calc_Mix'!$C$28,Esc_Circ,$B111)+COUNTIFS(Esc_Turno,'Calc_Mix'!$C$28,Esc_Instr,$B111)&gt;0),"",IF(SUMPRODUCT('Calc_Mix'!$D$28:$W$28,'Matriz_Habilidades'!$D111:$W111)=0,"",SUMPRODUCT('Calc_Mix'!$D$28:$W$28,'Matriz_Habilidades'!$D111:$W111)/'Calc_Mix'!$X$28+ROW()*0.000001))</f>
        <v/>
      </c>
      <c r="AF111" s="34">
        <f>IF(OR($B111="",$C111&lt;&gt;"Ativo",$D111&lt;&gt;'Calc_Mix'!$C$29,'Calc_Mix'!$X$29=0,COUNTIFS(Esc_Turno,'Calc_Mix'!$C$29,Esc_Circ,$B111)+COUNTIFS(Esc_Turno,'Calc_Mix'!$C$29,Esc_Instr,$B111)&gt;0),"",IF(SUMPRODUCT('Calc_Mix'!$D$29:$W$29,'Matriz_Habilidades'!$D111:$W111)=0,"",SUMPRODUCT('Calc_Mix'!$D$29:$W$29,'Matriz_Habilidades'!$D111:$W111)/'Calc_Mix'!$X$29+ROW()*0.000001))</f>
        <v/>
      </c>
      <c r="AG111" s="34">
        <f>IF(OR($B111="",$C111&lt;&gt;"Ativo",$D111&lt;&gt;'Calc_Mix'!$C$30,'Calc_Mix'!$X$30=0,COUNTIFS(Esc_Turno,'Calc_Mix'!$C$30,Esc_Circ,$B111)+COUNTIFS(Esc_Turno,'Calc_Mix'!$C$30,Esc_Instr,$B111)&gt;0),"",IF(SUMPRODUCT('Calc_Mix'!$D$30:$W$30,'Matriz_Habilidades'!$D111:$W111)=0,"",SUMPRODUCT('Calc_Mix'!$D$30:$W$30,'Matriz_Habilidades'!$D111:$W111)/'Calc_Mix'!$X$30+ROW()*0.000001))</f>
        <v/>
      </c>
      <c r="AH111" s="34">
        <f>IF(OR($B111="",$C111&lt;&gt;"Ativo",$D111&lt;&gt;'Calc_Mix'!$C$31,'Calc_Mix'!$X$31=0,COUNTIFS(Esc_Turno,'Calc_Mix'!$C$31,Esc_Circ,$B111)+COUNTIFS(Esc_Turno,'Calc_Mix'!$C$31,Esc_Instr,$B111)&gt;0),"",IF(SUMPRODUCT('Calc_Mix'!$D$31:$W$31,'Matriz_Habilidades'!$D111:$W111)=0,"",SUMPRODUCT('Calc_Mix'!$D$31:$W$31,'Matriz_Habilidades'!$D111:$W111)/'Calc_Mix'!$X$31+ROW()*0.000001))</f>
        <v/>
      </c>
      <c r="AI111" s="34">
        <f>IF(OR($B111="",$C111&lt;&gt;"Ativo",$D111&lt;&gt;'Calc_Mix'!$C$32,'Calc_Mix'!$X$32=0,COUNTIFS(Esc_Turno,'Calc_Mix'!$C$32,Esc_Circ,$B111)+COUNTIFS(Esc_Turno,'Calc_Mix'!$C$32,Esc_Instr,$B111)&gt;0),"",IF(SUMPRODUCT('Calc_Mix'!$D$32:$W$32,'Matriz_Habilidades'!$D111:$W111)=0,"",SUMPRODUCT('Calc_Mix'!$D$32:$W$32,'Matriz_Habilidades'!$D111:$W111)/'Calc_Mix'!$X$32+ROW()*0.000001))</f>
        <v/>
      </c>
      <c r="AJ111" s="34">
        <f>IF(OR($B111="",$C111&lt;&gt;"Ativo",$D111&lt;&gt;'Calc_Mix'!$C$33,'Calc_Mix'!$X$33=0,COUNTIFS(Esc_Turno,'Calc_Mix'!$C$33,Esc_Circ,$B111)+COUNTIFS(Esc_Turno,'Calc_Mix'!$C$33,Esc_Instr,$B111)&gt;0),"",IF(SUMPRODUCT('Calc_Mix'!$D$33:$W$33,'Matriz_Habilidades'!$D111:$W111)=0,"",SUMPRODUCT('Calc_Mix'!$D$33:$W$33,'Matriz_Habilidades'!$D111:$W111)/'Calc_Mix'!$X$33+ROW()*0.000001))</f>
        <v/>
      </c>
      <c r="AK111" s="34">
        <f>IF(OR($B111="",$C111&lt;&gt;"Ativo",$D111&lt;&gt;'Calc_Mix'!$C$34,'Calc_Mix'!$X$34=0,COUNTIFS(Esc_Turno,'Calc_Mix'!$C$34,Esc_Circ,$B111)+COUNTIFS(Esc_Turno,'Calc_Mix'!$C$34,Esc_Instr,$B111)&gt;0),"",IF(SUMPRODUCT('Calc_Mix'!$D$34:$W$34,'Matriz_Habilidades'!$D111:$W111)=0,"",SUMPRODUCT('Calc_Mix'!$D$34:$W$34,'Matriz_Habilidades'!$D111:$W111)/'Calc_Mix'!$X$34+ROW()*0.000001))</f>
        <v/>
      </c>
      <c r="AL111" s="34">
        <f>IF(OR($B111="",$C111&lt;&gt;"Ativo",$D111&lt;&gt;'Calc_Mix'!$C$35,'Calc_Mix'!$X$35=0,COUNTIFS(Esc_Turno,'Calc_Mix'!$C$35,Esc_Circ,$B111)+COUNTIFS(Esc_Turno,'Calc_Mix'!$C$35,Esc_Instr,$B111)&gt;0),"",IF(SUMPRODUCT('Calc_Mix'!$D$35:$W$35,'Matriz_Habilidades'!$D111:$W111)=0,"",SUMPRODUCT('Calc_Mix'!$D$35:$W$35,'Matriz_Habilidades'!$D111:$W111)/'Calc_Mix'!$X$35+ROW()*0.000001))</f>
        <v/>
      </c>
      <c r="AM111" s="34">
        <f>IF(OR($B111="",$C111&lt;&gt;"Ativo",$D111&lt;&gt;'Calc_Mix'!$C$36,'Calc_Mix'!$X$36=0,COUNTIFS(Esc_Turno,'Calc_Mix'!$C$36,Esc_Circ,$B111)+COUNTIFS(Esc_Turno,'Calc_Mix'!$C$36,Esc_Instr,$B111)&gt;0),"",IF(SUMPRODUCT('Calc_Mix'!$D$36:$W$36,'Matriz_Habilidades'!$D111:$W111)=0,"",SUMPRODUCT('Calc_Mix'!$D$36:$W$36,'Matriz_Habilidades'!$D111:$W111)/'Calc_Mix'!$X$36+ROW()*0.000001))</f>
        <v/>
      </c>
      <c r="AN111" s="34">
        <f>IF(OR($B111="",$C111&lt;&gt;"Ativo",$D111&lt;&gt;'Calc_Mix'!$C$37,'Calc_Mix'!$X$37=0,COUNTIFS(Esc_Turno,'Calc_Mix'!$C$37,Esc_Circ,$B111)+COUNTIFS(Esc_Turno,'Calc_Mix'!$C$37,Esc_Instr,$B111)&gt;0),"",IF(SUMPRODUCT('Calc_Mix'!$D$37:$W$37,'Matriz_Habilidades'!$D111:$W111)=0,"",SUMPRODUCT('Calc_Mix'!$D$37:$W$37,'Matriz_Habilidades'!$D111:$W111)/'Calc_Mix'!$X$37+ROW()*0.000001))</f>
        <v/>
      </c>
    </row>
    <row r="112">
      <c r="A112" s="27">
        <f>IF('Matriz_Habilidades'!A112="","",'Matriz_Habilidades'!A112)</f>
        <v/>
      </c>
      <c r="B112" s="28">
        <f>IF('Matriz_Habilidades'!B112="","",'Matriz_Habilidades'!B112)</f>
        <v/>
      </c>
      <c r="C112" s="27">
        <f>IF($A112="","",IFERROR(INDEX(Equipe_Status,MATCH($B112,Equipe_Nome,0)),"?"))</f>
        <v/>
      </c>
      <c r="D112" s="27">
        <f>IF($A112="","",IFERROR(INDEX(Equipe_Turno,MATCH($B112,Equipe_Nome,0)),"?"))</f>
        <v/>
      </c>
      <c r="E112" s="34">
        <f>IF(OR($B112="",$C112&lt;&gt;"Ativo",$D112&lt;&gt;'Calc_Mix'!$C$2,'Calc_Mix'!$X$2=0,COUNTIFS(Esc_Turno,'Calc_Mix'!$C$2,Esc_Circ,$B112)+COUNTIFS(Esc_Turno,'Calc_Mix'!$C$2,Esc_Instr,$B112)&gt;0),"",IF(SUMPRODUCT('Calc_Mix'!$D$2:$W$2,'Matriz_Habilidades'!$D112:$W112)=0,"",SUMPRODUCT('Calc_Mix'!$D$2:$W$2,'Matriz_Habilidades'!$D112:$W112)/'Calc_Mix'!$X$2+ROW()*0.000001))</f>
        <v/>
      </c>
      <c r="F112" s="34">
        <f>IF(OR($B112="",$C112&lt;&gt;"Ativo",$D112&lt;&gt;'Calc_Mix'!$C$3,'Calc_Mix'!$X$3=0,COUNTIFS(Esc_Turno,'Calc_Mix'!$C$3,Esc_Circ,$B112)+COUNTIFS(Esc_Turno,'Calc_Mix'!$C$3,Esc_Instr,$B112)&gt;0),"",IF(SUMPRODUCT('Calc_Mix'!$D$3:$W$3,'Matriz_Habilidades'!$D112:$W112)=0,"",SUMPRODUCT('Calc_Mix'!$D$3:$W$3,'Matriz_Habilidades'!$D112:$W112)/'Calc_Mix'!$X$3+ROW()*0.000001))</f>
        <v/>
      </c>
      <c r="G112" s="34">
        <f>IF(OR($B112="",$C112&lt;&gt;"Ativo",$D112&lt;&gt;'Calc_Mix'!$C$4,'Calc_Mix'!$X$4=0,COUNTIFS(Esc_Turno,'Calc_Mix'!$C$4,Esc_Circ,$B112)+COUNTIFS(Esc_Turno,'Calc_Mix'!$C$4,Esc_Instr,$B112)&gt;0),"",IF(SUMPRODUCT('Calc_Mix'!$D$4:$W$4,'Matriz_Habilidades'!$D112:$W112)=0,"",SUMPRODUCT('Calc_Mix'!$D$4:$W$4,'Matriz_Habilidades'!$D112:$W112)/'Calc_Mix'!$X$4+ROW()*0.000001))</f>
        <v/>
      </c>
      <c r="H112" s="34">
        <f>IF(OR($B112="",$C112&lt;&gt;"Ativo",$D112&lt;&gt;'Calc_Mix'!$C$5,'Calc_Mix'!$X$5=0,COUNTIFS(Esc_Turno,'Calc_Mix'!$C$5,Esc_Circ,$B112)+COUNTIFS(Esc_Turno,'Calc_Mix'!$C$5,Esc_Instr,$B112)&gt;0),"",IF(SUMPRODUCT('Calc_Mix'!$D$5:$W$5,'Matriz_Habilidades'!$D112:$W112)=0,"",SUMPRODUCT('Calc_Mix'!$D$5:$W$5,'Matriz_Habilidades'!$D112:$W112)/'Calc_Mix'!$X$5+ROW()*0.000001))</f>
        <v/>
      </c>
      <c r="I112" s="34">
        <f>IF(OR($B112="",$C112&lt;&gt;"Ativo",$D112&lt;&gt;'Calc_Mix'!$C$6,'Calc_Mix'!$X$6=0,COUNTIFS(Esc_Turno,'Calc_Mix'!$C$6,Esc_Circ,$B112)+COUNTIFS(Esc_Turno,'Calc_Mix'!$C$6,Esc_Instr,$B112)&gt;0),"",IF(SUMPRODUCT('Calc_Mix'!$D$6:$W$6,'Matriz_Habilidades'!$D112:$W112)=0,"",SUMPRODUCT('Calc_Mix'!$D$6:$W$6,'Matriz_Habilidades'!$D112:$W112)/'Calc_Mix'!$X$6+ROW()*0.000001))</f>
        <v/>
      </c>
      <c r="J112" s="34">
        <f>IF(OR($B112="",$C112&lt;&gt;"Ativo",$D112&lt;&gt;'Calc_Mix'!$C$7,'Calc_Mix'!$X$7=0,COUNTIFS(Esc_Turno,'Calc_Mix'!$C$7,Esc_Circ,$B112)+COUNTIFS(Esc_Turno,'Calc_Mix'!$C$7,Esc_Instr,$B112)&gt;0),"",IF(SUMPRODUCT('Calc_Mix'!$D$7:$W$7,'Matriz_Habilidades'!$D112:$W112)=0,"",SUMPRODUCT('Calc_Mix'!$D$7:$W$7,'Matriz_Habilidades'!$D112:$W112)/'Calc_Mix'!$X$7+ROW()*0.000001))</f>
        <v/>
      </c>
      <c r="K112" s="34">
        <f>IF(OR($B112="",$C112&lt;&gt;"Ativo",$D112&lt;&gt;'Calc_Mix'!$C$8,'Calc_Mix'!$X$8=0,COUNTIFS(Esc_Turno,'Calc_Mix'!$C$8,Esc_Circ,$B112)+COUNTIFS(Esc_Turno,'Calc_Mix'!$C$8,Esc_Instr,$B112)&gt;0),"",IF(SUMPRODUCT('Calc_Mix'!$D$8:$W$8,'Matriz_Habilidades'!$D112:$W112)=0,"",SUMPRODUCT('Calc_Mix'!$D$8:$W$8,'Matriz_Habilidades'!$D112:$W112)/'Calc_Mix'!$X$8+ROW()*0.000001))</f>
        <v/>
      </c>
      <c r="L112" s="34">
        <f>IF(OR($B112="",$C112&lt;&gt;"Ativo",$D112&lt;&gt;'Calc_Mix'!$C$9,'Calc_Mix'!$X$9=0,COUNTIFS(Esc_Turno,'Calc_Mix'!$C$9,Esc_Circ,$B112)+COUNTIFS(Esc_Turno,'Calc_Mix'!$C$9,Esc_Instr,$B112)&gt;0),"",IF(SUMPRODUCT('Calc_Mix'!$D$9:$W$9,'Matriz_Habilidades'!$D112:$W112)=0,"",SUMPRODUCT('Calc_Mix'!$D$9:$W$9,'Matriz_Habilidades'!$D112:$W112)/'Calc_Mix'!$X$9+ROW()*0.000001))</f>
        <v/>
      </c>
      <c r="M112" s="34">
        <f>IF(OR($B112="",$C112&lt;&gt;"Ativo",$D112&lt;&gt;'Calc_Mix'!$C$10,'Calc_Mix'!$X$10=0,COUNTIFS(Esc_Turno,'Calc_Mix'!$C$10,Esc_Circ,$B112)+COUNTIFS(Esc_Turno,'Calc_Mix'!$C$10,Esc_Instr,$B112)&gt;0),"",IF(SUMPRODUCT('Calc_Mix'!$D$10:$W$10,'Matriz_Habilidades'!$D112:$W112)=0,"",SUMPRODUCT('Calc_Mix'!$D$10:$W$10,'Matriz_Habilidades'!$D112:$W112)/'Calc_Mix'!$X$10+ROW()*0.000001))</f>
        <v/>
      </c>
      <c r="N112" s="34">
        <f>IF(OR($B112="",$C112&lt;&gt;"Ativo",$D112&lt;&gt;'Calc_Mix'!$C$11,'Calc_Mix'!$X$11=0,COUNTIFS(Esc_Turno,'Calc_Mix'!$C$11,Esc_Circ,$B112)+COUNTIFS(Esc_Turno,'Calc_Mix'!$C$11,Esc_Instr,$B112)&gt;0),"",IF(SUMPRODUCT('Calc_Mix'!$D$11:$W$11,'Matriz_Habilidades'!$D112:$W112)=0,"",SUMPRODUCT('Calc_Mix'!$D$11:$W$11,'Matriz_Habilidades'!$D112:$W112)/'Calc_Mix'!$X$11+ROW()*0.000001))</f>
        <v/>
      </c>
      <c r="O112" s="34">
        <f>IF(OR($B112="",$C112&lt;&gt;"Ativo",$D112&lt;&gt;'Calc_Mix'!$C$12,'Calc_Mix'!$X$12=0,COUNTIFS(Esc_Turno,'Calc_Mix'!$C$12,Esc_Circ,$B112)+COUNTIFS(Esc_Turno,'Calc_Mix'!$C$12,Esc_Instr,$B112)&gt;0),"",IF(SUMPRODUCT('Calc_Mix'!$D$12:$W$12,'Matriz_Habilidades'!$D112:$W112)=0,"",SUMPRODUCT('Calc_Mix'!$D$12:$W$12,'Matriz_Habilidades'!$D112:$W112)/'Calc_Mix'!$X$12+ROW()*0.000001))</f>
        <v/>
      </c>
      <c r="P112" s="34">
        <f>IF(OR($B112="",$C112&lt;&gt;"Ativo",$D112&lt;&gt;'Calc_Mix'!$C$13,'Calc_Mix'!$X$13=0,COUNTIFS(Esc_Turno,'Calc_Mix'!$C$13,Esc_Circ,$B112)+COUNTIFS(Esc_Turno,'Calc_Mix'!$C$13,Esc_Instr,$B112)&gt;0),"",IF(SUMPRODUCT('Calc_Mix'!$D$13:$W$13,'Matriz_Habilidades'!$D112:$W112)=0,"",SUMPRODUCT('Calc_Mix'!$D$13:$W$13,'Matriz_Habilidades'!$D112:$W112)/'Calc_Mix'!$X$13+ROW()*0.000001))</f>
        <v/>
      </c>
      <c r="Q112" s="34">
        <f>IF(OR($B112="",$C112&lt;&gt;"Ativo",$D112&lt;&gt;'Calc_Mix'!$C$14,'Calc_Mix'!$X$14=0,COUNTIFS(Esc_Turno,'Calc_Mix'!$C$14,Esc_Circ,$B112)+COUNTIFS(Esc_Turno,'Calc_Mix'!$C$14,Esc_Instr,$B112)&gt;0),"",IF(SUMPRODUCT('Calc_Mix'!$D$14:$W$14,'Matriz_Habilidades'!$D112:$W112)=0,"",SUMPRODUCT('Calc_Mix'!$D$14:$W$14,'Matriz_Habilidades'!$D112:$W112)/'Calc_Mix'!$X$14+ROW()*0.000001))</f>
        <v/>
      </c>
      <c r="R112" s="34">
        <f>IF(OR($B112="",$C112&lt;&gt;"Ativo",$D112&lt;&gt;'Calc_Mix'!$C$15,'Calc_Mix'!$X$15=0,COUNTIFS(Esc_Turno,'Calc_Mix'!$C$15,Esc_Circ,$B112)+COUNTIFS(Esc_Turno,'Calc_Mix'!$C$15,Esc_Instr,$B112)&gt;0),"",IF(SUMPRODUCT('Calc_Mix'!$D$15:$W$15,'Matriz_Habilidades'!$D112:$W112)=0,"",SUMPRODUCT('Calc_Mix'!$D$15:$W$15,'Matriz_Habilidades'!$D112:$W112)/'Calc_Mix'!$X$15+ROW()*0.000001))</f>
        <v/>
      </c>
      <c r="S112" s="34">
        <f>IF(OR($B112="",$C112&lt;&gt;"Ativo",$D112&lt;&gt;'Calc_Mix'!$C$16,'Calc_Mix'!$X$16=0,COUNTIFS(Esc_Turno,'Calc_Mix'!$C$16,Esc_Circ,$B112)+COUNTIFS(Esc_Turno,'Calc_Mix'!$C$16,Esc_Instr,$B112)&gt;0),"",IF(SUMPRODUCT('Calc_Mix'!$D$16:$W$16,'Matriz_Habilidades'!$D112:$W112)=0,"",SUMPRODUCT('Calc_Mix'!$D$16:$W$16,'Matriz_Habilidades'!$D112:$W112)/'Calc_Mix'!$X$16+ROW()*0.000001))</f>
        <v/>
      </c>
      <c r="T112" s="34">
        <f>IF(OR($B112="",$C112&lt;&gt;"Ativo",$D112&lt;&gt;'Calc_Mix'!$C$17,'Calc_Mix'!$X$17=0,COUNTIFS(Esc_Turno,'Calc_Mix'!$C$17,Esc_Circ,$B112)+COUNTIFS(Esc_Turno,'Calc_Mix'!$C$17,Esc_Instr,$B112)&gt;0),"",IF(SUMPRODUCT('Calc_Mix'!$D$17:$W$17,'Matriz_Habilidades'!$D112:$W112)=0,"",SUMPRODUCT('Calc_Mix'!$D$17:$W$17,'Matriz_Habilidades'!$D112:$W112)/'Calc_Mix'!$X$17+ROW()*0.000001))</f>
        <v/>
      </c>
      <c r="U112" s="34">
        <f>IF(OR($B112="",$C112&lt;&gt;"Ativo",$D112&lt;&gt;'Calc_Mix'!$C$18,'Calc_Mix'!$X$18=0,COUNTIFS(Esc_Turno,'Calc_Mix'!$C$18,Esc_Circ,$B112)+COUNTIFS(Esc_Turno,'Calc_Mix'!$C$18,Esc_Instr,$B112)&gt;0),"",IF(SUMPRODUCT('Calc_Mix'!$D$18:$W$18,'Matriz_Habilidades'!$D112:$W112)=0,"",SUMPRODUCT('Calc_Mix'!$D$18:$W$18,'Matriz_Habilidades'!$D112:$W112)/'Calc_Mix'!$X$18+ROW()*0.000001))</f>
        <v/>
      </c>
      <c r="V112" s="34">
        <f>IF(OR($B112="",$C112&lt;&gt;"Ativo",$D112&lt;&gt;'Calc_Mix'!$C$19,'Calc_Mix'!$X$19=0,COUNTIFS(Esc_Turno,'Calc_Mix'!$C$19,Esc_Circ,$B112)+COUNTIFS(Esc_Turno,'Calc_Mix'!$C$19,Esc_Instr,$B112)&gt;0),"",IF(SUMPRODUCT('Calc_Mix'!$D$19:$W$19,'Matriz_Habilidades'!$D112:$W112)=0,"",SUMPRODUCT('Calc_Mix'!$D$19:$W$19,'Matriz_Habilidades'!$D112:$W112)/'Calc_Mix'!$X$19+ROW()*0.000001))</f>
        <v/>
      </c>
      <c r="W112" s="34">
        <f>IF(OR($B112="",$C112&lt;&gt;"Ativo",$D112&lt;&gt;'Calc_Mix'!$C$20,'Calc_Mix'!$X$20=0,COUNTIFS(Esc_Turno,'Calc_Mix'!$C$20,Esc_Circ,$B112)+COUNTIFS(Esc_Turno,'Calc_Mix'!$C$20,Esc_Instr,$B112)&gt;0),"",IF(SUMPRODUCT('Calc_Mix'!$D$20:$W$20,'Matriz_Habilidades'!$D112:$W112)=0,"",SUMPRODUCT('Calc_Mix'!$D$20:$W$20,'Matriz_Habilidades'!$D112:$W112)/'Calc_Mix'!$X$20+ROW()*0.000001))</f>
        <v/>
      </c>
      <c r="X112" s="34">
        <f>IF(OR($B112="",$C112&lt;&gt;"Ativo",$D112&lt;&gt;'Calc_Mix'!$C$21,'Calc_Mix'!$X$21=0,COUNTIFS(Esc_Turno,'Calc_Mix'!$C$21,Esc_Circ,$B112)+COUNTIFS(Esc_Turno,'Calc_Mix'!$C$21,Esc_Instr,$B112)&gt;0),"",IF(SUMPRODUCT('Calc_Mix'!$D$21:$W$21,'Matriz_Habilidades'!$D112:$W112)=0,"",SUMPRODUCT('Calc_Mix'!$D$21:$W$21,'Matriz_Habilidades'!$D112:$W112)/'Calc_Mix'!$X$21+ROW()*0.000001))</f>
        <v/>
      </c>
      <c r="Y112" s="34">
        <f>IF(OR($B112="",$C112&lt;&gt;"Ativo",$D112&lt;&gt;'Calc_Mix'!$C$22,'Calc_Mix'!$X$22=0,COUNTIFS(Esc_Turno,'Calc_Mix'!$C$22,Esc_Circ,$B112)+COUNTIFS(Esc_Turno,'Calc_Mix'!$C$22,Esc_Instr,$B112)&gt;0),"",IF(SUMPRODUCT('Calc_Mix'!$D$22:$W$22,'Matriz_Habilidades'!$D112:$W112)=0,"",SUMPRODUCT('Calc_Mix'!$D$22:$W$22,'Matriz_Habilidades'!$D112:$W112)/'Calc_Mix'!$X$22+ROW()*0.000001))</f>
        <v/>
      </c>
      <c r="Z112" s="34">
        <f>IF(OR($B112="",$C112&lt;&gt;"Ativo",$D112&lt;&gt;'Calc_Mix'!$C$23,'Calc_Mix'!$X$23=0,COUNTIFS(Esc_Turno,'Calc_Mix'!$C$23,Esc_Circ,$B112)+COUNTIFS(Esc_Turno,'Calc_Mix'!$C$23,Esc_Instr,$B112)&gt;0),"",IF(SUMPRODUCT('Calc_Mix'!$D$23:$W$23,'Matriz_Habilidades'!$D112:$W112)=0,"",SUMPRODUCT('Calc_Mix'!$D$23:$W$23,'Matriz_Habilidades'!$D112:$W112)/'Calc_Mix'!$X$23+ROW()*0.000001))</f>
        <v/>
      </c>
      <c r="AA112" s="34">
        <f>IF(OR($B112="",$C112&lt;&gt;"Ativo",$D112&lt;&gt;'Calc_Mix'!$C$24,'Calc_Mix'!$X$24=0,COUNTIFS(Esc_Turno,'Calc_Mix'!$C$24,Esc_Circ,$B112)+COUNTIFS(Esc_Turno,'Calc_Mix'!$C$24,Esc_Instr,$B112)&gt;0),"",IF(SUMPRODUCT('Calc_Mix'!$D$24:$W$24,'Matriz_Habilidades'!$D112:$W112)=0,"",SUMPRODUCT('Calc_Mix'!$D$24:$W$24,'Matriz_Habilidades'!$D112:$W112)/'Calc_Mix'!$X$24+ROW()*0.000001))</f>
        <v/>
      </c>
      <c r="AB112" s="34">
        <f>IF(OR($B112="",$C112&lt;&gt;"Ativo",$D112&lt;&gt;'Calc_Mix'!$C$25,'Calc_Mix'!$X$25=0,COUNTIFS(Esc_Turno,'Calc_Mix'!$C$25,Esc_Circ,$B112)+COUNTIFS(Esc_Turno,'Calc_Mix'!$C$25,Esc_Instr,$B112)&gt;0),"",IF(SUMPRODUCT('Calc_Mix'!$D$25:$W$25,'Matriz_Habilidades'!$D112:$W112)=0,"",SUMPRODUCT('Calc_Mix'!$D$25:$W$25,'Matriz_Habilidades'!$D112:$W112)/'Calc_Mix'!$X$25+ROW()*0.000001))</f>
        <v/>
      </c>
      <c r="AC112" s="34">
        <f>IF(OR($B112="",$C112&lt;&gt;"Ativo",$D112&lt;&gt;'Calc_Mix'!$C$26,'Calc_Mix'!$X$26=0,COUNTIFS(Esc_Turno,'Calc_Mix'!$C$26,Esc_Circ,$B112)+COUNTIFS(Esc_Turno,'Calc_Mix'!$C$26,Esc_Instr,$B112)&gt;0),"",IF(SUMPRODUCT('Calc_Mix'!$D$26:$W$26,'Matriz_Habilidades'!$D112:$W112)=0,"",SUMPRODUCT('Calc_Mix'!$D$26:$W$26,'Matriz_Habilidades'!$D112:$W112)/'Calc_Mix'!$X$26+ROW()*0.000001))</f>
        <v/>
      </c>
      <c r="AD112" s="34">
        <f>IF(OR($B112="",$C112&lt;&gt;"Ativo",$D112&lt;&gt;'Calc_Mix'!$C$27,'Calc_Mix'!$X$27=0,COUNTIFS(Esc_Turno,'Calc_Mix'!$C$27,Esc_Circ,$B112)+COUNTIFS(Esc_Turno,'Calc_Mix'!$C$27,Esc_Instr,$B112)&gt;0),"",IF(SUMPRODUCT('Calc_Mix'!$D$27:$W$27,'Matriz_Habilidades'!$D112:$W112)=0,"",SUMPRODUCT('Calc_Mix'!$D$27:$W$27,'Matriz_Habilidades'!$D112:$W112)/'Calc_Mix'!$X$27+ROW()*0.000001))</f>
        <v/>
      </c>
      <c r="AE112" s="34">
        <f>IF(OR($B112="",$C112&lt;&gt;"Ativo",$D112&lt;&gt;'Calc_Mix'!$C$28,'Calc_Mix'!$X$28=0,COUNTIFS(Esc_Turno,'Calc_Mix'!$C$28,Esc_Circ,$B112)+COUNTIFS(Esc_Turno,'Calc_Mix'!$C$28,Esc_Instr,$B112)&gt;0),"",IF(SUMPRODUCT('Calc_Mix'!$D$28:$W$28,'Matriz_Habilidades'!$D112:$W112)=0,"",SUMPRODUCT('Calc_Mix'!$D$28:$W$28,'Matriz_Habilidades'!$D112:$W112)/'Calc_Mix'!$X$28+ROW()*0.000001))</f>
        <v/>
      </c>
      <c r="AF112" s="34">
        <f>IF(OR($B112="",$C112&lt;&gt;"Ativo",$D112&lt;&gt;'Calc_Mix'!$C$29,'Calc_Mix'!$X$29=0,COUNTIFS(Esc_Turno,'Calc_Mix'!$C$29,Esc_Circ,$B112)+COUNTIFS(Esc_Turno,'Calc_Mix'!$C$29,Esc_Instr,$B112)&gt;0),"",IF(SUMPRODUCT('Calc_Mix'!$D$29:$W$29,'Matriz_Habilidades'!$D112:$W112)=0,"",SUMPRODUCT('Calc_Mix'!$D$29:$W$29,'Matriz_Habilidades'!$D112:$W112)/'Calc_Mix'!$X$29+ROW()*0.000001))</f>
        <v/>
      </c>
      <c r="AG112" s="34">
        <f>IF(OR($B112="",$C112&lt;&gt;"Ativo",$D112&lt;&gt;'Calc_Mix'!$C$30,'Calc_Mix'!$X$30=0,COUNTIFS(Esc_Turno,'Calc_Mix'!$C$30,Esc_Circ,$B112)+COUNTIFS(Esc_Turno,'Calc_Mix'!$C$30,Esc_Instr,$B112)&gt;0),"",IF(SUMPRODUCT('Calc_Mix'!$D$30:$W$30,'Matriz_Habilidades'!$D112:$W112)=0,"",SUMPRODUCT('Calc_Mix'!$D$30:$W$30,'Matriz_Habilidades'!$D112:$W112)/'Calc_Mix'!$X$30+ROW()*0.000001))</f>
        <v/>
      </c>
      <c r="AH112" s="34">
        <f>IF(OR($B112="",$C112&lt;&gt;"Ativo",$D112&lt;&gt;'Calc_Mix'!$C$31,'Calc_Mix'!$X$31=0,COUNTIFS(Esc_Turno,'Calc_Mix'!$C$31,Esc_Circ,$B112)+COUNTIFS(Esc_Turno,'Calc_Mix'!$C$31,Esc_Instr,$B112)&gt;0),"",IF(SUMPRODUCT('Calc_Mix'!$D$31:$W$31,'Matriz_Habilidades'!$D112:$W112)=0,"",SUMPRODUCT('Calc_Mix'!$D$31:$W$31,'Matriz_Habilidades'!$D112:$W112)/'Calc_Mix'!$X$31+ROW()*0.000001))</f>
        <v/>
      </c>
      <c r="AI112" s="34">
        <f>IF(OR($B112="",$C112&lt;&gt;"Ativo",$D112&lt;&gt;'Calc_Mix'!$C$32,'Calc_Mix'!$X$32=0,COUNTIFS(Esc_Turno,'Calc_Mix'!$C$32,Esc_Circ,$B112)+COUNTIFS(Esc_Turno,'Calc_Mix'!$C$32,Esc_Instr,$B112)&gt;0),"",IF(SUMPRODUCT('Calc_Mix'!$D$32:$W$32,'Matriz_Habilidades'!$D112:$W112)=0,"",SUMPRODUCT('Calc_Mix'!$D$32:$W$32,'Matriz_Habilidades'!$D112:$W112)/'Calc_Mix'!$X$32+ROW()*0.000001))</f>
        <v/>
      </c>
      <c r="AJ112" s="34">
        <f>IF(OR($B112="",$C112&lt;&gt;"Ativo",$D112&lt;&gt;'Calc_Mix'!$C$33,'Calc_Mix'!$X$33=0,COUNTIFS(Esc_Turno,'Calc_Mix'!$C$33,Esc_Circ,$B112)+COUNTIFS(Esc_Turno,'Calc_Mix'!$C$33,Esc_Instr,$B112)&gt;0),"",IF(SUMPRODUCT('Calc_Mix'!$D$33:$W$33,'Matriz_Habilidades'!$D112:$W112)=0,"",SUMPRODUCT('Calc_Mix'!$D$33:$W$33,'Matriz_Habilidades'!$D112:$W112)/'Calc_Mix'!$X$33+ROW()*0.000001))</f>
        <v/>
      </c>
      <c r="AK112" s="34">
        <f>IF(OR($B112="",$C112&lt;&gt;"Ativo",$D112&lt;&gt;'Calc_Mix'!$C$34,'Calc_Mix'!$X$34=0,COUNTIFS(Esc_Turno,'Calc_Mix'!$C$34,Esc_Circ,$B112)+COUNTIFS(Esc_Turno,'Calc_Mix'!$C$34,Esc_Instr,$B112)&gt;0),"",IF(SUMPRODUCT('Calc_Mix'!$D$34:$W$34,'Matriz_Habilidades'!$D112:$W112)=0,"",SUMPRODUCT('Calc_Mix'!$D$34:$W$34,'Matriz_Habilidades'!$D112:$W112)/'Calc_Mix'!$X$34+ROW()*0.000001))</f>
        <v/>
      </c>
      <c r="AL112" s="34">
        <f>IF(OR($B112="",$C112&lt;&gt;"Ativo",$D112&lt;&gt;'Calc_Mix'!$C$35,'Calc_Mix'!$X$35=0,COUNTIFS(Esc_Turno,'Calc_Mix'!$C$35,Esc_Circ,$B112)+COUNTIFS(Esc_Turno,'Calc_Mix'!$C$35,Esc_Instr,$B112)&gt;0),"",IF(SUMPRODUCT('Calc_Mix'!$D$35:$W$35,'Matriz_Habilidades'!$D112:$W112)=0,"",SUMPRODUCT('Calc_Mix'!$D$35:$W$35,'Matriz_Habilidades'!$D112:$W112)/'Calc_Mix'!$X$35+ROW()*0.000001))</f>
        <v/>
      </c>
      <c r="AM112" s="34">
        <f>IF(OR($B112="",$C112&lt;&gt;"Ativo",$D112&lt;&gt;'Calc_Mix'!$C$36,'Calc_Mix'!$X$36=0,COUNTIFS(Esc_Turno,'Calc_Mix'!$C$36,Esc_Circ,$B112)+COUNTIFS(Esc_Turno,'Calc_Mix'!$C$36,Esc_Instr,$B112)&gt;0),"",IF(SUMPRODUCT('Calc_Mix'!$D$36:$W$36,'Matriz_Habilidades'!$D112:$W112)=0,"",SUMPRODUCT('Calc_Mix'!$D$36:$W$36,'Matriz_Habilidades'!$D112:$W112)/'Calc_Mix'!$X$36+ROW()*0.000001))</f>
        <v/>
      </c>
      <c r="AN112" s="34">
        <f>IF(OR($B112="",$C112&lt;&gt;"Ativo",$D112&lt;&gt;'Calc_Mix'!$C$37,'Calc_Mix'!$X$37=0,COUNTIFS(Esc_Turno,'Calc_Mix'!$C$37,Esc_Circ,$B112)+COUNTIFS(Esc_Turno,'Calc_Mix'!$C$37,Esc_Instr,$B112)&gt;0),"",IF(SUMPRODUCT('Calc_Mix'!$D$37:$W$37,'Matriz_Habilidades'!$D112:$W112)=0,"",SUMPRODUCT('Calc_Mix'!$D$37:$W$37,'Matriz_Habilidades'!$D112:$W112)/'Calc_Mix'!$X$37+ROW()*0.000001))</f>
        <v/>
      </c>
    </row>
    <row r="113">
      <c r="A113" s="27">
        <f>IF('Matriz_Habilidades'!A113="","",'Matriz_Habilidades'!A113)</f>
        <v/>
      </c>
      <c r="B113" s="28">
        <f>IF('Matriz_Habilidades'!B113="","",'Matriz_Habilidades'!B113)</f>
        <v/>
      </c>
      <c r="C113" s="27">
        <f>IF($A113="","",IFERROR(INDEX(Equipe_Status,MATCH($B113,Equipe_Nome,0)),"?"))</f>
        <v/>
      </c>
      <c r="D113" s="27">
        <f>IF($A113="","",IFERROR(INDEX(Equipe_Turno,MATCH($B113,Equipe_Nome,0)),"?"))</f>
        <v/>
      </c>
      <c r="E113" s="34">
        <f>IF(OR($B113="",$C113&lt;&gt;"Ativo",$D113&lt;&gt;'Calc_Mix'!$C$2,'Calc_Mix'!$X$2=0,COUNTIFS(Esc_Turno,'Calc_Mix'!$C$2,Esc_Circ,$B113)+COUNTIFS(Esc_Turno,'Calc_Mix'!$C$2,Esc_Instr,$B113)&gt;0),"",IF(SUMPRODUCT('Calc_Mix'!$D$2:$W$2,'Matriz_Habilidades'!$D113:$W113)=0,"",SUMPRODUCT('Calc_Mix'!$D$2:$W$2,'Matriz_Habilidades'!$D113:$W113)/'Calc_Mix'!$X$2+ROW()*0.000001))</f>
        <v/>
      </c>
      <c r="F113" s="34">
        <f>IF(OR($B113="",$C113&lt;&gt;"Ativo",$D113&lt;&gt;'Calc_Mix'!$C$3,'Calc_Mix'!$X$3=0,COUNTIFS(Esc_Turno,'Calc_Mix'!$C$3,Esc_Circ,$B113)+COUNTIFS(Esc_Turno,'Calc_Mix'!$C$3,Esc_Instr,$B113)&gt;0),"",IF(SUMPRODUCT('Calc_Mix'!$D$3:$W$3,'Matriz_Habilidades'!$D113:$W113)=0,"",SUMPRODUCT('Calc_Mix'!$D$3:$W$3,'Matriz_Habilidades'!$D113:$W113)/'Calc_Mix'!$X$3+ROW()*0.000001))</f>
        <v/>
      </c>
      <c r="G113" s="34">
        <f>IF(OR($B113="",$C113&lt;&gt;"Ativo",$D113&lt;&gt;'Calc_Mix'!$C$4,'Calc_Mix'!$X$4=0,COUNTIFS(Esc_Turno,'Calc_Mix'!$C$4,Esc_Circ,$B113)+COUNTIFS(Esc_Turno,'Calc_Mix'!$C$4,Esc_Instr,$B113)&gt;0),"",IF(SUMPRODUCT('Calc_Mix'!$D$4:$W$4,'Matriz_Habilidades'!$D113:$W113)=0,"",SUMPRODUCT('Calc_Mix'!$D$4:$W$4,'Matriz_Habilidades'!$D113:$W113)/'Calc_Mix'!$X$4+ROW()*0.000001))</f>
        <v/>
      </c>
      <c r="H113" s="34">
        <f>IF(OR($B113="",$C113&lt;&gt;"Ativo",$D113&lt;&gt;'Calc_Mix'!$C$5,'Calc_Mix'!$X$5=0,COUNTIFS(Esc_Turno,'Calc_Mix'!$C$5,Esc_Circ,$B113)+COUNTIFS(Esc_Turno,'Calc_Mix'!$C$5,Esc_Instr,$B113)&gt;0),"",IF(SUMPRODUCT('Calc_Mix'!$D$5:$W$5,'Matriz_Habilidades'!$D113:$W113)=0,"",SUMPRODUCT('Calc_Mix'!$D$5:$W$5,'Matriz_Habilidades'!$D113:$W113)/'Calc_Mix'!$X$5+ROW()*0.000001))</f>
        <v/>
      </c>
      <c r="I113" s="34">
        <f>IF(OR($B113="",$C113&lt;&gt;"Ativo",$D113&lt;&gt;'Calc_Mix'!$C$6,'Calc_Mix'!$X$6=0,COUNTIFS(Esc_Turno,'Calc_Mix'!$C$6,Esc_Circ,$B113)+COUNTIFS(Esc_Turno,'Calc_Mix'!$C$6,Esc_Instr,$B113)&gt;0),"",IF(SUMPRODUCT('Calc_Mix'!$D$6:$W$6,'Matriz_Habilidades'!$D113:$W113)=0,"",SUMPRODUCT('Calc_Mix'!$D$6:$W$6,'Matriz_Habilidades'!$D113:$W113)/'Calc_Mix'!$X$6+ROW()*0.000001))</f>
        <v/>
      </c>
      <c r="J113" s="34">
        <f>IF(OR($B113="",$C113&lt;&gt;"Ativo",$D113&lt;&gt;'Calc_Mix'!$C$7,'Calc_Mix'!$X$7=0,COUNTIFS(Esc_Turno,'Calc_Mix'!$C$7,Esc_Circ,$B113)+COUNTIFS(Esc_Turno,'Calc_Mix'!$C$7,Esc_Instr,$B113)&gt;0),"",IF(SUMPRODUCT('Calc_Mix'!$D$7:$W$7,'Matriz_Habilidades'!$D113:$W113)=0,"",SUMPRODUCT('Calc_Mix'!$D$7:$W$7,'Matriz_Habilidades'!$D113:$W113)/'Calc_Mix'!$X$7+ROW()*0.000001))</f>
        <v/>
      </c>
      <c r="K113" s="34">
        <f>IF(OR($B113="",$C113&lt;&gt;"Ativo",$D113&lt;&gt;'Calc_Mix'!$C$8,'Calc_Mix'!$X$8=0,COUNTIFS(Esc_Turno,'Calc_Mix'!$C$8,Esc_Circ,$B113)+COUNTIFS(Esc_Turno,'Calc_Mix'!$C$8,Esc_Instr,$B113)&gt;0),"",IF(SUMPRODUCT('Calc_Mix'!$D$8:$W$8,'Matriz_Habilidades'!$D113:$W113)=0,"",SUMPRODUCT('Calc_Mix'!$D$8:$W$8,'Matriz_Habilidades'!$D113:$W113)/'Calc_Mix'!$X$8+ROW()*0.000001))</f>
        <v/>
      </c>
      <c r="L113" s="34">
        <f>IF(OR($B113="",$C113&lt;&gt;"Ativo",$D113&lt;&gt;'Calc_Mix'!$C$9,'Calc_Mix'!$X$9=0,COUNTIFS(Esc_Turno,'Calc_Mix'!$C$9,Esc_Circ,$B113)+COUNTIFS(Esc_Turno,'Calc_Mix'!$C$9,Esc_Instr,$B113)&gt;0),"",IF(SUMPRODUCT('Calc_Mix'!$D$9:$W$9,'Matriz_Habilidades'!$D113:$W113)=0,"",SUMPRODUCT('Calc_Mix'!$D$9:$W$9,'Matriz_Habilidades'!$D113:$W113)/'Calc_Mix'!$X$9+ROW()*0.000001))</f>
        <v/>
      </c>
      <c r="M113" s="34">
        <f>IF(OR($B113="",$C113&lt;&gt;"Ativo",$D113&lt;&gt;'Calc_Mix'!$C$10,'Calc_Mix'!$X$10=0,COUNTIFS(Esc_Turno,'Calc_Mix'!$C$10,Esc_Circ,$B113)+COUNTIFS(Esc_Turno,'Calc_Mix'!$C$10,Esc_Instr,$B113)&gt;0),"",IF(SUMPRODUCT('Calc_Mix'!$D$10:$W$10,'Matriz_Habilidades'!$D113:$W113)=0,"",SUMPRODUCT('Calc_Mix'!$D$10:$W$10,'Matriz_Habilidades'!$D113:$W113)/'Calc_Mix'!$X$10+ROW()*0.000001))</f>
        <v/>
      </c>
      <c r="N113" s="34">
        <f>IF(OR($B113="",$C113&lt;&gt;"Ativo",$D113&lt;&gt;'Calc_Mix'!$C$11,'Calc_Mix'!$X$11=0,COUNTIFS(Esc_Turno,'Calc_Mix'!$C$11,Esc_Circ,$B113)+COUNTIFS(Esc_Turno,'Calc_Mix'!$C$11,Esc_Instr,$B113)&gt;0),"",IF(SUMPRODUCT('Calc_Mix'!$D$11:$W$11,'Matriz_Habilidades'!$D113:$W113)=0,"",SUMPRODUCT('Calc_Mix'!$D$11:$W$11,'Matriz_Habilidades'!$D113:$W113)/'Calc_Mix'!$X$11+ROW()*0.000001))</f>
        <v/>
      </c>
      <c r="O113" s="34">
        <f>IF(OR($B113="",$C113&lt;&gt;"Ativo",$D113&lt;&gt;'Calc_Mix'!$C$12,'Calc_Mix'!$X$12=0,COUNTIFS(Esc_Turno,'Calc_Mix'!$C$12,Esc_Circ,$B113)+COUNTIFS(Esc_Turno,'Calc_Mix'!$C$12,Esc_Instr,$B113)&gt;0),"",IF(SUMPRODUCT('Calc_Mix'!$D$12:$W$12,'Matriz_Habilidades'!$D113:$W113)=0,"",SUMPRODUCT('Calc_Mix'!$D$12:$W$12,'Matriz_Habilidades'!$D113:$W113)/'Calc_Mix'!$X$12+ROW()*0.000001))</f>
        <v/>
      </c>
      <c r="P113" s="34">
        <f>IF(OR($B113="",$C113&lt;&gt;"Ativo",$D113&lt;&gt;'Calc_Mix'!$C$13,'Calc_Mix'!$X$13=0,COUNTIFS(Esc_Turno,'Calc_Mix'!$C$13,Esc_Circ,$B113)+COUNTIFS(Esc_Turno,'Calc_Mix'!$C$13,Esc_Instr,$B113)&gt;0),"",IF(SUMPRODUCT('Calc_Mix'!$D$13:$W$13,'Matriz_Habilidades'!$D113:$W113)=0,"",SUMPRODUCT('Calc_Mix'!$D$13:$W$13,'Matriz_Habilidades'!$D113:$W113)/'Calc_Mix'!$X$13+ROW()*0.000001))</f>
        <v/>
      </c>
      <c r="Q113" s="34">
        <f>IF(OR($B113="",$C113&lt;&gt;"Ativo",$D113&lt;&gt;'Calc_Mix'!$C$14,'Calc_Mix'!$X$14=0,COUNTIFS(Esc_Turno,'Calc_Mix'!$C$14,Esc_Circ,$B113)+COUNTIFS(Esc_Turno,'Calc_Mix'!$C$14,Esc_Instr,$B113)&gt;0),"",IF(SUMPRODUCT('Calc_Mix'!$D$14:$W$14,'Matriz_Habilidades'!$D113:$W113)=0,"",SUMPRODUCT('Calc_Mix'!$D$14:$W$14,'Matriz_Habilidades'!$D113:$W113)/'Calc_Mix'!$X$14+ROW()*0.000001))</f>
        <v/>
      </c>
      <c r="R113" s="34">
        <f>IF(OR($B113="",$C113&lt;&gt;"Ativo",$D113&lt;&gt;'Calc_Mix'!$C$15,'Calc_Mix'!$X$15=0,COUNTIFS(Esc_Turno,'Calc_Mix'!$C$15,Esc_Circ,$B113)+COUNTIFS(Esc_Turno,'Calc_Mix'!$C$15,Esc_Instr,$B113)&gt;0),"",IF(SUMPRODUCT('Calc_Mix'!$D$15:$W$15,'Matriz_Habilidades'!$D113:$W113)=0,"",SUMPRODUCT('Calc_Mix'!$D$15:$W$15,'Matriz_Habilidades'!$D113:$W113)/'Calc_Mix'!$X$15+ROW()*0.000001))</f>
        <v/>
      </c>
      <c r="S113" s="34">
        <f>IF(OR($B113="",$C113&lt;&gt;"Ativo",$D113&lt;&gt;'Calc_Mix'!$C$16,'Calc_Mix'!$X$16=0,COUNTIFS(Esc_Turno,'Calc_Mix'!$C$16,Esc_Circ,$B113)+COUNTIFS(Esc_Turno,'Calc_Mix'!$C$16,Esc_Instr,$B113)&gt;0),"",IF(SUMPRODUCT('Calc_Mix'!$D$16:$W$16,'Matriz_Habilidades'!$D113:$W113)=0,"",SUMPRODUCT('Calc_Mix'!$D$16:$W$16,'Matriz_Habilidades'!$D113:$W113)/'Calc_Mix'!$X$16+ROW()*0.000001))</f>
        <v/>
      </c>
      <c r="T113" s="34">
        <f>IF(OR($B113="",$C113&lt;&gt;"Ativo",$D113&lt;&gt;'Calc_Mix'!$C$17,'Calc_Mix'!$X$17=0,COUNTIFS(Esc_Turno,'Calc_Mix'!$C$17,Esc_Circ,$B113)+COUNTIFS(Esc_Turno,'Calc_Mix'!$C$17,Esc_Instr,$B113)&gt;0),"",IF(SUMPRODUCT('Calc_Mix'!$D$17:$W$17,'Matriz_Habilidades'!$D113:$W113)=0,"",SUMPRODUCT('Calc_Mix'!$D$17:$W$17,'Matriz_Habilidades'!$D113:$W113)/'Calc_Mix'!$X$17+ROW()*0.000001))</f>
        <v/>
      </c>
      <c r="U113" s="34">
        <f>IF(OR($B113="",$C113&lt;&gt;"Ativo",$D113&lt;&gt;'Calc_Mix'!$C$18,'Calc_Mix'!$X$18=0,COUNTIFS(Esc_Turno,'Calc_Mix'!$C$18,Esc_Circ,$B113)+COUNTIFS(Esc_Turno,'Calc_Mix'!$C$18,Esc_Instr,$B113)&gt;0),"",IF(SUMPRODUCT('Calc_Mix'!$D$18:$W$18,'Matriz_Habilidades'!$D113:$W113)=0,"",SUMPRODUCT('Calc_Mix'!$D$18:$W$18,'Matriz_Habilidades'!$D113:$W113)/'Calc_Mix'!$X$18+ROW()*0.000001))</f>
        <v/>
      </c>
      <c r="V113" s="34">
        <f>IF(OR($B113="",$C113&lt;&gt;"Ativo",$D113&lt;&gt;'Calc_Mix'!$C$19,'Calc_Mix'!$X$19=0,COUNTIFS(Esc_Turno,'Calc_Mix'!$C$19,Esc_Circ,$B113)+COUNTIFS(Esc_Turno,'Calc_Mix'!$C$19,Esc_Instr,$B113)&gt;0),"",IF(SUMPRODUCT('Calc_Mix'!$D$19:$W$19,'Matriz_Habilidades'!$D113:$W113)=0,"",SUMPRODUCT('Calc_Mix'!$D$19:$W$19,'Matriz_Habilidades'!$D113:$W113)/'Calc_Mix'!$X$19+ROW()*0.000001))</f>
        <v/>
      </c>
      <c r="W113" s="34">
        <f>IF(OR($B113="",$C113&lt;&gt;"Ativo",$D113&lt;&gt;'Calc_Mix'!$C$20,'Calc_Mix'!$X$20=0,COUNTIFS(Esc_Turno,'Calc_Mix'!$C$20,Esc_Circ,$B113)+COUNTIFS(Esc_Turno,'Calc_Mix'!$C$20,Esc_Instr,$B113)&gt;0),"",IF(SUMPRODUCT('Calc_Mix'!$D$20:$W$20,'Matriz_Habilidades'!$D113:$W113)=0,"",SUMPRODUCT('Calc_Mix'!$D$20:$W$20,'Matriz_Habilidades'!$D113:$W113)/'Calc_Mix'!$X$20+ROW()*0.000001))</f>
        <v/>
      </c>
      <c r="X113" s="34">
        <f>IF(OR($B113="",$C113&lt;&gt;"Ativo",$D113&lt;&gt;'Calc_Mix'!$C$21,'Calc_Mix'!$X$21=0,COUNTIFS(Esc_Turno,'Calc_Mix'!$C$21,Esc_Circ,$B113)+COUNTIFS(Esc_Turno,'Calc_Mix'!$C$21,Esc_Instr,$B113)&gt;0),"",IF(SUMPRODUCT('Calc_Mix'!$D$21:$W$21,'Matriz_Habilidades'!$D113:$W113)=0,"",SUMPRODUCT('Calc_Mix'!$D$21:$W$21,'Matriz_Habilidades'!$D113:$W113)/'Calc_Mix'!$X$21+ROW()*0.000001))</f>
        <v/>
      </c>
      <c r="Y113" s="34">
        <f>IF(OR($B113="",$C113&lt;&gt;"Ativo",$D113&lt;&gt;'Calc_Mix'!$C$22,'Calc_Mix'!$X$22=0,COUNTIFS(Esc_Turno,'Calc_Mix'!$C$22,Esc_Circ,$B113)+COUNTIFS(Esc_Turno,'Calc_Mix'!$C$22,Esc_Instr,$B113)&gt;0),"",IF(SUMPRODUCT('Calc_Mix'!$D$22:$W$22,'Matriz_Habilidades'!$D113:$W113)=0,"",SUMPRODUCT('Calc_Mix'!$D$22:$W$22,'Matriz_Habilidades'!$D113:$W113)/'Calc_Mix'!$X$22+ROW()*0.000001))</f>
        <v/>
      </c>
      <c r="Z113" s="34">
        <f>IF(OR($B113="",$C113&lt;&gt;"Ativo",$D113&lt;&gt;'Calc_Mix'!$C$23,'Calc_Mix'!$X$23=0,COUNTIFS(Esc_Turno,'Calc_Mix'!$C$23,Esc_Circ,$B113)+COUNTIFS(Esc_Turno,'Calc_Mix'!$C$23,Esc_Instr,$B113)&gt;0),"",IF(SUMPRODUCT('Calc_Mix'!$D$23:$W$23,'Matriz_Habilidades'!$D113:$W113)=0,"",SUMPRODUCT('Calc_Mix'!$D$23:$W$23,'Matriz_Habilidades'!$D113:$W113)/'Calc_Mix'!$X$23+ROW()*0.000001))</f>
        <v/>
      </c>
      <c r="AA113" s="34">
        <f>IF(OR($B113="",$C113&lt;&gt;"Ativo",$D113&lt;&gt;'Calc_Mix'!$C$24,'Calc_Mix'!$X$24=0,COUNTIFS(Esc_Turno,'Calc_Mix'!$C$24,Esc_Circ,$B113)+COUNTIFS(Esc_Turno,'Calc_Mix'!$C$24,Esc_Instr,$B113)&gt;0),"",IF(SUMPRODUCT('Calc_Mix'!$D$24:$W$24,'Matriz_Habilidades'!$D113:$W113)=0,"",SUMPRODUCT('Calc_Mix'!$D$24:$W$24,'Matriz_Habilidades'!$D113:$W113)/'Calc_Mix'!$X$24+ROW()*0.000001))</f>
        <v/>
      </c>
      <c r="AB113" s="34">
        <f>IF(OR($B113="",$C113&lt;&gt;"Ativo",$D113&lt;&gt;'Calc_Mix'!$C$25,'Calc_Mix'!$X$25=0,COUNTIFS(Esc_Turno,'Calc_Mix'!$C$25,Esc_Circ,$B113)+COUNTIFS(Esc_Turno,'Calc_Mix'!$C$25,Esc_Instr,$B113)&gt;0),"",IF(SUMPRODUCT('Calc_Mix'!$D$25:$W$25,'Matriz_Habilidades'!$D113:$W113)=0,"",SUMPRODUCT('Calc_Mix'!$D$25:$W$25,'Matriz_Habilidades'!$D113:$W113)/'Calc_Mix'!$X$25+ROW()*0.000001))</f>
        <v/>
      </c>
      <c r="AC113" s="34">
        <f>IF(OR($B113="",$C113&lt;&gt;"Ativo",$D113&lt;&gt;'Calc_Mix'!$C$26,'Calc_Mix'!$X$26=0,COUNTIFS(Esc_Turno,'Calc_Mix'!$C$26,Esc_Circ,$B113)+COUNTIFS(Esc_Turno,'Calc_Mix'!$C$26,Esc_Instr,$B113)&gt;0),"",IF(SUMPRODUCT('Calc_Mix'!$D$26:$W$26,'Matriz_Habilidades'!$D113:$W113)=0,"",SUMPRODUCT('Calc_Mix'!$D$26:$W$26,'Matriz_Habilidades'!$D113:$W113)/'Calc_Mix'!$X$26+ROW()*0.000001))</f>
        <v/>
      </c>
      <c r="AD113" s="34">
        <f>IF(OR($B113="",$C113&lt;&gt;"Ativo",$D113&lt;&gt;'Calc_Mix'!$C$27,'Calc_Mix'!$X$27=0,COUNTIFS(Esc_Turno,'Calc_Mix'!$C$27,Esc_Circ,$B113)+COUNTIFS(Esc_Turno,'Calc_Mix'!$C$27,Esc_Instr,$B113)&gt;0),"",IF(SUMPRODUCT('Calc_Mix'!$D$27:$W$27,'Matriz_Habilidades'!$D113:$W113)=0,"",SUMPRODUCT('Calc_Mix'!$D$27:$W$27,'Matriz_Habilidades'!$D113:$W113)/'Calc_Mix'!$X$27+ROW()*0.000001))</f>
        <v/>
      </c>
      <c r="AE113" s="34">
        <f>IF(OR($B113="",$C113&lt;&gt;"Ativo",$D113&lt;&gt;'Calc_Mix'!$C$28,'Calc_Mix'!$X$28=0,COUNTIFS(Esc_Turno,'Calc_Mix'!$C$28,Esc_Circ,$B113)+COUNTIFS(Esc_Turno,'Calc_Mix'!$C$28,Esc_Instr,$B113)&gt;0),"",IF(SUMPRODUCT('Calc_Mix'!$D$28:$W$28,'Matriz_Habilidades'!$D113:$W113)=0,"",SUMPRODUCT('Calc_Mix'!$D$28:$W$28,'Matriz_Habilidades'!$D113:$W113)/'Calc_Mix'!$X$28+ROW()*0.000001))</f>
        <v/>
      </c>
      <c r="AF113" s="34">
        <f>IF(OR($B113="",$C113&lt;&gt;"Ativo",$D113&lt;&gt;'Calc_Mix'!$C$29,'Calc_Mix'!$X$29=0,COUNTIFS(Esc_Turno,'Calc_Mix'!$C$29,Esc_Circ,$B113)+COUNTIFS(Esc_Turno,'Calc_Mix'!$C$29,Esc_Instr,$B113)&gt;0),"",IF(SUMPRODUCT('Calc_Mix'!$D$29:$W$29,'Matriz_Habilidades'!$D113:$W113)=0,"",SUMPRODUCT('Calc_Mix'!$D$29:$W$29,'Matriz_Habilidades'!$D113:$W113)/'Calc_Mix'!$X$29+ROW()*0.000001))</f>
        <v/>
      </c>
      <c r="AG113" s="34">
        <f>IF(OR($B113="",$C113&lt;&gt;"Ativo",$D113&lt;&gt;'Calc_Mix'!$C$30,'Calc_Mix'!$X$30=0,COUNTIFS(Esc_Turno,'Calc_Mix'!$C$30,Esc_Circ,$B113)+COUNTIFS(Esc_Turno,'Calc_Mix'!$C$30,Esc_Instr,$B113)&gt;0),"",IF(SUMPRODUCT('Calc_Mix'!$D$30:$W$30,'Matriz_Habilidades'!$D113:$W113)=0,"",SUMPRODUCT('Calc_Mix'!$D$30:$W$30,'Matriz_Habilidades'!$D113:$W113)/'Calc_Mix'!$X$30+ROW()*0.000001))</f>
        <v/>
      </c>
      <c r="AH113" s="34">
        <f>IF(OR($B113="",$C113&lt;&gt;"Ativo",$D113&lt;&gt;'Calc_Mix'!$C$31,'Calc_Mix'!$X$31=0,COUNTIFS(Esc_Turno,'Calc_Mix'!$C$31,Esc_Circ,$B113)+COUNTIFS(Esc_Turno,'Calc_Mix'!$C$31,Esc_Instr,$B113)&gt;0),"",IF(SUMPRODUCT('Calc_Mix'!$D$31:$W$31,'Matriz_Habilidades'!$D113:$W113)=0,"",SUMPRODUCT('Calc_Mix'!$D$31:$W$31,'Matriz_Habilidades'!$D113:$W113)/'Calc_Mix'!$X$31+ROW()*0.000001))</f>
        <v/>
      </c>
      <c r="AI113" s="34">
        <f>IF(OR($B113="",$C113&lt;&gt;"Ativo",$D113&lt;&gt;'Calc_Mix'!$C$32,'Calc_Mix'!$X$32=0,COUNTIFS(Esc_Turno,'Calc_Mix'!$C$32,Esc_Circ,$B113)+COUNTIFS(Esc_Turno,'Calc_Mix'!$C$32,Esc_Instr,$B113)&gt;0),"",IF(SUMPRODUCT('Calc_Mix'!$D$32:$W$32,'Matriz_Habilidades'!$D113:$W113)=0,"",SUMPRODUCT('Calc_Mix'!$D$32:$W$32,'Matriz_Habilidades'!$D113:$W113)/'Calc_Mix'!$X$32+ROW()*0.000001))</f>
        <v/>
      </c>
      <c r="AJ113" s="34">
        <f>IF(OR($B113="",$C113&lt;&gt;"Ativo",$D113&lt;&gt;'Calc_Mix'!$C$33,'Calc_Mix'!$X$33=0,COUNTIFS(Esc_Turno,'Calc_Mix'!$C$33,Esc_Circ,$B113)+COUNTIFS(Esc_Turno,'Calc_Mix'!$C$33,Esc_Instr,$B113)&gt;0),"",IF(SUMPRODUCT('Calc_Mix'!$D$33:$W$33,'Matriz_Habilidades'!$D113:$W113)=0,"",SUMPRODUCT('Calc_Mix'!$D$33:$W$33,'Matriz_Habilidades'!$D113:$W113)/'Calc_Mix'!$X$33+ROW()*0.000001))</f>
        <v/>
      </c>
      <c r="AK113" s="34">
        <f>IF(OR($B113="",$C113&lt;&gt;"Ativo",$D113&lt;&gt;'Calc_Mix'!$C$34,'Calc_Mix'!$X$34=0,COUNTIFS(Esc_Turno,'Calc_Mix'!$C$34,Esc_Circ,$B113)+COUNTIFS(Esc_Turno,'Calc_Mix'!$C$34,Esc_Instr,$B113)&gt;0),"",IF(SUMPRODUCT('Calc_Mix'!$D$34:$W$34,'Matriz_Habilidades'!$D113:$W113)=0,"",SUMPRODUCT('Calc_Mix'!$D$34:$W$34,'Matriz_Habilidades'!$D113:$W113)/'Calc_Mix'!$X$34+ROW()*0.000001))</f>
        <v/>
      </c>
      <c r="AL113" s="34">
        <f>IF(OR($B113="",$C113&lt;&gt;"Ativo",$D113&lt;&gt;'Calc_Mix'!$C$35,'Calc_Mix'!$X$35=0,COUNTIFS(Esc_Turno,'Calc_Mix'!$C$35,Esc_Circ,$B113)+COUNTIFS(Esc_Turno,'Calc_Mix'!$C$35,Esc_Instr,$B113)&gt;0),"",IF(SUMPRODUCT('Calc_Mix'!$D$35:$W$35,'Matriz_Habilidades'!$D113:$W113)=0,"",SUMPRODUCT('Calc_Mix'!$D$35:$W$35,'Matriz_Habilidades'!$D113:$W113)/'Calc_Mix'!$X$35+ROW()*0.000001))</f>
        <v/>
      </c>
      <c r="AM113" s="34">
        <f>IF(OR($B113="",$C113&lt;&gt;"Ativo",$D113&lt;&gt;'Calc_Mix'!$C$36,'Calc_Mix'!$X$36=0,COUNTIFS(Esc_Turno,'Calc_Mix'!$C$36,Esc_Circ,$B113)+COUNTIFS(Esc_Turno,'Calc_Mix'!$C$36,Esc_Instr,$B113)&gt;0),"",IF(SUMPRODUCT('Calc_Mix'!$D$36:$W$36,'Matriz_Habilidades'!$D113:$W113)=0,"",SUMPRODUCT('Calc_Mix'!$D$36:$W$36,'Matriz_Habilidades'!$D113:$W113)/'Calc_Mix'!$X$36+ROW()*0.000001))</f>
        <v/>
      </c>
      <c r="AN113" s="34">
        <f>IF(OR($B113="",$C113&lt;&gt;"Ativo",$D113&lt;&gt;'Calc_Mix'!$C$37,'Calc_Mix'!$X$37=0,COUNTIFS(Esc_Turno,'Calc_Mix'!$C$37,Esc_Circ,$B113)+COUNTIFS(Esc_Turno,'Calc_Mix'!$C$37,Esc_Instr,$B113)&gt;0),"",IF(SUMPRODUCT('Calc_Mix'!$D$37:$W$37,'Matriz_Habilidades'!$D113:$W113)=0,"",SUMPRODUCT('Calc_Mix'!$D$37:$W$37,'Matriz_Habilidades'!$D113:$W113)/'Calc_Mix'!$X$37+ROW()*0.000001))</f>
        <v/>
      </c>
    </row>
    <row r="114">
      <c r="A114" s="27">
        <f>IF('Matriz_Habilidades'!A114="","",'Matriz_Habilidades'!A114)</f>
        <v/>
      </c>
      <c r="B114" s="28">
        <f>IF('Matriz_Habilidades'!B114="","",'Matriz_Habilidades'!B114)</f>
        <v/>
      </c>
      <c r="C114" s="27">
        <f>IF($A114="","",IFERROR(INDEX(Equipe_Status,MATCH($B114,Equipe_Nome,0)),"?"))</f>
        <v/>
      </c>
      <c r="D114" s="27">
        <f>IF($A114="","",IFERROR(INDEX(Equipe_Turno,MATCH($B114,Equipe_Nome,0)),"?"))</f>
        <v/>
      </c>
      <c r="E114" s="34">
        <f>IF(OR($B114="",$C114&lt;&gt;"Ativo",$D114&lt;&gt;'Calc_Mix'!$C$2,'Calc_Mix'!$X$2=0,COUNTIFS(Esc_Turno,'Calc_Mix'!$C$2,Esc_Circ,$B114)+COUNTIFS(Esc_Turno,'Calc_Mix'!$C$2,Esc_Instr,$B114)&gt;0),"",IF(SUMPRODUCT('Calc_Mix'!$D$2:$W$2,'Matriz_Habilidades'!$D114:$W114)=0,"",SUMPRODUCT('Calc_Mix'!$D$2:$W$2,'Matriz_Habilidades'!$D114:$W114)/'Calc_Mix'!$X$2+ROW()*0.000001))</f>
        <v/>
      </c>
      <c r="F114" s="34">
        <f>IF(OR($B114="",$C114&lt;&gt;"Ativo",$D114&lt;&gt;'Calc_Mix'!$C$3,'Calc_Mix'!$X$3=0,COUNTIFS(Esc_Turno,'Calc_Mix'!$C$3,Esc_Circ,$B114)+COUNTIFS(Esc_Turno,'Calc_Mix'!$C$3,Esc_Instr,$B114)&gt;0),"",IF(SUMPRODUCT('Calc_Mix'!$D$3:$W$3,'Matriz_Habilidades'!$D114:$W114)=0,"",SUMPRODUCT('Calc_Mix'!$D$3:$W$3,'Matriz_Habilidades'!$D114:$W114)/'Calc_Mix'!$X$3+ROW()*0.000001))</f>
        <v/>
      </c>
      <c r="G114" s="34">
        <f>IF(OR($B114="",$C114&lt;&gt;"Ativo",$D114&lt;&gt;'Calc_Mix'!$C$4,'Calc_Mix'!$X$4=0,COUNTIFS(Esc_Turno,'Calc_Mix'!$C$4,Esc_Circ,$B114)+COUNTIFS(Esc_Turno,'Calc_Mix'!$C$4,Esc_Instr,$B114)&gt;0),"",IF(SUMPRODUCT('Calc_Mix'!$D$4:$W$4,'Matriz_Habilidades'!$D114:$W114)=0,"",SUMPRODUCT('Calc_Mix'!$D$4:$W$4,'Matriz_Habilidades'!$D114:$W114)/'Calc_Mix'!$X$4+ROW()*0.000001))</f>
        <v/>
      </c>
      <c r="H114" s="34">
        <f>IF(OR($B114="",$C114&lt;&gt;"Ativo",$D114&lt;&gt;'Calc_Mix'!$C$5,'Calc_Mix'!$X$5=0,COUNTIFS(Esc_Turno,'Calc_Mix'!$C$5,Esc_Circ,$B114)+COUNTIFS(Esc_Turno,'Calc_Mix'!$C$5,Esc_Instr,$B114)&gt;0),"",IF(SUMPRODUCT('Calc_Mix'!$D$5:$W$5,'Matriz_Habilidades'!$D114:$W114)=0,"",SUMPRODUCT('Calc_Mix'!$D$5:$W$5,'Matriz_Habilidades'!$D114:$W114)/'Calc_Mix'!$X$5+ROW()*0.000001))</f>
        <v/>
      </c>
      <c r="I114" s="34">
        <f>IF(OR($B114="",$C114&lt;&gt;"Ativo",$D114&lt;&gt;'Calc_Mix'!$C$6,'Calc_Mix'!$X$6=0,COUNTIFS(Esc_Turno,'Calc_Mix'!$C$6,Esc_Circ,$B114)+COUNTIFS(Esc_Turno,'Calc_Mix'!$C$6,Esc_Instr,$B114)&gt;0),"",IF(SUMPRODUCT('Calc_Mix'!$D$6:$W$6,'Matriz_Habilidades'!$D114:$W114)=0,"",SUMPRODUCT('Calc_Mix'!$D$6:$W$6,'Matriz_Habilidades'!$D114:$W114)/'Calc_Mix'!$X$6+ROW()*0.000001))</f>
        <v/>
      </c>
      <c r="J114" s="34">
        <f>IF(OR($B114="",$C114&lt;&gt;"Ativo",$D114&lt;&gt;'Calc_Mix'!$C$7,'Calc_Mix'!$X$7=0,COUNTIFS(Esc_Turno,'Calc_Mix'!$C$7,Esc_Circ,$B114)+COUNTIFS(Esc_Turno,'Calc_Mix'!$C$7,Esc_Instr,$B114)&gt;0),"",IF(SUMPRODUCT('Calc_Mix'!$D$7:$W$7,'Matriz_Habilidades'!$D114:$W114)=0,"",SUMPRODUCT('Calc_Mix'!$D$7:$W$7,'Matriz_Habilidades'!$D114:$W114)/'Calc_Mix'!$X$7+ROW()*0.000001))</f>
        <v/>
      </c>
      <c r="K114" s="34">
        <f>IF(OR($B114="",$C114&lt;&gt;"Ativo",$D114&lt;&gt;'Calc_Mix'!$C$8,'Calc_Mix'!$X$8=0,COUNTIFS(Esc_Turno,'Calc_Mix'!$C$8,Esc_Circ,$B114)+COUNTIFS(Esc_Turno,'Calc_Mix'!$C$8,Esc_Instr,$B114)&gt;0),"",IF(SUMPRODUCT('Calc_Mix'!$D$8:$W$8,'Matriz_Habilidades'!$D114:$W114)=0,"",SUMPRODUCT('Calc_Mix'!$D$8:$W$8,'Matriz_Habilidades'!$D114:$W114)/'Calc_Mix'!$X$8+ROW()*0.000001))</f>
        <v/>
      </c>
      <c r="L114" s="34">
        <f>IF(OR($B114="",$C114&lt;&gt;"Ativo",$D114&lt;&gt;'Calc_Mix'!$C$9,'Calc_Mix'!$X$9=0,COUNTIFS(Esc_Turno,'Calc_Mix'!$C$9,Esc_Circ,$B114)+COUNTIFS(Esc_Turno,'Calc_Mix'!$C$9,Esc_Instr,$B114)&gt;0),"",IF(SUMPRODUCT('Calc_Mix'!$D$9:$W$9,'Matriz_Habilidades'!$D114:$W114)=0,"",SUMPRODUCT('Calc_Mix'!$D$9:$W$9,'Matriz_Habilidades'!$D114:$W114)/'Calc_Mix'!$X$9+ROW()*0.000001))</f>
        <v/>
      </c>
      <c r="M114" s="34">
        <f>IF(OR($B114="",$C114&lt;&gt;"Ativo",$D114&lt;&gt;'Calc_Mix'!$C$10,'Calc_Mix'!$X$10=0,COUNTIFS(Esc_Turno,'Calc_Mix'!$C$10,Esc_Circ,$B114)+COUNTIFS(Esc_Turno,'Calc_Mix'!$C$10,Esc_Instr,$B114)&gt;0),"",IF(SUMPRODUCT('Calc_Mix'!$D$10:$W$10,'Matriz_Habilidades'!$D114:$W114)=0,"",SUMPRODUCT('Calc_Mix'!$D$10:$W$10,'Matriz_Habilidades'!$D114:$W114)/'Calc_Mix'!$X$10+ROW()*0.000001))</f>
        <v/>
      </c>
      <c r="N114" s="34">
        <f>IF(OR($B114="",$C114&lt;&gt;"Ativo",$D114&lt;&gt;'Calc_Mix'!$C$11,'Calc_Mix'!$X$11=0,COUNTIFS(Esc_Turno,'Calc_Mix'!$C$11,Esc_Circ,$B114)+COUNTIFS(Esc_Turno,'Calc_Mix'!$C$11,Esc_Instr,$B114)&gt;0),"",IF(SUMPRODUCT('Calc_Mix'!$D$11:$W$11,'Matriz_Habilidades'!$D114:$W114)=0,"",SUMPRODUCT('Calc_Mix'!$D$11:$W$11,'Matriz_Habilidades'!$D114:$W114)/'Calc_Mix'!$X$11+ROW()*0.000001))</f>
        <v/>
      </c>
      <c r="O114" s="34">
        <f>IF(OR($B114="",$C114&lt;&gt;"Ativo",$D114&lt;&gt;'Calc_Mix'!$C$12,'Calc_Mix'!$X$12=0,COUNTIFS(Esc_Turno,'Calc_Mix'!$C$12,Esc_Circ,$B114)+COUNTIFS(Esc_Turno,'Calc_Mix'!$C$12,Esc_Instr,$B114)&gt;0),"",IF(SUMPRODUCT('Calc_Mix'!$D$12:$W$12,'Matriz_Habilidades'!$D114:$W114)=0,"",SUMPRODUCT('Calc_Mix'!$D$12:$W$12,'Matriz_Habilidades'!$D114:$W114)/'Calc_Mix'!$X$12+ROW()*0.000001))</f>
        <v/>
      </c>
      <c r="P114" s="34">
        <f>IF(OR($B114="",$C114&lt;&gt;"Ativo",$D114&lt;&gt;'Calc_Mix'!$C$13,'Calc_Mix'!$X$13=0,COUNTIFS(Esc_Turno,'Calc_Mix'!$C$13,Esc_Circ,$B114)+COUNTIFS(Esc_Turno,'Calc_Mix'!$C$13,Esc_Instr,$B114)&gt;0),"",IF(SUMPRODUCT('Calc_Mix'!$D$13:$W$13,'Matriz_Habilidades'!$D114:$W114)=0,"",SUMPRODUCT('Calc_Mix'!$D$13:$W$13,'Matriz_Habilidades'!$D114:$W114)/'Calc_Mix'!$X$13+ROW()*0.000001))</f>
        <v/>
      </c>
      <c r="Q114" s="34">
        <f>IF(OR($B114="",$C114&lt;&gt;"Ativo",$D114&lt;&gt;'Calc_Mix'!$C$14,'Calc_Mix'!$X$14=0,COUNTIFS(Esc_Turno,'Calc_Mix'!$C$14,Esc_Circ,$B114)+COUNTIFS(Esc_Turno,'Calc_Mix'!$C$14,Esc_Instr,$B114)&gt;0),"",IF(SUMPRODUCT('Calc_Mix'!$D$14:$W$14,'Matriz_Habilidades'!$D114:$W114)=0,"",SUMPRODUCT('Calc_Mix'!$D$14:$W$14,'Matriz_Habilidades'!$D114:$W114)/'Calc_Mix'!$X$14+ROW()*0.000001))</f>
        <v/>
      </c>
      <c r="R114" s="34">
        <f>IF(OR($B114="",$C114&lt;&gt;"Ativo",$D114&lt;&gt;'Calc_Mix'!$C$15,'Calc_Mix'!$X$15=0,COUNTIFS(Esc_Turno,'Calc_Mix'!$C$15,Esc_Circ,$B114)+COUNTIFS(Esc_Turno,'Calc_Mix'!$C$15,Esc_Instr,$B114)&gt;0),"",IF(SUMPRODUCT('Calc_Mix'!$D$15:$W$15,'Matriz_Habilidades'!$D114:$W114)=0,"",SUMPRODUCT('Calc_Mix'!$D$15:$W$15,'Matriz_Habilidades'!$D114:$W114)/'Calc_Mix'!$X$15+ROW()*0.000001))</f>
        <v/>
      </c>
      <c r="S114" s="34">
        <f>IF(OR($B114="",$C114&lt;&gt;"Ativo",$D114&lt;&gt;'Calc_Mix'!$C$16,'Calc_Mix'!$X$16=0,COUNTIFS(Esc_Turno,'Calc_Mix'!$C$16,Esc_Circ,$B114)+COUNTIFS(Esc_Turno,'Calc_Mix'!$C$16,Esc_Instr,$B114)&gt;0),"",IF(SUMPRODUCT('Calc_Mix'!$D$16:$W$16,'Matriz_Habilidades'!$D114:$W114)=0,"",SUMPRODUCT('Calc_Mix'!$D$16:$W$16,'Matriz_Habilidades'!$D114:$W114)/'Calc_Mix'!$X$16+ROW()*0.000001))</f>
        <v/>
      </c>
      <c r="T114" s="34">
        <f>IF(OR($B114="",$C114&lt;&gt;"Ativo",$D114&lt;&gt;'Calc_Mix'!$C$17,'Calc_Mix'!$X$17=0,COUNTIFS(Esc_Turno,'Calc_Mix'!$C$17,Esc_Circ,$B114)+COUNTIFS(Esc_Turno,'Calc_Mix'!$C$17,Esc_Instr,$B114)&gt;0),"",IF(SUMPRODUCT('Calc_Mix'!$D$17:$W$17,'Matriz_Habilidades'!$D114:$W114)=0,"",SUMPRODUCT('Calc_Mix'!$D$17:$W$17,'Matriz_Habilidades'!$D114:$W114)/'Calc_Mix'!$X$17+ROW()*0.000001))</f>
        <v/>
      </c>
      <c r="U114" s="34">
        <f>IF(OR($B114="",$C114&lt;&gt;"Ativo",$D114&lt;&gt;'Calc_Mix'!$C$18,'Calc_Mix'!$X$18=0,COUNTIFS(Esc_Turno,'Calc_Mix'!$C$18,Esc_Circ,$B114)+COUNTIFS(Esc_Turno,'Calc_Mix'!$C$18,Esc_Instr,$B114)&gt;0),"",IF(SUMPRODUCT('Calc_Mix'!$D$18:$W$18,'Matriz_Habilidades'!$D114:$W114)=0,"",SUMPRODUCT('Calc_Mix'!$D$18:$W$18,'Matriz_Habilidades'!$D114:$W114)/'Calc_Mix'!$X$18+ROW()*0.000001))</f>
        <v/>
      </c>
      <c r="V114" s="34">
        <f>IF(OR($B114="",$C114&lt;&gt;"Ativo",$D114&lt;&gt;'Calc_Mix'!$C$19,'Calc_Mix'!$X$19=0,COUNTIFS(Esc_Turno,'Calc_Mix'!$C$19,Esc_Circ,$B114)+COUNTIFS(Esc_Turno,'Calc_Mix'!$C$19,Esc_Instr,$B114)&gt;0),"",IF(SUMPRODUCT('Calc_Mix'!$D$19:$W$19,'Matriz_Habilidades'!$D114:$W114)=0,"",SUMPRODUCT('Calc_Mix'!$D$19:$W$19,'Matriz_Habilidades'!$D114:$W114)/'Calc_Mix'!$X$19+ROW()*0.000001))</f>
        <v/>
      </c>
      <c r="W114" s="34">
        <f>IF(OR($B114="",$C114&lt;&gt;"Ativo",$D114&lt;&gt;'Calc_Mix'!$C$20,'Calc_Mix'!$X$20=0,COUNTIFS(Esc_Turno,'Calc_Mix'!$C$20,Esc_Circ,$B114)+COUNTIFS(Esc_Turno,'Calc_Mix'!$C$20,Esc_Instr,$B114)&gt;0),"",IF(SUMPRODUCT('Calc_Mix'!$D$20:$W$20,'Matriz_Habilidades'!$D114:$W114)=0,"",SUMPRODUCT('Calc_Mix'!$D$20:$W$20,'Matriz_Habilidades'!$D114:$W114)/'Calc_Mix'!$X$20+ROW()*0.000001))</f>
        <v/>
      </c>
      <c r="X114" s="34">
        <f>IF(OR($B114="",$C114&lt;&gt;"Ativo",$D114&lt;&gt;'Calc_Mix'!$C$21,'Calc_Mix'!$X$21=0,COUNTIFS(Esc_Turno,'Calc_Mix'!$C$21,Esc_Circ,$B114)+COUNTIFS(Esc_Turno,'Calc_Mix'!$C$21,Esc_Instr,$B114)&gt;0),"",IF(SUMPRODUCT('Calc_Mix'!$D$21:$W$21,'Matriz_Habilidades'!$D114:$W114)=0,"",SUMPRODUCT('Calc_Mix'!$D$21:$W$21,'Matriz_Habilidades'!$D114:$W114)/'Calc_Mix'!$X$21+ROW()*0.000001))</f>
        <v/>
      </c>
      <c r="Y114" s="34">
        <f>IF(OR($B114="",$C114&lt;&gt;"Ativo",$D114&lt;&gt;'Calc_Mix'!$C$22,'Calc_Mix'!$X$22=0,COUNTIFS(Esc_Turno,'Calc_Mix'!$C$22,Esc_Circ,$B114)+COUNTIFS(Esc_Turno,'Calc_Mix'!$C$22,Esc_Instr,$B114)&gt;0),"",IF(SUMPRODUCT('Calc_Mix'!$D$22:$W$22,'Matriz_Habilidades'!$D114:$W114)=0,"",SUMPRODUCT('Calc_Mix'!$D$22:$W$22,'Matriz_Habilidades'!$D114:$W114)/'Calc_Mix'!$X$22+ROW()*0.000001))</f>
        <v/>
      </c>
      <c r="Z114" s="34">
        <f>IF(OR($B114="",$C114&lt;&gt;"Ativo",$D114&lt;&gt;'Calc_Mix'!$C$23,'Calc_Mix'!$X$23=0,COUNTIFS(Esc_Turno,'Calc_Mix'!$C$23,Esc_Circ,$B114)+COUNTIFS(Esc_Turno,'Calc_Mix'!$C$23,Esc_Instr,$B114)&gt;0),"",IF(SUMPRODUCT('Calc_Mix'!$D$23:$W$23,'Matriz_Habilidades'!$D114:$W114)=0,"",SUMPRODUCT('Calc_Mix'!$D$23:$W$23,'Matriz_Habilidades'!$D114:$W114)/'Calc_Mix'!$X$23+ROW()*0.000001))</f>
        <v/>
      </c>
      <c r="AA114" s="34">
        <f>IF(OR($B114="",$C114&lt;&gt;"Ativo",$D114&lt;&gt;'Calc_Mix'!$C$24,'Calc_Mix'!$X$24=0,COUNTIFS(Esc_Turno,'Calc_Mix'!$C$24,Esc_Circ,$B114)+COUNTIFS(Esc_Turno,'Calc_Mix'!$C$24,Esc_Instr,$B114)&gt;0),"",IF(SUMPRODUCT('Calc_Mix'!$D$24:$W$24,'Matriz_Habilidades'!$D114:$W114)=0,"",SUMPRODUCT('Calc_Mix'!$D$24:$W$24,'Matriz_Habilidades'!$D114:$W114)/'Calc_Mix'!$X$24+ROW()*0.000001))</f>
        <v/>
      </c>
      <c r="AB114" s="34">
        <f>IF(OR($B114="",$C114&lt;&gt;"Ativo",$D114&lt;&gt;'Calc_Mix'!$C$25,'Calc_Mix'!$X$25=0,COUNTIFS(Esc_Turno,'Calc_Mix'!$C$25,Esc_Circ,$B114)+COUNTIFS(Esc_Turno,'Calc_Mix'!$C$25,Esc_Instr,$B114)&gt;0),"",IF(SUMPRODUCT('Calc_Mix'!$D$25:$W$25,'Matriz_Habilidades'!$D114:$W114)=0,"",SUMPRODUCT('Calc_Mix'!$D$25:$W$25,'Matriz_Habilidades'!$D114:$W114)/'Calc_Mix'!$X$25+ROW()*0.000001))</f>
        <v/>
      </c>
      <c r="AC114" s="34">
        <f>IF(OR($B114="",$C114&lt;&gt;"Ativo",$D114&lt;&gt;'Calc_Mix'!$C$26,'Calc_Mix'!$X$26=0,COUNTIFS(Esc_Turno,'Calc_Mix'!$C$26,Esc_Circ,$B114)+COUNTIFS(Esc_Turno,'Calc_Mix'!$C$26,Esc_Instr,$B114)&gt;0),"",IF(SUMPRODUCT('Calc_Mix'!$D$26:$W$26,'Matriz_Habilidades'!$D114:$W114)=0,"",SUMPRODUCT('Calc_Mix'!$D$26:$W$26,'Matriz_Habilidades'!$D114:$W114)/'Calc_Mix'!$X$26+ROW()*0.000001))</f>
        <v/>
      </c>
      <c r="AD114" s="34">
        <f>IF(OR($B114="",$C114&lt;&gt;"Ativo",$D114&lt;&gt;'Calc_Mix'!$C$27,'Calc_Mix'!$X$27=0,COUNTIFS(Esc_Turno,'Calc_Mix'!$C$27,Esc_Circ,$B114)+COUNTIFS(Esc_Turno,'Calc_Mix'!$C$27,Esc_Instr,$B114)&gt;0),"",IF(SUMPRODUCT('Calc_Mix'!$D$27:$W$27,'Matriz_Habilidades'!$D114:$W114)=0,"",SUMPRODUCT('Calc_Mix'!$D$27:$W$27,'Matriz_Habilidades'!$D114:$W114)/'Calc_Mix'!$X$27+ROW()*0.000001))</f>
        <v/>
      </c>
      <c r="AE114" s="34">
        <f>IF(OR($B114="",$C114&lt;&gt;"Ativo",$D114&lt;&gt;'Calc_Mix'!$C$28,'Calc_Mix'!$X$28=0,COUNTIFS(Esc_Turno,'Calc_Mix'!$C$28,Esc_Circ,$B114)+COUNTIFS(Esc_Turno,'Calc_Mix'!$C$28,Esc_Instr,$B114)&gt;0),"",IF(SUMPRODUCT('Calc_Mix'!$D$28:$W$28,'Matriz_Habilidades'!$D114:$W114)=0,"",SUMPRODUCT('Calc_Mix'!$D$28:$W$28,'Matriz_Habilidades'!$D114:$W114)/'Calc_Mix'!$X$28+ROW()*0.000001))</f>
        <v/>
      </c>
      <c r="AF114" s="34">
        <f>IF(OR($B114="",$C114&lt;&gt;"Ativo",$D114&lt;&gt;'Calc_Mix'!$C$29,'Calc_Mix'!$X$29=0,COUNTIFS(Esc_Turno,'Calc_Mix'!$C$29,Esc_Circ,$B114)+COUNTIFS(Esc_Turno,'Calc_Mix'!$C$29,Esc_Instr,$B114)&gt;0),"",IF(SUMPRODUCT('Calc_Mix'!$D$29:$W$29,'Matriz_Habilidades'!$D114:$W114)=0,"",SUMPRODUCT('Calc_Mix'!$D$29:$W$29,'Matriz_Habilidades'!$D114:$W114)/'Calc_Mix'!$X$29+ROW()*0.000001))</f>
        <v/>
      </c>
      <c r="AG114" s="34">
        <f>IF(OR($B114="",$C114&lt;&gt;"Ativo",$D114&lt;&gt;'Calc_Mix'!$C$30,'Calc_Mix'!$X$30=0,COUNTIFS(Esc_Turno,'Calc_Mix'!$C$30,Esc_Circ,$B114)+COUNTIFS(Esc_Turno,'Calc_Mix'!$C$30,Esc_Instr,$B114)&gt;0),"",IF(SUMPRODUCT('Calc_Mix'!$D$30:$W$30,'Matriz_Habilidades'!$D114:$W114)=0,"",SUMPRODUCT('Calc_Mix'!$D$30:$W$30,'Matriz_Habilidades'!$D114:$W114)/'Calc_Mix'!$X$30+ROW()*0.000001))</f>
        <v/>
      </c>
      <c r="AH114" s="34">
        <f>IF(OR($B114="",$C114&lt;&gt;"Ativo",$D114&lt;&gt;'Calc_Mix'!$C$31,'Calc_Mix'!$X$31=0,COUNTIFS(Esc_Turno,'Calc_Mix'!$C$31,Esc_Circ,$B114)+COUNTIFS(Esc_Turno,'Calc_Mix'!$C$31,Esc_Instr,$B114)&gt;0),"",IF(SUMPRODUCT('Calc_Mix'!$D$31:$W$31,'Matriz_Habilidades'!$D114:$W114)=0,"",SUMPRODUCT('Calc_Mix'!$D$31:$W$31,'Matriz_Habilidades'!$D114:$W114)/'Calc_Mix'!$X$31+ROW()*0.000001))</f>
        <v/>
      </c>
      <c r="AI114" s="34">
        <f>IF(OR($B114="",$C114&lt;&gt;"Ativo",$D114&lt;&gt;'Calc_Mix'!$C$32,'Calc_Mix'!$X$32=0,COUNTIFS(Esc_Turno,'Calc_Mix'!$C$32,Esc_Circ,$B114)+COUNTIFS(Esc_Turno,'Calc_Mix'!$C$32,Esc_Instr,$B114)&gt;0),"",IF(SUMPRODUCT('Calc_Mix'!$D$32:$W$32,'Matriz_Habilidades'!$D114:$W114)=0,"",SUMPRODUCT('Calc_Mix'!$D$32:$W$32,'Matriz_Habilidades'!$D114:$W114)/'Calc_Mix'!$X$32+ROW()*0.000001))</f>
        <v/>
      </c>
      <c r="AJ114" s="34">
        <f>IF(OR($B114="",$C114&lt;&gt;"Ativo",$D114&lt;&gt;'Calc_Mix'!$C$33,'Calc_Mix'!$X$33=0,COUNTIFS(Esc_Turno,'Calc_Mix'!$C$33,Esc_Circ,$B114)+COUNTIFS(Esc_Turno,'Calc_Mix'!$C$33,Esc_Instr,$B114)&gt;0),"",IF(SUMPRODUCT('Calc_Mix'!$D$33:$W$33,'Matriz_Habilidades'!$D114:$W114)=0,"",SUMPRODUCT('Calc_Mix'!$D$33:$W$33,'Matriz_Habilidades'!$D114:$W114)/'Calc_Mix'!$X$33+ROW()*0.000001))</f>
        <v/>
      </c>
      <c r="AK114" s="34">
        <f>IF(OR($B114="",$C114&lt;&gt;"Ativo",$D114&lt;&gt;'Calc_Mix'!$C$34,'Calc_Mix'!$X$34=0,COUNTIFS(Esc_Turno,'Calc_Mix'!$C$34,Esc_Circ,$B114)+COUNTIFS(Esc_Turno,'Calc_Mix'!$C$34,Esc_Instr,$B114)&gt;0),"",IF(SUMPRODUCT('Calc_Mix'!$D$34:$W$34,'Matriz_Habilidades'!$D114:$W114)=0,"",SUMPRODUCT('Calc_Mix'!$D$34:$W$34,'Matriz_Habilidades'!$D114:$W114)/'Calc_Mix'!$X$34+ROW()*0.000001))</f>
        <v/>
      </c>
      <c r="AL114" s="34">
        <f>IF(OR($B114="",$C114&lt;&gt;"Ativo",$D114&lt;&gt;'Calc_Mix'!$C$35,'Calc_Mix'!$X$35=0,COUNTIFS(Esc_Turno,'Calc_Mix'!$C$35,Esc_Circ,$B114)+COUNTIFS(Esc_Turno,'Calc_Mix'!$C$35,Esc_Instr,$B114)&gt;0),"",IF(SUMPRODUCT('Calc_Mix'!$D$35:$W$35,'Matriz_Habilidades'!$D114:$W114)=0,"",SUMPRODUCT('Calc_Mix'!$D$35:$W$35,'Matriz_Habilidades'!$D114:$W114)/'Calc_Mix'!$X$35+ROW()*0.000001))</f>
        <v/>
      </c>
      <c r="AM114" s="34">
        <f>IF(OR($B114="",$C114&lt;&gt;"Ativo",$D114&lt;&gt;'Calc_Mix'!$C$36,'Calc_Mix'!$X$36=0,COUNTIFS(Esc_Turno,'Calc_Mix'!$C$36,Esc_Circ,$B114)+COUNTIFS(Esc_Turno,'Calc_Mix'!$C$36,Esc_Instr,$B114)&gt;0),"",IF(SUMPRODUCT('Calc_Mix'!$D$36:$W$36,'Matriz_Habilidades'!$D114:$W114)=0,"",SUMPRODUCT('Calc_Mix'!$D$36:$W$36,'Matriz_Habilidades'!$D114:$W114)/'Calc_Mix'!$X$36+ROW()*0.000001))</f>
        <v/>
      </c>
      <c r="AN114" s="34">
        <f>IF(OR($B114="",$C114&lt;&gt;"Ativo",$D114&lt;&gt;'Calc_Mix'!$C$37,'Calc_Mix'!$X$37=0,COUNTIFS(Esc_Turno,'Calc_Mix'!$C$37,Esc_Circ,$B114)+COUNTIFS(Esc_Turno,'Calc_Mix'!$C$37,Esc_Instr,$B114)&gt;0),"",IF(SUMPRODUCT('Calc_Mix'!$D$37:$W$37,'Matriz_Habilidades'!$D114:$W114)=0,"",SUMPRODUCT('Calc_Mix'!$D$37:$W$37,'Matriz_Habilidades'!$D114:$W114)/'Calc_Mix'!$X$37+ROW()*0.000001))</f>
        <v/>
      </c>
    </row>
    <row r="115">
      <c r="A115" s="27">
        <f>IF('Matriz_Habilidades'!A115="","",'Matriz_Habilidades'!A115)</f>
        <v/>
      </c>
      <c r="B115" s="28">
        <f>IF('Matriz_Habilidades'!B115="","",'Matriz_Habilidades'!B115)</f>
        <v/>
      </c>
      <c r="C115" s="27">
        <f>IF($A115="","",IFERROR(INDEX(Equipe_Status,MATCH($B115,Equipe_Nome,0)),"?"))</f>
        <v/>
      </c>
      <c r="D115" s="27">
        <f>IF($A115="","",IFERROR(INDEX(Equipe_Turno,MATCH($B115,Equipe_Nome,0)),"?"))</f>
        <v/>
      </c>
      <c r="E115" s="34">
        <f>IF(OR($B115="",$C115&lt;&gt;"Ativo",$D115&lt;&gt;'Calc_Mix'!$C$2,'Calc_Mix'!$X$2=0,COUNTIFS(Esc_Turno,'Calc_Mix'!$C$2,Esc_Circ,$B115)+COUNTIFS(Esc_Turno,'Calc_Mix'!$C$2,Esc_Instr,$B115)&gt;0),"",IF(SUMPRODUCT('Calc_Mix'!$D$2:$W$2,'Matriz_Habilidades'!$D115:$W115)=0,"",SUMPRODUCT('Calc_Mix'!$D$2:$W$2,'Matriz_Habilidades'!$D115:$W115)/'Calc_Mix'!$X$2+ROW()*0.000001))</f>
        <v/>
      </c>
      <c r="F115" s="34">
        <f>IF(OR($B115="",$C115&lt;&gt;"Ativo",$D115&lt;&gt;'Calc_Mix'!$C$3,'Calc_Mix'!$X$3=0,COUNTIFS(Esc_Turno,'Calc_Mix'!$C$3,Esc_Circ,$B115)+COUNTIFS(Esc_Turno,'Calc_Mix'!$C$3,Esc_Instr,$B115)&gt;0),"",IF(SUMPRODUCT('Calc_Mix'!$D$3:$W$3,'Matriz_Habilidades'!$D115:$W115)=0,"",SUMPRODUCT('Calc_Mix'!$D$3:$W$3,'Matriz_Habilidades'!$D115:$W115)/'Calc_Mix'!$X$3+ROW()*0.000001))</f>
        <v/>
      </c>
      <c r="G115" s="34">
        <f>IF(OR($B115="",$C115&lt;&gt;"Ativo",$D115&lt;&gt;'Calc_Mix'!$C$4,'Calc_Mix'!$X$4=0,COUNTIFS(Esc_Turno,'Calc_Mix'!$C$4,Esc_Circ,$B115)+COUNTIFS(Esc_Turno,'Calc_Mix'!$C$4,Esc_Instr,$B115)&gt;0),"",IF(SUMPRODUCT('Calc_Mix'!$D$4:$W$4,'Matriz_Habilidades'!$D115:$W115)=0,"",SUMPRODUCT('Calc_Mix'!$D$4:$W$4,'Matriz_Habilidades'!$D115:$W115)/'Calc_Mix'!$X$4+ROW()*0.000001))</f>
        <v/>
      </c>
      <c r="H115" s="34">
        <f>IF(OR($B115="",$C115&lt;&gt;"Ativo",$D115&lt;&gt;'Calc_Mix'!$C$5,'Calc_Mix'!$X$5=0,COUNTIFS(Esc_Turno,'Calc_Mix'!$C$5,Esc_Circ,$B115)+COUNTIFS(Esc_Turno,'Calc_Mix'!$C$5,Esc_Instr,$B115)&gt;0),"",IF(SUMPRODUCT('Calc_Mix'!$D$5:$W$5,'Matriz_Habilidades'!$D115:$W115)=0,"",SUMPRODUCT('Calc_Mix'!$D$5:$W$5,'Matriz_Habilidades'!$D115:$W115)/'Calc_Mix'!$X$5+ROW()*0.000001))</f>
        <v/>
      </c>
      <c r="I115" s="34">
        <f>IF(OR($B115="",$C115&lt;&gt;"Ativo",$D115&lt;&gt;'Calc_Mix'!$C$6,'Calc_Mix'!$X$6=0,COUNTIFS(Esc_Turno,'Calc_Mix'!$C$6,Esc_Circ,$B115)+COUNTIFS(Esc_Turno,'Calc_Mix'!$C$6,Esc_Instr,$B115)&gt;0),"",IF(SUMPRODUCT('Calc_Mix'!$D$6:$W$6,'Matriz_Habilidades'!$D115:$W115)=0,"",SUMPRODUCT('Calc_Mix'!$D$6:$W$6,'Matriz_Habilidades'!$D115:$W115)/'Calc_Mix'!$X$6+ROW()*0.000001))</f>
        <v/>
      </c>
      <c r="J115" s="34">
        <f>IF(OR($B115="",$C115&lt;&gt;"Ativo",$D115&lt;&gt;'Calc_Mix'!$C$7,'Calc_Mix'!$X$7=0,COUNTIFS(Esc_Turno,'Calc_Mix'!$C$7,Esc_Circ,$B115)+COUNTIFS(Esc_Turno,'Calc_Mix'!$C$7,Esc_Instr,$B115)&gt;0),"",IF(SUMPRODUCT('Calc_Mix'!$D$7:$W$7,'Matriz_Habilidades'!$D115:$W115)=0,"",SUMPRODUCT('Calc_Mix'!$D$7:$W$7,'Matriz_Habilidades'!$D115:$W115)/'Calc_Mix'!$X$7+ROW()*0.000001))</f>
        <v/>
      </c>
      <c r="K115" s="34">
        <f>IF(OR($B115="",$C115&lt;&gt;"Ativo",$D115&lt;&gt;'Calc_Mix'!$C$8,'Calc_Mix'!$X$8=0,COUNTIFS(Esc_Turno,'Calc_Mix'!$C$8,Esc_Circ,$B115)+COUNTIFS(Esc_Turno,'Calc_Mix'!$C$8,Esc_Instr,$B115)&gt;0),"",IF(SUMPRODUCT('Calc_Mix'!$D$8:$W$8,'Matriz_Habilidades'!$D115:$W115)=0,"",SUMPRODUCT('Calc_Mix'!$D$8:$W$8,'Matriz_Habilidades'!$D115:$W115)/'Calc_Mix'!$X$8+ROW()*0.000001))</f>
        <v/>
      </c>
      <c r="L115" s="34">
        <f>IF(OR($B115="",$C115&lt;&gt;"Ativo",$D115&lt;&gt;'Calc_Mix'!$C$9,'Calc_Mix'!$X$9=0,COUNTIFS(Esc_Turno,'Calc_Mix'!$C$9,Esc_Circ,$B115)+COUNTIFS(Esc_Turno,'Calc_Mix'!$C$9,Esc_Instr,$B115)&gt;0),"",IF(SUMPRODUCT('Calc_Mix'!$D$9:$W$9,'Matriz_Habilidades'!$D115:$W115)=0,"",SUMPRODUCT('Calc_Mix'!$D$9:$W$9,'Matriz_Habilidades'!$D115:$W115)/'Calc_Mix'!$X$9+ROW()*0.000001))</f>
        <v/>
      </c>
      <c r="M115" s="34">
        <f>IF(OR($B115="",$C115&lt;&gt;"Ativo",$D115&lt;&gt;'Calc_Mix'!$C$10,'Calc_Mix'!$X$10=0,COUNTIFS(Esc_Turno,'Calc_Mix'!$C$10,Esc_Circ,$B115)+COUNTIFS(Esc_Turno,'Calc_Mix'!$C$10,Esc_Instr,$B115)&gt;0),"",IF(SUMPRODUCT('Calc_Mix'!$D$10:$W$10,'Matriz_Habilidades'!$D115:$W115)=0,"",SUMPRODUCT('Calc_Mix'!$D$10:$W$10,'Matriz_Habilidades'!$D115:$W115)/'Calc_Mix'!$X$10+ROW()*0.000001))</f>
        <v/>
      </c>
      <c r="N115" s="34">
        <f>IF(OR($B115="",$C115&lt;&gt;"Ativo",$D115&lt;&gt;'Calc_Mix'!$C$11,'Calc_Mix'!$X$11=0,COUNTIFS(Esc_Turno,'Calc_Mix'!$C$11,Esc_Circ,$B115)+COUNTIFS(Esc_Turno,'Calc_Mix'!$C$11,Esc_Instr,$B115)&gt;0),"",IF(SUMPRODUCT('Calc_Mix'!$D$11:$W$11,'Matriz_Habilidades'!$D115:$W115)=0,"",SUMPRODUCT('Calc_Mix'!$D$11:$W$11,'Matriz_Habilidades'!$D115:$W115)/'Calc_Mix'!$X$11+ROW()*0.000001))</f>
        <v/>
      </c>
      <c r="O115" s="34">
        <f>IF(OR($B115="",$C115&lt;&gt;"Ativo",$D115&lt;&gt;'Calc_Mix'!$C$12,'Calc_Mix'!$X$12=0,COUNTIFS(Esc_Turno,'Calc_Mix'!$C$12,Esc_Circ,$B115)+COUNTIFS(Esc_Turno,'Calc_Mix'!$C$12,Esc_Instr,$B115)&gt;0),"",IF(SUMPRODUCT('Calc_Mix'!$D$12:$W$12,'Matriz_Habilidades'!$D115:$W115)=0,"",SUMPRODUCT('Calc_Mix'!$D$12:$W$12,'Matriz_Habilidades'!$D115:$W115)/'Calc_Mix'!$X$12+ROW()*0.000001))</f>
        <v/>
      </c>
      <c r="P115" s="34">
        <f>IF(OR($B115="",$C115&lt;&gt;"Ativo",$D115&lt;&gt;'Calc_Mix'!$C$13,'Calc_Mix'!$X$13=0,COUNTIFS(Esc_Turno,'Calc_Mix'!$C$13,Esc_Circ,$B115)+COUNTIFS(Esc_Turno,'Calc_Mix'!$C$13,Esc_Instr,$B115)&gt;0),"",IF(SUMPRODUCT('Calc_Mix'!$D$13:$W$13,'Matriz_Habilidades'!$D115:$W115)=0,"",SUMPRODUCT('Calc_Mix'!$D$13:$W$13,'Matriz_Habilidades'!$D115:$W115)/'Calc_Mix'!$X$13+ROW()*0.000001))</f>
        <v/>
      </c>
      <c r="Q115" s="34">
        <f>IF(OR($B115="",$C115&lt;&gt;"Ativo",$D115&lt;&gt;'Calc_Mix'!$C$14,'Calc_Mix'!$X$14=0,COUNTIFS(Esc_Turno,'Calc_Mix'!$C$14,Esc_Circ,$B115)+COUNTIFS(Esc_Turno,'Calc_Mix'!$C$14,Esc_Instr,$B115)&gt;0),"",IF(SUMPRODUCT('Calc_Mix'!$D$14:$W$14,'Matriz_Habilidades'!$D115:$W115)=0,"",SUMPRODUCT('Calc_Mix'!$D$14:$W$14,'Matriz_Habilidades'!$D115:$W115)/'Calc_Mix'!$X$14+ROW()*0.000001))</f>
        <v/>
      </c>
      <c r="R115" s="34">
        <f>IF(OR($B115="",$C115&lt;&gt;"Ativo",$D115&lt;&gt;'Calc_Mix'!$C$15,'Calc_Mix'!$X$15=0,COUNTIFS(Esc_Turno,'Calc_Mix'!$C$15,Esc_Circ,$B115)+COUNTIFS(Esc_Turno,'Calc_Mix'!$C$15,Esc_Instr,$B115)&gt;0),"",IF(SUMPRODUCT('Calc_Mix'!$D$15:$W$15,'Matriz_Habilidades'!$D115:$W115)=0,"",SUMPRODUCT('Calc_Mix'!$D$15:$W$15,'Matriz_Habilidades'!$D115:$W115)/'Calc_Mix'!$X$15+ROW()*0.000001))</f>
        <v/>
      </c>
      <c r="S115" s="34">
        <f>IF(OR($B115="",$C115&lt;&gt;"Ativo",$D115&lt;&gt;'Calc_Mix'!$C$16,'Calc_Mix'!$X$16=0,COUNTIFS(Esc_Turno,'Calc_Mix'!$C$16,Esc_Circ,$B115)+COUNTIFS(Esc_Turno,'Calc_Mix'!$C$16,Esc_Instr,$B115)&gt;0),"",IF(SUMPRODUCT('Calc_Mix'!$D$16:$W$16,'Matriz_Habilidades'!$D115:$W115)=0,"",SUMPRODUCT('Calc_Mix'!$D$16:$W$16,'Matriz_Habilidades'!$D115:$W115)/'Calc_Mix'!$X$16+ROW()*0.000001))</f>
        <v/>
      </c>
      <c r="T115" s="34">
        <f>IF(OR($B115="",$C115&lt;&gt;"Ativo",$D115&lt;&gt;'Calc_Mix'!$C$17,'Calc_Mix'!$X$17=0,COUNTIFS(Esc_Turno,'Calc_Mix'!$C$17,Esc_Circ,$B115)+COUNTIFS(Esc_Turno,'Calc_Mix'!$C$17,Esc_Instr,$B115)&gt;0),"",IF(SUMPRODUCT('Calc_Mix'!$D$17:$W$17,'Matriz_Habilidades'!$D115:$W115)=0,"",SUMPRODUCT('Calc_Mix'!$D$17:$W$17,'Matriz_Habilidades'!$D115:$W115)/'Calc_Mix'!$X$17+ROW()*0.000001))</f>
        <v/>
      </c>
      <c r="U115" s="34">
        <f>IF(OR($B115="",$C115&lt;&gt;"Ativo",$D115&lt;&gt;'Calc_Mix'!$C$18,'Calc_Mix'!$X$18=0,COUNTIFS(Esc_Turno,'Calc_Mix'!$C$18,Esc_Circ,$B115)+COUNTIFS(Esc_Turno,'Calc_Mix'!$C$18,Esc_Instr,$B115)&gt;0),"",IF(SUMPRODUCT('Calc_Mix'!$D$18:$W$18,'Matriz_Habilidades'!$D115:$W115)=0,"",SUMPRODUCT('Calc_Mix'!$D$18:$W$18,'Matriz_Habilidades'!$D115:$W115)/'Calc_Mix'!$X$18+ROW()*0.000001))</f>
        <v/>
      </c>
      <c r="V115" s="34">
        <f>IF(OR($B115="",$C115&lt;&gt;"Ativo",$D115&lt;&gt;'Calc_Mix'!$C$19,'Calc_Mix'!$X$19=0,COUNTIFS(Esc_Turno,'Calc_Mix'!$C$19,Esc_Circ,$B115)+COUNTIFS(Esc_Turno,'Calc_Mix'!$C$19,Esc_Instr,$B115)&gt;0),"",IF(SUMPRODUCT('Calc_Mix'!$D$19:$W$19,'Matriz_Habilidades'!$D115:$W115)=0,"",SUMPRODUCT('Calc_Mix'!$D$19:$W$19,'Matriz_Habilidades'!$D115:$W115)/'Calc_Mix'!$X$19+ROW()*0.000001))</f>
        <v/>
      </c>
      <c r="W115" s="34">
        <f>IF(OR($B115="",$C115&lt;&gt;"Ativo",$D115&lt;&gt;'Calc_Mix'!$C$20,'Calc_Mix'!$X$20=0,COUNTIFS(Esc_Turno,'Calc_Mix'!$C$20,Esc_Circ,$B115)+COUNTIFS(Esc_Turno,'Calc_Mix'!$C$20,Esc_Instr,$B115)&gt;0),"",IF(SUMPRODUCT('Calc_Mix'!$D$20:$W$20,'Matriz_Habilidades'!$D115:$W115)=0,"",SUMPRODUCT('Calc_Mix'!$D$20:$W$20,'Matriz_Habilidades'!$D115:$W115)/'Calc_Mix'!$X$20+ROW()*0.000001))</f>
        <v/>
      </c>
      <c r="X115" s="34">
        <f>IF(OR($B115="",$C115&lt;&gt;"Ativo",$D115&lt;&gt;'Calc_Mix'!$C$21,'Calc_Mix'!$X$21=0,COUNTIFS(Esc_Turno,'Calc_Mix'!$C$21,Esc_Circ,$B115)+COUNTIFS(Esc_Turno,'Calc_Mix'!$C$21,Esc_Instr,$B115)&gt;0),"",IF(SUMPRODUCT('Calc_Mix'!$D$21:$W$21,'Matriz_Habilidades'!$D115:$W115)=0,"",SUMPRODUCT('Calc_Mix'!$D$21:$W$21,'Matriz_Habilidades'!$D115:$W115)/'Calc_Mix'!$X$21+ROW()*0.000001))</f>
        <v/>
      </c>
      <c r="Y115" s="34">
        <f>IF(OR($B115="",$C115&lt;&gt;"Ativo",$D115&lt;&gt;'Calc_Mix'!$C$22,'Calc_Mix'!$X$22=0,COUNTIFS(Esc_Turno,'Calc_Mix'!$C$22,Esc_Circ,$B115)+COUNTIFS(Esc_Turno,'Calc_Mix'!$C$22,Esc_Instr,$B115)&gt;0),"",IF(SUMPRODUCT('Calc_Mix'!$D$22:$W$22,'Matriz_Habilidades'!$D115:$W115)=0,"",SUMPRODUCT('Calc_Mix'!$D$22:$W$22,'Matriz_Habilidades'!$D115:$W115)/'Calc_Mix'!$X$22+ROW()*0.000001))</f>
        <v/>
      </c>
      <c r="Z115" s="34">
        <f>IF(OR($B115="",$C115&lt;&gt;"Ativo",$D115&lt;&gt;'Calc_Mix'!$C$23,'Calc_Mix'!$X$23=0,COUNTIFS(Esc_Turno,'Calc_Mix'!$C$23,Esc_Circ,$B115)+COUNTIFS(Esc_Turno,'Calc_Mix'!$C$23,Esc_Instr,$B115)&gt;0),"",IF(SUMPRODUCT('Calc_Mix'!$D$23:$W$23,'Matriz_Habilidades'!$D115:$W115)=0,"",SUMPRODUCT('Calc_Mix'!$D$23:$W$23,'Matriz_Habilidades'!$D115:$W115)/'Calc_Mix'!$X$23+ROW()*0.000001))</f>
        <v/>
      </c>
      <c r="AA115" s="34">
        <f>IF(OR($B115="",$C115&lt;&gt;"Ativo",$D115&lt;&gt;'Calc_Mix'!$C$24,'Calc_Mix'!$X$24=0,COUNTIFS(Esc_Turno,'Calc_Mix'!$C$24,Esc_Circ,$B115)+COUNTIFS(Esc_Turno,'Calc_Mix'!$C$24,Esc_Instr,$B115)&gt;0),"",IF(SUMPRODUCT('Calc_Mix'!$D$24:$W$24,'Matriz_Habilidades'!$D115:$W115)=0,"",SUMPRODUCT('Calc_Mix'!$D$24:$W$24,'Matriz_Habilidades'!$D115:$W115)/'Calc_Mix'!$X$24+ROW()*0.000001))</f>
        <v/>
      </c>
      <c r="AB115" s="34">
        <f>IF(OR($B115="",$C115&lt;&gt;"Ativo",$D115&lt;&gt;'Calc_Mix'!$C$25,'Calc_Mix'!$X$25=0,COUNTIFS(Esc_Turno,'Calc_Mix'!$C$25,Esc_Circ,$B115)+COUNTIFS(Esc_Turno,'Calc_Mix'!$C$25,Esc_Instr,$B115)&gt;0),"",IF(SUMPRODUCT('Calc_Mix'!$D$25:$W$25,'Matriz_Habilidades'!$D115:$W115)=0,"",SUMPRODUCT('Calc_Mix'!$D$25:$W$25,'Matriz_Habilidades'!$D115:$W115)/'Calc_Mix'!$X$25+ROW()*0.000001))</f>
        <v/>
      </c>
      <c r="AC115" s="34">
        <f>IF(OR($B115="",$C115&lt;&gt;"Ativo",$D115&lt;&gt;'Calc_Mix'!$C$26,'Calc_Mix'!$X$26=0,COUNTIFS(Esc_Turno,'Calc_Mix'!$C$26,Esc_Circ,$B115)+COUNTIFS(Esc_Turno,'Calc_Mix'!$C$26,Esc_Instr,$B115)&gt;0),"",IF(SUMPRODUCT('Calc_Mix'!$D$26:$W$26,'Matriz_Habilidades'!$D115:$W115)=0,"",SUMPRODUCT('Calc_Mix'!$D$26:$W$26,'Matriz_Habilidades'!$D115:$W115)/'Calc_Mix'!$X$26+ROW()*0.000001))</f>
        <v/>
      </c>
      <c r="AD115" s="34">
        <f>IF(OR($B115="",$C115&lt;&gt;"Ativo",$D115&lt;&gt;'Calc_Mix'!$C$27,'Calc_Mix'!$X$27=0,COUNTIFS(Esc_Turno,'Calc_Mix'!$C$27,Esc_Circ,$B115)+COUNTIFS(Esc_Turno,'Calc_Mix'!$C$27,Esc_Instr,$B115)&gt;0),"",IF(SUMPRODUCT('Calc_Mix'!$D$27:$W$27,'Matriz_Habilidades'!$D115:$W115)=0,"",SUMPRODUCT('Calc_Mix'!$D$27:$W$27,'Matriz_Habilidades'!$D115:$W115)/'Calc_Mix'!$X$27+ROW()*0.000001))</f>
        <v/>
      </c>
      <c r="AE115" s="34">
        <f>IF(OR($B115="",$C115&lt;&gt;"Ativo",$D115&lt;&gt;'Calc_Mix'!$C$28,'Calc_Mix'!$X$28=0,COUNTIFS(Esc_Turno,'Calc_Mix'!$C$28,Esc_Circ,$B115)+COUNTIFS(Esc_Turno,'Calc_Mix'!$C$28,Esc_Instr,$B115)&gt;0),"",IF(SUMPRODUCT('Calc_Mix'!$D$28:$W$28,'Matriz_Habilidades'!$D115:$W115)=0,"",SUMPRODUCT('Calc_Mix'!$D$28:$W$28,'Matriz_Habilidades'!$D115:$W115)/'Calc_Mix'!$X$28+ROW()*0.000001))</f>
        <v/>
      </c>
      <c r="AF115" s="34">
        <f>IF(OR($B115="",$C115&lt;&gt;"Ativo",$D115&lt;&gt;'Calc_Mix'!$C$29,'Calc_Mix'!$X$29=0,COUNTIFS(Esc_Turno,'Calc_Mix'!$C$29,Esc_Circ,$B115)+COUNTIFS(Esc_Turno,'Calc_Mix'!$C$29,Esc_Instr,$B115)&gt;0),"",IF(SUMPRODUCT('Calc_Mix'!$D$29:$W$29,'Matriz_Habilidades'!$D115:$W115)=0,"",SUMPRODUCT('Calc_Mix'!$D$29:$W$29,'Matriz_Habilidades'!$D115:$W115)/'Calc_Mix'!$X$29+ROW()*0.000001))</f>
        <v/>
      </c>
      <c r="AG115" s="34">
        <f>IF(OR($B115="",$C115&lt;&gt;"Ativo",$D115&lt;&gt;'Calc_Mix'!$C$30,'Calc_Mix'!$X$30=0,COUNTIFS(Esc_Turno,'Calc_Mix'!$C$30,Esc_Circ,$B115)+COUNTIFS(Esc_Turno,'Calc_Mix'!$C$30,Esc_Instr,$B115)&gt;0),"",IF(SUMPRODUCT('Calc_Mix'!$D$30:$W$30,'Matriz_Habilidades'!$D115:$W115)=0,"",SUMPRODUCT('Calc_Mix'!$D$30:$W$30,'Matriz_Habilidades'!$D115:$W115)/'Calc_Mix'!$X$30+ROW()*0.000001))</f>
        <v/>
      </c>
      <c r="AH115" s="34">
        <f>IF(OR($B115="",$C115&lt;&gt;"Ativo",$D115&lt;&gt;'Calc_Mix'!$C$31,'Calc_Mix'!$X$31=0,COUNTIFS(Esc_Turno,'Calc_Mix'!$C$31,Esc_Circ,$B115)+COUNTIFS(Esc_Turno,'Calc_Mix'!$C$31,Esc_Instr,$B115)&gt;0),"",IF(SUMPRODUCT('Calc_Mix'!$D$31:$W$31,'Matriz_Habilidades'!$D115:$W115)=0,"",SUMPRODUCT('Calc_Mix'!$D$31:$W$31,'Matriz_Habilidades'!$D115:$W115)/'Calc_Mix'!$X$31+ROW()*0.000001))</f>
        <v/>
      </c>
      <c r="AI115" s="34">
        <f>IF(OR($B115="",$C115&lt;&gt;"Ativo",$D115&lt;&gt;'Calc_Mix'!$C$32,'Calc_Mix'!$X$32=0,COUNTIFS(Esc_Turno,'Calc_Mix'!$C$32,Esc_Circ,$B115)+COUNTIFS(Esc_Turno,'Calc_Mix'!$C$32,Esc_Instr,$B115)&gt;0),"",IF(SUMPRODUCT('Calc_Mix'!$D$32:$W$32,'Matriz_Habilidades'!$D115:$W115)=0,"",SUMPRODUCT('Calc_Mix'!$D$32:$W$32,'Matriz_Habilidades'!$D115:$W115)/'Calc_Mix'!$X$32+ROW()*0.000001))</f>
        <v/>
      </c>
      <c r="AJ115" s="34">
        <f>IF(OR($B115="",$C115&lt;&gt;"Ativo",$D115&lt;&gt;'Calc_Mix'!$C$33,'Calc_Mix'!$X$33=0,COUNTIFS(Esc_Turno,'Calc_Mix'!$C$33,Esc_Circ,$B115)+COUNTIFS(Esc_Turno,'Calc_Mix'!$C$33,Esc_Instr,$B115)&gt;0),"",IF(SUMPRODUCT('Calc_Mix'!$D$33:$W$33,'Matriz_Habilidades'!$D115:$W115)=0,"",SUMPRODUCT('Calc_Mix'!$D$33:$W$33,'Matriz_Habilidades'!$D115:$W115)/'Calc_Mix'!$X$33+ROW()*0.000001))</f>
        <v/>
      </c>
      <c r="AK115" s="34">
        <f>IF(OR($B115="",$C115&lt;&gt;"Ativo",$D115&lt;&gt;'Calc_Mix'!$C$34,'Calc_Mix'!$X$34=0,COUNTIFS(Esc_Turno,'Calc_Mix'!$C$34,Esc_Circ,$B115)+COUNTIFS(Esc_Turno,'Calc_Mix'!$C$34,Esc_Instr,$B115)&gt;0),"",IF(SUMPRODUCT('Calc_Mix'!$D$34:$W$34,'Matriz_Habilidades'!$D115:$W115)=0,"",SUMPRODUCT('Calc_Mix'!$D$34:$W$34,'Matriz_Habilidades'!$D115:$W115)/'Calc_Mix'!$X$34+ROW()*0.000001))</f>
        <v/>
      </c>
      <c r="AL115" s="34">
        <f>IF(OR($B115="",$C115&lt;&gt;"Ativo",$D115&lt;&gt;'Calc_Mix'!$C$35,'Calc_Mix'!$X$35=0,COUNTIFS(Esc_Turno,'Calc_Mix'!$C$35,Esc_Circ,$B115)+COUNTIFS(Esc_Turno,'Calc_Mix'!$C$35,Esc_Instr,$B115)&gt;0),"",IF(SUMPRODUCT('Calc_Mix'!$D$35:$W$35,'Matriz_Habilidades'!$D115:$W115)=0,"",SUMPRODUCT('Calc_Mix'!$D$35:$W$35,'Matriz_Habilidades'!$D115:$W115)/'Calc_Mix'!$X$35+ROW()*0.000001))</f>
        <v/>
      </c>
      <c r="AM115" s="34">
        <f>IF(OR($B115="",$C115&lt;&gt;"Ativo",$D115&lt;&gt;'Calc_Mix'!$C$36,'Calc_Mix'!$X$36=0,COUNTIFS(Esc_Turno,'Calc_Mix'!$C$36,Esc_Circ,$B115)+COUNTIFS(Esc_Turno,'Calc_Mix'!$C$36,Esc_Instr,$B115)&gt;0),"",IF(SUMPRODUCT('Calc_Mix'!$D$36:$W$36,'Matriz_Habilidades'!$D115:$W115)=0,"",SUMPRODUCT('Calc_Mix'!$D$36:$W$36,'Matriz_Habilidades'!$D115:$W115)/'Calc_Mix'!$X$36+ROW()*0.000001))</f>
        <v/>
      </c>
      <c r="AN115" s="34">
        <f>IF(OR($B115="",$C115&lt;&gt;"Ativo",$D115&lt;&gt;'Calc_Mix'!$C$37,'Calc_Mix'!$X$37=0,COUNTIFS(Esc_Turno,'Calc_Mix'!$C$37,Esc_Circ,$B115)+COUNTIFS(Esc_Turno,'Calc_Mix'!$C$37,Esc_Instr,$B115)&gt;0),"",IF(SUMPRODUCT('Calc_Mix'!$D$37:$W$37,'Matriz_Habilidades'!$D115:$W115)=0,"",SUMPRODUCT('Calc_Mix'!$D$37:$W$37,'Matriz_Habilidades'!$D115:$W115)/'Calc_Mix'!$X$37+ROW()*0.000001))</f>
        <v/>
      </c>
    </row>
    <row r="116">
      <c r="A116" s="27">
        <f>IF('Matriz_Habilidades'!A116="","",'Matriz_Habilidades'!A116)</f>
        <v/>
      </c>
      <c r="B116" s="28">
        <f>IF('Matriz_Habilidades'!B116="","",'Matriz_Habilidades'!B116)</f>
        <v/>
      </c>
      <c r="C116" s="27">
        <f>IF($A116="","",IFERROR(INDEX(Equipe_Status,MATCH($B116,Equipe_Nome,0)),"?"))</f>
        <v/>
      </c>
      <c r="D116" s="27">
        <f>IF($A116="","",IFERROR(INDEX(Equipe_Turno,MATCH($B116,Equipe_Nome,0)),"?"))</f>
        <v/>
      </c>
      <c r="E116" s="34">
        <f>IF(OR($B116="",$C116&lt;&gt;"Ativo",$D116&lt;&gt;'Calc_Mix'!$C$2,'Calc_Mix'!$X$2=0,COUNTIFS(Esc_Turno,'Calc_Mix'!$C$2,Esc_Circ,$B116)+COUNTIFS(Esc_Turno,'Calc_Mix'!$C$2,Esc_Instr,$B116)&gt;0),"",IF(SUMPRODUCT('Calc_Mix'!$D$2:$W$2,'Matriz_Habilidades'!$D116:$W116)=0,"",SUMPRODUCT('Calc_Mix'!$D$2:$W$2,'Matriz_Habilidades'!$D116:$W116)/'Calc_Mix'!$X$2+ROW()*0.000001))</f>
        <v/>
      </c>
      <c r="F116" s="34">
        <f>IF(OR($B116="",$C116&lt;&gt;"Ativo",$D116&lt;&gt;'Calc_Mix'!$C$3,'Calc_Mix'!$X$3=0,COUNTIFS(Esc_Turno,'Calc_Mix'!$C$3,Esc_Circ,$B116)+COUNTIFS(Esc_Turno,'Calc_Mix'!$C$3,Esc_Instr,$B116)&gt;0),"",IF(SUMPRODUCT('Calc_Mix'!$D$3:$W$3,'Matriz_Habilidades'!$D116:$W116)=0,"",SUMPRODUCT('Calc_Mix'!$D$3:$W$3,'Matriz_Habilidades'!$D116:$W116)/'Calc_Mix'!$X$3+ROW()*0.000001))</f>
        <v/>
      </c>
      <c r="G116" s="34">
        <f>IF(OR($B116="",$C116&lt;&gt;"Ativo",$D116&lt;&gt;'Calc_Mix'!$C$4,'Calc_Mix'!$X$4=0,COUNTIFS(Esc_Turno,'Calc_Mix'!$C$4,Esc_Circ,$B116)+COUNTIFS(Esc_Turno,'Calc_Mix'!$C$4,Esc_Instr,$B116)&gt;0),"",IF(SUMPRODUCT('Calc_Mix'!$D$4:$W$4,'Matriz_Habilidades'!$D116:$W116)=0,"",SUMPRODUCT('Calc_Mix'!$D$4:$W$4,'Matriz_Habilidades'!$D116:$W116)/'Calc_Mix'!$X$4+ROW()*0.000001))</f>
        <v/>
      </c>
      <c r="H116" s="34">
        <f>IF(OR($B116="",$C116&lt;&gt;"Ativo",$D116&lt;&gt;'Calc_Mix'!$C$5,'Calc_Mix'!$X$5=0,COUNTIFS(Esc_Turno,'Calc_Mix'!$C$5,Esc_Circ,$B116)+COUNTIFS(Esc_Turno,'Calc_Mix'!$C$5,Esc_Instr,$B116)&gt;0),"",IF(SUMPRODUCT('Calc_Mix'!$D$5:$W$5,'Matriz_Habilidades'!$D116:$W116)=0,"",SUMPRODUCT('Calc_Mix'!$D$5:$W$5,'Matriz_Habilidades'!$D116:$W116)/'Calc_Mix'!$X$5+ROW()*0.000001))</f>
        <v/>
      </c>
      <c r="I116" s="34">
        <f>IF(OR($B116="",$C116&lt;&gt;"Ativo",$D116&lt;&gt;'Calc_Mix'!$C$6,'Calc_Mix'!$X$6=0,COUNTIFS(Esc_Turno,'Calc_Mix'!$C$6,Esc_Circ,$B116)+COUNTIFS(Esc_Turno,'Calc_Mix'!$C$6,Esc_Instr,$B116)&gt;0),"",IF(SUMPRODUCT('Calc_Mix'!$D$6:$W$6,'Matriz_Habilidades'!$D116:$W116)=0,"",SUMPRODUCT('Calc_Mix'!$D$6:$W$6,'Matriz_Habilidades'!$D116:$W116)/'Calc_Mix'!$X$6+ROW()*0.000001))</f>
        <v/>
      </c>
      <c r="J116" s="34">
        <f>IF(OR($B116="",$C116&lt;&gt;"Ativo",$D116&lt;&gt;'Calc_Mix'!$C$7,'Calc_Mix'!$X$7=0,COUNTIFS(Esc_Turno,'Calc_Mix'!$C$7,Esc_Circ,$B116)+COUNTIFS(Esc_Turno,'Calc_Mix'!$C$7,Esc_Instr,$B116)&gt;0),"",IF(SUMPRODUCT('Calc_Mix'!$D$7:$W$7,'Matriz_Habilidades'!$D116:$W116)=0,"",SUMPRODUCT('Calc_Mix'!$D$7:$W$7,'Matriz_Habilidades'!$D116:$W116)/'Calc_Mix'!$X$7+ROW()*0.000001))</f>
        <v/>
      </c>
      <c r="K116" s="34">
        <f>IF(OR($B116="",$C116&lt;&gt;"Ativo",$D116&lt;&gt;'Calc_Mix'!$C$8,'Calc_Mix'!$X$8=0,COUNTIFS(Esc_Turno,'Calc_Mix'!$C$8,Esc_Circ,$B116)+COUNTIFS(Esc_Turno,'Calc_Mix'!$C$8,Esc_Instr,$B116)&gt;0),"",IF(SUMPRODUCT('Calc_Mix'!$D$8:$W$8,'Matriz_Habilidades'!$D116:$W116)=0,"",SUMPRODUCT('Calc_Mix'!$D$8:$W$8,'Matriz_Habilidades'!$D116:$W116)/'Calc_Mix'!$X$8+ROW()*0.000001))</f>
        <v/>
      </c>
      <c r="L116" s="34">
        <f>IF(OR($B116="",$C116&lt;&gt;"Ativo",$D116&lt;&gt;'Calc_Mix'!$C$9,'Calc_Mix'!$X$9=0,COUNTIFS(Esc_Turno,'Calc_Mix'!$C$9,Esc_Circ,$B116)+COUNTIFS(Esc_Turno,'Calc_Mix'!$C$9,Esc_Instr,$B116)&gt;0),"",IF(SUMPRODUCT('Calc_Mix'!$D$9:$W$9,'Matriz_Habilidades'!$D116:$W116)=0,"",SUMPRODUCT('Calc_Mix'!$D$9:$W$9,'Matriz_Habilidades'!$D116:$W116)/'Calc_Mix'!$X$9+ROW()*0.000001))</f>
        <v/>
      </c>
      <c r="M116" s="34">
        <f>IF(OR($B116="",$C116&lt;&gt;"Ativo",$D116&lt;&gt;'Calc_Mix'!$C$10,'Calc_Mix'!$X$10=0,COUNTIFS(Esc_Turno,'Calc_Mix'!$C$10,Esc_Circ,$B116)+COUNTIFS(Esc_Turno,'Calc_Mix'!$C$10,Esc_Instr,$B116)&gt;0),"",IF(SUMPRODUCT('Calc_Mix'!$D$10:$W$10,'Matriz_Habilidades'!$D116:$W116)=0,"",SUMPRODUCT('Calc_Mix'!$D$10:$W$10,'Matriz_Habilidades'!$D116:$W116)/'Calc_Mix'!$X$10+ROW()*0.000001))</f>
        <v/>
      </c>
      <c r="N116" s="34">
        <f>IF(OR($B116="",$C116&lt;&gt;"Ativo",$D116&lt;&gt;'Calc_Mix'!$C$11,'Calc_Mix'!$X$11=0,COUNTIFS(Esc_Turno,'Calc_Mix'!$C$11,Esc_Circ,$B116)+COUNTIFS(Esc_Turno,'Calc_Mix'!$C$11,Esc_Instr,$B116)&gt;0),"",IF(SUMPRODUCT('Calc_Mix'!$D$11:$W$11,'Matriz_Habilidades'!$D116:$W116)=0,"",SUMPRODUCT('Calc_Mix'!$D$11:$W$11,'Matriz_Habilidades'!$D116:$W116)/'Calc_Mix'!$X$11+ROW()*0.000001))</f>
        <v/>
      </c>
      <c r="O116" s="34">
        <f>IF(OR($B116="",$C116&lt;&gt;"Ativo",$D116&lt;&gt;'Calc_Mix'!$C$12,'Calc_Mix'!$X$12=0,COUNTIFS(Esc_Turno,'Calc_Mix'!$C$12,Esc_Circ,$B116)+COUNTIFS(Esc_Turno,'Calc_Mix'!$C$12,Esc_Instr,$B116)&gt;0),"",IF(SUMPRODUCT('Calc_Mix'!$D$12:$W$12,'Matriz_Habilidades'!$D116:$W116)=0,"",SUMPRODUCT('Calc_Mix'!$D$12:$W$12,'Matriz_Habilidades'!$D116:$W116)/'Calc_Mix'!$X$12+ROW()*0.000001))</f>
        <v/>
      </c>
      <c r="P116" s="34">
        <f>IF(OR($B116="",$C116&lt;&gt;"Ativo",$D116&lt;&gt;'Calc_Mix'!$C$13,'Calc_Mix'!$X$13=0,COUNTIFS(Esc_Turno,'Calc_Mix'!$C$13,Esc_Circ,$B116)+COUNTIFS(Esc_Turno,'Calc_Mix'!$C$13,Esc_Instr,$B116)&gt;0),"",IF(SUMPRODUCT('Calc_Mix'!$D$13:$W$13,'Matriz_Habilidades'!$D116:$W116)=0,"",SUMPRODUCT('Calc_Mix'!$D$13:$W$13,'Matriz_Habilidades'!$D116:$W116)/'Calc_Mix'!$X$13+ROW()*0.000001))</f>
        <v/>
      </c>
      <c r="Q116" s="34">
        <f>IF(OR($B116="",$C116&lt;&gt;"Ativo",$D116&lt;&gt;'Calc_Mix'!$C$14,'Calc_Mix'!$X$14=0,COUNTIFS(Esc_Turno,'Calc_Mix'!$C$14,Esc_Circ,$B116)+COUNTIFS(Esc_Turno,'Calc_Mix'!$C$14,Esc_Instr,$B116)&gt;0),"",IF(SUMPRODUCT('Calc_Mix'!$D$14:$W$14,'Matriz_Habilidades'!$D116:$W116)=0,"",SUMPRODUCT('Calc_Mix'!$D$14:$W$14,'Matriz_Habilidades'!$D116:$W116)/'Calc_Mix'!$X$14+ROW()*0.000001))</f>
        <v/>
      </c>
      <c r="R116" s="34">
        <f>IF(OR($B116="",$C116&lt;&gt;"Ativo",$D116&lt;&gt;'Calc_Mix'!$C$15,'Calc_Mix'!$X$15=0,COUNTIFS(Esc_Turno,'Calc_Mix'!$C$15,Esc_Circ,$B116)+COUNTIFS(Esc_Turno,'Calc_Mix'!$C$15,Esc_Instr,$B116)&gt;0),"",IF(SUMPRODUCT('Calc_Mix'!$D$15:$W$15,'Matriz_Habilidades'!$D116:$W116)=0,"",SUMPRODUCT('Calc_Mix'!$D$15:$W$15,'Matriz_Habilidades'!$D116:$W116)/'Calc_Mix'!$X$15+ROW()*0.000001))</f>
        <v/>
      </c>
      <c r="S116" s="34">
        <f>IF(OR($B116="",$C116&lt;&gt;"Ativo",$D116&lt;&gt;'Calc_Mix'!$C$16,'Calc_Mix'!$X$16=0,COUNTIFS(Esc_Turno,'Calc_Mix'!$C$16,Esc_Circ,$B116)+COUNTIFS(Esc_Turno,'Calc_Mix'!$C$16,Esc_Instr,$B116)&gt;0),"",IF(SUMPRODUCT('Calc_Mix'!$D$16:$W$16,'Matriz_Habilidades'!$D116:$W116)=0,"",SUMPRODUCT('Calc_Mix'!$D$16:$W$16,'Matriz_Habilidades'!$D116:$W116)/'Calc_Mix'!$X$16+ROW()*0.000001))</f>
        <v/>
      </c>
      <c r="T116" s="34">
        <f>IF(OR($B116="",$C116&lt;&gt;"Ativo",$D116&lt;&gt;'Calc_Mix'!$C$17,'Calc_Mix'!$X$17=0,COUNTIFS(Esc_Turno,'Calc_Mix'!$C$17,Esc_Circ,$B116)+COUNTIFS(Esc_Turno,'Calc_Mix'!$C$17,Esc_Instr,$B116)&gt;0),"",IF(SUMPRODUCT('Calc_Mix'!$D$17:$W$17,'Matriz_Habilidades'!$D116:$W116)=0,"",SUMPRODUCT('Calc_Mix'!$D$17:$W$17,'Matriz_Habilidades'!$D116:$W116)/'Calc_Mix'!$X$17+ROW()*0.000001))</f>
        <v/>
      </c>
      <c r="U116" s="34">
        <f>IF(OR($B116="",$C116&lt;&gt;"Ativo",$D116&lt;&gt;'Calc_Mix'!$C$18,'Calc_Mix'!$X$18=0,COUNTIFS(Esc_Turno,'Calc_Mix'!$C$18,Esc_Circ,$B116)+COUNTIFS(Esc_Turno,'Calc_Mix'!$C$18,Esc_Instr,$B116)&gt;0),"",IF(SUMPRODUCT('Calc_Mix'!$D$18:$W$18,'Matriz_Habilidades'!$D116:$W116)=0,"",SUMPRODUCT('Calc_Mix'!$D$18:$W$18,'Matriz_Habilidades'!$D116:$W116)/'Calc_Mix'!$X$18+ROW()*0.000001))</f>
        <v/>
      </c>
      <c r="V116" s="34">
        <f>IF(OR($B116="",$C116&lt;&gt;"Ativo",$D116&lt;&gt;'Calc_Mix'!$C$19,'Calc_Mix'!$X$19=0,COUNTIFS(Esc_Turno,'Calc_Mix'!$C$19,Esc_Circ,$B116)+COUNTIFS(Esc_Turno,'Calc_Mix'!$C$19,Esc_Instr,$B116)&gt;0),"",IF(SUMPRODUCT('Calc_Mix'!$D$19:$W$19,'Matriz_Habilidades'!$D116:$W116)=0,"",SUMPRODUCT('Calc_Mix'!$D$19:$W$19,'Matriz_Habilidades'!$D116:$W116)/'Calc_Mix'!$X$19+ROW()*0.000001))</f>
        <v/>
      </c>
      <c r="W116" s="34">
        <f>IF(OR($B116="",$C116&lt;&gt;"Ativo",$D116&lt;&gt;'Calc_Mix'!$C$20,'Calc_Mix'!$X$20=0,COUNTIFS(Esc_Turno,'Calc_Mix'!$C$20,Esc_Circ,$B116)+COUNTIFS(Esc_Turno,'Calc_Mix'!$C$20,Esc_Instr,$B116)&gt;0),"",IF(SUMPRODUCT('Calc_Mix'!$D$20:$W$20,'Matriz_Habilidades'!$D116:$W116)=0,"",SUMPRODUCT('Calc_Mix'!$D$20:$W$20,'Matriz_Habilidades'!$D116:$W116)/'Calc_Mix'!$X$20+ROW()*0.000001))</f>
        <v/>
      </c>
      <c r="X116" s="34">
        <f>IF(OR($B116="",$C116&lt;&gt;"Ativo",$D116&lt;&gt;'Calc_Mix'!$C$21,'Calc_Mix'!$X$21=0,COUNTIFS(Esc_Turno,'Calc_Mix'!$C$21,Esc_Circ,$B116)+COUNTIFS(Esc_Turno,'Calc_Mix'!$C$21,Esc_Instr,$B116)&gt;0),"",IF(SUMPRODUCT('Calc_Mix'!$D$21:$W$21,'Matriz_Habilidades'!$D116:$W116)=0,"",SUMPRODUCT('Calc_Mix'!$D$21:$W$21,'Matriz_Habilidades'!$D116:$W116)/'Calc_Mix'!$X$21+ROW()*0.000001))</f>
        <v/>
      </c>
      <c r="Y116" s="34">
        <f>IF(OR($B116="",$C116&lt;&gt;"Ativo",$D116&lt;&gt;'Calc_Mix'!$C$22,'Calc_Mix'!$X$22=0,COUNTIFS(Esc_Turno,'Calc_Mix'!$C$22,Esc_Circ,$B116)+COUNTIFS(Esc_Turno,'Calc_Mix'!$C$22,Esc_Instr,$B116)&gt;0),"",IF(SUMPRODUCT('Calc_Mix'!$D$22:$W$22,'Matriz_Habilidades'!$D116:$W116)=0,"",SUMPRODUCT('Calc_Mix'!$D$22:$W$22,'Matriz_Habilidades'!$D116:$W116)/'Calc_Mix'!$X$22+ROW()*0.000001))</f>
        <v/>
      </c>
      <c r="Z116" s="34">
        <f>IF(OR($B116="",$C116&lt;&gt;"Ativo",$D116&lt;&gt;'Calc_Mix'!$C$23,'Calc_Mix'!$X$23=0,COUNTIFS(Esc_Turno,'Calc_Mix'!$C$23,Esc_Circ,$B116)+COUNTIFS(Esc_Turno,'Calc_Mix'!$C$23,Esc_Instr,$B116)&gt;0),"",IF(SUMPRODUCT('Calc_Mix'!$D$23:$W$23,'Matriz_Habilidades'!$D116:$W116)=0,"",SUMPRODUCT('Calc_Mix'!$D$23:$W$23,'Matriz_Habilidades'!$D116:$W116)/'Calc_Mix'!$X$23+ROW()*0.000001))</f>
        <v/>
      </c>
      <c r="AA116" s="34">
        <f>IF(OR($B116="",$C116&lt;&gt;"Ativo",$D116&lt;&gt;'Calc_Mix'!$C$24,'Calc_Mix'!$X$24=0,COUNTIFS(Esc_Turno,'Calc_Mix'!$C$24,Esc_Circ,$B116)+COUNTIFS(Esc_Turno,'Calc_Mix'!$C$24,Esc_Instr,$B116)&gt;0),"",IF(SUMPRODUCT('Calc_Mix'!$D$24:$W$24,'Matriz_Habilidades'!$D116:$W116)=0,"",SUMPRODUCT('Calc_Mix'!$D$24:$W$24,'Matriz_Habilidades'!$D116:$W116)/'Calc_Mix'!$X$24+ROW()*0.000001))</f>
        <v/>
      </c>
      <c r="AB116" s="34">
        <f>IF(OR($B116="",$C116&lt;&gt;"Ativo",$D116&lt;&gt;'Calc_Mix'!$C$25,'Calc_Mix'!$X$25=0,COUNTIFS(Esc_Turno,'Calc_Mix'!$C$25,Esc_Circ,$B116)+COUNTIFS(Esc_Turno,'Calc_Mix'!$C$25,Esc_Instr,$B116)&gt;0),"",IF(SUMPRODUCT('Calc_Mix'!$D$25:$W$25,'Matriz_Habilidades'!$D116:$W116)=0,"",SUMPRODUCT('Calc_Mix'!$D$25:$W$25,'Matriz_Habilidades'!$D116:$W116)/'Calc_Mix'!$X$25+ROW()*0.000001))</f>
        <v/>
      </c>
      <c r="AC116" s="34">
        <f>IF(OR($B116="",$C116&lt;&gt;"Ativo",$D116&lt;&gt;'Calc_Mix'!$C$26,'Calc_Mix'!$X$26=0,COUNTIFS(Esc_Turno,'Calc_Mix'!$C$26,Esc_Circ,$B116)+COUNTIFS(Esc_Turno,'Calc_Mix'!$C$26,Esc_Instr,$B116)&gt;0),"",IF(SUMPRODUCT('Calc_Mix'!$D$26:$W$26,'Matriz_Habilidades'!$D116:$W116)=0,"",SUMPRODUCT('Calc_Mix'!$D$26:$W$26,'Matriz_Habilidades'!$D116:$W116)/'Calc_Mix'!$X$26+ROW()*0.000001))</f>
        <v/>
      </c>
      <c r="AD116" s="34">
        <f>IF(OR($B116="",$C116&lt;&gt;"Ativo",$D116&lt;&gt;'Calc_Mix'!$C$27,'Calc_Mix'!$X$27=0,COUNTIFS(Esc_Turno,'Calc_Mix'!$C$27,Esc_Circ,$B116)+COUNTIFS(Esc_Turno,'Calc_Mix'!$C$27,Esc_Instr,$B116)&gt;0),"",IF(SUMPRODUCT('Calc_Mix'!$D$27:$W$27,'Matriz_Habilidades'!$D116:$W116)=0,"",SUMPRODUCT('Calc_Mix'!$D$27:$W$27,'Matriz_Habilidades'!$D116:$W116)/'Calc_Mix'!$X$27+ROW()*0.000001))</f>
        <v/>
      </c>
      <c r="AE116" s="34">
        <f>IF(OR($B116="",$C116&lt;&gt;"Ativo",$D116&lt;&gt;'Calc_Mix'!$C$28,'Calc_Mix'!$X$28=0,COUNTIFS(Esc_Turno,'Calc_Mix'!$C$28,Esc_Circ,$B116)+COUNTIFS(Esc_Turno,'Calc_Mix'!$C$28,Esc_Instr,$B116)&gt;0),"",IF(SUMPRODUCT('Calc_Mix'!$D$28:$W$28,'Matriz_Habilidades'!$D116:$W116)=0,"",SUMPRODUCT('Calc_Mix'!$D$28:$W$28,'Matriz_Habilidades'!$D116:$W116)/'Calc_Mix'!$X$28+ROW()*0.000001))</f>
        <v/>
      </c>
      <c r="AF116" s="34">
        <f>IF(OR($B116="",$C116&lt;&gt;"Ativo",$D116&lt;&gt;'Calc_Mix'!$C$29,'Calc_Mix'!$X$29=0,COUNTIFS(Esc_Turno,'Calc_Mix'!$C$29,Esc_Circ,$B116)+COUNTIFS(Esc_Turno,'Calc_Mix'!$C$29,Esc_Instr,$B116)&gt;0),"",IF(SUMPRODUCT('Calc_Mix'!$D$29:$W$29,'Matriz_Habilidades'!$D116:$W116)=0,"",SUMPRODUCT('Calc_Mix'!$D$29:$W$29,'Matriz_Habilidades'!$D116:$W116)/'Calc_Mix'!$X$29+ROW()*0.000001))</f>
        <v/>
      </c>
      <c r="AG116" s="34">
        <f>IF(OR($B116="",$C116&lt;&gt;"Ativo",$D116&lt;&gt;'Calc_Mix'!$C$30,'Calc_Mix'!$X$30=0,COUNTIFS(Esc_Turno,'Calc_Mix'!$C$30,Esc_Circ,$B116)+COUNTIFS(Esc_Turno,'Calc_Mix'!$C$30,Esc_Instr,$B116)&gt;0),"",IF(SUMPRODUCT('Calc_Mix'!$D$30:$W$30,'Matriz_Habilidades'!$D116:$W116)=0,"",SUMPRODUCT('Calc_Mix'!$D$30:$W$30,'Matriz_Habilidades'!$D116:$W116)/'Calc_Mix'!$X$30+ROW()*0.000001))</f>
        <v/>
      </c>
      <c r="AH116" s="34">
        <f>IF(OR($B116="",$C116&lt;&gt;"Ativo",$D116&lt;&gt;'Calc_Mix'!$C$31,'Calc_Mix'!$X$31=0,COUNTIFS(Esc_Turno,'Calc_Mix'!$C$31,Esc_Circ,$B116)+COUNTIFS(Esc_Turno,'Calc_Mix'!$C$31,Esc_Instr,$B116)&gt;0),"",IF(SUMPRODUCT('Calc_Mix'!$D$31:$W$31,'Matriz_Habilidades'!$D116:$W116)=0,"",SUMPRODUCT('Calc_Mix'!$D$31:$W$31,'Matriz_Habilidades'!$D116:$W116)/'Calc_Mix'!$X$31+ROW()*0.000001))</f>
        <v/>
      </c>
      <c r="AI116" s="34">
        <f>IF(OR($B116="",$C116&lt;&gt;"Ativo",$D116&lt;&gt;'Calc_Mix'!$C$32,'Calc_Mix'!$X$32=0,COUNTIFS(Esc_Turno,'Calc_Mix'!$C$32,Esc_Circ,$B116)+COUNTIFS(Esc_Turno,'Calc_Mix'!$C$32,Esc_Instr,$B116)&gt;0),"",IF(SUMPRODUCT('Calc_Mix'!$D$32:$W$32,'Matriz_Habilidades'!$D116:$W116)=0,"",SUMPRODUCT('Calc_Mix'!$D$32:$W$32,'Matriz_Habilidades'!$D116:$W116)/'Calc_Mix'!$X$32+ROW()*0.000001))</f>
        <v/>
      </c>
      <c r="AJ116" s="34">
        <f>IF(OR($B116="",$C116&lt;&gt;"Ativo",$D116&lt;&gt;'Calc_Mix'!$C$33,'Calc_Mix'!$X$33=0,COUNTIFS(Esc_Turno,'Calc_Mix'!$C$33,Esc_Circ,$B116)+COUNTIFS(Esc_Turno,'Calc_Mix'!$C$33,Esc_Instr,$B116)&gt;0),"",IF(SUMPRODUCT('Calc_Mix'!$D$33:$W$33,'Matriz_Habilidades'!$D116:$W116)=0,"",SUMPRODUCT('Calc_Mix'!$D$33:$W$33,'Matriz_Habilidades'!$D116:$W116)/'Calc_Mix'!$X$33+ROW()*0.000001))</f>
        <v/>
      </c>
      <c r="AK116" s="34">
        <f>IF(OR($B116="",$C116&lt;&gt;"Ativo",$D116&lt;&gt;'Calc_Mix'!$C$34,'Calc_Mix'!$X$34=0,COUNTIFS(Esc_Turno,'Calc_Mix'!$C$34,Esc_Circ,$B116)+COUNTIFS(Esc_Turno,'Calc_Mix'!$C$34,Esc_Instr,$B116)&gt;0),"",IF(SUMPRODUCT('Calc_Mix'!$D$34:$W$34,'Matriz_Habilidades'!$D116:$W116)=0,"",SUMPRODUCT('Calc_Mix'!$D$34:$W$34,'Matriz_Habilidades'!$D116:$W116)/'Calc_Mix'!$X$34+ROW()*0.000001))</f>
        <v/>
      </c>
      <c r="AL116" s="34">
        <f>IF(OR($B116="",$C116&lt;&gt;"Ativo",$D116&lt;&gt;'Calc_Mix'!$C$35,'Calc_Mix'!$X$35=0,COUNTIFS(Esc_Turno,'Calc_Mix'!$C$35,Esc_Circ,$B116)+COUNTIFS(Esc_Turno,'Calc_Mix'!$C$35,Esc_Instr,$B116)&gt;0),"",IF(SUMPRODUCT('Calc_Mix'!$D$35:$W$35,'Matriz_Habilidades'!$D116:$W116)=0,"",SUMPRODUCT('Calc_Mix'!$D$35:$W$35,'Matriz_Habilidades'!$D116:$W116)/'Calc_Mix'!$X$35+ROW()*0.000001))</f>
        <v/>
      </c>
      <c r="AM116" s="34">
        <f>IF(OR($B116="",$C116&lt;&gt;"Ativo",$D116&lt;&gt;'Calc_Mix'!$C$36,'Calc_Mix'!$X$36=0,COUNTIFS(Esc_Turno,'Calc_Mix'!$C$36,Esc_Circ,$B116)+COUNTIFS(Esc_Turno,'Calc_Mix'!$C$36,Esc_Instr,$B116)&gt;0),"",IF(SUMPRODUCT('Calc_Mix'!$D$36:$W$36,'Matriz_Habilidades'!$D116:$W116)=0,"",SUMPRODUCT('Calc_Mix'!$D$36:$W$36,'Matriz_Habilidades'!$D116:$W116)/'Calc_Mix'!$X$36+ROW()*0.000001))</f>
        <v/>
      </c>
      <c r="AN116" s="34">
        <f>IF(OR($B116="",$C116&lt;&gt;"Ativo",$D116&lt;&gt;'Calc_Mix'!$C$37,'Calc_Mix'!$X$37=0,COUNTIFS(Esc_Turno,'Calc_Mix'!$C$37,Esc_Circ,$B116)+COUNTIFS(Esc_Turno,'Calc_Mix'!$C$37,Esc_Instr,$B116)&gt;0),"",IF(SUMPRODUCT('Calc_Mix'!$D$37:$W$37,'Matriz_Habilidades'!$D116:$W116)=0,"",SUMPRODUCT('Calc_Mix'!$D$37:$W$37,'Matriz_Habilidades'!$D116:$W116)/'Calc_Mix'!$X$37+ROW()*0.000001))</f>
        <v/>
      </c>
    </row>
    <row r="117">
      <c r="A117" s="27">
        <f>IF('Matriz_Habilidades'!A117="","",'Matriz_Habilidades'!A117)</f>
        <v/>
      </c>
      <c r="B117" s="28">
        <f>IF('Matriz_Habilidades'!B117="","",'Matriz_Habilidades'!B117)</f>
        <v/>
      </c>
      <c r="C117" s="27">
        <f>IF($A117="","",IFERROR(INDEX(Equipe_Status,MATCH($B117,Equipe_Nome,0)),"?"))</f>
        <v/>
      </c>
      <c r="D117" s="27">
        <f>IF($A117="","",IFERROR(INDEX(Equipe_Turno,MATCH($B117,Equipe_Nome,0)),"?"))</f>
        <v/>
      </c>
      <c r="E117" s="34">
        <f>IF(OR($B117="",$C117&lt;&gt;"Ativo",$D117&lt;&gt;'Calc_Mix'!$C$2,'Calc_Mix'!$X$2=0,COUNTIFS(Esc_Turno,'Calc_Mix'!$C$2,Esc_Circ,$B117)+COUNTIFS(Esc_Turno,'Calc_Mix'!$C$2,Esc_Instr,$B117)&gt;0),"",IF(SUMPRODUCT('Calc_Mix'!$D$2:$W$2,'Matriz_Habilidades'!$D117:$W117)=0,"",SUMPRODUCT('Calc_Mix'!$D$2:$W$2,'Matriz_Habilidades'!$D117:$W117)/'Calc_Mix'!$X$2+ROW()*0.000001))</f>
        <v/>
      </c>
      <c r="F117" s="34">
        <f>IF(OR($B117="",$C117&lt;&gt;"Ativo",$D117&lt;&gt;'Calc_Mix'!$C$3,'Calc_Mix'!$X$3=0,COUNTIFS(Esc_Turno,'Calc_Mix'!$C$3,Esc_Circ,$B117)+COUNTIFS(Esc_Turno,'Calc_Mix'!$C$3,Esc_Instr,$B117)&gt;0),"",IF(SUMPRODUCT('Calc_Mix'!$D$3:$W$3,'Matriz_Habilidades'!$D117:$W117)=0,"",SUMPRODUCT('Calc_Mix'!$D$3:$W$3,'Matriz_Habilidades'!$D117:$W117)/'Calc_Mix'!$X$3+ROW()*0.000001))</f>
        <v/>
      </c>
      <c r="G117" s="34">
        <f>IF(OR($B117="",$C117&lt;&gt;"Ativo",$D117&lt;&gt;'Calc_Mix'!$C$4,'Calc_Mix'!$X$4=0,COUNTIFS(Esc_Turno,'Calc_Mix'!$C$4,Esc_Circ,$B117)+COUNTIFS(Esc_Turno,'Calc_Mix'!$C$4,Esc_Instr,$B117)&gt;0),"",IF(SUMPRODUCT('Calc_Mix'!$D$4:$W$4,'Matriz_Habilidades'!$D117:$W117)=0,"",SUMPRODUCT('Calc_Mix'!$D$4:$W$4,'Matriz_Habilidades'!$D117:$W117)/'Calc_Mix'!$X$4+ROW()*0.000001))</f>
        <v/>
      </c>
      <c r="H117" s="34">
        <f>IF(OR($B117="",$C117&lt;&gt;"Ativo",$D117&lt;&gt;'Calc_Mix'!$C$5,'Calc_Mix'!$X$5=0,COUNTIFS(Esc_Turno,'Calc_Mix'!$C$5,Esc_Circ,$B117)+COUNTIFS(Esc_Turno,'Calc_Mix'!$C$5,Esc_Instr,$B117)&gt;0),"",IF(SUMPRODUCT('Calc_Mix'!$D$5:$W$5,'Matriz_Habilidades'!$D117:$W117)=0,"",SUMPRODUCT('Calc_Mix'!$D$5:$W$5,'Matriz_Habilidades'!$D117:$W117)/'Calc_Mix'!$X$5+ROW()*0.000001))</f>
        <v/>
      </c>
      <c r="I117" s="34">
        <f>IF(OR($B117="",$C117&lt;&gt;"Ativo",$D117&lt;&gt;'Calc_Mix'!$C$6,'Calc_Mix'!$X$6=0,COUNTIFS(Esc_Turno,'Calc_Mix'!$C$6,Esc_Circ,$B117)+COUNTIFS(Esc_Turno,'Calc_Mix'!$C$6,Esc_Instr,$B117)&gt;0),"",IF(SUMPRODUCT('Calc_Mix'!$D$6:$W$6,'Matriz_Habilidades'!$D117:$W117)=0,"",SUMPRODUCT('Calc_Mix'!$D$6:$W$6,'Matriz_Habilidades'!$D117:$W117)/'Calc_Mix'!$X$6+ROW()*0.000001))</f>
        <v/>
      </c>
      <c r="J117" s="34">
        <f>IF(OR($B117="",$C117&lt;&gt;"Ativo",$D117&lt;&gt;'Calc_Mix'!$C$7,'Calc_Mix'!$X$7=0,COUNTIFS(Esc_Turno,'Calc_Mix'!$C$7,Esc_Circ,$B117)+COUNTIFS(Esc_Turno,'Calc_Mix'!$C$7,Esc_Instr,$B117)&gt;0),"",IF(SUMPRODUCT('Calc_Mix'!$D$7:$W$7,'Matriz_Habilidades'!$D117:$W117)=0,"",SUMPRODUCT('Calc_Mix'!$D$7:$W$7,'Matriz_Habilidades'!$D117:$W117)/'Calc_Mix'!$X$7+ROW()*0.000001))</f>
        <v/>
      </c>
      <c r="K117" s="34">
        <f>IF(OR($B117="",$C117&lt;&gt;"Ativo",$D117&lt;&gt;'Calc_Mix'!$C$8,'Calc_Mix'!$X$8=0,COUNTIFS(Esc_Turno,'Calc_Mix'!$C$8,Esc_Circ,$B117)+COUNTIFS(Esc_Turno,'Calc_Mix'!$C$8,Esc_Instr,$B117)&gt;0),"",IF(SUMPRODUCT('Calc_Mix'!$D$8:$W$8,'Matriz_Habilidades'!$D117:$W117)=0,"",SUMPRODUCT('Calc_Mix'!$D$8:$W$8,'Matriz_Habilidades'!$D117:$W117)/'Calc_Mix'!$X$8+ROW()*0.000001))</f>
        <v/>
      </c>
      <c r="L117" s="34">
        <f>IF(OR($B117="",$C117&lt;&gt;"Ativo",$D117&lt;&gt;'Calc_Mix'!$C$9,'Calc_Mix'!$X$9=0,COUNTIFS(Esc_Turno,'Calc_Mix'!$C$9,Esc_Circ,$B117)+COUNTIFS(Esc_Turno,'Calc_Mix'!$C$9,Esc_Instr,$B117)&gt;0),"",IF(SUMPRODUCT('Calc_Mix'!$D$9:$W$9,'Matriz_Habilidades'!$D117:$W117)=0,"",SUMPRODUCT('Calc_Mix'!$D$9:$W$9,'Matriz_Habilidades'!$D117:$W117)/'Calc_Mix'!$X$9+ROW()*0.000001))</f>
        <v/>
      </c>
      <c r="M117" s="34">
        <f>IF(OR($B117="",$C117&lt;&gt;"Ativo",$D117&lt;&gt;'Calc_Mix'!$C$10,'Calc_Mix'!$X$10=0,COUNTIFS(Esc_Turno,'Calc_Mix'!$C$10,Esc_Circ,$B117)+COUNTIFS(Esc_Turno,'Calc_Mix'!$C$10,Esc_Instr,$B117)&gt;0),"",IF(SUMPRODUCT('Calc_Mix'!$D$10:$W$10,'Matriz_Habilidades'!$D117:$W117)=0,"",SUMPRODUCT('Calc_Mix'!$D$10:$W$10,'Matriz_Habilidades'!$D117:$W117)/'Calc_Mix'!$X$10+ROW()*0.000001))</f>
        <v/>
      </c>
      <c r="N117" s="34">
        <f>IF(OR($B117="",$C117&lt;&gt;"Ativo",$D117&lt;&gt;'Calc_Mix'!$C$11,'Calc_Mix'!$X$11=0,COUNTIFS(Esc_Turno,'Calc_Mix'!$C$11,Esc_Circ,$B117)+COUNTIFS(Esc_Turno,'Calc_Mix'!$C$11,Esc_Instr,$B117)&gt;0),"",IF(SUMPRODUCT('Calc_Mix'!$D$11:$W$11,'Matriz_Habilidades'!$D117:$W117)=0,"",SUMPRODUCT('Calc_Mix'!$D$11:$W$11,'Matriz_Habilidades'!$D117:$W117)/'Calc_Mix'!$X$11+ROW()*0.000001))</f>
        <v/>
      </c>
      <c r="O117" s="34">
        <f>IF(OR($B117="",$C117&lt;&gt;"Ativo",$D117&lt;&gt;'Calc_Mix'!$C$12,'Calc_Mix'!$X$12=0,COUNTIFS(Esc_Turno,'Calc_Mix'!$C$12,Esc_Circ,$B117)+COUNTIFS(Esc_Turno,'Calc_Mix'!$C$12,Esc_Instr,$B117)&gt;0),"",IF(SUMPRODUCT('Calc_Mix'!$D$12:$W$12,'Matriz_Habilidades'!$D117:$W117)=0,"",SUMPRODUCT('Calc_Mix'!$D$12:$W$12,'Matriz_Habilidades'!$D117:$W117)/'Calc_Mix'!$X$12+ROW()*0.000001))</f>
        <v/>
      </c>
      <c r="P117" s="34">
        <f>IF(OR($B117="",$C117&lt;&gt;"Ativo",$D117&lt;&gt;'Calc_Mix'!$C$13,'Calc_Mix'!$X$13=0,COUNTIFS(Esc_Turno,'Calc_Mix'!$C$13,Esc_Circ,$B117)+COUNTIFS(Esc_Turno,'Calc_Mix'!$C$13,Esc_Instr,$B117)&gt;0),"",IF(SUMPRODUCT('Calc_Mix'!$D$13:$W$13,'Matriz_Habilidades'!$D117:$W117)=0,"",SUMPRODUCT('Calc_Mix'!$D$13:$W$13,'Matriz_Habilidades'!$D117:$W117)/'Calc_Mix'!$X$13+ROW()*0.000001))</f>
        <v/>
      </c>
      <c r="Q117" s="34">
        <f>IF(OR($B117="",$C117&lt;&gt;"Ativo",$D117&lt;&gt;'Calc_Mix'!$C$14,'Calc_Mix'!$X$14=0,COUNTIFS(Esc_Turno,'Calc_Mix'!$C$14,Esc_Circ,$B117)+COUNTIFS(Esc_Turno,'Calc_Mix'!$C$14,Esc_Instr,$B117)&gt;0),"",IF(SUMPRODUCT('Calc_Mix'!$D$14:$W$14,'Matriz_Habilidades'!$D117:$W117)=0,"",SUMPRODUCT('Calc_Mix'!$D$14:$W$14,'Matriz_Habilidades'!$D117:$W117)/'Calc_Mix'!$X$14+ROW()*0.000001))</f>
        <v/>
      </c>
      <c r="R117" s="34">
        <f>IF(OR($B117="",$C117&lt;&gt;"Ativo",$D117&lt;&gt;'Calc_Mix'!$C$15,'Calc_Mix'!$X$15=0,COUNTIFS(Esc_Turno,'Calc_Mix'!$C$15,Esc_Circ,$B117)+COUNTIFS(Esc_Turno,'Calc_Mix'!$C$15,Esc_Instr,$B117)&gt;0),"",IF(SUMPRODUCT('Calc_Mix'!$D$15:$W$15,'Matriz_Habilidades'!$D117:$W117)=0,"",SUMPRODUCT('Calc_Mix'!$D$15:$W$15,'Matriz_Habilidades'!$D117:$W117)/'Calc_Mix'!$X$15+ROW()*0.000001))</f>
        <v/>
      </c>
      <c r="S117" s="34">
        <f>IF(OR($B117="",$C117&lt;&gt;"Ativo",$D117&lt;&gt;'Calc_Mix'!$C$16,'Calc_Mix'!$X$16=0,COUNTIFS(Esc_Turno,'Calc_Mix'!$C$16,Esc_Circ,$B117)+COUNTIFS(Esc_Turno,'Calc_Mix'!$C$16,Esc_Instr,$B117)&gt;0),"",IF(SUMPRODUCT('Calc_Mix'!$D$16:$W$16,'Matriz_Habilidades'!$D117:$W117)=0,"",SUMPRODUCT('Calc_Mix'!$D$16:$W$16,'Matriz_Habilidades'!$D117:$W117)/'Calc_Mix'!$X$16+ROW()*0.000001))</f>
        <v/>
      </c>
      <c r="T117" s="34">
        <f>IF(OR($B117="",$C117&lt;&gt;"Ativo",$D117&lt;&gt;'Calc_Mix'!$C$17,'Calc_Mix'!$X$17=0,COUNTIFS(Esc_Turno,'Calc_Mix'!$C$17,Esc_Circ,$B117)+COUNTIFS(Esc_Turno,'Calc_Mix'!$C$17,Esc_Instr,$B117)&gt;0),"",IF(SUMPRODUCT('Calc_Mix'!$D$17:$W$17,'Matriz_Habilidades'!$D117:$W117)=0,"",SUMPRODUCT('Calc_Mix'!$D$17:$W$17,'Matriz_Habilidades'!$D117:$W117)/'Calc_Mix'!$X$17+ROW()*0.000001))</f>
        <v/>
      </c>
      <c r="U117" s="34">
        <f>IF(OR($B117="",$C117&lt;&gt;"Ativo",$D117&lt;&gt;'Calc_Mix'!$C$18,'Calc_Mix'!$X$18=0,COUNTIFS(Esc_Turno,'Calc_Mix'!$C$18,Esc_Circ,$B117)+COUNTIFS(Esc_Turno,'Calc_Mix'!$C$18,Esc_Instr,$B117)&gt;0),"",IF(SUMPRODUCT('Calc_Mix'!$D$18:$W$18,'Matriz_Habilidades'!$D117:$W117)=0,"",SUMPRODUCT('Calc_Mix'!$D$18:$W$18,'Matriz_Habilidades'!$D117:$W117)/'Calc_Mix'!$X$18+ROW()*0.000001))</f>
        <v/>
      </c>
      <c r="V117" s="34">
        <f>IF(OR($B117="",$C117&lt;&gt;"Ativo",$D117&lt;&gt;'Calc_Mix'!$C$19,'Calc_Mix'!$X$19=0,COUNTIFS(Esc_Turno,'Calc_Mix'!$C$19,Esc_Circ,$B117)+COUNTIFS(Esc_Turno,'Calc_Mix'!$C$19,Esc_Instr,$B117)&gt;0),"",IF(SUMPRODUCT('Calc_Mix'!$D$19:$W$19,'Matriz_Habilidades'!$D117:$W117)=0,"",SUMPRODUCT('Calc_Mix'!$D$19:$W$19,'Matriz_Habilidades'!$D117:$W117)/'Calc_Mix'!$X$19+ROW()*0.000001))</f>
        <v/>
      </c>
      <c r="W117" s="34">
        <f>IF(OR($B117="",$C117&lt;&gt;"Ativo",$D117&lt;&gt;'Calc_Mix'!$C$20,'Calc_Mix'!$X$20=0,COUNTIFS(Esc_Turno,'Calc_Mix'!$C$20,Esc_Circ,$B117)+COUNTIFS(Esc_Turno,'Calc_Mix'!$C$20,Esc_Instr,$B117)&gt;0),"",IF(SUMPRODUCT('Calc_Mix'!$D$20:$W$20,'Matriz_Habilidades'!$D117:$W117)=0,"",SUMPRODUCT('Calc_Mix'!$D$20:$W$20,'Matriz_Habilidades'!$D117:$W117)/'Calc_Mix'!$X$20+ROW()*0.000001))</f>
        <v/>
      </c>
      <c r="X117" s="34">
        <f>IF(OR($B117="",$C117&lt;&gt;"Ativo",$D117&lt;&gt;'Calc_Mix'!$C$21,'Calc_Mix'!$X$21=0,COUNTIFS(Esc_Turno,'Calc_Mix'!$C$21,Esc_Circ,$B117)+COUNTIFS(Esc_Turno,'Calc_Mix'!$C$21,Esc_Instr,$B117)&gt;0),"",IF(SUMPRODUCT('Calc_Mix'!$D$21:$W$21,'Matriz_Habilidades'!$D117:$W117)=0,"",SUMPRODUCT('Calc_Mix'!$D$21:$W$21,'Matriz_Habilidades'!$D117:$W117)/'Calc_Mix'!$X$21+ROW()*0.000001))</f>
        <v/>
      </c>
      <c r="Y117" s="34">
        <f>IF(OR($B117="",$C117&lt;&gt;"Ativo",$D117&lt;&gt;'Calc_Mix'!$C$22,'Calc_Mix'!$X$22=0,COUNTIFS(Esc_Turno,'Calc_Mix'!$C$22,Esc_Circ,$B117)+COUNTIFS(Esc_Turno,'Calc_Mix'!$C$22,Esc_Instr,$B117)&gt;0),"",IF(SUMPRODUCT('Calc_Mix'!$D$22:$W$22,'Matriz_Habilidades'!$D117:$W117)=0,"",SUMPRODUCT('Calc_Mix'!$D$22:$W$22,'Matriz_Habilidades'!$D117:$W117)/'Calc_Mix'!$X$22+ROW()*0.000001))</f>
        <v/>
      </c>
      <c r="Z117" s="34">
        <f>IF(OR($B117="",$C117&lt;&gt;"Ativo",$D117&lt;&gt;'Calc_Mix'!$C$23,'Calc_Mix'!$X$23=0,COUNTIFS(Esc_Turno,'Calc_Mix'!$C$23,Esc_Circ,$B117)+COUNTIFS(Esc_Turno,'Calc_Mix'!$C$23,Esc_Instr,$B117)&gt;0),"",IF(SUMPRODUCT('Calc_Mix'!$D$23:$W$23,'Matriz_Habilidades'!$D117:$W117)=0,"",SUMPRODUCT('Calc_Mix'!$D$23:$W$23,'Matriz_Habilidades'!$D117:$W117)/'Calc_Mix'!$X$23+ROW()*0.000001))</f>
        <v/>
      </c>
      <c r="AA117" s="34">
        <f>IF(OR($B117="",$C117&lt;&gt;"Ativo",$D117&lt;&gt;'Calc_Mix'!$C$24,'Calc_Mix'!$X$24=0,COUNTIFS(Esc_Turno,'Calc_Mix'!$C$24,Esc_Circ,$B117)+COUNTIFS(Esc_Turno,'Calc_Mix'!$C$24,Esc_Instr,$B117)&gt;0),"",IF(SUMPRODUCT('Calc_Mix'!$D$24:$W$24,'Matriz_Habilidades'!$D117:$W117)=0,"",SUMPRODUCT('Calc_Mix'!$D$24:$W$24,'Matriz_Habilidades'!$D117:$W117)/'Calc_Mix'!$X$24+ROW()*0.000001))</f>
        <v/>
      </c>
      <c r="AB117" s="34">
        <f>IF(OR($B117="",$C117&lt;&gt;"Ativo",$D117&lt;&gt;'Calc_Mix'!$C$25,'Calc_Mix'!$X$25=0,COUNTIFS(Esc_Turno,'Calc_Mix'!$C$25,Esc_Circ,$B117)+COUNTIFS(Esc_Turno,'Calc_Mix'!$C$25,Esc_Instr,$B117)&gt;0),"",IF(SUMPRODUCT('Calc_Mix'!$D$25:$W$25,'Matriz_Habilidades'!$D117:$W117)=0,"",SUMPRODUCT('Calc_Mix'!$D$25:$W$25,'Matriz_Habilidades'!$D117:$W117)/'Calc_Mix'!$X$25+ROW()*0.000001))</f>
        <v/>
      </c>
      <c r="AC117" s="34">
        <f>IF(OR($B117="",$C117&lt;&gt;"Ativo",$D117&lt;&gt;'Calc_Mix'!$C$26,'Calc_Mix'!$X$26=0,COUNTIFS(Esc_Turno,'Calc_Mix'!$C$26,Esc_Circ,$B117)+COUNTIFS(Esc_Turno,'Calc_Mix'!$C$26,Esc_Instr,$B117)&gt;0),"",IF(SUMPRODUCT('Calc_Mix'!$D$26:$W$26,'Matriz_Habilidades'!$D117:$W117)=0,"",SUMPRODUCT('Calc_Mix'!$D$26:$W$26,'Matriz_Habilidades'!$D117:$W117)/'Calc_Mix'!$X$26+ROW()*0.000001))</f>
        <v/>
      </c>
      <c r="AD117" s="34">
        <f>IF(OR($B117="",$C117&lt;&gt;"Ativo",$D117&lt;&gt;'Calc_Mix'!$C$27,'Calc_Mix'!$X$27=0,COUNTIFS(Esc_Turno,'Calc_Mix'!$C$27,Esc_Circ,$B117)+COUNTIFS(Esc_Turno,'Calc_Mix'!$C$27,Esc_Instr,$B117)&gt;0),"",IF(SUMPRODUCT('Calc_Mix'!$D$27:$W$27,'Matriz_Habilidades'!$D117:$W117)=0,"",SUMPRODUCT('Calc_Mix'!$D$27:$W$27,'Matriz_Habilidades'!$D117:$W117)/'Calc_Mix'!$X$27+ROW()*0.000001))</f>
        <v/>
      </c>
      <c r="AE117" s="34">
        <f>IF(OR($B117="",$C117&lt;&gt;"Ativo",$D117&lt;&gt;'Calc_Mix'!$C$28,'Calc_Mix'!$X$28=0,COUNTIFS(Esc_Turno,'Calc_Mix'!$C$28,Esc_Circ,$B117)+COUNTIFS(Esc_Turno,'Calc_Mix'!$C$28,Esc_Instr,$B117)&gt;0),"",IF(SUMPRODUCT('Calc_Mix'!$D$28:$W$28,'Matriz_Habilidades'!$D117:$W117)=0,"",SUMPRODUCT('Calc_Mix'!$D$28:$W$28,'Matriz_Habilidades'!$D117:$W117)/'Calc_Mix'!$X$28+ROW()*0.000001))</f>
        <v/>
      </c>
      <c r="AF117" s="34">
        <f>IF(OR($B117="",$C117&lt;&gt;"Ativo",$D117&lt;&gt;'Calc_Mix'!$C$29,'Calc_Mix'!$X$29=0,COUNTIFS(Esc_Turno,'Calc_Mix'!$C$29,Esc_Circ,$B117)+COUNTIFS(Esc_Turno,'Calc_Mix'!$C$29,Esc_Instr,$B117)&gt;0),"",IF(SUMPRODUCT('Calc_Mix'!$D$29:$W$29,'Matriz_Habilidades'!$D117:$W117)=0,"",SUMPRODUCT('Calc_Mix'!$D$29:$W$29,'Matriz_Habilidades'!$D117:$W117)/'Calc_Mix'!$X$29+ROW()*0.000001))</f>
        <v/>
      </c>
      <c r="AG117" s="34">
        <f>IF(OR($B117="",$C117&lt;&gt;"Ativo",$D117&lt;&gt;'Calc_Mix'!$C$30,'Calc_Mix'!$X$30=0,COUNTIFS(Esc_Turno,'Calc_Mix'!$C$30,Esc_Circ,$B117)+COUNTIFS(Esc_Turno,'Calc_Mix'!$C$30,Esc_Instr,$B117)&gt;0),"",IF(SUMPRODUCT('Calc_Mix'!$D$30:$W$30,'Matriz_Habilidades'!$D117:$W117)=0,"",SUMPRODUCT('Calc_Mix'!$D$30:$W$30,'Matriz_Habilidades'!$D117:$W117)/'Calc_Mix'!$X$30+ROW()*0.000001))</f>
        <v/>
      </c>
      <c r="AH117" s="34">
        <f>IF(OR($B117="",$C117&lt;&gt;"Ativo",$D117&lt;&gt;'Calc_Mix'!$C$31,'Calc_Mix'!$X$31=0,COUNTIFS(Esc_Turno,'Calc_Mix'!$C$31,Esc_Circ,$B117)+COUNTIFS(Esc_Turno,'Calc_Mix'!$C$31,Esc_Instr,$B117)&gt;0),"",IF(SUMPRODUCT('Calc_Mix'!$D$31:$W$31,'Matriz_Habilidades'!$D117:$W117)=0,"",SUMPRODUCT('Calc_Mix'!$D$31:$W$31,'Matriz_Habilidades'!$D117:$W117)/'Calc_Mix'!$X$31+ROW()*0.000001))</f>
        <v/>
      </c>
      <c r="AI117" s="34">
        <f>IF(OR($B117="",$C117&lt;&gt;"Ativo",$D117&lt;&gt;'Calc_Mix'!$C$32,'Calc_Mix'!$X$32=0,COUNTIFS(Esc_Turno,'Calc_Mix'!$C$32,Esc_Circ,$B117)+COUNTIFS(Esc_Turno,'Calc_Mix'!$C$32,Esc_Instr,$B117)&gt;0),"",IF(SUMPRODUCT('Calc_Mix'!$D$32:$W$32,'Matriz_Habilidades'!$D117:$W117)=0,"",SUMPRODUCT('Calc_Mix'!$D$32:$W$32,'Matriz_Habilidades'!$D117:$W117)/'Calc_Mix'!$X$32+ROW()*0.000001))</f>
        <v/>
      </c>
      <c r="AJ117" s="34">
        <f>IF(OR($B117="",$C117&lt;&gt;"Ativo",$D117&lt;&gt;'Calc_Mix'!$C$33,'Calc_Mix'!$X$33=0,COUNTIFS(Esc_Turno,'Calc_Mix'!$C$33,Esc_Circ,$B117)+COUNTIFS(Esc_Turno,'Calc_Mix'!$C$33,Esc_Instr,$B117)&gt;0),"",IF(SUMPRODUCT('Calc_Mix'!$D$33:$W$33,'Matriz_Habilidades'!$D117:$W117)=0,"",SUMPRODUCT('Calc_Mix'!$D$33:$W$33,'Matriz_Habilidades'!$D117:$W117)/'Calc_Mix'!$X$33+ROW()*0.000001))</f>
        <v/>
      </c>
      <c r="AK117" s="34">
        <f>IF(OR($B117="",$C117&lt;&gt;"Ativo",$D117&lt;&gt;'Calc_Mix'!$C$34,'Calc_Mix'!$X$34=0,COUNTIFS(Esc_Turno,'Calc_Mix'!$C$34,Esc_Circ,$B117)+COUNTIFS(Esc_Turno,'Calc_Mix'!$C$34,Esc_Instr,$B117)&gt;0),"",IF(SUMPRODUCT('Calc_Mix'!$D$34:$W$34,'Matriz_Habilidades'!$D117:$W117)=0,"",SUMPRODUCT('Calc_Mix'!$D$34:$W$34,'Matriz_Habilidades'!$D117:$W117)/'Calc_Mix'!$X$34+ROW()*0.000001))</f>
        <v/>
      </c>
      <c r="AL117" s="34">
        <f>IF(OR($B117="",$C117&lt;&gt;"Ativo",$D117&lt;&gt;'Calc_Mix'!$C$35,'Calc_Mix'!$X$35=0,COUNTIFS(Esc_Turno,'Calc_Mix'!$C$35,Esc_Circ,$B117)+COUNTIFS(Esc_Turno,'Calc_Mix'!$C$35,Esc_Instr,$B117)&gt;0),"",IF(SUMPRODUCT('Calc_Mix'!$D$35:$W$35,'Matriz_Habilidades'!$D117:$W117)=0,"",SUMPRODUCT('Calc_Mix'!$D$35:$W$35,'Matriz_Habilidades'!$D117:$W117)/'Calc_Mix'!$X$35+ROW()*0.000001))</f>
        <v/>
      </c>
      <c r="AM117" s="34">
        <f>IF(OR($B117="",$C117&lt;&gt;"Ativo",$D117&lt;&gt;'Calc_Mix'!$C$36,'Calc_Mix'!$X$36=0,COUNTIFS(Esc_Turno,'Calc_Mix'!$C$36,Esc_Circ,$B117)+COUNTIFS(Esc_Turno,'Calc_Mix'!$C$36,Esc_Instr,$B117)&gt;0),"",IF(SUMPRODUCT('Calc_Mix'!$D$36:$W$36,'Matriz_Habilidades'!$D117:$W117)=0,"",SUMPRODUCT('Calc_Mix'!$D$36:$W$36,'Matriz_Habilidades'!$D117:$W117)/'Calc_Mix'!$X$36+ROW()*0.000001))</f>
        <v/>
      </c>
      <c r="AN117" s="34">
        <f>IF(OR($B117="",$C117&lt;&gt;"Ativo",$D117&lt;&gt;'Calc_Mix'!$C$37,'Calc_Mix'!$X$37=0,COUNTIFS(Esc_Turno,'Calc_Mix'!$C$37,Esc_Circ,$B117)+COUNTIFS(Esc_Turno,'Calc_Mix'!$C$37,Esc_Instr,$B117)&gt;0),"",IF(SUMPRODUCT('Calc_Mix'!$D$37:$W$37,'Matriz_Habilidades'!$D117:$W117)=0,"",SUMPRODUCT('Calc_Mix'!$D$37:$W$37,'Matriz_Habilidades'!$D117:$W117)/'Calc_Mix'!$X$37+ROW()*0.000001))</f>
        <v/>
      </c>
    </row>
    <row r="118">
      <c r="A118" s="27">
        <f>IF('Matriz_Habilidades'!A118="","",'Matriz_Habilidades'!A118)</f>
        <v/>
      </c>
      <c r="B118" s="28">
        <f>IF('Matriz_Habilidades'!B118="","",'Matriz_Habilidades'!B118)</f>
        <v/>
      </c>
      <c r="C118" s="27">
        <f>IF($A118="","",IFERROR(INDEX(Equipe_Status,MATCH($B118,Equipe_Nome,0)),"?"))</f>
        <v/>
      </c>
      <c r="D118" s="27">
        <f>IF($A118="","",IFERROR(INDEX(Equipe_Turno,MATCH($B118,Equipe_Nome,0)),"?"))</f>
        <v/>
      </c>
      <c r="E118" s="34">
        <f>IF(OR($B118="",$C118&lt;&gt;"Ativo",$D118&lt;&gt;'Calc_Mix'!$C$2,'Calc_Mix'!$X$2=0,COUNTIFS(Esc_Turno,'Calc_Mix'!$C$2,Esc_Circ,$B118)+COUNTIFS(Esc_Turno,'Calc_Mix'!$C$2,Esc_Instr,$B118)&gt;0),"",IF(SUMPRODUCT('Calc_Mix'!$D$2:$W$2,'Matriz_Habilidades'!$D118:$W118)=0,"",SUMPRODUCT('Calc_Mix'!$D$2:$W$2,'Matriz_Habilidades'!$D118:$W118)/'Calc_Mix'!$X$2+ROW()*0.000001))</f>
        <v/>
      </c>
      <c r="F118" s="34">
        <f>IF(OR($B118="",$C118&lt;&gt;"Ativo",$D118&lt;&gt;'Calc_Mix'!$C$3,'Calc_Mix'!$X$3=0,COUNTIFS(Esc_Turno,'Calc_Mix'!$C$3,Esc_Circ,$B118)+COUNTIFS(Esc_Turno,'Calc_Mix'!$C$3,Esc_Instr,$B118)&gt;0),"",IF(SUMPRODUCT('Calc_Mix'!$D$3:$W$3,'Matriz_Habilidades'!$D118:$W118)=0,"",SUMPRODUCT('Calc_Mix'!$D$3:$W$3,'Matriz_Habilidades'!$D118:$W118)/'Calc_Mix'!$X$3+ROW()*0.000001))</f>
        <v/>
      </c>
      <c r="G118" s="34">
        <f>IF(OR($B118="",$C118&lt;&gt;"Ativo",$D118&lt;&gt;'Calc_Mix'!$C$4,'Calc_Mix'!$X$4=0,COUNTIFS(Esc_Turno,'Calc_Mix'!$C$4,Esc_Circ,$B118)+COUNTIFS(Esc_Turno,'Calc_Mix'!$C$4,Esc_Instr,$B118)&gt;0),"",IF(SUMPRODUCT('Calc_Mix'!$D$4:$W$4,'Matriz_Habilidades'!$D118:$W118)=0,"",SUMPRODUCT('Calc_Mix'!$D$4:$W$4,'Matriz_Habilidades'!$D118:$W118)/'Calc_Mix'!$X$4+ROW()*0.000001))</f>
        <v/>
      </c>
      <c r="H118" s="34">
        <f>IF(OR($B118="",$C118&lt;&gt;"Ativo",$D118&lt;&gt;'Calc_Mix'!$C$5,'Calc_Mix'!$X$5=0,COUNTIFS(Esc_Turno,'Calc_Mix'!$C$5,Esc_Circ,$B118)+COUNTIFS(Esc_Turno,'Calc_Mix'!$C$5,Esc_Instr,$B118)&gt;0),"",IF(SUMPRODUCT('Calc_Mix'!$D$5:$W$5,'Matriz_Habilidades'!$D118:$W118)=0,"",SUMPRODUCT('Calc_Mix'!$D$5:$W$5,'Matriz_Habilidades'!$D118:$W118)/'Calc_Mix'!$X$5+ROW()*0.000001))</f>
        <v/>
      </c>
      <c r="I118" s="34">
        <f>IF(OR($B118="",$C118&lt;&gt;"Ativo",$D118&lt;&gt;'Calc_Mix'!$C$6,'Calc_Mix'!$X$6=0,COUNTIFS(Esc_Turno,'Calc_Mix'!$C$6,Esc_Circ,$B118)+COUNTIFS(Esc_Turno,'Calc_Mix'!$C$6,Esc_Instr,$B118)&gt;0),"",IF(SUMPRODUCT('Calc_Mix'!$D$6:$W$6,'Matriz_Habilidades'!$D118:$W118)=0,"",SUMPRODUCT('Calc_Mix'!$D$6:$W$6,'Matriz_Habilidades'!$D118:$W118)/'Calc_Mix'!$X$6+ROW()*0.000001))</f>
        <v/>
      </c>
      <c r="J118" s="34">
        <f>IF(OR($B118="",$C118&lt;&gt;"Ativo",$D118&lt;&gt;'Calc_Mix'!$C$7,'Calc_Mix'!$X$7=0,COUNTIFS(Esc_Turno,'Calc_Mix'!$C$7,Esc_Circ,$B118)+COUNTIFS(Esc_Turno,'Calc_Mix'!$C$7,Esc_Instr,$B118)&gt;0),"",IF(SUMPRODUCT('Calc_Mix'!$D$7:$W$7,'Matriz_Habilidades'!$D118:$W118)=0,"",SUMPRODUCT('Calc_Mix'!$D$7:$W$7,'Matriz_Habilidades'!$D118:$W118)/'Calc_Mix'!$X$7+ROW()*0.000001))</f>
        <v/>
      </c>
      <c r="K118" s="34">
        <f>IF(OR($B118="",$C118&lt;&gt;"Ativo",$D118&lt;&gt;'Calc_Mix'!$C$8,'Calc_Mix'!$X$8=0,COUNTIFS(Esc_Turno,'Calc_Mix'!$C$8,Esc_Circ,$B118)+COUNTIFS(Esc_Turno,'Calc_Mix'!$C$8,Esc_Instr,$B118)&gt;0),"",IF(SUMPRODUCT('Calc_Mix'!$D$8:$W$8,'Matriz_Habilidades'!$D118:$W118)=0,"",SUMPRODUCT('Calc_Mix'!$D$8:$W$8,'Matriz_Habilidades'!$D118:$W118)/'Calc_Mix'!$X$8+ROW()*0.000001))</f>
        <v/>
      </c>
      <c r="L118" s="34">
        <f>IF(OR($B118="",$C118&lt;&gt;"Ativo",$D118&lt;&gt;'Calc_Mix'!$C$9,'Calc_Mix'!$X$9=0,COUNTIFS(Esc_Turno,'Calc_Mix'!$C$9,Esc_Circ,$B118)+COUNTIFS(Esc_Turno,'Calc_Mix'!$C$9,Esc_Instr,$B118)&gt;0),"",IF(SUMPRODUCT('Calc_Mix'!$D$9:$W$9,'Matriz_Habilidades'!$D118:$W118)=0,"",SUMPRODUCT('Calc_Mix'!$D$9:$W$9,'Matriz_Habilidades'!$D118:$W118)/'Calc_Mix'!$X$9+ROW()*0.000001))</f>
        <v/>
      </c>
      <c r="M118" s="34">
        <f>IF(OR($B118="",$C118&lt;&gt;"Ativo",$D118&lt;&gt;'Calc_Mix'!$C$10,'Calc_Mix'!$X$10=0,COUNTIFS(Esc_Turno,'Calc_Mix'!$C$10,Esc_Circ,$B118)+COUNTIFS(Esc_Turno,'Calc_Mix'!$C$10,Esc_Instr,$B118)&gt;0),"",IF(SUMPRODUCT('Calc_Mix'!$D$10:$W$10,'Matriz_Habilidades'!$D118:$W118)=0,"",SUMPRODUCT('Calc_Mix'!$D$10:$W$10,'Matriz_Habilidades'!$D118:$W118)/'Calc_Mix'!$X$10+ROW()*0.000001))</f>
        <v/>
      </c>
      <c r="N118" s="34">
        <f>IF(OR($B118="",$C118&lt;&gt;"Ativo",$D118&lt;&gt;'Calc_Mix'!$C$11,'Calc_Mix'!$X$11=0,COUNTIFS(Esc_Turno,'Calc_Mix'!$C$11,Esc_Circ,$B118)+COUNTIFS(Esc_Turno,'Calc_Mix'!$C$11,Esc_Instr,$B118)&gt;0),"",IF(SUMPRODUCT('Calc_Mix'!$D$11:$W$11,'Matriz_Habilidades'!$D118:$W118)=0,"",SUMPRODUCT('Calc_Mix'!$D$11:$W$11,'Matriz_Habilidades'!$D118:$W118)/'Calc_Mix'!$X$11+ROW()*0.000001))</f>
        <v/>
      </c>
      <c r="O118" s="34">
        <f>IF(OR($B118="",$C118&lt;&gt;"Ativo",$D118&lt;&gt;'Calc_Mix'!$C$12,'Calc_Mix'!$X$12=0,COUNTIFS(Esc_Turno,'Calc_Mix'!$C$12,Esc_Circ,$B118)+COUNTIFS(Esc_Turno,'Calc_Mix'!$C$12,Esc_Instr,$B118)&gt;0),"",IF(SUMPRODUCT('Calc_Mix'!$D$12:$W$12,'Matriz_Habilidades'!$D118:$W118)=0,"",SUMPRODUCT('Calc_Mix'!$D$12:$W$12,'Matriz_Habilidades'!$D118:$W118)/'Calc_Mix'!$X$12+ROW()*0.000001))</f>
        <v/>
      </c>
      <c r="P118" s="34">
        <f>IF(OR($B118="",$C118&lt;&gt;"Ativo",$D118&lt;&gt;'Calc_Mix'!$C$13,'Calc_Mix'!$X$13=0,COUNTIFS(Esc_Turno,'Calc_Mix'!$C$13,Esc_Circ,$B118)+COUNTIFS(Esc_Turno,'Calc_Mix'!$C$13,Esc_Instr,$B118)&gt;0),"",IF(SUMPRODUCT('Calc_Mix'!$D$13:$W$13,'Matriz_Habilidades'!$D118:$W118)=0,"",SUMPRODUCT('Calc_Mix'!$D$13:$W$13,'Matriz_Habilidades'!$D118:$W118)/'Calc_Mix'!$X$13+ROW()*0.000001))</f>
        <v/>
      </c>
      <c r="Q118" s="34">
        <f>IF(OR($B118="",$C118&lt;&gt;"Ativo",$D118&lt;&gt;'Calc_Mix'!$C$14,'Calc_Mix'!$X$14=0,COUNTIFS(Esc_Turno,'Calc_Mix'!$C$14,Esc_Circ,$B118)+COUNTIFS(Esc_Turno,'Calc_Mix'!$C$14,Esc_Instr,$B118)&gt;0),"",IF(SUMPRODUCT('Calc_Mix'!$D$14:$W$14,'Matriz_Habilidades'!$D118:$W118)=0,"",SUMPRODUCT('Calc_Mix'!$D$14:$W$14,'Matriz_Habilidades'!$D118:$W118)/'Calc_Mix'!$X$14+ROW()*0.000001))</f>
        <v/>
      </c>
      <c r="R118" s="34">
        <f>IF(OR($B118="",$C118&lt;&gt;"Ativo",$D118&lt;&gt;'Calc_Mix'!$C$15,'Calc_Mix'!$X$15=0,COUNTIFS(Esc_Turno,'Calc_Mix'!$C$15,Esc_Circ,$B118)+COUNTIFS(Esc_Turno,'Calc_Mix'!$C$15,Esc_Instr,$B118)&gt;0),"",IF(SUMPRODUCT('Calc_Mix'!$D$15:$W$15,'Matriz_Habilidades'!$D118:$W118)=0,"",SUMPRODUCT('Calc_Mix'!$D$15:$W$15,'Matriz_Habilidades'!$D118:$W118)/'Calc_Mix'!$X$15+ROW()*0.000001))</f>
        <v/>
      </c>
      <c r="S118" s="34">
        <f>IF(OR($B118="",$C118&lt;&gt;"Ativo",$D118&lt;&gt;'Calc_Mix'!$C$16,'Calc_Mix'!$X$16=0,COUNTIFS(Esc_Turno,'Calc_Mix'!$C$16,Esc_Circ,$B118)+COUNTIFS(Esc_Turno,'Calc_Mix'!$C$16,Esc_Instr,$B118)&gt;0),"",IF(SUMPRODUCT('Calc_Mix'!$D$16:$W$16,'Matriz_Habilidades'!$D118:$W118)=0,"",SUMPRODUCT('Calc_Mix'!$D$16:$W$16,'Matriz_Habilidades'!$D118:$W118)/'Calc_Mix'!$X$16+ROW()*0.000001))</f>
        <v/>
      </c>
      <c r="T118" s="34">
        <f>IF(OR($B118="",$C118&lt;&gt;"Ativo",$D118&lt;&gt;'Calc_Mix'!$C$17,'Calc_Mix'!$X$17=0,COUNTIFS(Esc_Turno,'Calc_Mix'!$C$17,Esc_Circ,$B118)+COUNTIFS(Esc_Turno,'Calc_Mix'!$C$17,Esc_Instr,$B118)&gt;0),"",IF(SUMPRODUCT('Calc_Mix'!$D$17:$W$17,'Matriz_Habilidades'!$D118:$W118)=0,"",SUMPRODUCT('Calc_Mix'!$D$17:$W$17,'Matriz_Habilidades'!$D118:$W118)/'Calc_Mix'!$X$17+ROW()*0.000001))</f>
        <v/>
      </c>
      <c r="U118" s="34">
        <f>IF(OR($B118="",$C118&lt;&gt;"Ativo",$D118&lt;&gt;'Calc_Mix'!$C$18,'Calc_Mix'!$X$18=0,COUNTIFS(Esc_Turno,'Calc_Mix'!$C$18,Esc_Circ,$B118)+COUNTIFS(Esc_Turno,'Calc_Mix'!$C$18,Esc_Instr,$B118)&gt;0),"",IF(SUMPRODUCT('Calc_Mix'!$D$18:$W$18,'Matriz_Habilidades'!$D118:$W118)=0,"",SUMPRODUCT('Calc_Mix'!$D$18:$W$18,'Matriz_Habilidades'!$D118:$W118)/'Calc_Mix'!$X$18+ROW()*0.000001))</f>
        <v/>
      </c>
      <c r="V118" s="34">
        <f>IF(OR($B118="",$C118&lt;&gt;"Ativo",$D118&lt;&gt;'Calc_Mix'!$C$19,'Calc_Mix'!$X$19=0,COUNTIFS(Esc_Turno,'Calc_Mix'!$C$19,Esc_Circ,$B118)+COUNTIFS(Esc_Turno,'Calc_Mix'!$C$19,Esc_Instr,$B118)&gt;0),"",IF(SUMPRODUCT('Calc_Mix'!$D$19:$W$19,'Matriz_Habilidades'!$D118:$W118)=0,"",SUMPRODUCT('Calc_Mix'!$D$19:$W$19,'Matriz_Habilidades'!$D118:$W118)/'Calc_Mix'!$X$19+ROW()*0.000001))</f>
        <v/>
      </c>
      <c r="W118" s="34">
        <f>IF(OR($B118="",$C118&lt;&gt;"Ativo",$D118&lt;&gt;'Calc_Mix'!$C$20,'Calc_Mix'!$X$20=0,COUNTIFS(Esc_Turno,'Calc_Mix'!$C$20,Esc_Circ,$B118)+COUNTIFS(Esc_Turno,'Calc_Mix'!$C$20,Esc_Instr,$B118)&gt;0),"",IF(SUMPRODUCT('Calc_Mix'!$D$20:$W$20,'Matriz_Habilidades'!$D118:$W118)=0,"",SUMPRODUCT('Calc_Mix'!$D$20:$W$20,'Matriz_Habilidades'!$D118:$W118)/'Calc_Mix'!$X$20+ROW()*0.000001))</f>
        <v/>
      </c>
      <c r="X118" s="34">
        <f>IF(OR($B118="",$C118&lt;&gt;"Ativo",$D118&lt;&gt;'Calc_Mix'!$C$21,'Calc_Mix'!$X$21=0,COUNTIFS(Esc_Turno,'Calc_Mix'!$C$21,Esc_Circ,$B118)+COUNTIFS(Esc_Turno,'Calc_Mix'!$C$21,Esc_Instr,$B118)&gt;0),"",IF(SUMPRODUCT('Calc_Mix'!$D$21:$W$21,'Matriz_Habilidades'!$D118:$W118)=0,"",SUMPRODUCT('Calc_Mix'!$D$21:$W$21,'Matriz_Habilidades'!$D118:$W118)/'Calc_Mix'!$X$21+ROW()*0.000001))</f>
        <v/>
      </c>
      <c r="Y118" s="34">
        <f>IF(OR($B118="",$C118&lt;&gt;"Ativo",$D118&lt;&gt;'Calc_Mix'!$C$22,'Calc_Mix'!$X$22=0,COUNTIFS(Esc_Turno,'Calc_Mix'!$C$22,Esc_Circ,$B118)+COUNTIFS(Esc_Turno,'Calc_Mix'!$C$22,Esc_Instr,$B118)&gt;0),"",IF(SUMPRODUCT('Calc_Mix'!$D$22:$W$22,'Matriz_Habilidades'!$D118:$W118)=0,"",SUMPRODUCT('Calc_Mix'!$D$22:$W$22,'Matriz_Habilidades'!$D118:$W118)/'Calc_Mix'!$X$22+ROW()*0.000001))</f>
        <v/>
      </c>
      <c r="Z118" s="34">
        <f>IF(OR($B118="",$C118&lt;&gt;"Ativo",$D118&lt;&gt;'Calc_Mix'!$C$23,'Calc_Mix'!$X$23=0,COUNTIFS(Esc_Turno,'Calc_Mix'!$C$23,Esc_Circ,$B118)+COUNTIFS(Esc_Turno,'Calc_Mix'!$C$23,Esc_Instr,$B118)&gt;0),"",IF(SUMPRODUCT('Calc_Mix'!$D$23:$W$23,'Matriz_Habilidades'!$D118:$W118)=0,"",SUMPRODUCT('Calc_Mix'!$D$23:$W$23,'Matriz_Habilidades'!$D118:$W118)/'Calc_Mix'!$X$23+ROW()*0.000001))</f>
        <v/>
      </c>
      <c r="AA118" s="34">
        <f>IF(OR($B118="",$C118&lt;&gt;"Ativo",$D118&lt;&gt;'Calc_Mix'!$C$24,'Calc_Mix'!$X$24=0,COUNTIFS(Esc_Turno,'Calc_Mix'!$C$24,Esc_Circ,$B118)+COUNTIFS(Esc_Turno,'Calc_Mix'!$C$24,Esc_Instr,$B118)&gt;0),"",IF(SUMPRODUCT('Calc_Mix'!$D$24:$W$24,'Matriz_Habilidades'!$D118:$W118)=0,"",SUMPRODUCT('Calc_Mix'!$D$24:$W$24,'Matriz_Habilidades'!$D118:$W118)/'Calc_Mix'!$X$24+ROW()*0.000001))</f>
        <v/>
      </c>
      <c r="AB118" s="34">
        <f>IF(OR($B118="",$C118&lt;&gt;"Ativo",$D118&lt;&gt;'Calc_Mix'!$C$25,'Calc_Mix'!$X$25=0,COUNTIFS(Esc_Turno,'Calc_Mix'!$C$25,Esc_Circ,$B118)+COUNTIFS(Esc_Turno,'Calc_Mix'!$C$25,Esc_Instr,$B118)&gt;0),"",IF(SUMPRODUCT('Calc_Mix'!$D$25:$W$25,'Matriz_Habilidades'!$D118:$W118)=0,"",SUMPRODUCT('Calc_Mix'!$D$25:$W$25,'Matriz_Habilidades'!$D118:$W118)/'Calc_Mix'!$X$25+ROW()*0.000001))</f>
        <v/>
      </c>
      <c r="AC118" s="34">
        <f>IF(OR($B118="",$C118&lt;&gt;"Ativo",$D118&lt;&gt;'Calc_Mix'!$C$26,'Calc_Mix'!$X$26=0,COUNTIFS(Esc_Turno,'Calc_Mix'!$C$26,Esc_Circ,$B118)+COUNTIFS(Esc_Turno,'Calc_Mix'!$C$26,Esc_Instr,$B118)&gt;0),"",IF(SUMPRODUCT('Calc_Mix'!$D$26:$W$26,'Matriz_Habilidades'!$D118:$W118)=0,"",SUMPRODUCT('Calc_Mix'!$D$26:$W$26,'Matriz_Habilidades'!$D118:$W118)/'Calc_Mix'!$X$26+ROW()*0.000001))</f>
        <v/>
      </c>
      <c r="AD118" s="34">
        <f>IF(OR($B118="",$C118&lt;&gt;"Ativo",$D118&lt;&gt;'Calc_Mix'!$C$27,'Calc_Mix'!$X$27=0,COUNTIFS(Esc_Turno,'Calc_Mix'!$C$27,Esc_Circ,$B118)+COUNTIFS(Esc_Turno,'Calc_Mix'!$C$27,Esc_Instr,$B118)&gt;0),"",IF(SUMPRODUCT('Calc_Mix'!$D$27:$W$27,'Matriz_Habilidades'!$D118:$W118)=0,"",SUMPRODUCT('Calc_Mix'!$D$27:$W$27,'Matriz_Habilidades'!$D118:$W118)/'Calc_Mix'!$X$27+ROW()*0.000001))</f>
        <v/>
      </c>
      <c r="AE118" s="34">
        <f>IF(OR($B118="",$C118&lt;&gt;"Ativo",$D118&lt;&gt;'Calc_Mix'!$C$28,'Calc_Mix'!$X$28=0,COUNTIFS(Esc_Turno,'Calc_Mix'!$C$28,Esc_Circ,$B118)+COUNTIFS(Esc_Turno,'Calc_Mix'!$C$28,Esc_Instr,$B118)&gt;0),"",IF(SUMPRODUCT('Calc_Mix'!$D$28:$W$28,'Matriz_Habilidades'!$D118:$W118)=0,"",SUMPRODUCT('Calc_Mix'!$D$28:$W$28,'Matriz_Habilidades'!$D118:$W118)/'Calc_Mix'!$X$28+ROW()*0.000001))</f>
        <v/>
      </c>
      <c r="AF118" s="34">
        <f>IF(OR($B118="",$C118&lt;&gt;"Ativo",$D118&lt;&gt;'Calc_Mix'!$C$29,'Calc_Mix'!$X$29=0,COUNTIFS(Esc_Turno,'Calc_Mix'!$C$29,Esc_Circ,$B118)+COUNTIFS(Esc_Turno,'Calc_Mix'!$C$29,Esc_Instr,$B118)&gt;0),"",IF(SUMPRODUCT('Calc_Mix'!$D$29:$W$29,'Matriz_Habilidades'!$D118:$W118)=0,"",SUMPRODUCT('Calc_Mix'!$D$29:$W$29,'Matriz_Habilidades'!$D118:$W118)/'Calc_Mix'!$X$29+ROW()*0.000001))</f>
        <v/>
      </c>
      <c r="AG118" s="34">
        <f>IF(OR($B118="",$C118&lt;&gt;"Ativo",$D118&lt;&gt;'Calc_Mix'!$C$30,'Calc_Mix'!$X$30=0,COUNTIFS(Esc_Turno,'Calc_Mix'!$C$30,Esc_Circ,$B118)+COUNTIFS(Esc_Turno,'Calc_Mix'!$C$30,Esc_Instr,$B118)&gt;0),"",IF(SUMPRODUCT('Calc_Mix'!$D$30:$W$30,'Matriz_Habilidades'!$D118:$W118)=0,"",SUMPRODUCT('Calc_Mix'!$D$30:$W$30,'Matriz_Habilidades'!$D118:$W118)/'Calc_Mix'!$X$30+ROW()*0.000001))</f>
        <v/>
      </c>
      <c r="AH118" s="34">
        <f>IF(OR($B118="",$C118&lt;&gt;"Ativo",$D118&lt;&gt;'Calc_Mix'!$C$31,'Calc_Mix'!$X$31=0,COUNTIFS(Esc_Turno,'Calc_Mix'!$C$31,Esc_Circ,$B118)+COUNTIFS(Esc_Turno,'Calc_Mix'!$C$31,Esc_Instr,$B118)&gt;0),"",IF(SUMPRODUCT('Calc_Mix'!$D$31:$W$31,'Matriz_Habilidades'!$D118:$W118)=0,"",SUMPRODUCT('Calc_Mix'!$D$31:$W$31,'Matriz_Habilidades'!$D118:$W118)/'Calc_Mix'!$X$31+ROW()*0.000001))</f>
        <v/>
      </c>
      <c r="AI118" s="34">
        <f>IF(OR($B118="",$C118&lt;&gt;"Ativo",$D118&lt;&gt;'Calc_Mix'!$C$32,'Calc_Mix'!$X$32=0,COUNTIFS(Esc_Turno,'Calc_Mix'!$C$32,Esc_Circ,$B118)+COUNTIFS(Esc_Turno,'Calc_Mix'!$C$32,Esc_Instr,$B118)&gt;0),"",IF(SUMPRODUCT('Calc_Mix'!$D$32:$W$32,'Matriz_Habilidades'!$D118:$W118)=0,"",SUMPRODUCT('Calc_Mix'!$D$32:$W$32,'Matriz_Habilidades'!$D118:$W118)/'Calc_Mix'!$X$32+ROW()*0.000001))</f>
        <v/>
      </c>
      <c r="AJ118" s="34">
        <f>IF(OR($B118="",$C118&lt;&gt;"Ativo",$D118&lt;&gt;'Calc_Mix'!$C$33,'Calc_Mix'!$X$33=0,COUNTIFS(Esc_Turno,'Calc_Mix'!$C$33,Esc_Circ,$B118)+COUNTIFS(Esc_Turno,'Calc_Mix'!$C$33,Esc_Instr,$B118)&gt;0),"",IF(SUMPRODUCT('Calc_Mix'!$D$33:$W$33,'Matriz_Habilidades'!$D118:$W118)=0,"",SUMPRODUCT('Calc_Mix'!$D$33:$W$33,'Matriz_Habilidades'!$D118:$W118)/'Calc_Mix'!$X$33+ROW()*0.000001))</f>
        <v/>
      </c>
      <c r="AK118" s="34">
        <f>IF(OR($B118="",$C118&lt;&gt;"Ativo",$D118&lt;&gt;'Calc_Mix'!$C$34,'Calc_Mix'!$X$34=0,COUNTIFS(Esc_Turno,'Calc_Mix'!$C$34,Esc_Circ,$B118)+COUNTIFS(Esc_Turno,'Calc_Mix'!$C$34,Esc_Instr,$B118)&gt;0),"",IF(SUMPRODUCT('Calc_Mix'!$D$34:$W$34,'Matriz_Habilidades'!$D118:$W118)=0,"",SUMPRODUCT('Calc_Mix'!$D$34:$W$34,'Matriz_Habilidades'!$D118:$W118)/'Calc_Mix'!$X$34+ROW()*0.000001))</f>
        <v/>
      </c>
      <c r="AL118" s="34">
        <f>IF(OR($B118="",$C118&lt;&gt;"Ativo",$D118&lt;&gt;'Calc_Mix'!$C$35,'Calc_Mix'!$X$35=0,COUNTIFS(Esc_Turno,'Calc_Mix'!$C$35,Esc_Circ,$B118)+COUNTIFS(Esc_Turno,'Calc_Mix'!$C$35,Esc_Instr,$B118)&gt;0),"",IF(SUMPRODUCT('Calc_Mix'!$D$35:$W$35,'Matriz_Habilidades'!$D118:$W118)=0,"",SUMPRODUCT('Calc_Mix'!$D$35:$W$35,'Matriz_Habilidades'!$D118:$W118)/'Calc_Mix'!$X$35+ROW()*0.000001))</f>
        <v/>
      </c>
      <c r="AM118" s="34">
        <f>IF(OR($B118="",$C118&lt;&gt;"Ativo",$D118&lt;&gt;'Calc_Mix'!$C$36,'Calc_Mix'!$X$36=0,COUNTIFS(Esc_Turno,'Calc_Mix'!$C$36,Esc_Circ,$B118)+COUNTIFS(Esc_Turno,'Calc_Mix'!$C$36,Esc_Instr,$B118)&gt;0),"",IF(SUMPRODUCT('Calc_Mix'!$D$36:$W$36,'Matriz_Habilidades'!$D118:$W118)=0,"",SUMPRODUCT('Calc_Mix'!$D$36:$W$36,'Matriz_Habilidades'!$D118:$W118)/'Calc_Mix'!$X$36+ROW()*0.000001))</f>
        <v/>
      </c>
      <c r="AN118" s="34">
        <f>IF(OR($B118="",$C118&lt;&gt;"Ativo",$D118&lt;&gt;'Calc_Mix'!$C$37,'Calc_Mix'!$X$37=0,COUNTIFS(Esc_Turno,'Calc_Mix'!$C$37,Esc_Circ,$B118)+COUNTIFS(Esc_Turno,'Calc_Mix'!$C$37,Esc_Instr,$B118)&gt;0),"",IF(SUMPRODUCT('Calc_Mix'!$D$37:$W$37,'Matriz_Habilidades'!$D118:$W118)=0,"",SUMPRODUCT('Calc_Mix'!$D$37:$W$37,'Matriz_Habilidades'!$D118:$W118)/'Calc_Mix'!$X$37+ROW()*0.000001))</f>
        <v/>
      </c>
    </row>
    <row r="119">
      <c r="A119" s="27">
        <f>IF('Matriz_Habilidades'!A119="","",'Matriz_Habilidades'!A119)</f>
        <v/>
      </c>
      <c r="B119" s="28">
        <f>IF('Matriz_Habilidades'!B119="","",'Matriz_Habilidades'!B119)</f>
        <v/>
      </c>
      <c r="C119" s="27">
        <f>IF($A119="","",IFERROR(INDEX(Equipe_Status,MATCH($B119,Equipe_Nome,0)),"?"))</f>
        <v/>
      </c>
      <c r="D119" s="27">
        <f>IF($A119="","",IFERROR(INDEX(Equipe_Turno,MATCH($B119,Equipe_Nome,0)),"?"))</f>
        <v/>
      </c>
      <c r="E119" s="34">
        <f>IF(OR($B119="",$C119&lt;&gt;"Ativo",$D119&lt;&gt;'Calc_Mix'!$C$2,'Calc_Mix'!$X$2=0,COUNTIFS(Esc_Turno,'Calc_Mix'!$C$2,Esc_Circ,$B119)+COUNTIFS(Esc_Turno,'Calc_Mix'!$C$2,Esc_Instr,$B119)&gt;0),"",IF(SUMPRODUCT('Calc_Mix'!$D$2:$W$2,'Matriz_Habilidades'!$D119:$W119)=0,"",SUMPRODUCT('Calc_Mix'!$D$2:$W$2,'Matriz_Habilidades'!$D119:$W119)/'Calc_Mix'!$X$2+ROW()*0.000001))</f>
        <v/>
      </c>
      <c r="F119" s="34">
        <f>IF(OR($B119="",$C119&lt;&gt;"Ativo",$D119&lt;&gt;'Calc_Mix'!$C$3,'Calc_Mix'!$X$3=0,COUNTIFS(Esc_Turno,'Calc_Mix'!$C$3,Esc_Circ,$B119)+COUNTIFS(Esc_Turno,'Calc_Mix'!$C$3,Esc_Instr,$B119)&gt;0),"",IF(SUMPRODUCT('Calc_Mix'!$D$3:$W$3,'Matriz_Habilidades'!$D119:$W119)=0,"",SUMPRODUCT('Calc_Mix'!$D$3:$W$3,'Matriz_Habilidades'!$D119:$W119)/'Calc_Mix'!$X$3+ROW()*0.000001))</f>
        <v/>
      </c>
      <c r="G119" s="34">
        <f>IF(OR($B119="",$C119&lt;&gt;"Ativo",$D119&lt;&gt;'Calc_Mix'!$C$4,'Calc_Mix'!$X$4=0,COUNTIFS(Esc_Turno,'Calc_Mix'!$C$4,Esc_Circ,$B119)+COUNTIFS(Esc_Turno,'Calc_Mix'!$C$4,Esc_Instr,$B119)&gt;0),"",IF(SUMPRODUCT('Calc_Mix'!$D$4:$W$4,'Matriz_Habilidades'!$D119:$W119)=0,"",SUMPRODUCT('Calc_Mix'!$D$4:$W$4,'Matriz_Habilidades'!$D119:$W119)/'Calc_Mix'!$X$4+ROW()*0.000001))</f>
        <v/>
      </c>
      <c r="H119" s="34">
        <f>IF(OR($B119="",$C119&lt;&gt;"Ativo",$D119&lt;&gt;'Calc_Mix'!$C$5,'Calc_Mix'!$X$5=0,COUNTIFS(Esc_Turno,'Calc_Mix'!$C$5,Esc_Circ,$B119)+COUNTIFS(Esc_Turno,'Calc_Mix'!$C$5,Esc_Instr,$B119)&gt;0),"",IF(SUMPRODUCT('Calc_Mix'!$D$5:$W$5,'Matriz_Habilidades'!$D119:$W119)=0,"",SUMPRODUCT('Calc_Mix'!$D$5:$W$5,'Matriz_Habilidades'!$D119:$W119)/'Calc_Mix'!$X$5+ROW()*0.000001))</f>
        <v/>
      </c>
      <c r="I119" s="34">
        <f>IF(OR($B119="",$C119&lt;&gt;"Ativo",$D119&lt;&gt;'Calc_Mix'!$C$6,'Calc_Mix'!$X$6=0,COUNTIFS(Esc_Turno,'Calc_Mix'!$C$6,Esc_Circ,$B119)+COUNTIFS(Esc_Turno,'Calc_Mix'!$C$6,Esc_Instr,$B119)&gt;0),"",IF(SUMPRODUCT('Calc_Mix'!$D$6:$W$6,'Matriz_Habilidades'!$D119:$W119)=0,"",SUMPRODUCT('Calc_Mix'!$D$6:$W$6,'Matriz_Habilidades'!$D119:$W119)/'Calc_Mix'!$X$6+ROW()*0.000001))</f>
        <v/>
      </c>
      <c r="J119" s="34">
        <f>IF(OR($B119="",$C119&lt;&gt;"Ativo",$D119&lt;&gt;'Calc_Mix'!$C$7,'Calc_Mix'!$X$7=0,COUNTIFS(Esc_Turno,'Calc_Mix'!$C$7,Esc_Circ,$B119)+COUNTIFS(Esc_Turno,'Calc_Mix'!$C$7,Esc_Instr,$B119)&gt;0),"",IF(SUMPRODUCT('Calc_Mix'!$D$7:$W$7,'Matriz_Habilidades'!$D119:$W119)=0,"",SUMPRODUCT('Calc_Mix'!$D$7:$W$7,'Matriz_Habilidades'!$D119:$W119)/'Calc_Mix'!$X$7+ROW()*0.000001))</f>
        <v/>
      </c>
      <c r="K119" s="34">
        <f>IF(OR($B119="",$C119&lt;&gt;"Ativo",$D119&lt;&gt;'Calc_Mix'!$C$8,'Calc_Mix'!$X$8=0,COUNTIFS(Esc_Turno,'Calc_Mix'!$C$8,Esc_Circ,$B119)+COUNTIFS(Esc_Turno,'Calc_Mix'!$C$8,Esc_Instr,$B119)&gt;0),"",IF(SUMPRODUCT('Calc_Mix'!$D$8:$W$8,'Matriz_Habilidades'!$D119:$W119)=0,"",SUMPRODUCT('Calc_Mix'!$D$8:$W$8,'Matriz_Habilidades'!$D119:$W119)/'Calc_Mix'!$X$8+ROW()*0.000001))</f>
        <v/>
      </c>
      <c r="L119" s="34">
        <f>IF(OR($B119="",$C119&lt;&gt;"Ativo",$D119&lt;&gt;'Calc_Mix'!$C$9,'Calc_Mix'!$X$9=0,COUNTIFS(Esc_Turno,'Calc_Mix'!$C$9,Esc_Circ,$B119)+COUNTIFS(Esc_Turno,'Calc_Mix'!$C$9,Esc_Instr,$B119)&gt;0),"",IF(SUMPRODUCT('Calc_Mix'!$D$9:$W$9,'Matriz_Habilidades'!$D119:$W119)=0,"",SUMPRODUCT('Calc_Mix'!$D$9:$W$9,'Matriz_Habilidades'!$D119:$W119)/'Calc_Mix'!$X$9+ROW()*0.000001))</f>
        <v/>
      </c>
      <c r="M119" s="34">
        <f>IF(OR($B119="",$C119&lt;&gt;"Ativo",$D119&lt;&gt;'Calc_Mix'!$C$10,'Calc_Mix'!$X$10=0,COUNTIFS(Esc_Turno,'Calc_Mix'!$C$10,Esc_Circ,$B119)+COUNTIFS(Esc_Turno,'Calc_Mix'!$C$10,Esc_Instr,$B119)&gt;0),"",IF(SUMPRODUCT('Calc_Mix'!$D$10:$W$10,'Matriz_Habilidades'!$D119:$W119)=0,"",SUMPRODUCT('Calc_Mix'!$D$10:$W$10,'Matriz_Habilidades'!$D119:$W119)/'Calc_Mix'!$X$10+ROW()*0.000001))</f>
        <v/>
      </c>
      <c r="N119" s="34">
        <f>IF(OR($B119="",$C119&lt;&gt;"Ativo",$D119&lt;&gt;'Calc_Mix'!$C$11,'Calc_Mix'!$X$11=0,COUNTIFS(Esc_Turno,'Calc_Mix'!$C$11,Esc_Circ,$B119)+COUNTIFS(Esc_Turno,'Calc_Mix'!$C$11,Esc_Instr,$B119)&gt;0),"",IF(SUMPRODUCT('Calc_Mix'!$D$11:$W$11,'Matriz_Habilidades'!$D119:$W119)=0,"",SUMPRODUCT('Calc_Mix'!$D$11:$W$11,'Matriz_Habilidades'!$D119:$W119)/'Calc_Mix'!$X$11+ROW()*0.000001))</f>
        <v/>
      </c>
      <c r="O119" s="34">
        <f>IF(OR($B119="",$C119&lt;&gt;"Ativo",$D119&lt;&gt;'Calc_Mix'!$C$12,'Calc_Mix'!$X$12=0,COUNTIFS(Esc_Turno,'Calc_Mix'!$C$12,Esc_Circ,$B119)+COUNTIFS(Esc_Turno,'Calc_Mix'!$C$12,Esc_Instr,$B119)&gt;0),"",IF(SUMPRODUCT('Calc_Mix'!$D$12:$W$12,'Matriz_Habilidades'!$D119:$W119)=0,"",SUMPRODUCT('Calc_Mix'!$D$12:$W$12,'Matriz_Habilidades'!$D119:$W119)/'Calc_Mix'!$X$12+ROW()*0.000001))</f>
        <v/>
      </c>
      <c r="P119" s="34">
        <f>IF(OR($B119="",$C119&lt;&gt;"Ativo",$D119&lt;&gt;'Calc_Mix'!$C$13,'Calc_Mix'!$X$13=0,COUNTIFS(Esc_Turno,'Calc_Mix'!$C$13,Esc_Circ,$B119)+COUNTIFS(Esc_Turno,'Calc_Mix'!$C$13,Esc_Instr,$B119)&gt;0),"",IF(SUMPRODUCT('Calc_Mix'!$D$13:$W$13,'Matriz_Habilidades'!$D119:$W119)=0,"",SUMPRODUCT('Calc_Mix'!$D$13:$W$13,'Matriz_Habilidades'!$D119:$W119)/'Calc_Mix'!$X$13+ROW()*0.000001))</f>
        <v/>
      </c>
      <c r="Q119" s="34">
        <f>IF(OR($B119="",$C119&lt;&gt;"Ativo",$D119&lt;&gt;'Calc_Mix'!$C$14,'Calc_Mix'!$X$14=0,COUNTIFS(Esc_Turno,'Calc_Mix'!$C$14,Esc_Circ,$B119)+COUNTIFS(Esc_Turno,'Calc_Mix'!$C$14,Esc_Instr,$B119)&gt;0),"",IF(SUMPRODUCT('Calc_Mix'!$D$14:$W$14,'Matriz_Habilidades'!$D119:$W119)=0,"",SUMPRODUCT('Calc_Mix'!$D$14:$W$14,'Matriz_Habilidades'!$D119:$W119)/'Calc_Mix'!$X$14+ROW()*0.000001))</f>
        <v/>
      </c>
      <c r="R119" s="34">
        <f>IF(OR($B119="",$C119&lt;&gt;"Ativo",$D119&lt;&gt;'Calc_Mix'!$C$15,'Calc_Mix'!$X$15=0,COUNTIFS(Esc_Turno,'Calc_Mix'!$C$15,Esc_Circ,$B119)+COUNTIFS(Esc_Turno,'Calc_Mix'!$C$15,Esc_Instr,$B119)&gt;0),"",IF(SUMPRODUCT('Calc_Mix'!$D$15:$W$15,'Matriz_Habilidades'!$D119:$W119)=0,"",SUMPRODUCT('Calc_Mix'!$D$15:$W$15,'Matriz_Habilidades'!$D119:$W119)/'Calc_Mix'!$X$15+ROW()*0.000001))</f>
        <v/>
      </c>
      <c r="S119" s="34">
        <f>IF(OR($B119="",$C119&lt;&gt;"Ativo",$D119&lt;&gt;'Calc_Mix'!$C$16,'Calc_Mix'!$X$16=0,COUNTIFS(Esc_Turno,'Calc_Mix'!$C$16,Esc_Circ,$B119)+COUNTIFS(Esc_Turno,'Calc_Mix'!$C$16,Esc_Instr,$B119)&gt;0),"",IF(SUMPRODUCT('Calc_Mix'!$D$16:$W$16,'Matriz_Habilidades'!$D119:$W119)=0,"",SUMPRODUCT('Calc_Mix'!$D$16:$W$16,'Matriz_Habilidades'!$D119:$W119)/'Calc_Mix'!$X$16+ROW()*0.000001))</f>
        <v/>
      </c>
      <c r="T119" s="34">
        <f>IF(OR($B119="",$C119&lt;&gt;"Ativo",$D119&lt;&gt;'Calc_Mix'!$C$17,'Calc_Mix'!$X$17=0,COUNTIFS(Esc_Turno,'Calc_Mix'!$C$17,Esc_Circ,$B119)+COUNTIFS(Esc_Turno,'Calc_Mix'!$C$17,Esc_Instr,$B119)&gt;0),"",IF(SUMPRODUCT('Calc_Mix'!$D$17:$W$17,'Matriz_Habilidades'!$D119:$W119)=0,"",SUMPRODUCT('Calc_Mix'!$D$17:$W$17,'Matriz_Habilidades'!$D119:$W119)/'Calc_Mix'!$X$17+ROW()*0.000001))</f>
        <v/>
      </c>
      <c r="U119" s="34">
        <f>IF(OR($B119="",$C119&lt;&gt;"Ativo",$D119&lt;&gt;'Calc_Mix'!$C$18,'Calc_Mix'!$X$18=0,COUNTIFS(Esc_Turno,'Calc_Mix'!$C$18,Esc_Circ,$B119)+COUNTIFS(Esc_Turno,'Calc_Mix'!$C$18,Esc_Instr,$B119)&gt;0),"",IF(SUMPRODUCT('Calc_Mix'!$D$18:$W$18,'Matriz_Habilidades'!$D119:$W119)=0,"",SUMPRODUCT('Calc_Mix'!$D$18:$W$18,'Matriz_Habilidades'!$D119:$W119)/'Calc_Mix'!$X$18+ROW()*0.000001))</f>
        <v/>
      </c>
      <c r="V119" s="34">
        <f>IF(OR($B119="",$C119&lt;&gt;"Ativo",$D119&lt;&gt;'Calc_Mix'!$C$19,'Calc_Mix'!$X$19=0,COUNTIFS(Esc_Turno,'Calc_Mix'!$C$19,Esc_Circ,$B119)+COUNTIFS(Esc_Turno,'Calc_Mix'!$C$19,Esc_Instr,$B119)&gt;0),"",IF(SUMPRODUCT('Calc_Mix'!$D$19:$W$19,'Matriz_Habilidades'!$D119:$W119)=0,"",SUMPRODUCT('Calc_Mix'!$D$19:$W$19,'Matriz_Habilidades'!$D119:$W119)/'Calc_Mix'!$X$19+ROW()*0.000001))</f>
        <v/>
      </c>
      <c r="W119" s="34">
        <f>IF(OR($B119="",$C119&lt;&gt;"Ativo",$D119&lt;&gt;'Calc_Mix'!$C$20,'Calc_Mix'!$X$20=0,COUNTIFS(Esc_Turno,'Calc_Mix'!$C$20,Esc_Circ,$B119)+COUNTIFS(Esc_Turno,'Calc_Mix'!$C$20,Esc_Instr,$B119)&gt;0),"",IF(SUMPRODUCT('Calc_Mix'!$D$20:$W$20,'Matriz_Habilidades'!$D119:$W119)=0,"",SUMPRODUCT('Calc_Mix'!$D$20:$W$20,'Matriz_Habilidades'!$D119:$W119)/'Calc_Mix'!$X$20+ROW()*0.000001))</f>
        <v/>
      </c>
      <c r="X119" s="34">
        <f>IF(OR($B119="",$C119&lt;&gt;"Ativo",$D119&lt;&gt;'Calc_Mix'!$C$21,'Calc_Mix'!$X$21=0,COUNTIFS(Esc_Turno,'Calc_Mix'!$C$21,Esc_Circ,$B119)+COUNTIFS(Esc_Turno,'Calc_Mix'!$C$21,Esc_Instr,$B119)&gt;0),"",IF(SUMPRODUCT('Calc_Mix'!$D$21:$W$21,'Matriz_Habilidades'!$D119:$W119)=0,"",SUMPRODUCT('Calc_Mix'!$D$21:$W$21,'Matriz_Habilidades'!$D119:$W119)/'Calc_Mix'!$X$21+ROW()*0.000001))</f>
        <v/>
      </c>
      <c r="Y119" s="34">
        <f>IF(OR($B119="",$C119&lt;&gt;"Ativo",$D119&lt;&gt;'Calc_Mix'!$C$22,'Calc_Mix'!$X$22=0,COUNTIFS(Esc_Turno,'Calc_Mix'!$C$22,Esc_Circ,$B119)+COUNTIFS(Esc_Turno,'Calc_Mix'!$C$22,Esc_Instr,$B119)&gt;0),"",IF(SUMPRODUCT('Calc_Mix'!$D$22:$W$22,'Matriz_Habilidades'!$D119:$W119)=0,"",SUMPRODUCT('Calc_Mix'!$D$22:$W$22,'Matriz_Habilidades'!$D119:$W119)/'Calc_Mix'!$X$22+ROW()*0.000001))</f>
        <v/>
      </c>
      <c r="Z119" s="34">
        <f>IF(OR($B119="",$C119&lt;&gt;"Ativo",$D119&lt;&gt;'Calc_Mix'!$C$23,'Calc_Mix'!$X$23=0,COUNTIFS(Esc_Turno,'Calc_Mix'!$C$23,Esc_Circ,$B119)+COUNTIFS(Esc_Turno,'Calc_Mix'!$C$23,Esc_Instr,$B119)&gt;0),"",IF(SUMPRODUCT('Calc_Mix'!$D$23:$W$23,'Matriz_Habilidades'!$D119:$W119)=0,"",SUMPRODUCT('Calc_Mix'!$D$23:$W$23,'Matriz_Habilidades'!$D119:$W119)/'Calc_Mix'!$X$23+ROW()*0.000001))</f>
        <v/>
      </c>
      <c r="AA119" s="34">
        <f>IF(OR($B119="",$C119&lt;&gt;"Ativo",$D119&lt;&gt;'Calc_Mix'!$C$24,'Calc_Mix'!$X$24=0,COUNTIFS(Esc_Turno,'Calc_Mix'!$C$24,Esc_Circ,$B119)+COUNTIFS(Esc_Turno,'Calc_Mix'!$C$24,Esc_Instr,$B119)&gt;0),"",IF(SUMPRODUCT('Calc_Mix'!$D$24:$W$24,'Matriz_Habilidades'!$D119:$W119)=0,"",SUMPRODUCT('Calc_Mix'!$D$24:$W$24,'Matriz_Habilidades'!$D119:$W119)/'Calc_Mix'!$X$24+ROW()*0.000001))</f>
        <v/>
      </c>
      <c r="AB119" s="34">
        <f>IF(OR($B119="",$C119&lt;&gt;"Ativo",$D119&lt;&gt;'Calc_Mix'!$C$25,'Calc_Mix'!$X$25=0,COUNTIFS(Esc_Turno,'Calc_Mix'!$C$25,Esc_Circ,$B119)+COUNTIFS(Esc_Turno,'Calc_Mix'!$C$25,Esc_Instr,$B119)&gt;0),"",IF(SUMPRODUCT('Calc_Mix'!$D$25:$W$25,'Matriz_Habilidades'!$D119:$W119)=0,"",SUMPRODUCT('Calc_Mix'!$D$25:$W$25,'Matriz_Habilidades'!$D119:$W119)/'Calc_Mix'!$X$25+ROW()*0.000001))</f>
        <v/>
      </c>
      <c r="AC119" s="34">
        <f>IF(OR($B119="",$C119&lt;&gt;"Ativo",$D119&lt;&gt;'Calc_Mix'!$C$26,'Calc_Mix'!$X$26=0,COUNTIFS(Esc_Turno,'Calc_Mix'!$C$26,Esc_Circ,$B119)+COUNTIFS(Esc_Turno,'Calc_Mix'!$C$26,Esc_Instr,$B119)&gt;0),"",IF(SUMPRODUCT('Calc_Mix'!$D$26:$W$26,'Matriz_Habilidades'!$D119:$W119)=0,"",SUMPRODUCT('Calc_Mix'!$D$26:$W$26,'Matriz_Habilidades'!$D119:$W119)/'Calc_Mix'!$X$26+ROW()*0.000001))</f>
        <v/>
      </c>
      <c r="AD119" s="34">
        <f>IF(OR($B119="",$C119&lt;&gt;"Ativo",$D119&lt;&gt;'Calc_Mix'!$C$27,'Calc_Mix'!$X$27=0,COUNTIFS(Esc_Turno,'Calc_Mix'!$C$27,Esc_Circ,$B119)+COUNTIFS(Esc_Turno,'Calc_Mix'!$C$27,Esc_Instr,$B119)&gt;0),"",IF(SUMPRODUCT('Calc_Mix'!$D$27:$W$27,'Matriz_Habilidades'!$D119:$W119)=0,"",SUMPRODUCT('Calc_Mix'!$D$27:$W$27,'Matriz_Habilidades'!$D119:$W119)/'Calc_Mix'!$X$27+ROW()*0.000001))</f>
        <v/>
      </c>
      <c r="AE119" s="34">
        <f>IF(OR($B119="",$C119&lt;&gt;"Ativo",$D119&lt;&gt;'Calc_Mix'!$C$28,'Calc_Mix'!$X$28=0,COUNTIFS(Esc_Turno,'Calc_Mix'!$C$28,Esc_Circ,$B119)+COUNTIFS(Esc_Turno,'Calc_Mix'!$C$28,Esc_Instr,$B119)&gt;0),"",IF(SUMPRODUCT('Calc_Mix'!$D$28:$W$28,'Matriz_Habilidades'!$D119:$W119)=0,"",SUMPRODUCT('Calc_Mix'!$D$28:$W$28,'Matriz_Habilidades'!$D119:$W119)/'Calc_Mix'!$X$28+ROW()*0.000001))</f>
        <v/>
      </c>
      <c r="AF119" s="34">
        <f>IF(OR($B119="",$C119&lt;&gt;"Ativo",$D119&lt;&gt;'Calc_Mix'!$C$29,'Calc_Mix'!$X$29=0,COUNTIFS(Esc_Turno,'Calc_Mix'!$C$29,Esc_Circ,$B119)+COUNTIFS(Esc_Turno,'Calc_Mix'!$C$29,Esc_Instr,$B119)&gt;0),"",IF(SUMPRODUCT('Calc_Mix'!$D$29:$W$29,'Matriz_Habilidades'!$D119:$W119)=0,"",SUMPRODUCT('Calc_Mix'!$D$29:$W$29,'Matriz_Habilidades'!$D119:$W119)/'Calc_Mix'!$X$29+ROW()*0.000001))</f>
        <v/>
      </c>
      <c r="AG119" s="34">
        <f>IF(OR($B119="",$C119&lt;&gt;"Ativo",$D119&lt;&gt;'Calc_Mix'!$C$30,'Calc_Mix'!$X$30=0,COUNTIFS(Esc_Turno,'Calc_Mix'!$C$30,Esc_Circ,$B119)+COUNTIFS(Esc_Turno,'Calc_Mix'!$C$30,Esc_Instr,$B119)&gt;0),"",IF(SUMPRODUCT('Calc_Mix'!$D$30:$W$30,'Matriz_Habilidades'!$D119:$W119)=0,"",SUMPRODUCT('Calc_Mix'!$D$30:$W$30,'Matriz_Habilidades'!$D119:$W119)/'Calc_Mix'!$X$30+ROW()*0.000001))</f>
        <v/>
      </c>
      <c r="AH119" s="34">
        <f>IF(OR($B119="",$C119&lt;&gt;"Ativo",$D119&lt;&gt;'Calc_Mix'!$C$31,'Calc_Mix'!$X$31=0,COUNTIFS(Esc_Turno,'Calc_Mix'!$C$31,Esc_Circ,$B119)+COUNTIFS(Esc_Turno,'Calc_Mix'!$C$31,Esc_Instr,$B119)&gt;0),"",IF(SUMPRODUCT('Calc_Mix'!$D$31:$W$31,'Matriz_Habilidades'!$D119:$W119)=0,"",SUMPRODUCT('Calc_Mix'!$D$31:$W$31,'Matriz_Habilidades'!$D119:$W119)/'Calc_Mix'!$X$31+ROW()*0.000001))</f>
        <v/>
      </c>
      <c r="AI119" s="34">
        <f>IF(OR($B119="",$C119&lt;&gt;"Ativo",$D119&lt;&gt;'Calc_Mix'!$C$32,'Calc_Mix'!$X$32=0,COUNTIFS(Esc_Turno,'Calc_Mix'!$C$32,Esc_Circ,$B119)+COUNTIFS(Esc_Turno,'Calc_Mix'!$C$32,Esc_Instr,$B119)&gt;0),"",IF(SUMPRODUCT('Calc_Mix'!$D$32:$W$32,'Matriz_Habilidades'!$D119:$W119)=0,"",SUMPRODUCT('Calc_Mix'!$D$32:$W$32,'Matriz_Habilidades'!$D119:$W119)/'Calc_Mix'!$X$32+ROW()*0.000001))</f>
        <v/>
      </c>
      <c r="AJ119" s="34">
        <f>IF(OR($B119="",$C119&lt;&gt;"Ativo",$D119&lt;&gt;'Calc_Mix'!$C$33,'Calc_Mix'!$X$33=0,COUNTIFS(Esc_Turno,'Calc_Mix'!$C$33,Esc_Circ,$B119)+COUNTIFS(Esc_Turno,'Calc_Mix'!$C$33,Esc_Instr,$B119)&gt;0),"",IF(SUMPRODUCT('Calc_Mix'!$D$33:$W$33,'Matriz_Habilidades'!$D119:$W119)=0,"",SUMPRODUCT('Calc_Mix'!$D$33:$W$33,'Matriz_Habilidades'!$D119:$W119)/'Calc_Mix'!$X$33+ROW()*0.000001))</f>
        <v/>
      </c>
      <c r="AK119" s="34">
        <f>IF(OR($B119="",$C119&lt;&gt;"Ativo",$D119&lt;&gt;'Calc_Mix'!$C$34,'Calc_Mix'!$X$34=0,COUNTIFS(Esc_Turno,'Calc_Mix'!$C$34,Esc_Circ,$B119)+COUNTIFS(Esc_Turno,'Calc_Mix'!$C$34,Esc_Instr,$B119)&gt;0),"",IF(SUMPRODUCT('Calc_Mix'!$D$34:$W$34,'Matriz_Habilidades'!$D119:$W119)=0,"",SUMPRODUCT('Calc_Mix'!$D$34:$W$34,'Matriz_Habilidades'!$D119:$W119)/'Calc_Mix'!$X$34+ROW()*0.000001))</f>
        <v/>
      </c>
      <c r="AL119" s="34">
        <f>IF(OR($B119="",$C119&lt;&gt;"Ativo",$D119&lt;&gt;'Calc_Mix'!$C$35,'Calc_Mix'!$X$35=0,COUNTIFS(Esc_Turno,'Calc_Mix'!$C$35,Esc_Circ,$B119)+COUNTIFS(Esc_Turno,'Calc_Mix'!$C$35,Esc_Instr,$B119)&gt;0),"",IF(SUMPRODUCT('Calc_Mix'!$D$35:$W$35,'Matriz_Habilidades'!$D119:$W119)=0,"",SUMPRODUCT('Calc_Mix'!$D$35:$W$35,'Matriz_Habilidades'!$D119:$W119)/'Calc_Mix'!$X$35+ROW()*0.000001))</f>
        <v/>
      </c>
      <c r="AM119" s="34">
        <f>IF(OR($B119="",$C119&lt;&gt;"Ativo",$D119&lt;&gt;'Calc_Mix'!$C$36,'Calc_Mix'!$X$36=0,COUNTIFS(Esc_Turno,'Calc_Mix'!$C$36,Esc_Circ,$B119)+COUNTIFS(Esc_Turno,'Calc_Mix'!$C$36,Esc_Instr,$B119)&gt;0),"",IF(SUMPRODUCT('Calc_Mix'!$D$36:$W$36,'Matriz_Habilidades'!$D119:$W119)=0,"",SUMPRODUCT('Calc_Mix'!$D$36:$W$36,'Matriz_Habilidades'!$D119:$W119)/'Calc_Mix'!$X$36+ROW()*0.000001))</f>
        <v/>
      </c>
      <c r="AN119" s="34">
        <f>IF(OR($B119="",$C119&lt;&gt;"Ativo",$D119&lt;&gt;'Calc_Mix'!$C$37,'Calc_Mix'!$X$37=0,COUNTIFS(Esc_Turno,'Calc_Mix'!$C$37,Esc_Circ,$B119)+COUNTIFS(Esc_Turno,'Calc_Mix'!$C$37,Esc_Instr,$B119)&gt;0),"",IF(SUMPRODUCT('Calc_Mix'!$D$37:$W$37,'Matriz_Habilidades'!$D119:$W119)=0,"",SUMPRODUCT('Calc_Mix'!$D$37:$W$37,'Matriz_Habilidades'!$D119:$W119)/'Calc_Mix'!$X$37+ROW()*0.000001))</f>
        <v/>
      </c>
    </row>
    <row r="120">
      <c r="A120" s="27">
        <f>IF('Matriz_Habilidades'!A120="","",'Matriz_Habilidades'!A120)</f>
        <v/>
      </c>
      <c r="B120" s="28">
        <f>IF('Matriz_Habilidades'!B120="","",'Matriz_Habilidades'!B120)</f>
        <v/>
      </c>
      <c r="C120" s="27">
        <f>IF($A120="","",IFERROR(INDEX(Equipe_Status,MATCH($B120,Equipe_Nome,0)),"?"))</f>
        <v/>
      </c>
      <c r="D120" s="27">
        <f>IF($A120="","",IFERROR(INDEX(Equipe_Turno,MATCH($B120,Equipe_Nome,0)),"?"))</f>
        <v/>
      </c>
      <c r="E120" s="34">
        <f>IF(OR($B120="",$C120&lt;&gt;"Ativo",$D120&lt;&gt;'Calc_Mix'!$C$2,'Calc_Mix'!$X$2=0,COUNTIFS(Esc_Turno,'Calc_Mix'!$C$2,Esc_Circ,$B120)+COUNTIFS(Esc_Turno,'Calc_Mix'!$C$2,Esc_Instr,$B120)&gt;0),"",IF(SUMPRODUCT('Calc_Mix'!$D$2:$W$2,'Matriz_Habilidades'!$D120:$W120)=0,"",SUMPRODUCT('Calc_Mix'!$D$2:$W$2,'Matriz_Habilidades'!$D120:$W120)/'Calc_Mix'!$X$2+ROW()*0.000001))</f>
        <v/>
      </c>
      <c r="F120" s="34">
        <f>IF(OR($B120="",$C120&lt;&gt;"Ativo",$D120&lt;&gt;'Calc_Mix'!$C$3,'Calc_Mix'!$X$3=0,COUNTIFS(Esc_Turno,'Calc_Mix'!$C$3,Esc_Circ,$B120)+COUNTIFS(Esc_Turno,'Calc_Mix'!$C$3,Esc_Instr,$B120)&gt;0),"",IF(SUMPRODUCT('Calc_Mix'!$D$3:$W$3,'Matriz_Habilidades'!$D120:$W120)=0,"",SUMPRODUCT('Calc_Mix'!$D$3:$W$3,'Matriz_Habilidades'!$D120:$W120)/'Calc_Mix'!$X$3+ROW()*0.000001))</f>
        <v/>
      </c>
      <c r="G120" s="34">
        <f>IF(OR($B120="",$C120&lt;&gt;"Ativo",$D120&lt;&gt;'Calc_Mix'!$C$4,'Calc_Mix'!$X$4=0,COUNTIFS(Esc_Turno,'Calc_Mix'!$C$4,Esc_Circ,$B120)+COUNTIFS(Esc_Turno,'Calc_Mix'!$C$4,Esc_Instr,$B120)&gt;0),"",IF(SUMPRODUCT('Calc_Mix'!$D$4:$W$4,'Matriz_Habilidades'!$D120:$W120)=0,"",SUMPRODUCT('Calc_Mix'!$D$4:$W$4,'Matriz_Habilidades'!$D120:$W120)/'Calc_Mix'!$X$4+ROW()*0.000001))</f>
        <v/>
      </c>
      <c r="H120" s="34">
        <f>IF(OR($B120="",$C120&lt;&gt;"Ativo",$D120&lt;&gt;'Calc_Mix'!$C$5,'Calc_Mix'!$X$5=0,COUNTIFS(Esc_Turno,'Calc_Mix'!$C$5,Esc_Circ,$B120)+COUNTIFS(Esc_Turno,'Calc_Mix'!$C$5,Esc_Instr,$B120)&gt;0),"",IF(SUMPRODUCT('Calc_Mix'!$D$5:$W$5,'Matriz_Habilidades'!$D120:$W120)=0,"",SUMPRODUCT('Calc_Mix'!$D$5:$W$5,'Matriz_Habilidades'!$D120:$W120)/'Calc_Mix'!$X$5+ROW()*0.000001))</f>
        <v/>
      </c>
      <c r="I120" s="34">
        <f>IF(OR($B120="",$C120&lt;&gt;"Ativo",$D120&lt;&gt;'Calc_Mix'!$C$6,'Calc_Mix'!$X$6=0,COUNTIFS(Esc_Turno,'Calc_Mix'!$C$6,Esc_Circ,$B120)+COUNTIFS(Esc_Turno,'Calc_Mix'!$C$6,Esc_Instr,$B120)&gt;0),"",IF(SUMPRODUCT('Calc_Mix'!$D$6:$W$6,'Matriz_Habilidades'!$D120:$W120)=0,"",SUMPRODUCT('Calc_Mix'!$D$6:$W$6,'Matriz_Habilidades'!$D120:$W120)/'Calc_Mix'!$X$6+ROW()*0.000001))</f>
        <v/>
      </c>
      <c r="J120" s="34">
        <f>IF(OR($B120="",$C120&lt;&gt;"Ativo",$D120&lt;&gt;'Calc_Mix'!$C$7,'Calc_Mix'!$X$7=0,COUNTIFS(Esc_Turno,'Calc_Mix'!$C$7,Esc_Circ,$B120)+COUNTIFS(Esc_Turno,'Calc_Mix'!$C$7,Esc_Instr,$B120)&gt;0),"",IF(SUMPRODUCT('Calc_Mix'!$D$7:$W$7,'Matriz_Habilidades'!$D120:$W120)=0,"",SUMPRODUCT('Calc_Mix'!$D$7:$W$7,'Matriz_Habilidades'!$D120:$W120)/'Calc_Mix'!$X$7+ROW()*0.000001))</f>
        <v/>
      </c>
      <c r="K120" s="34">
        <f>IF(OR($B120="",$C120&lt;&gt;"Ativo",$D120&lt;&gt;'Calc_Mix'!$C$8,'Calc_Mix'!$X$8=0,COUNTIFS(Esc_Turno,'Calc_Mix'!$C$8,Esc_Circ,$B120)+COUNTIFS(Esc_Turno,'Calc_Mix'!$C$8,Esc_Instr,$B120)&gt;0),"",IF(SUMPRODUCT('Calc_Mix'!$D$8:$W$8,'Matriz_Habilidades'!$D120:$W120)=0,"",SUMPRODUCT('Calc_Mix'!$D$8:$W$8,'Matriz_Habilidades'!$D120:$W120)/'Calc_Mix'!$X$8+ROW()*0.000001))</f>
        <v/>
      </c>
      <c r="L120" s="34">
        <f>IF(OR($B120="",$C120&lt;&gt;"Ativo",$D120&lt;&gt;'Calc_Mix'!$C$9,'Calc_Mix'!$X$9=0,COUNTIFS(Esc_Turno,'Calc_Mix'!$C$9,Esc_Circ,$B120)+COUNTIFS(Esc_Turno,'Calc_Mix'!$C$9,Esc_Instr,$B120)&gt;0),"",IF(SUMPRODUCT('Calc_Mix'!$D$9:$W$9,'Matriz_Habilidades'!$D120:$W120)=0,"",SUMPRODUCT('Calc_Mix'!$D$9:$W$9,'Matriz_Habilidades'!$D120:$W120)/'Calc_Mix'!$X$9+ROW()*0.000001))</f>
        <v/>
      </c>
      <c r="M120" s="34">
        <f>IF(OR($B120="",$C120&lt;&gt;"Ativo",$D120&lt;&gt;'Calc_Mix'!$C$10,'Calc_Mix'!$X$10=0,COUNTIFS(Esc_Turno,'Calc_Mix'!$C$10,Esc_Circ,$B120)+COUNTIFS(Esc_Turno,'Calc_Mix'!$C$10,Esc_Instr,$B120)&gt;0),"",IF(SUMPRODUCT('Calc_Mix'!$D$10:$W$10,'Matriz_Habilidades'!$D120:$W120)=0,"",SUMPRODUCT('Calc_Mix'!$D$10:$W$10,'Matriz_Habilidades'!$D120:$W120)/'Calc_Mix'!$X$10+ROW()*0.000001))</f>
        <v/>
      </c>
      <c r="N120" s="34">
        <f>IF(OR($B120="",$C120&lt;&gt;"Ativo",$D120&lt;&gt;'Calc_Mix'!$C$11,'Calc_Mix'!$X$11=0,COUNTIFS(Esc_Turno,'Calc_Mix'!$C$11,Esc_Circ,$B120)+COUNTIFS(Esc_Turno,'Calc_Mix'!$C$11,Esc_Instr,$B120)&gt;0),"",IF(SUMPRODUCT('Calc_Mix'!$D$11:$W$11,'Matriz_Habilidades'!$D120:$W120)=0,"",SUMPRODUCT('Calc_Mix'!$D$11:$W$11,'Matriz_Habilidades'!$D120:$W120)/'Calc_Mix'!$X$11+ROW()*0.000001))</f>
        <v/>
      </c>
      <c r="O120" s="34">
        <f>IF(OR($B120="",$C120&lt;&gt;"Ativo",$D120&lt;&gt;'Calc_Mix'!$C$12,'Calc_Mix'!$X$12=0,COUNTIFS(Esc_Turno,'Calc_Mix'!$C$12,Esc_Circ,$B120)+COUNTIFS(Esc_Turno,'Calc_Mix'!$C$12,Esc_Instr,$B120)&gt;0),"",IF(SUMPRODUCT('Calc_Mix'!$D$12:$W$12,'Matriz_Habilidades'!$D120:$W120)=0,"",SUMPRODUCT('Calc_Mix'!$D$12:$W$12,'Matriz_Habilidades'!$D120:$W120)/'Calc_Mix'!$X$12+ROW()*0.000001))</f>
        <v/>
      </c>
      <c r="P120" s="34">
        <f>IF(OR($B120="",$C120&lt;&gt;"Ativo",$D120&lt;&gt;'Calc_Mix'!$C$13,'Calc_Mix'!$X$13=0,COUNTIFS(Esc_Turno,'Calc_Mix'!$C$13,Esc_Circ,$B120)+COUNTIFS(Esc_Turno,'Calc_Mix'!$C$13,Esc_Instr,$B120)&gt;0),"",IF(SUMPRODUCT('Calc_Mix'!$D$13:$W$13,'Matriz_Habilidades'!$D120:$W120)=0,"",SUMPRODUCT('Calc_Mix'!$D$13:$W$13,'Matriz_Habilidades'!$D120:$W120)/'Calc_Mix'!$X$13+ROW()*0.000001))</f>
        <v/>
      </c>
      <c r="Q120" s="34">
        <f>IF(OR($B120="",$C120&lt;&gt;"Ativo",$D120&lt;&gt;'Calc_Mix'!$C$14,'Calc_Mix'!$X$14=0,COUNTIFS(Esc_Turno,'Calc_Mix'!$C$14,Esc_Circ,$B120)+COUNTIFS(Esc_Turno,'Calc_Mix'!$C$14,Esc_Instr,$B120)&gt;0),"",IF(SUMPRODUCT('Calc_Mix'!$D$14:$W$14,'Matriz_Habilidades'!$D120:$W120)=0,"",SUMPRODUCT('Calc_Mix'!$D$14:$W$14,'Matriz_Habilidades'!$D120:$W120)/'Calc_Mix'!$X$14+ROW()*0.000001))</f>
        <v/>
      </c>
      <c r="R120" s="34">
        <f>IF(OR($B120="",$C120&lt;&gt;"Ativo",$D120&lt;&gt;'Calc_Mix'!$C$15,'Calc_Mix'!$X$15=0,COUNTIFS(Esc_Turno,'Calc_Mix'!$C$15,Esc_Circ,$B120)+COUNTIFS(Esc_Turno,'Calc_Mix'!$C$15,Esc_Instr,$B120)&gt;0),"",IF(SUMPRODUCT('Calc_Mix'!$D$15:$W$15,'Matriz_Habilidades'!$D120:$W120)=0,"",SUMPRODUCT('Calc_Mix'!$D$15:$W$15,'Matriz_Habilidades'!$D120:$W120)/'Calc_Mix'!$X$15+ROW()*0.000001))</f>
        <v/>
      </c>
      <c r="S120" s="34">
        <f>IF(OR($B120="",$C120&lt;&gt;"Ativo",$D120&lt;&gt;'Calc_Mix'!$C$16,'Calc_Mix'!$X$16=0,COUNTIFS(Esc_Turno,'Calc_Mix'!$C$16,Esc_Circ,$B120)+COUNTIFS(Esc_Turno,'Calc_Mix'!$C$16,Esc_Instr,$B120)&gt;0),"",IF(SUMPRODUCT('Calc_Mix'!$D$16:$W$16,'Matriz_Habilidades'!$D120:$W120)=0,"",SUMPRODUCT('Calc_Mix'!$D$16:$W$16,'Matriz_Habilidades'!$D120:$W120)/'Calc_Mix'!$X$16+ROW()*0.000001))</f>
        <v/>
      </c>
      <c r="T120" s="34">
        <f>IF(OR($B120="",$C120&lt;&gt;"Ativo",$D120&lt;&gt;'Calc_Mix'!$C$17,'Calc_Mix'!$X$17=0,COUNTIFS(Esc_Turno,'Calc_Mix'!$C$17,Esc_Circ,$B120)+COUNTIFS(Esc_Turno,'Calc_Mix'!$C$17,Esc_Instr,$B120)&gt;0),"",IF(SUMPRODUCT('Calc_Mix'!$D$17:$W$17,'Matriz_Habilidades'!$D120:$W120)=0,"",SUMPRODUCT('Calc_Mix'!$D$17:$W$17,'Matriz_Habilidades'!$D120:$W120)/'Calc_Mix'!$X$17+ROW()*0.000001))</f>
        <v/>
      </c>
      <c r="U120" s="34">
        <f>IF(OR($B120="",$C120&lt;&gt;"Ativo",$D120&lt;&gt;'Calc_Mix'!$C$18,'Calc_Mix'!$X$18=0,COUNTIFS(Esc_Turno,'Calc_Mix'!$C$18,Esc_Circ,$B120)+COUNTIFS(Esc_Turno,'Calc_Mix'!$C$18,Esc_Instr,$B120)&gt;0),"",IF(SUMPRODUCT('Calc_Mix'!$D$18:$W$18,'Matriz_Habilidades'!$D120:$W120)=0,"",SUMPRODUCT('Calc_Mix'!$D$18:$W$18,'Matriz_Habilidades'!$D120:$W120)/'Calc_Mix'!$X$18+ROW()*0.000001))</f>
        <v/>
      </c>
      <c r="V120" s="34">
        <f>IF(OR($B120="",$C120&lt;&gt;"Ativo",$D120&lt;&gt;'Calc_Mix'!$C$19,'Calc_Mix'!$X$19=0,COUNTIFS(Esc_Turno,'Calc_Mix'!$C$19,Esc_Circ,$B120)+COUNTIFS(Esc_Turno,'Calc_Mix'!$C$19,Esc_Instr,$B120)&gt;0),"",IF(SUMPRODUCT('Calc_Mix'!$D$19:$W$19,'Matriz_Habilidades'!$D120:$W120)=0,"",SUMPRODUCT('Calc_Mix'!$D$19:$W$19,'Matriz_Habilidades'!$D120:$W120)/'Calc_Mix'!$X$19+ROW()*0.000001))</f>
        <v/>
      </c>
      <c r="W120" s="34">
        <f>IF(OR($B120="",$C120&lt;&gt;"Ativo",$D120&lt;&gt;'Calc_Mix'!$C$20,'Calc_Mix'!$X$20=0,COUNTIFS(Esc_Turno,'Calc_Mix'!$C$20,Esc_Circ,$B120)+COUNTIFS(Esc_Turno,'Calc_Mix'!$C$20,Esc_Instr,$B120)&gt;0),"",IF(SUMPRODUCT('Calc_Mix'!$D$20:$W$20,'Matriz_Habilidades'!$D120:$W120)=0,"",SUMPRODUCT('Calc_Mix'!$D$20:$W$20,'Matriz_Habilidades'!$D120:$W120)/'Calc_Mix'!$X$20+ROW()*0.000001))</f>
        <v/>
      </c>
      <c r="X120" s="34">
        <f>IF(OR($B120="",$C120&lt;&gt;"Ativo",$D120&lt;&gt;'Calc_Mix'!$C$21,'Calc_Mix'!$X$21=0,COUNTIFS(Esc_Turno,'Calc_Mix'!$C$21,Esc_Circ,$B120)+COUNTIFS(Esc_Turno,'Calc_Mix'!$C$21,Esc_Instr,$B120)&gt;0),"",IF(SUMPRODUCT('Calc_Mix'!$D$21:$W$21,'Matriz_Habilidades'!$D120:$W120)=0,"",SUMPRODUCT('Calc_Mix'!$D$21:$W$21,'Matriz_Habilidades'!$D120:$W120)/'Calc_Mix'!$X$21+ROW()*0.000001))</f>
        <v/>
      </c>
      <c r="Y120" s="34">
        <f>IF(OR($B120="",$C120&lt;&gt;"Ativo",$D120&lt;&gt;'Calc_Mix'!$C$22,'Calc_Mix'!$X$22=0,COUNTIFS(Esc_Turno,'Calc_Mix'!$C$22,Esc_Circ,$B120)+COUNTIFS(Esc_Turno,'Calc_Mix'!$C$22,Esc_Instr,$B120)&gt;0),"",IF(SUMPRODUCT('Calc_Mix'!$D$22:$W$22,'Matriz_Habilidades'!$D120:$W120)=0,"",SUMPRODUCT('Calc_Mix'!$D$22:$W$22,'Matriz_Habilidades'!$D120:$W120)/'Calc_Mix'!$X$22+ROW()*0.000001))</f>
        <v/>
      </c>
      <c r="Z120" s="34">
        <f>IF(OR($B120="",$C120&lt;&gt;"Ativo",$D120&lt;&gt;'Calc_Mix'!$C$23,'Calc_Mix'!$X$23=0,COUNTIFS(Esc_Turno,'Calc_Mix'!$C$23,Esc_Circ,$B120)+COUNTIFS(Esc_Turno,'Calc_Mix'!$C$23,Esc_Instr,$B120)&gt;0),"",IF(SUMPRODUCT('Calc_Mix'!$D$23:$W$23,'Matriz_Habilidades'!$D120:$W120)=0,"",SUMPRODUCT('Calc_Mix'!$D$23:$W$23,'Matriz_Habilidades'!$D120:$W120)/'Calc_Mix'!$X$23+ROW()*0.000001))</f>
        <v/>
      </c>
      <c r="AA120" s="34">
        <f>IF(OR($B120="",$C120&lt;&gt;"Ativo",$D120&lt;&gt;'Calc_Mix'!$C$24,'Calc_Mix'!$X$24=0,COUNTIFS(Esc_Turno,'Calc_Mix'!$C$24,Esc_Circ,$B120)+COUNTIFS(Esc_Turno,'Calc_Mix'!$C$24,Esc_Instr,$B120)&gt;0),"",IF(SUMPRODUCT('Calc_Mix'!$D$24:$W$24,'Matriz_Habilidades'!$D120:$W120)=0,"",SUMPRODUCT('Calc_Mix'!$D$24:$W$24,'Matriz_Habilidades'!$D120:$W120)/'Calc_Mix'!$X$24+ROW()*0.000001))</f>
        <v/>
      </c>
      <c r="AB120" s="34">
        <f>IF(OR($B120="",$C120&lt;&gt;"Ativo",$D120&lt;&gt;'Calc_Mix'!$C$25,'Calc_Mix'!$X$25=0,COUNTIFS(Esc_Turno,'Calc_Mix'!$C$25,Esc_Circ,$B120)+COUNTIFS(Esc_Turno,'Calc_Mix'!$C$25,Esc_Instr,$B120)&gt;0),"",IF(SUMPRODUCT('Calc_Mix'!$D$25:$W$25,'Matriz_Habilidades'!$D120:$W120)=0,"",SUMPRODUCT('Calc_Mix'!$D$25:$W$25,'Matriz_Habilidades'!$D120:$W120)/'Calc_Mix'!$X$25+ROW()*0.000001))</f>
        <v/>
      </c>
      <c r="AC120" s="34">
        <f>IF(OR($B120="",$C120&lt;&gt;"Ativo",$D120&lt;&gt;'Calc_Mix'!$C$26,'Calc_Mix'!$X$26=0,COUNTIFS(Esc_Turno,'Calc_Mix'!$C$26,Esc_Circ,$B120)+COUNTIFS(Esc_Turno,'Calc_Mix'!$C$26,Esc_Instr,$B120)&gt;0),"",IF(SUMPRODUCT('Calc_Mix'!$D$26:$W$26,'Matriz_Habilidades'!$D120:$W120)=0,"",SUMPRODUCT('Calc_Mix'!$D$26:$W$26,'Matriz_Habilidades'!$D120:$W120)/'Calc_Mix'!$X$26+ROW()*0.000001))</f>
        <v/>
      </c>
      <c r="AD120" s="34">
        <f>IF(OR($B120="",$C120&lt;&gt;"Ativo",$D120&lt;&gt;'Calc_Mix'!$C$27,'Calc_Mix'!$X$27=0,COUNTIFS(Esc_Turno,'Calc_Mix'!$C$27,Esc_Circ,$B120)+COUNTIFS(Esc_Turno,'Calc_Mix'!$C$27,Esc_Instr,$B120)&gt;0),"",IF(SUMPRODUCT('Calc_Mix'!$D$27:$W$27,'Matriz_Habilidades'!$D120:$W120)=0,"",SUMPRODUCT('Calc_Mix'!$D$27:$W$27,'Matriz_Habilidades'!$D120:$W120)/'Calc_Mix'!$X$27+ROW()*0.000001))</f>
        <v/>
      </c>
      <c r="AE120" s="34">
        <f>IF(OR($B120="",$C120&lt;&gt;"Ativo",$D120&lt;&gt;'Calc_Mix'!$C$28,'Calc_Mix'!$X$28=0,COUNTIFS(Esc_Turno,'Calc_Mix'!$C$28,Esc_Circ,$B120)+COUNTIFS(Esc_Turno,'Calc_Mix'!$C$28,Esc_Instr,$B120)&gt;0),"",IF(SUMPRODUCT('Calc_Mix'!$D$28:$W$28,'Matriz_Habilidades'!$D120:$W120)=0,"",SUMPRODUCT('Calc_Mix'!$D$28:$W$28,'Matriz_Habilidades'!$D120:$W120)/'Calc_Mix'!$X$28+ROW()*0.000001))</f>
        <v/>
      </c>
      <c r="AF120" s="34">
        <f>IF(OR($B120="",$C120&lt;&gt;"Ativo",$D120&lt;&gt;'Calc_Mix'!$C$29,'Calc_Mix'!$X$29=0,COUNTIFS(Esc_Turno,'Calc_Mix'!$C$29,Esc_Circ,$B120)+COUNTIFS(Esc_Turno,'Calc_Mix'!$C$29,Esc_Instr,$B120)&gt;0),"",IF(SUMPRODUCT('Calc_Mix'!$D$29:$W$29,'Matriz_Habilidades'!$D120:$W120)=0,"",SUMPRODUCT('Calc_Mix'!$D$29:$W$29,'Matriz_Habilidades'!$D120:$W120)/'Calc_Mix'!$X$29+ROW()*0.000001))</f>
        <v/>
      </c>
      <c r="AG120" s="34">
        <f>IF(OR($B120="",$C120&lt;&gt;"Ativo",$D120&lt;&gt;'Calc_Mix'!$C$30,'Calc_Mix'!$X$30=0,COUNTIFS(Esc_Turno,'Calc_Mix'!$C$30,Esc_Circ,$B120)+COUNTIFS(Esc_Turno,'Calc_Mix'!$C$30,Esc_Instr,$B120)&gt;0),"",IF(SUMPRODUCT('Calc_Mix'!$D$30:$W$30,'Matriz_Habilidades'!$D120:$W120)=0,"",SUMPRODUCT('Calc_Mix'!$D$30:$W$30,'Matriz_Habilidades'!$D120:$W120)/'Calc_Mix'!$X$30+ROW()*0.000001))</f>
        <v/>
      </c>
      <c r="AH120" s="34">
        <f>IF(OR($B120="",$C120&lt;&gt;"Ativo",$D120&lt;&gt;'Calc_Mix'!$C$31,'Calc_Mix'!$X$31=0,COUNTIFS(Esc_Turno,'Calc_Mix'!$C$31,Esc_Circ,$B120)+COUNTIFS(Esc_Turno,'Calc_Mix'!$C$31,Esc_Instr,$B120)&gt;0),"",IF(SUMPRODUCT('Calc_Mix'!$D$31:$W$31,'Matriz_Habilidades'!$D120:$W120)=0,"",SUMPRODUCT('Calc_Mix'!$D$31:$W$31,'Matriz_Habilidades'!$D120:$W120)/'Calc_Mix'!$X$31+ROW()*0.000001))</f>
        <v/>
      </c>
      <c r="AI120" s="34">
        <f>IF(OR($B120="",$C120&lt;&gt;"Ativo",$D120&lt;&gt;'Calc_Mix'!$C$32,'Calc_Mix'!$X$32=0,COUNTIFS(Esc_Turno,'Calc_Mix'!$C$32,Esc_Circ,$B120)+COUNTIFS(Esc_Turno,'Calc_Mix'!$C$32,Esc_Instr,$B120)&gt;0),"",IF(SUMPRODUCT('Calc_Mix'!$D$32:$W$32,'Matriz_Habilidades'!$D120:$W120)=0,"",SUMPRODUCT('Calc_Mix'!$D$32:$W$32,'Matriz_Habilidades'!$D120:$W120)/'Calc_Mix'!$X$32+ROW()*0.000001))</f>
        <v/>
      </c>
      <c r="AJ120" s="34">
        <f>IF(OR($B120="",$C120&lt;&gt;"Ativo",$D120&lt;&gt;'Calc_Mix'!$C$33,'Calc_Mix'!$X$33=0,COUNTIFS(Esc_Turno,'Calc_Mix'!$C$33,Esc_Circ,$B120)+COUNTIFS(Esc_Turno,'Calc_Mix'!$C$33,Esc_Instr,$B120)&gt;0),"",IF(SUMPRODUCT('Calc_Mix'!$D$33:$W$33,'Matriz_Habilidades'!$D120:$W120)=0,"",SUMPRODUCT('Calc_Mix'!$D$33:$W$33,'Matriz_Habilidades'!$D120:$W120)/'Calc_Mix'!$X$33+ROW()*0.000001))</f>
        <v/>
      </c>
      <c r="AK120" s="34">
        <f>IF(OR($B120="",$C120&lt;&gt;"Ativo",$D120&lt;&gt;'Calc_Mix'!$C$34,'Calc_Mix'!$X$34=0,COUNTIFS(Esc_Turno,'Calc_Mix'!$C$34,Esc_Circ,$B120)+COUNTIFS(Esc_Turno,'Calc_Mix'!$C$34,Esc_Instr,$B120)&gt;0),"",IF(SUMPRODUCT('Calc_Mix'!$D$34:$W$34,'Matriz_Habilidades'!$D120:$W120)=0,"",SUMPRODUCT('Calc_Mix'!$D$34:$W$34,'Matriz_Habilidades'!$D120:$W120)/'Calc_Mix'!$X$34+ROW()*0.000001))</f>
        <v/>
      </c>
      <c r="AL120" s="34">
        <f>IF(OR($B120="",$C120&lt;&gt;"Ativo",$D120&lt;&gt;'Calc_Mix'!$C$35,'Calc_Mix'!$X$35=0,COUNTIFS(Esc_Turno,'Calc_Mix'!$C$35,Esc_Circ,$B120)+COUNTIFS(Esc_Turno,'Calc_Mix'!$C$35,Esc_Instr,$B120)&gt;0),"",IF(SUMPRODUCT('Calc_Mix'!$D$35:$W$35,'Matriz_Habilidades'!$D120:$W120)=0,"",SUMPRODUCT('Calc_Mix'!$D$35:$W$35,'Matriz_Habilidades'!$D120:$W120)/'Calc_Mix'!$X$35+ROW()*0.000001))</f>
        <v/>
      </c>
      <c r="AM120" s="34">
        <f>IF(OR($B120="",$C120&lt;&gt;"Ativo",$D120&lt;&gt;'Calc_Mix'!$C$36,'Calc_Mix'!$X$36=0,COUNTIFS(Esc_Turno,'Calc_Mix'!$C$36,Esc_Circ,$B120)+COUNTIFS(Esc_Turno,'Calc_Mix'!$C$36,Esc_Instr,$B120)&gt;0),"",IF(SUMPRODUCT('Calc_Mix'!$D$36:$W$36,'Matriz_Habilidades'!$D120:$W120)=0,"",SUMPRODUCT('Calc_Mix'!$D$36:$W$36,'Matriz_Habilidades'!$D120:$W120)/'Calc_Mix'!$X$36+ROW()*0.000001))</f>
        <v/>
      </c>
      <c r="AN120" s="34">
        <f>IF(OR($B120="",$C120&lt;&gt;"Ativo",$D120&lt;&gt;'Calc_Mix'!$C$37,'Calc_Mix'!$X$37=0,COUNTIFS(Esc_Turno,'Calc_Mix'!$C$37,Esc_Circ,$B120)+COUNTIFS(Esc_Turno,'Calc_Mix'!$C$37,Esc_Instr,$B120)&gt;0),"",IF(SUMPRODUCT('Calc_Mix'!$D$37:$W$37,'Matriz_Habilidades'!$D120:$W120)=0,"",SUMPRODUCT('Calc_Mix'!$D$37:$W$37,'Matriz_Habilidades'!$D120:$W120)/'Calc_Mix'!$X$37+ROW()*0.000001))</f>
        <v/>
      </c>
    </row>
    <row r="121">
      <c r="A121" s="27">
        <f>IF('Matriz_Habilidades'!A121="","",'Matriz_Habilidades'!A121)</f>
        <v/>
      </c>
      <c r="B121" s="28">
        <f>IF('Matriz_Habilidades'!B121="","",'Matriz_Habilidades'!B121)</f>
        <v/>
      </c>
      <c r="C121" s="27">
        <f>IF($A121="","",IFERROR(INDEX(Equipe_Status,MATCH($B121,Equipe_Nome,0)),"?"))</f>
        <v/>
      </c>
      <c r="D121" s="27">
        <f>IF($A121="","",IFERROR(INDEX(Equipe_Turno,MATCH($B121,Equipe_Nome,0)),"?"))</f>
        <v/>
      </c>
      <c r="E121" s="34">
        <f>IF(OR($B121="",$C121&lt;&gt;"Ativo",$D121&lt;&gt;'Calc_Mix'!$C$2,'Calc_Mix'!$X$2=0,COUNTIFS(Esc_Turno,'Calc_Mix'!$C$2,Esc_Circ,$B121)+COUNTIFS(Esc_Turno,'Calc_Mix'!$C$2,Esc_Instr,$B121)&gt;0),"",IF(SUMPRODUCT('Calc_Mix'!$D$2:$W$2,'Matriz_Habilidades'!$D121:$W121)=0,"",SUMPRODUCT('Calc_Mix'!$D$2:$W$2,'Matriz_Habilidades'!$D121:$W121)/'Calc_Mix'!$X$2+ROW()*0.000001))</f>
        <v/>
      </c>
      <c r="F121" s="34">
        <f>IF(OR($B121="",$C121&lt;&gt;"Ativo",$D121&lt;&gt;'Calc_Mix'!$C$3,'Calc_Mix'!$X$3=0,COUNTIFS(Esc_Turno,'Calc_Mix'!$C$3,Esc_Circ,$B121)+COUNTIFS(Esc_Turno,'Calc_Mix'!$C$3,Esc_Instr,$B121)&gt;0),"",IF(SUMPRODUCT('Calc_Mix'!$D$3:$W$3,'Matriz_Habilidades'!$D121:$W121)=0,"",SUMPRODUCT('Calc_Mix'!$D$3:$W$3,'Matriz_Habilidades'!$D121:$W121)/'Calc_Mix'!$X$3+ROW()*0.000001))</f>
        <v/>
      </c>
      <c r="G121" s="34">
        <f>IF(OR($B121="",$C121&lt;&gt;"Ativo",$D121&lt;&gt;'Calc_Mix'!$C$4,'Calc_Mix'!$X$4=0,COUNTIFS(Esc_Turno,'Calc_Mix'!$C$4,Esc_Circ,$B121)+COUNTIFS(Esc_Turno,'Calc_Mix'!$C$4,Esc_Instr,$B121)&gt;0),"",IF(SUMPRODUCT('Calc_Mix'!$D$4:$W$4,'Matriz_Habilidades'!$D121:$W121)=0,"",SUMPRODUCT('Calc_Mix'!$D$4:$W$4,'Matriz_Habilidades'!$D121:$W121)/'Calc_Mix'!$X$4+ROW()*0.000001))</f>
        <v/>
      </c>
      <c r="H121" s="34">
        <f>IF(OR($B121="",$C121&lt;&gt;"Ativo",$D121&lt;&gt;'Calc_Mix'!$C$5,'Calc_Mix'!$X$5=0,COUNTIFS(Esc_Turno,'Calc_Mix'!$C$5,Esc_Circ,$B121)+COUNTIFS(Esc_Turno,'Calc_Mix'!$C$5,Esc_Instr,$B121)&gt;0),"",IF(SUMPRODUCT('Calc_Mix'!$D$5:$W$5,'Matriz_Habilidades'!$D121:$W121)=0,"",SUMPRODUCT('Calc_Mix'!$D$5:$W$5,'Matriz_Habilidades'!$D121:$W121)/'Calc_Mix'!$X$5+ROW()*0.000001))</f>
        <v/>
      </c>
      <c r="I121" s="34">
        <f>IF(OR($B121="",$C121&lt;&gt;"Ativo",$D121&lt;&gt;'Calc_Mix'!$C$6,'Calc_Mix'!$X$6=0,COUNTIFS(Esc_Turno,'Calc_Mix'!$C$6,Esc_Circ,$B121)+COUNTIFS(Esc_Turno,'Calc_Mix'!$C$6,Esc_Instr,$B121)&gt;0),"",IF(SUMPRODUCT('Calc_Mix'!$D$6:$W$6,'Matriz_Habilidades'!$D121:$W121)=0,"",SUMPRODUCT('Calc_Mix'!$D$6:$W$6,'Matriz_Habilidades'!$D121:$W121)/'Calc_Mix'!$X$6+ROW()*0.000001))</f>
        <v/>
      </c>
      <c r="J121" s="34">
        <f>IF(OR($B121="",$C121&lt;&gt;"Ativo",$D121&lt;&gt;'Calc_Mix'!$C$7,'Calc_Mix'!$X$7=0,COUNTIFS(Esc_Turno,'Calc_Mix'!$C$7,Esc_Circ,$B121)+COUNTIFS(Esc_Turno,'Calc_Mix'!$C$7,Esc_Instr,$B121)&gt;0),"",IF(SUMPRODUCT('Calc_Mix'!$D$7:$W$7,'Matriz_Habilidades'!$D121:$W121)=0,"",SUMPRODUCT('Calc_Mix'!$D$7:$W$7,'Matriz_Habilidades'!$D121:$W121)/'Calc_Mix'!$X$7+ROW()*0.000001))</f>
        <v/>
      </c>
      <c r="K121" s="34">
        <f>IF(OR($B121="",$C121&lt;&gt;"Ativo",$D121&lt;&gt;'Calc_Mix'!$C$8,'Calc_Mix'!$X$8=0,COUNTIFS(Esc_Turno,'Calc_Mix'!$C$8,Esc_Circ,$B121)+COUNTIFS(Esc_Turno,'Calc_Mix'!$C$8,Esc_Instr,$B121)&gt;0),"",IF(SUMPRODUCT('Calc_Mix'!$D$8:$W$8,'Matriz_Habilidades'!$D121:$W121)=0,"",SUMPRODUCT('Calc_Mix'!$D$8:$W$8,'Matriz_Habilidades'!$D121:$W121)/'Calc_Mix'!$X$8+ROW()*0.000001))</f>
        <v/>
      </c>
      <c r="L121" s="34">
        <f>IF(OR($B121="",$C121&lt;&gt;"Ativo",$D121&lt;&gt;'Calc_Mix'!$C$9,'Calc_Mix'!$X$9=0,COUNTIFS(Esc_Turno,'Calc_Mix'!$C$9,Esc_Circ,$B121)+COUNTIFS(Esc_Turno,'Calc_Mix'!$C$9,Esc_Instr,$B121)&gt;0),"",IF(SUMPRODUCT('Calc_Mix'!$D$9:$W$9,'Matriz_Habilidades'!$D121:$W121)=0,"",SUMPRODUCT('Calc_Mix'!$D$9:$W$9,'Matriz_Habilidades'!$D121:$W121)/'Calc_Mix'!$X$9+ROW()*0.000001))</f>
        <v/>
      </c>
      <c r="M121" s="34">
        <f>IF(OR($B121="",$C121&lt;&gt;"Ativo",$D121&lt;&gt;'Calc_Mix'!$C$10,'Calc_Mix'!$X$10=0,COUNTIFS(Esc_Turno,'Calc_Mix'!$C$10,Esc_Circ,$B121)+COUNTIFS(Esc_Turno,'Calc_Mix'!$C$10,Esc_Instr,$B121)&gt;0),"",IF(SUMPRODUCT('Calc_Mix'!$D$10:$W$10,'Matriz_Habilidades'!$D121:$W121)=0,"",SUMPRODUCT('Calc_Mix'!$D$10:$W$10,'Matriz_Habilidades'!$D121:$W121)/'Calc_Mix'!$X$10+ROW()*0.000001))</f>
        <v/>
      </c>
      <c r="N121" s="34">
        <f>IF(OR($B121="",$C121&lt;&gt;"Ativo",$D121&lt;&gt;'Calc_Mix'!$C$11,'Calc_Mix'!$X$11=0,COUNTIFS(Esc_Turno,'Calc_Mix'!$C$11,Esc_Circ,$B121)+COUNTIFS(Esc_Turno,'Calc_Mix'!$C$11,Esc_Instr,$B121)&gt;0),"",IF(SUMPRODUCT('Calc_Mix'!$D$11:$W$11,'Matriz_Habilidades'!$D121:$W121)=0,"",SUMPRODUCT('Calc_Mix'!$D$11:$W$11,'Matriz_Habilidades'!$D121:$W121)/'Calc_Mix'!$X$11+ROW()*0.000001))</f>
        <v/>
      </c>
      <c r="O121" s="34">
        <f>IF(OR($B121="",$C121&lt;&gt;"Ativo",$D121&lt;&gt;'Calc_Mix'!$C$12,'Calc_Mix'!$X$12=0,COUNTIFS(Esc_Turno,'Calc_Mix'!$C$12,Esc_Circ,$B121)+COUNTIFS(Esc_Turno,'Calc_Mix'!$C$12,Esc_Instr,$B121)&gt;0),"",IF(SUMPRODUCT('Calc_Mix'!$D$12:$W$12,'Matriz_Habilidades'!$D121:$W121)=0,"",SUMPRODUCT('Calc_Mix'!$D$12:$W$12,'Matriz_Habilidades'!$D121:$W121)/'Calc_Mix'!$X$12+ROW()*0.000001))</f>
        <v/>
      </c>
      <c r="P121" s="34">
        <f>IF(OR($B121="",$C121&lt;&gt;"Ativo",$D121&lt;&gt;'Calc_Mix'!$C$13,'Calc_Mix'!$X$13=0,COUNTIFS(Esc_Turno,'Calc_Mix'!$C$13,Esc_Circ,$B121)+COUNTIFS(Esc_Turno,'Calc_Mix'!$C$13,Esc_Instr,$B121)&gt;0),"",IF(SUMPRODUCT('Calc_Mix'!$D$13:$W$13,'Matriz_Habilidades'!$D121:$W121)=0,"",SUMPRODUCT('Calc_Mix'!$D$13:$W$13,'Matriz_Habilidades'!$D121:$W121)/'Calc_Mix'!$X$13+ROW()*0.000001))</f>
        <v/>
      </c>
      <c r="Q121" s="34">
        <f>IF(OR($B121="",$C121&lt;&gt;"Ativo",$D121&lt;&gt;'Calc_Mix'!$C$14,'Calc_Mix'!$X$14=0,COUNTIFS(Esc_Turno,'Calc_Mix'!$C$14,Esc_Circ,$B121)+COUNTIFS(Esc_Turno,'Calc_Mix'!$C$14,Esc_Instr,$B121)&gt;0),"",IF(SUMPRODUCT('Calc_Mix'!$D$14:$W$14,'Matriz_Habilidades'!$D121:$W121)=0,"",SUMPRODUCT('Calc_Mix'!$D$14:$W$14,'Matriz_Habilidades'!$D121:$W121)/'Calc_Mix'!$X$14+ROW()*0.000001))</f>
        <v/>
      </c>
      <c r="R121" s="34">
        <f>IF(OR($B121="",$C121&lt;&gt;"Ativo",$D121&lt;&gt;'Calc_Mix'!$C$15,'Calc_Mix'!$X$15=0,COUNTIFS(Esc_Turno,'Calc_Mix'!$C$15,Esc_Circ,$B121)+COUNTIFS(Esc_Turno,'Calc_Mix'!$C$15,Esc_Instr,$B121)&gt;0),"",IF(SUMPRODUCT('Calc_Mix'!$D$15:$W$15,'Matriz_Habilidades'!$D121:$W121)=0,"",SUMPRODUCT('Calc_Mix'!$D$15:$W$15,'Matriz_Habilidades'!$D121:$W121)/'Calc_Mix'!$X$15+ROW()*0.000001))</f>
        <v/>
      </c>
      <c r="S121" s="34">
        <f>IF(OR($B121="",$C121&lt;&gt;"Ativo",$D121&lt;&gt;'Calc_Mix'!$C$16,'Calc_Mix'!$X$16=0,COUNTIFS(Esc_Turno,'Calc_Mix'!$C$16,Esc_Circ,$B121)+COUNTIFS(Esc_Turno,'Calc_Mix'!$C$16,Esc_Instr,$B121)&gt;0),"",IF(SUMPRODUCT('Calc_Mix'!$D$16:$W$16,'Matriz_Habilidades'!$D121:$W121)=0,"",SUMPRODUCT('Calc_Mix'!$D$16:$W$16,'Matriz_Habilidades'!$D121:$W121)/'Calc_Mix'!$X$16+ROW()*0.000001))</f>
        <v/>
      </c>
      <c r="T121" s="34">
        <f>IF(OR($B121="",$C121&lt;&gt;"Ativo",$D121&lt;&gt;'Calc_Mix'!$C$17,'Calc_Mix'!$X$17=0,COUNTIFS(Esc_Turno,'Calc_Mix'!$C$17,Esc_Circ,$B121)+COUNTIFS(Esc_Turno,'Calc_Mix'!$C$17,Esc_Instr,$B121)&gt;0),"",IF(SUMPRODUCT('Calc_Mix'!$D$17:$W$17,'Matriz_Habilidades'!$D121:$W121)=0,"",SUMPRODUCT('Calc_Mix'!$D$17:$W$17,'Matriz_Habilidades'!$D121:$W121)/'Calc_Mix'!$X$17+ROW()*0.000001))</f>
        <v/>
      </c>
      <c r="U121" s="34">
        <f>IF(OR($B121="",$C121&lt;&gt;"Ativo",$D121&lt;&gt;'Calc_Mix'!$C$18,'Calc_Mix'!$X$18=0,COUNTIFS(Esc_Turno,'Calc_Mix'!$C$18,Esc_Circ,$B121)+COUNTIFS(Esc_Turno,'Calc_Mix'!$C$18,Esc_Instr,$B121)&gt;0),"",IF(SUMPRODUCT('Calc_Mix'!$D$18:$W$18,'Matriz_Habilidades'!$D121:$W121)=0,"",SUMPRODUCT('Calc_Mix'!$D$18:$W$18,'Matriz_Habilidades'!$D121:$W121)/'Calc_Mix'!$X$18+ROW()*0.000001))</f>
        <v/>
      </c>
      <c r="V121" s="34">
        <f>IF(OR($B121="",$C121&lt;&gt;"Ativo",$D121&lt;&gt;'Calc_Mix'!$C$19,'Calc_Mix'!$X$19=0,COUNTIFS(Esc_Turno,'Calc_Mix'!$C$19,Esc_Circ,$B121)+COUNTIFS(Esc_Turno,'Calc_Mix'!$C$19,Esc_Instr,$B121)&gt;0),"",IF(SUMPRODUCT('Calc_Mix'!$D$19:$W$19,'Matriz_Habilidades'!$D121:$W121)=0,"",SUMPRODUCT('Calc_Mix'!$D$19:$W$19,'Matriz_Habilidades'!$D121:$W121)/'Calc_Mix'!$X$19+ROW()*0.000001))</f>
        <v/>
      </c>
      <c r="W121" s="34">
        <f>IF(OR($B121="",$C121&lt;&gt;"Ativo",$D121&lt;&gt;'Calc_Mix'!$C$20,'Calc_Mix'!$X$20=0,COUNTIFS(Esc_Turno,'Calc_Mix'!$C$20,Esc_Circ,$B121)+COUNTIFS(Esc_Turno,'Calc_Mix'!$C$20,Esc_Instr,$B121)&gt;0),"",IF(SUMPRODUCT('Calc_Mix'!$D$20:$W$20,'Matriz_Habilidades'!$D121:$W121)=0,"",SUMPRODUCT('Calc_Mix'!$D$20:$W$20,'Matriz_Habilidades'!$D121:$W121)/'Calc_Mix'!$X$20+ROW()*0.000001))</f>
        <v/>
      </c>
      <c r="X121" s="34">
        <f>IF(OR($B121="",$C121&lt;&gt;"Ativo",$D121&lt;&gt;'Calc_Mix'!$C$21,'Calc_Mix'!$X$21=0,COUNTIFS(Esc_Turno,'Calc_Mix'!$C$21,Esc_Circ,$B121)+COUNTIFS(Esc_Turno,'Calc_Mix'!$C$21,Esc_Instr,$B121)&gt;0),"",IF(SUMPRODUCT('Calc_Mix'!$D$21:$W$21,'Matriz_Habilidades'!$D121:$W121)=0,"",SUMPRODUCT('Calc_Mix'!$D$21:$W$21,'Matriz_Habilidades'!$D121:$W121)/'Calc_Mix'!$X$21+ROW()*0.000001))</f>
        <v/>
      </c>
      <c r="Y121" s="34">
        <f>IF(OR($B121="",$C121&lt;&gt;"Ativo",$D121&lt;&gt;'Calc_Mix'!$C$22,'Calc_Mix'!$X$22=0,COUNTIFS(Esc_Turno,'Calc_Mix'!$C$22,Esc_Circ,$B121)+COUNTIFS(Esc_Turno,'Calc_Mix'!$C$22,Esc_Instr,$B121)&gt;0),"",IF(SUMPRODUCT('Calc_Mix'!$D$22:$W$22,'Matriz_Habilidades'!$D121:$W121)=0,"",SUMPRODUCT('Calc_Mix'!$D$22:$W$22,'Matriz_Habilidades'!$D121:$W121)/'Calc_Mix'!$X$22+ROW()*0.000001))</f>
        <v/>
      </c>
      <c r="Z121" s="34">
        <f>IF(OR($B121="",$C121&lt;&gt;"Ativo",$D121&lt;&gt;'Calc_Mix'!$C$23,'Calc_Mix'!$X$23=0,COUNTIFS(Esc_Turno,'Calc_Mix'!$C$23,Esc_Circ,$B121)+COUNTIFS(Esc_Turno,'Calc_Mix'!$C$23,Esc_Instr,$B121)&gt;0),"",IF(SUMPRODUCT('Calc_Mix'!$D$23:$W$23,'Matriz_Habilidades'!$D121:$W121)=0,"",SUMPRODUCT('Calc_Mix'!$D$23:$W$23,'Matriz_Habilidades'!$D121:$W121)/'Calc_Mix'!$X$23+ROW()*0.000001))</f>
        <v/>
      </c>
      <c r="AA121" s="34">
        <f>IF(OR($B121="",$C121&lt;&gt;"Ativo",$D121&lt;&gt;'Calc_Mix'!$C$24,'Calc_Mix'!$X$24=0,COUNTIFS(Esc_Turno,'Calc_Mix'!$C$24,Esc_Circ,$B121)+COUNTIFS(Esc_Turno,'Calc_Mix'!$C$24,Esc_Instr,$B121)&gt;0),"",IF(SUMPRODUCT('Calc_Mix'!$D$24:$W$24,'Matriz_Habilidades'!$D121:$W121)=0,"",SUMPRODUCT('Calc_Mix'!$D$24:$W$24,'Matriz_Habilidades'!$D121:$W121)/'Calc_Mix'!$X$24+ROW()*0.000001))</f>
        <v/>
      </c>
      <c r="AB121" s="34">
        <f>IF(OR($B121="",$C121&lt;&gt;"Ativo",$D121&lt;&gt;'Calc_Mix'!$C$25,'Calc_Mix'!$X$25=0,COUNTIFS(Esc_Turno,'Calc_Mix'!$C$25,Esc_Circ,$B121)+COUNTIFS(Esc_Turno,'Calc_Mix'!$C$25,Esc_Instr,$B121)&gt;0),"",IF(SUMPRODUCT('Calc_Mix'!$D$25:$W$25,'Matriz_Habilidades'!$D121:$W121)=0,"",SUMPRODUCT('Calc_Mix'!$D$25:$W$25,'Matriz_Habilidades'!$D121:$W121)/'Calc_Mix'!$X$25+ROW()*0.000001))</f>
        <v/>
      </c>
      <c r="AC121" s="34">
        <f>IF(OR($B121="",$C121&lt;&gt;"Ativo",$D121&lt;&gt;'Calc_Mix'!$C$26,'Calc_Mix'!$X$26=0,COUNTIFS(Esc_Turno,'Calc_Mix'!$C$26,Esc_Circ,$B121)+COUNTIFS(Esc_Turno,'Calc_Mix'!$C$26,Esc_Instr,$B121)&gt;0),"",IF(SUMPRODUCT('Calc_Mix'!$D$26:$W$26,'Matriz_Habilidades'!$D121:$W121)=0,"",SUMPRODUCT('Calc_Mix'!$D$26:$W$26,'Matriz_Habilidades'!$D121:$W121)/'Calc_Mix'!$X$26+ROW()*0.000001))</f>
        <v/>
      </c>
      <c r="AD121" s="34">
        <f>IF(OR($B121="",$C121&lt;&gt;"Ativo",$D121&lt;&gt;'Calc_Mix'!$C$27,'Calc_Mix'!$X$27=0,COUNTIFS(Esc_Turno,'Calc_Mix'!$C$27,Esc_Circ,$B121)+COUNTIFS(Esc_Turno,'Calc_Mix'!$C$27,Esc_Instr,$B121)&gt;0),"",IF(SUMPRODUCT('Calc_Mix'!$D$27:$W$27,'Matriz_Habilidades'!$D121:$W121)=0,"",SUMPRODUCT('Calc_Mix'!$D$27:$W$27,'Matriz_Habilidades'!$D121:$W121)/'Calc_Mix'!$X$27+ROW()*0.000001))</f>
        <v/>
      </c>
      <c r="AE121" s="34">
        <f>IF(OR($B121="",$C121&lt;&gt;"Ativo",$D121&lt;&gt;'Calc_Mix'!$C$28,'Calc_Mix'!$X$28=0,COUNTIFS(Esc_Turno,'Calc_Mix'!$C$28,Esc_Circ,$B121)+COUNTIFS(Esc_Turno,'Calc_Mix'!$C$28,Esc_Instr,$B121)&gt;0),"",IF(SUMPRODUCT('Calc_Mix'!$D$28:$W$28,'Matriz_Habilidades'!$D121:$W121)=0,"",SUMPRODUCT('Calc_Mix'!$D$28:$W$28,'Matriz_Habilidades'!$D121:$W121)/'Calc_Mix'!$X$28+ROW()*0.000001))</f>
        <v/>
      </c>
      <c r="AF121" s="34">
        <f>IF(OR($B121="",$C121&lt;&gt;"Ativo",$D121&lt;&gt;'Calc_Mix'!$C$29,'Calc_Mix'!$X$29=0,COUNTIFS(Esc_Turno,'Calc_Mix'!$C$29,Esc_Circ,$B121)+COUNTIFS(Esc_Turno,'Calc_Mix'!$C$29,Esc_Instr,$B121)&gt;0),"",IF(SUMPRODUCT('Calc_Mix'!$D$29:$W$29,'Matriz_Habilidades'!$D121:$W121)=0,"",SUMPRODUCT('Calc_Mix'!$D$29:$W$29,'Matriz_Habilidades'!$D121:$W121)/'Calc_Mix'!$X$29+ROW()*0.000001))</f>
        <v/>
      </c>
      <c r="AG121" s="34">
        <f>IF(OR($B121="",$C121&lt;&gt;"Ativo",$D121&lt;&gt;'Calc_Mix'!$C$30,'Calc_Mix'!$X$30=0,COUNTIFS(Esc_Turno,'Calc_Mix'!$C$30,Esc_Circ,$B121)+COUNTIFS(Esc_Turno,'Calc_Mix'!$C$30,Esc_Instr,$B121)&gt;0),"",IF(SUMPRODUCT('Calc_Mix'!$D$30:$W$30,'Matriz_Habilidades'!$D121:$W121)=0,"",SUMPRODUCT('Calc_Mix'!$D$30:$W$30,'Matriz_Habilidades'!$D121:$W121)/'Calc_Mix'!$X$30+ROW()*0.000001))</f>
        <v/>
      </c>
      <c r="AH121" s="34">
        <f>IF(OR($B121="",$C121&lt;&gt;"Ativo",$D121&lt;&gt;'Calc_Mix'!$C$31,'Calc_Mix'!$X$31=0,COUNTIFS(Esc_Turno,'Calc_Mix'!$C$31,Esc_Circ,$B121)+COUNTIFS(Esc_Turno,'Calc_Mix'!$C$31,Esc_Instr,$B121)&gt;0),"",IF(SUMPRODUCT('Calc_Mix'!$D$31:$W$31,'Matriz_Habilidades'!$D121:$W121)=0,"",SUMPRODUCT('Calc_Mix'!$D$31:$W$31,'Matriz_Habilidades'!$D121:$W121)/'Calc_Mix'!$X$31+ROW()*0.000001))</f>
        <v/>
      </c>
      <c r="AI121" s="34">
        <f>IF(OR($B121="",$C121&lt;&gt;"Ativo",$D121&lt;&gt;'Calc_Mix'!$C$32,'Calc_Mix'!$X$32=0,COUNTIFS(Esc_Turno,'Calc_Mix'!$C$32,Esc_Circ,$B121)+COUNTIFS(Esc_Turno,'Calc_Mix'!$C$32,Esc_Instr,$B121)&gt;0),"",IF(SUMPRODUCT('Calc_Mix'!$D$32:$W$32,'Matriz_Habilidades'!$D121:$W121)=0,"",SUMPRODUCT('Calc_Mix'!$D$32:$W$32,'Matriz_Habilidades'!$D121:$W121)/'Calc_Mix'!$X$32+ROW()*0.000001))</f>
        <v/>
      </c>
      <c r="AJ121" s="34">
        <f>IF(OR($B121="",$C121&lt;&gt;"Ativo",$D121&lt;&gt;'Calc_Mix'!$C$33,'Calc_Mix'!$X$33=0,COUNTIFS(Esc_Turno,'Calc_Mix'!$C$33,Esc_Circ,$B121)+COUNTIFS(Esc_Turno,'Calc_Mix'!$C$33,Esc_Instr,$B121)&gt;0),"",IF(SUMPRODUCT('Calc_Mix'!$D$33:$W$33,'Matriz_Habilidades'!$D121:$W121)=0,"",SUMPRODUCT('Calc_Mix'!$D$33:$W$33,'Matriz_Habilidades'!$D121:$W121)/'Calc_Mix'!$X$33+ROW()*0.000001))</f>
        <v/>
      </c>
      <c r="AK121" s="34">
        <f>IF(OR($B121="",$C121&lt;&gt;"Ativo",$D121&lt;&gt;'Calc_Mix'!$C$34,'Calc_Mix'!$X$34=0,COUNTIFS(Esc_Turno,'Calc_Mix'!$C$34,Esc_Circ,$B121)+COUNTIFS(Esc_Turno,'Calc_Mix'!$C$34,Esc_Instr,$B121)&gt;0),"",IF(SUMPRODUCT('Calc_Mix'!$D$34:$W$34,'Matriz_Habilidades'!$D121:$W121)=0,"",SUMPRODUCT('Calc_Mix'!$D$34:$W$34,'Matriz_Habilidades'!$D121:$W121)/'Calc_Mix'!$X$34+ROW()*0.000001))</f>
        <v/>
      </c>
      <c r="AL121" s="34">
        <f>IF(OR($B121="",$C121&lt;&gt;"Ativo",$D121&lt;&gt;'Calc_Mix'!$C$35,'Calc_Mix'!$X$35=0,COUNTIFS(Esc_Turno,'Calc_Mix'!$C$35,Esc_Circ,$B121)+COUNTIFS(Esc_Turno,'Calc_Mix'!$C$35,Esc_Instr,$B121)&gt;0),"",IF(SUMPRODUCT('Calc_Mix'!$D$35:$W$35,'Matriz_Habilidades'!$D121:$W121)=0,"",SUMPRODUCT('Calc_Mix'!$D$35:$W$35,'Matriz_Habilidades'!$D121:$W121)/'Calc_Mix'!$X$35+ROW()*0.000001))</f>
        <v/>
      </c>
      <c r="AM121" s="34">
        <f>IF(OR($B121="",$C121&lt;&gt;"Ativo",$D121&lt;&gt;'Calc_Mix'!$C$36,'Calc_Mix'!$X$36=0,COUNTIFS(Esc_Turno,'Calc_Mix'!$C$36,Esc_Circ,$B121)+COUNTIFS(Esc_Turno,'Calc_Mix'!$C$36,Esc_Instr,$B121)&gt;0),"",IF(SUMPRODUCT('Calc_Mix'!$D$36:$W$36,'Matriz_Habilidades'!$D121:$W121)=0,"",SUMPRODUCT('Calc_Mix'!$D$36:$W$36,'Matriz_Habilidades'!$D121:$W121)/'Calc_Mix'!$X$36+ROW()*0.000001))</f>
        <v/>
      </c>
      <c r="AN121" s="34">
        <f>IF(OR($B121="",$C121&lt;&gt;"Ativo",$D121&lt;&gt;'Calc_Mix'!$C$37,'Calc_Mix'!$X$37=0,COUNTIFS(Esc_Turno,'Calc_Mix'!$C$37,Esc_Circ,$B121)+COUNTIFS(Esc_Turno,'Calc_Mix'!$C$37,Esc_Instr,$B121)&gt;0),"",IF(SUMPRODUCT('Calc_Mix'!$D$37:$W$37,'Matriz_Habilidades'!$D121:$W121)=0,"",SUMPRODUCT('Calc_Mix'!$D$37:$W$37,'Matriz_Habilidades'!$D121:$W121)/'Calc_Mix'!$X$37+ROW()*0.000001))</f>
        <v/>
      </c>
    </row>
    <row r="122">
      <c r="A122" s="27">
        <f>IF('Matriz_Habilidades'!A122="","",'Matriz_Habilidades'!A122)</f>
        <v/>
      </c>
      <c r="B122" s="28">
        <f>IF('Matriz_Habilidades'!B122="","",'Matriz_Habilidades'!B122)</f>
        <v/>
      </c>
      <c r="C122" s="27">
        <f>IF($A122="","",IFERROR(INDEX(Equipe_Status,MATCH($B122,Equipe_Nome,0)),"?"))</f>
        <v/>
      </c>
      <c r="D122" s="27">
        <f>IF($A122="","",IFERROR(INDEX(Equipe_Turno,MATCH($B122,Equipe_Nome,0)),"?"))</f>
        <v/>
      </c>
      <c r="E122" s="34">
        <f>IF(OR($B122="",$C122&lt;&gt;"Ativo",$D122&lt;&gt;'Calc_Mix'!$C$2,'Calc_Mix'!$X$2=0,COUNTIFS(Esc_Turno,'Calc_Mix'!$C$2,Esc_Circ,$B122)+COUNTIFS(Esc_Turno,'Calc_Mix'!$C$2,Esc_Instr,$B122)&gt;0),"",IF(SUMPRODUCT('Calc_Mix'!$D$2:$W$2,'Matriz_Habilidades'!$D122:$W122)=0,"",SUMPRODUCT('Calc_Mix'!$D$2:$W$2,'Matriz_Habilidades'!$D122:$W122)/'Calc_Mix'!$X$2+ROW()*0.000001))</f>
        <v/>
      </c>
      <c r="F122" s="34">
        <f>IF(OR($B122="",$C122&lt;&gt;"Ativo",$D122&lt;&gt;'Calc_Mix'!$C$3,'Calc_Mix'!$X$3=0,COUNTIFS(Esc_Turno,'Calc_Mix'!$C$3,Esc_Circ,$B122)+COUNTIFS(Esc_Turno,'Calc_Mix'!$C$3,Esc_Instr,$B122)&gt;0),"",IF(SUMPRODUCT('Calc_Mix'!$D$3:$W$3,'Matriz_Habilidades'!$D122:$W122)=0,"",SUMPRODUCT('Calc_Mix'!$D$3:$W$3,'Matriz_Habilidades'!$D122:$W122)/'Calc_Mix'!$X$3+ROW()*0.000001))</f>
        <v/>
      </c>
      <c r="G122" s="34">
        <f>IF(OR($B122="",$C122&lt;&gt;"Ativo",$D122&lt;&gt;'Calc_Mix'!$C$4,'Calc_Mix'!$X$4=0,COUNTIFS(Esc_Turno,'Calc_Mix'!$C$4,Esc_Circ,$B122)+COUNTIFS(Esc_Turno,'Calc_Mix'!$C$4,Esc_Instr,$B122)&gt;0),"",IF(SUMPRODUCT('Calc_Mix'!$D$4:$W$4,'Matriz_Habilidades'!$D122:$W122)=0,"",SUMPRODUCT('Calc_Mix'!$D$4:$W$4,'Matriz_Habilidades'!$D122:$W122)/'Calc_Mix'!$X$4+ROW()*0.000001))</f>
        <v/>
      </c>
      <c r="H122" s="34">
        <f>IF(OR($B122="",$C122&lt;&gt;"Ativo",$D122&lt;&gt;'Calc_Mix'!$C$5,'Calc_Mix'!$X$5=0,COUNTIFS(Esc_Turno,'Calc_Mix'!$C$5,Esc_Circ,$B122)+COUNTIFS(Esc_Turno,'Calc_Mix'!$C$5,Esc_Instr,$B122)&gt;0),"",IF(SUMPRODUCT('Calc_Mix'!$D$5:$W$5,'Matriz_Habilidades'!$D122:$W122)=0,"",SUMPRODUCT('Calc_Mix'!$D$5:$W$5,'Matriz_Habilidades'!$D122:$W122)/'Calc_Mix'!$X$5+ROW()*0.000001))</f>
        <v/>
      </c>
      <c r="I122" s="34">
        <f>IF(OR($B122="",$C122&lt;&gt;"Ativo",$D122&lt;&gt;'Calc_Mix'!$C$6,'Calc_Mix'!$X$6=0,COUNTIFS(Esc_Turno,'Calc_Mix'!$C$6,Esc_Circ,$B122)+COUNTIFS(Esc_Turno,'Calc_Mix'!$C$6,Esc_Instr,$B122)&gt;0),"",IF(SUMPRODUCT('Calc_Mix'!$D$6:$W$6,'Matriz_Habilidades'!$D122:$W122)=0,"",SUMPRODUCT('Calc_Mix'!$D$6:$W$6,'Matriz_Habilidades'!$D122:$W122)/'Calc_Mix'!$X$6+ROW()*0.000001))</f>
        <v/>
      </c>
      <c r="J122" s="34">
        <f>IF(OR($B122="",$C122&lt;&gt;"Ativo",$D122&lt;&gt;'Calc_Mix'!$C$7,'Calc_Mix'!$X$7=0,COUNTIFS(Esc_Turno,'Calc_Mix'!$C$7,Esc_Circ,$B122)+COUNTIFS(Esc_Turno,'Calc_Mix'!$C$7,Esc_Instr,$B122)&gt;0),"",IF(SUMPRODUCT('Calc_Mix'!$D$7:$W$7,'Matriz_Habilidades'!$D122:$W122)=0,"",SUMPRODUCT('Calc_Mix'!$D$7:$W$7,'Matriz_Habilidades'!$D122:$W122)/'Calc_Mix'!$X$7+ROW()*0.000001))</f>
        <v/>
      </c>
      <c r="K122" s="34">
        <f>IF(OR($B122="",$C122&lt;&gt;"Ativo",$D122&lt;&gt;'Calc_Mix'!$C$8,'Calc_Mix'!$X$8=0,COUNTIFS(Esc_Turno,'Calc_Mix'!$C$8,Esc_Circ,$B122)+COUNTIFS(Esc_Turno,'Calc_Mix'!$C$8,Esc_Instr,$B122)&gt;0),"",IF(SUMPRODUCT('Calc_Mix'!$D$8:$W$8,'Matriz_Habilidades'!$D122:$W122)=0,"",SUMPRODUCT('Calc_Mix'!$D$8:$W$8,'Matriz_Habilidades'!$D122:$W122)/'Calc_Mix'!$X$8+ROW()*0.000001))</f>
        <v/>
      </c>
      <c r="L122" s="34">
        <f>IF(OR($B122="",$C122&lt;&gt;"Ativo",$D122&lt;&gt;'Calc_Mix'!$C$9,'Calc_Mix'!$X$9=0,COUNTIFS(Esc_Turno,'Calc_Mix'!$C$9,Esc_Circ,$B122)+COUNTIFS(Esc_Turno,'Calc_Mix'!$C$9,Esc_Instr,$B122)&gt;0),"",IF(SUMPRODUCT('Calc_Mix'!$D$9:$W$9,'Matriz_Habilidades'!$D122:$W122)=0,"",SUMPRODUCT('Calc_Mix'!$D$9:$W$9,'Matriz_Habilidades'!$D122:$W122)/'Calc_Mix'!$X$9+ROW()*0.000001))</f>
        <v/>
      </c>
      <c r="M122" s="34">
        <f>IF(OR($B122="",$C122&lt;&gt;"Ativo",$D122&lt;&gt;'Calc_Mix'!$C$10,'Calc_Mix'!$X$10=0,COUNTIFS(Esc_Turno,'Calc_Mix'!$C$10,Esc_Circ,$B122)+COUNTIFS(Esc_Turno,'Calc_Mix'!$C$10,Esc_Instr,$B122)&gt;0),"",IF(SUMPRODUCT('Calc_Mix'!$D$10:$W$10,'Matriz_Habilidades'!$D122:$W122)=0,"",SUMPRODUCT('Calc_Mix'!$D$10:$W$10,'Matriz_Habilidades'!$D122:$W122)/'Calc_Mix'!$X$10+ROW()*0.000001))</f>
        <v/>
      </c>
      <c r="N122" s="34">
        <f>IF(OR($B122="",$C122&lt;&gt;"Ativo",$D122&lt;&gt;'Calc_Mix'!$C$11,'Calc_Mix'!$X$11=0,COUNTIFS(Esc_Turno,'Calc_Mix'!$C$11,Esc_Circ,$B122)+COUNTIFS(Esc_Turno,'Calc_Mix'!$C$11,Esc_Instr,$B122)&gt;0),"",IF(SUMPRODUCT('Calc_Mix'!$D$11:$W$11,'Matriz_Habilidades'!$D122:$W122)=0,"",SUMPRODUCT('Calc_Mix'!$D$11:$W$11,'Matriz_Habilidades'!$D122:$W122)/'Calc_Mix'!$X$11+ROW()*0.000001))</f>
        <v/>
      </c>
      <c r="O122" s="34">
        <f>IF(OR($B122="",$C122&lt;&gt;"Ativo",$D122&lt;&gt;'Calc_Mix'!$C$12,'Calc_Mix'!$X$12=0,COUNTIFS(Esc_Turno,'Calc_Mix'!$C$12,Esc_Circ,$B122)+COUNTIFS(Esc_Turno,'Calc_Mix'!$C$12,Esc_Instr,$B122)&gt;0),"",IF(SUMPRODUCT('Calc_Mix'!$D$12:$W$12,'Matriz_Habilidades'!$D122:$W122)=0,"",SUMPRODUCT('Calc_Mix'!$D$12:$W$12,'Matriz_Habilidades'!$D122:$W122)/'Calc_Mix'!$X$12+ROW()*0.000001))</f>
        <v/>
      </c>
      <c r="P122" s="34">
        <f>IF(OR($B122="",$C122&lt;&gt;"Ativo",$D122&lt;&gt;'Calc_Mix'!$C$13,'Calc_Mix'!$X$13=0,COUNTIFS(Esc_Turno,'Calc_Mix'!$C$13,Esc_Circ,$B122)+COUNTIFS(Esc_Turno,'Calc_Mix'!$C$13,Esc_Instr,$B122)&gt;0),"",IF(SUMPRODUCT('Calc_Mix'!$D$13:$W$13,'Matriz_Habilidades'!$D122:$W122)=0,"",SUMPRODUCT('Calc_Mix'!$D$13:$W$13,'Matriz_Habilidades'!$D122:$W122)/'Calc_Mix'!$X$13+ROW()*0.000001))</f>
        <v/>
      </c>
      <c r="Q122" s="34">
        <f>IF(OR($B122="",$C122&lt;&gt;"Ativo",$D122&lt;&gt;'Calc_Mix'!$C$14,'Calc_Mix'!$X$14=0,COUNTIFS(Esc_Turno,'Calc_Mix'!$C$14,Esc_Circ,$B122)+COUNTIFS(Esc_Turno,'Calc_Mix'!$C$14,Esc_Instr,$B122)&gt;0),"",IF(SUMPRODUCT('Calc_Mix'!$D$14:$W$14,'Matriz_Habilidades'!$D122:$W122)=0,"",SUMPRODUCT('Calc_Mix'!$D$14:$W$14,'Matriz_Habilidades'!$D122:$W122)/'Calc_Mix'!$X$14+ROW()*0.000001))</f>
        <v/>
      </c>
      <c r="R122" s="34">
        <f>IF(OR($B122="",$C122&lt;&gt;"Ativo",$D122&lt;&gt;'Calc_Mix'!$C$15,'Calc_Mix'!$X$15=0,COUNTIFS(Esc_Turno,'Calc_Mix'!$C$15,Esc_Circ,$B122)+COUNTIFS(Esc_Turno,'Calc_Mix'!$C$15,Esc_Instr,$B122)&gt;0),"",IF(SUMPRODUCT('Calc_Mix'!$D$15:$W$15,'Matriz_Habilidades'!$D122:$W122)=0,"",SUMPRODUCT('Calc_Mix'!$D$15:$W$15,'Matriz_Habilidades'!$D122:$W122)/'Calc_Mix'!$X$15+ROW()*0.000001))</f>
        <v/>
      </c>
      <c r="S122" s="34">
        <f>IF(OR($B122="",$C122&lt;&gt;"Ativo",$D122&lt;&gt;'Calc_Mix'!$C$16,'Calc_Mix'!$X$16=0,COUNTIFS(Esc_Turno,'Calc_Mix'!$C$16,Esc_Circ,$B122)+COUNTIFS(Esc_Turno,'Calc_Mix'!$C$16,Esc_Instr,$B122)&gt;0),"",IF(SUMPRODUCT('Calc_Mix'!$D$16:$W$16,'Matriz_Habilidades'!$D122:$W122)=0,"",SUMPRODUCT('Calc_Mix'!$D$16:$W$16,'Matriz_Habilidades'!$D122:$W122)/'Calc_Mix'!$X$16+ROW()*0.000001))</f>
        <v/>
      </c>
      <c r="T122" s="34">
        <f>IF(OR($B122="",$C122&lt;&gt;"Ativo",$D122&lt;&gt;'Calc_Mix'!$C$17,'Calc_Mix'!$X$17=0,COUNTIFS(Esc_Turno,'Calc_Mix'!$C$17,Esc_Circ,$B122)+COUNTIFS(Esc_Turno,'Calc_Mix'!$C$17,Esc_Instr,$B122)&gt;0),"",IF(SUMPRODUCT('Calc_Mix'!$D$17:$W$17,'Matriz_Habilidades'!$D122:$W122)=0,"",SUMPRODUCT('Calc_Mix'!$D$17:$W$17,'Matriz_Habilidades'!$D122:$W122)/'Calc_Mix'!$X$17+ROW()*0.000001))</f>
        <v/>
      </c>
      <c r="U122" s="34">
        <f>IF(OR($B122="",$C122&lt;&gt;"Ativo",$D122&lt;&gt;'Calc_Mix'!$C$18,'Calc_Mix'!$X$18=0,COUNTIFS(Esc_Turno,'Calc_Mix'!$C$18,Esc_Circ,$B122)+COUNTIFS(Esc_Turno,'Calc_Mix'!$C$18,Esc_Instr,$B122)&gt;0),"",IF(SUMPRODUCT('Calc_Mix'!$D$18:$W$18,'Matriz_Habilidades'!$D122:$W122)=0,"",SUMPRODUCT('Calc_Mix'!$D$18:$W$18,'Matriz_Habilidades'!$D122:$W122)/'Calc_Mix'!$X$18+ROW()*0.000001))</f>
        <v/>
      </c>
      <c r="V122" s="34">
        <f>IF(OR($B122="",$C122&lt;&gt;"Ativo",$D122&lt;&gt;'Calc_Mix'!$C$19,'Calc_Mix'!$X$19=0,COUNTIFS(Esc_Turno,'Calc_Mix'!$C$19,Esc_Circ,$B122)+COUNTIFS(Esc_Turno,'Calc_Mix'!$C$19,Esc_Instr,$B122)&gt;0),"",IF(SUMPRODUCT('Calc_Mix'!$D$19:$W$19,'Matriz_Habilidades'!$D122:$W122)=0,"",SUMPRODUCT('Calc_Mix'!$D$19:$W$19,'Matriz_Habilidades'!$D122:$W122)/'Calc_Mix'!$X$19+ROW()*0.000001))</f>
        <v/>
      </c>
      <c r="W122" s="34">
        <f>IF(OR($B122="",$C122&lt;&gt;"Ativo",$D122&lt;&gt;'Calc_Mix'!$C$20,'Calc_Mix'!$X$20=0,COUNTIFS(Esc_Turno,'Calc_Mix'!$C$20,Esc_Circ,$B122)+COUNTIFS(Esc_Turno,'Calc_Mix'!$C$20,Esc_Instr,$B122)&gt;0),"",IF(SUMPRODUCT('Calc_Mix'!$D$20:$W$20,'Matriz_Habilidades'!$D122:$W122)=0,"",SUMPRODUCT('Calc_Mix'!$D$20:$W$20,'Matriz_Habilidades'!$D122:$W122)/'Calc_Mix'!$X$20+ROW()*0.000001))</f>
        <v/>
      </c>
      <c r="X122" s="34">
        <f>IF(OR($B122="",$C122&lt;&gt;"Ativo",$D122&lt;&gt;'Calc_Mix'!$C$21,'Calc_Mix'!$X$21=0,COUNTIFS(Esc_Turno,'Calc_Mix'!$C$21,Esc_Circ,$B122)+COUNTIFS(Esc_Turno,'Calc_Mix'!$C$21,Esc_Instr,$B122)&gt;0),"",IF(SUMPRODUCT('Calc_Mix'!$D$21:$W$21,'Matriz_Habilidades'!$D122:$W122)=0,"",SUMPRODUCT('Calc_Mix'!$D$21:$W$21,'Matriz_Habilidades'!$D122:$W122)/'Calc_Mix'!$X$21+ROW()*0.000001))</f>
        <v/>
      </c>
      <c r="Y122" s="34">
        <f>IF(OR($B122="",$C122&lt;&gt;"Ativo",$D122&lt;&gt;'Calc_Mix'!$C$22,'Calc_Mix'!$X$22=0,COUNTIFS(Esc_Turno,'Calc_Mix'!$C$22,Esc_Circ,$B122)+COUNTIFS(Esc_Turno,'Calc_Mix'!$C$22,Esc_Instr,$B122)&gt;0),"",IF(SUMPRODUCT('Calc_Mix'!$D$22:$W$22,'Matriz_Habilidades'!$D122:$W122)=0,"",SUMPRODUCT('Calc_Mix'!$D$22:$W$22,'Matriz_Habilidades'!$D122:$W122)/'Calc_Mix'!$X$22+ROW()*0.000001))</f>
        <v/>
      </c>
      <c r="Z122" s="34">
        <f>IF(OR($B122="",$C122&lt;&gt;"Ativo",$D122&lt;&gt;'Calc_Mix'!$C$23,'Calc_Mix'!$X$23=0,COUNTIFS(Esc_Turno,'Calc_Mix'!$C$23,Esc_Circ,$B122)+COUNTIFS(Esc_Turno,'Calc_Mix'!$C$23,Esc_Instr,$B122)&gt;0),"",IF(SUMPRODUCT('Calc_Mix'!$D$23:$W$23,'Matriz_Habilidades'!$D122:$W122)=0,"",SUMPRODUCT('Calc_Mix'!$D$23:$W$23,'Matriz_Habilidades'!$D122:$W122)/'Calc_Mix'!$X$23+ROW()*0.000001))</f>
        <v/>
      </c>
      <c r="AA122" s="34">
        <f>IF(OR($B122="",$C122&lt;&gt;"Ativo",$D122&lt;&gt;'Calc_Mix'!$C$24,'Calc_Mix'!$X$24=0,COUNTIFS(Esc_Turno,'Calc_Mix'!$C$24,Esc_Circ,$B122)+COUNTIFS(Esc_Turno,'Calc_Mix'!$C$24,Esc_Instr,$B122)&gt;0),"",IF(SUMPRODUCT('Calc_Mix'!$D$24:$W$24,'Matriz_Habilidades'!$D122:$W122)=0,"",SUMPRODUCT('Calc_Mix'!$D$24:$W$24,'Matriz_Habilidades'!$D122:$W122)/'Calc_Mix'!$X$24+ROW()*0.000001))</f>
        <v/>
      </c>
      <c r="AB122" s="34">
        <f>IF(OR($B122="",$C122&lt;&gt;"Ativo",$D122&lt;&gt;'Calc_Mix'!$C$25,'Calc_Mix'!$X$25=0,COUNTIFS(Esc_Turno,'Calc_Mix'!$C$25,Esc_Circ,$B122)+COUNTIFS(Esc_Turno,'Calc_Mix'!$C$25,Esc_Instr,$B122)&gt;0),"",IF(SUMPRODUCT('Calc_Mix'!$D$25:$W$25,'Matriz_Habilidades'!$D122:$W122)=0,"",SUMPRODUCT('Calc_Mix'!$D$25:$W$25,'Matriz_Habilidades'!$D122:$W122)/'Calc_Mix'!$X$25+ROW()*0.000001))</f>
        <v/>
      </c>
      <c r="AC122" s="34">
        <f>IF(OR($B122="",$C122&lt;&gt;"Ativo",$D122&lt;&gt;'Calc_Mix'!$C$26,'Calc_Mix'!$X$26=0,COUNTIFS(Esc_Turno,'Calc_Mix'!$C$26,Esc_Circ,$B122)+COUNTIFS(Esc_Turno,'Calc_Mix'!$C$26,Esc_Instr,$B122)&gt;0),"",IF(SUMPRODUCT('Calc_Mix'!$D$26:$W$26,'Matriz_Habilidades'!$D122:$W122)=0,"",SUMPRODUCT('Calc_Mix'!$D$26:$W$26,'Matriz_Habilidades'!$D122:$W122)/'Calc_Mix'!$X$26+ROW()*0.000001))</f>
        <v/>
      </c>
      <c r="AD122" s="34">
        <f>IF(OR($B122="",$C122&lt;&gt;"Ativo",$D122&lt;&gt;'Calc_Mix'!$C$27,'Calc_Mix'!$X$27=0,COUNTIFS(Esc_Turno,'Calc_Mix'!$C$27,Esc_Circ,$B122)+COUNTIFS(Esc_Turno,'Calc_Mix'!$C$27,Esc_Instr,$B122)&gt;0),"",IF(SUMPRODUCT('Calc_Mix'!$D$27:$W$27,'Matriz_Habilidades'!$D122:$W122)=0,"",SUMPRODUCT('Calc_Mix'!$D$27:$W$27,'Matriz_Habilidades'!$D122:$W122)/'Calc_Mix'!$X$27+ROW()*0.000001))</f>
        <v/>
      </c>
      <c r="AE122" s="34">
        <f>IF(OR($B122="",$C122&lt;&gt;"Ativo",$D122&lt;&gt;'Calc_Mix'!$C$28,'Calc_Mix'!$X$28=0,COUNTIFS(Esc_Turno,'Calc_Mix'!$C$28,Esc_Circ,$B122)+COUNTIFS(Esc_Turno,'Calc_Mix'!$C$28,Esc_Instr,$B122)&gt;0),"",IF(SUMPRODUCT('Calc_Mix'!$D$28:$W$28,'Matriz_Habilidades'!$D122:$W122)=0,"",SUMPRODUCT('Calc_Mix'!$D$28:$W$28,'Matriz_Habilidades'!$D122:$W122)/'Calc_Mix'!$X$28+ROW()*0.000001))</f>
        <v/>
      </c>
      <c r="AF122" s="34">
        <f>IF(OR($B122="",$C122&lt;&gt;"Ativo",$D122&lt;&gt;'Calc_Mix'!$C$29,'Calc_Mix'!$X$29=0,COUNTIFS(Esc_Turno,'Calc_Mix'!$C$29,Esc_Circ,$B122)+COUNTIFS(Esc_Turno,'Calc_Mix'!$C$29,Esc_Instr,$B122)&gt;0),"",IF(SUMPRODUCT('Calc_Mix'!$D$29:$W$29,'Matriz_Habilidades'!$D122:$W122)=0,"",SUMPRODUCT('Calc_Mix'!$D$29:$W$29,'Matriz_Habilidades'!$D122:$W122)/'Calc_Mix'!$X$29+ROW()*0.000001))</f>
        <v/>
      </c>
      <c r="AG122" s="34">
        <f>IF(OR($B122="",$C122&lt;&gt;"Ativo",$D122&lt;&gt;'Calc_Mix'!$C$30,'Calc_Mix'!$X$30=0,COUNTIFS(Esc_Turno,'Calc_Mix'!$C$30,Esc_Circ,$B122)+COUNTIFS(Esc_Turno,'Calc_Mix'!$C$30,Esc_Instr,$B122)&gt;0),"",IF(SUMPRODUCT('Calc_Mix'!$D$30:$W$30,'Matriz_Habilidades'!$D122:$W122)=0,"",SUMPRODUCT('Calc_Mix'!$D$30:$W$30,'Matriz_Habilidades'!$D122:$W122)/'Calc_Mix'!$X$30+ROW()*0.000001))</f>
        <v/>
      </c>
      <c r="AH122" s="34">
        <f>IF(OR($B122="",$C122&lt;&gt;"Ativo",$D122&lt;&gt;'Calc_Mix'!$C$31,'Calc_Mix'!$X$31=0,COUNTIFS(Esc_Turno,'Calc_Mix'!$C$31,Esc_Circ,$B122)+COUNTIFS(Esc_Turno,'Calc_Mix'!$C$31,Esc_Instr,$B122)&gt;0),"",IF(SUMPRODUCT('Calc_Mix'!$D$31:$W$31,'Matriz_Habilidades'!$D122:$W122)=0,"",SUMPRODUCT('Calc_Mix'!$D$31:$W$31,'Matriz_Habilidades'!$D122:$W122)/'Calc_Mix'!$X$31+ROW()*0.000001))</f>
        <v/>
      </c>
      <c r="AI122" s="34">
        <f>IF(OR($B122="",$C122&lt;&gt;"Ativo",$D122&lt;&gt;'Calc_Mix'!$C$32,'Calc_Mix'!$X$32=0,COUNTIFS(Esc_Turno,'Calc_Mix'!$C$32,Esc_Circ,$B122)+COUNTIFS(Esc_Turno,'Calc_Mix'!$C$32,Esc_Instr,$B122)&gt;0),"",IF(SUMPRODUCT('Calc_Mix'!$D$32:$W$32,'Matriz_Habilidades'!$D122:$W122)=0,"",SUMPRODUCT('Calc_Mix'!$D$32:$W$32,'Matriz_Habilidades'!$D122:$W122)/'Calc_Mix'!$X$32+ROW()*0.000001))</f>
        <v/>
      </c>
      <c r="AJ122" s="34">
        <f>IF(OR($B122="",$C122&lt;&gt;"Ativo",$D122&lt;&gt;'Calc_Mix'!$C$33,'Calc_Mix'!$X$33=0,COUNTIFS(Esc_Turno,'Calc_Mix'!$C$33,Esc_Circ,$B122)+COUNTIFS(Esc_Turno,'Calc_Mix'!$C$33,Esc_Instr,$B122)&gt;0),"",IF(SUMPRODUCT('Calc_Mix'!$D$33:$W$33,'Matriz_Habilidades'!$D122:$W122)=0,"",SUMPRODUCT('Calc_Mix'!$D$33:$W$33,'Matriz_Habilidades'!$D122:$W122)/'Calc_Mix'!$X$33+ROW()*0.000001))</f>
        <v/>
      </c>
      <c r="AK122" s="34">
        <f>IF(OR($B122="",$C122&lt;&gt;"Ativo",$D122&lt;&gt;'Calc_Mix'!$C$34,'Calc_Mix'!$X$34=0,COUNTIFS(Esc_Turno,'Calc_Mix'!$C$34,Esc_Circ,$B122)+COUNTIFS(Esc_Turno,'Calc_Mix'!$C$34,Esc_Instr,$B122)&gt;0),"",IF(SUMPRODUCT('Calc_Mix'!$D$34:$W$34,'Matriz_Habilidades'!$D122:$W122)=0,"",SUMPRODUCT('Calc_Mix'!$D$34:$W$34,'Matriz_Habilidades'!$D122:$W122)/'Calc_Mix'!$X$34+ROW()*0.000001))</f>
        <v/>
      </c>
      <c r="AL122" s="34">
        <f>IF(OR($B122="",$C122&lt;&gt;"Ativo",$D122&lt;&gt;'Calc_Mix'!$C$35,'Calc_Mix'!$X$35=0,COUNTIFS(Esc_Turno,'Calc_Mix'!$C$35,Esc_Circ,$B122)+COUNTIFS(Esc_Turno,'Calc_Mix'!$C$35,Esc_Instr,$B122)&gt;0),"",IF(SUMPRODUCT('Calc_Mix'!$D$35:$W$35,'Matriz_Habilidades'!$D122:$W122)=0,"",SUMPRODUCT('Calc_Mix'!$D$35:$W$35,'Matriz_Habilidades'!$D122:$W122)/'Calc_Mix'!$X$35+ROW()*0.000001))</f>
        <v/>
      </c>
      <c r="AM122" s="34">
        <f>IF(OR($B122="",$C122&lt;&gt;"Ativo",$D122&lt;&gt;'Calc_Mix'!$C$36,'Calc_Mix'!$X$36=0,COUNTIFS(Esc_Turno,'Calc_Mix'!$C$36,Esc_Circ,$B122)+COUNTIFS(Esc_Turno,'Calc_Mix'!$C$36,Esc_Instr,$B122)&gt;0),"",IF(SUMPRODUCT('Calc_Mix'!$D$36:$W$36,'Matriz_Habilidades'!$D122:$W122)=0,"",SUMPRODUCT('Calc_Mix'!$D$36:$W$36,'Matriz_Habilidades'!$D122:$W122)/'Calc_Mix'!$X$36+ROW()*0.000001))</f>
        <v/>
      </c>
      <c r="AN122" s="34">
        <f>IF(OR($B122="",$C122&lt;&gt;"Ativo",$D122&lt;&gt;'Calc_Mix'!$C$37,'Calc_Mix'!$X$37=0,COUNTIFS(Esc_Turno,'Calc_Mix'!$C$37,Esc_Circ,$B122)+COUNTIFS(Esc_Turno,'Calc_Mix'!$C$37,Esc_Instr,$B122)&gt;0),"",IF(SUMPRODUCT('Calc_Mix'!$D$37:$W$37,'Matriz_Habilidades'!$D122:$W122)=0,"",SUMPRODUCT('Calc_Mix'!$D$37:$W$37,'Matriz_Habilidades'!$D122:$W122)/'Calc_Mix'!$X$37+ROW()*0.000001))</f>
        <v/>
      </c>
    </row>
    <row r="123">
      <c r="A123" s="27">
        <f>IF('Matriz_Habilidades'!A123="","",'Matriz_Habilidades'!A123)</f>
        <v/>
      </c>
      <c r="B123" s="28">
        <f>IF('Matriz_Habilidades'!B123="","",'Matriz_Habilidades'!B123)</f>
        <v/>
      </c>
      <c r="C123" s="27">
        <f>IF($A123="","",IFERROR(INDEX(Equipe_Status,MATCH($B123,Equipe_Nome,0)),"?"))</f>
        <v/>
      </c>
      <c r="D123" s="27">
        <f>IF($A123="","",IFERROR(INDEX(Equipe_Turno,MATCH($B123,Equipe_Nome,0)),"?"))</f>
        <v/>
      </c>
      <c r="E123" s="34">
        <f>IF(OR($B123="",$C123&lt;&gt;"Ativo",$D123&lt;&gt;'Calc_Mix'!$C$2,'Calc_Mix'!$X$2=0,COUNTIFS(Esc_Turno,'Calc_Mix'!$C$2,Esc_Circ,$B123)+COUNTIFS(Esc_Turno,'Calc_Mix'!$C$2,Esc_Instr,$B123)&gt;0),"",IF(SUMPRODUCT('Calc_Mix'!$D$2:$W$2,'Matriz_Habilidades'!$D123:$W123)=0,"",SUMPRODUCT('Calc_Mix'!$D$2:$W$2,'Matriz_Habilidades'!$D123:$W123)/'Calc_Mix'!$X$2+ROW()*0.000001))</f>
        <v/>
      </c>
      <c r="F123" s="34">
        <f>IF(OR($B123="",$C123&lt;&gt;"Ativo",$D123&lt;&gt;'Calc_Mix'!$C$3,'Calc_Mix'!$X$3=0,COUNTIFS(Esc_Turno,'Calc_Mix'!$C$3,Esc_Circ,$B123)+COUNTIFS(Esc_Turno,'Calc_Mix'!$C$3,Esc_Instr,$B123)&gt;0),"",IF(SUMPRODUCT('Calc_Mix'!$D$3:$W$3,'Matriz_Habilidades'!$D123:$W123)=0,"",SUMPRODUCT('Calc_Mix'!$D$3:$W$3,'Matriz_Habilidades'!$D123:$W123)/'Calc_Mix'!$X$3+ROW()*0.000001))</f>
        <v/>
      </c>
      <c r="G123" s="34">
        <f>IF(OR($B123="",$C123&lt;&gt;"Ativo",$D123&lt;&gt;'Calc_Mix'!$C$4,'Calc_Mix'!$X$4=0,COUNTIFS(Esc_Turno,'Calc_Mix'!$C$4,Esc_Circ,$B123)+COUNTIFS(Esc_Turno,'Calc_Mix'!$C$4,Esc_Instr,$B123)&gt;0),"",IF(SUMPRODUCT('Calc_Mix'!$D$4:$W$4,'Matriz_Habilidades'!$D123:$W123)=0,"",SUMPRODUCT('Calc_Mix'!$D$4:$W$4,'Matriz_Habilidades'!$D123:$W123)/'Calc_Mix'!$X$4+ROW()*0.000001))</f>
        <v/>
      </c>
      <c r="H123" s="34">
        <f>IF(OR($B123="",$C123&lt;&gt;"Ativo",$D123&lt;&gt;'Calc_Mix'!$C$5,'Calc_Mix'!$X$5=0,COUNTIFS(Esc_Turno,'Calc_Mix'!$C$5,Esc_Circ,$B123)+COUNTIFS(Esc_Turno,'Calc_Mix'!$C$5,Esc_Instr,$B123)&gt;0),"",IF(SUMPRODUCT('Calc_Mix'!$D$5:$W$5,'Matriz_Habilidades'!$D123:$W123)=0,"",SUMPRODUCT('Calc_Mix'!$D$5:$W$5,'Matriz_Habilidades'!$D123:$W123)/'Calc_Mix'!$X$5+ROW()*0.000001))</f>
        <v/>
      </c>
      <c r="I123" s="34">
        <f>IF(OR($B123="",$C123&lt;&gt;"Ativo",$D123&lt;&gt;'Calc_Mix'!$C$6,'Calc_Mix'!$X$6=0,COUNTIFS(Esc_Turno,'Calc_Mix'!$C$6,Esc_Circ,$B123)+COUNTIFS(Esc_Turno,'Calc_Mix'!$C$6,Esc_Instr,$B123)&gt;0),"",IF(SUMPRODUCT('Calc_Mix'!$D$6:$W$6,'Matriz_Habilidades'!$D123:$W123)=0,"",SUMPRODUCT('Calc_Mix'!$D$6:$W$6,'Matriz_Habilidades'!$D123:$W123)/'Calc_Mix'!$X$6+ROW()*0.000001))</f>
        <v/>
      </c>
      <c r="J123" s="34">
        <f>IF(OR($B123="",$C123&lt;&gt;"Ativo",$D123&lt;&gt;'Calc_Mix'!$C$7,'Calc_Mix'!$X$7=0,COUNTIFS(Esc_Turno,'Calc_Mix'!$C$7,Esc_Circ,$B123)+COUNTIFS(Esc_Turno,'Calc_Mix'!$C$7,Esc_Instr,$B123)&gt;0),"",IF(SUMPRODUCT('Calc_Mix'!$D$7:$W$7,'Matriz_Habilidades'!$D123:$W123)=0,"",SUMPRODUCT('Calc_Mix'!$D$7:$W$7,'Matriz_Habilidades'!$D123:$W123)/'Calc_Mix'!$X$7+ROW()*0.000001))</f>
        <v/>
      </c>
      <c r="K123" s="34">
        <f>IF(OR($B123="",$C123&lt;&gt;"Ativo",$D123&lt;&gt;'Calc_Mix'!$C$8,'Calc_Mix'!$X$8=0,COUNTIFS(Esc_Turno,'Calc_Mix'!$C$8,Esc_Circ,$B123)+COUNTIFS(Esc_Turno,'Calc_Mix'!$C$8,Esc_Instr,$B123)&gt;0),"",IF(SUMPRODUCT('Calc_Mix'!$D$8:$W$8,'Matriz_Habilidades'!$D123:$W123)=0,"",SUMPRODUCT('Calc_Mix'!$D$8:$W$8,'Matriz_Habilidades'!$D123:$W123)/'Calc_Mix'!$X$8+ROW()*0.000001))</f>
        <v/>
      </c>
      <c r="L123" s="34">
        <f>IF(OR($B123="",$C123&lt;&gt;"Ativo",$D123&lt;&gt;'Calc_Mix'!$C$9,'Calc_Mix'!$X$9=0,COUNTIFS(Esc_Turno,'Calc_Mix'!$C$9,Esc_Circ,$B123)+COUNTIFS(Esc_Turno,'Calc_Mix'!$C$9,Esc_Instr,$B123)&gt;0),"",IF(SUMPRODUCT('Calc_Mix'!$D$9:$W$9,'Matriz_Habilidades'!$D123:$W123)=0,"",SUMPRODUCT('Calc_Mix'!$D$9:$W$9,'Matriz_Habilidades'!$D123:$W123)/'Calc_Mix'!$X$9+ROW()*0.000001))</f>
        <v/>
      </c>
      <c r="M123" s="34">
        <f>IF(OR($B123="",$C123&lt;&gt;"Ativo",$D123&lt;&gt;'Calc_Mix'!$C$10,'Calc_Mix'!$X$10=0,COUNTIFS(Esc_Turno,'Calc_Mix'!$C$10,Esc_Circ,$B123)+COUNTIFS(Esc_Turno,'Calc_Mix'!$C$10,Esc_Instr,$B123)&gt;0),"",IF(SUMPRODUCT('Calc_Mix'!$D$10:$W$10,'Matriz_Habilidades'!$D123:$W123)=0,"",SUMPRODUCT('Calc_Mix'!$D$10:$W$10,'Matriz_Habilidades'!$D123:$W123)/'Calc_Mix'!$X$10+ROW()*0.000001))</f>
        <v/>
      </c>
      <c r="N123" s="34">
        <f>IF(OR($B123="",$C123&lt;&gt;"Ativo",$D123&lt;&gt;'Calc_Mix'!$C$11,'Calc_Mix'!$X$11=0,COUNTIFS(Esc_Turno,'Calc_Mix'!$C$11,Esc_Circ,$B123)+COUNTIFS(Esc_Turno,'Calc_Mix'!$C$11,Esc_Instr,$B123)&gt;0),"",IF(SUMPRODUCT('Calc_Mix'!$D$11:$W$11,'Matriz_Habilidades'!$D123:$W123)=0,"",SUMPRODUCT('Calc_Mix'!$D$11:$W$11,'Matriz_Habilidades'!$D123:$W123)/'Calc_Mix'!$X$11+ROW()*0.000001))</f>
        <v/>
      </c>
      <c r="O123" s="34">
        <f>IF(OR($B123="",$C123&lt;&gt;"Ativo",$D123&lt;&gt;'Calc_Mix'!$C$12,'Calc_Mix'!$X$12=0,COUNTIFS(Esc_Turno,'Calc_Mix'!$C$12,Esc_Circ,$B123)+COUNTIFS(Esc_Turno,'Calc_Mix'!$C$12,Esc_Instr,$B123)&gt;0),"",IF(SUMPRODUCT('Calc_Mix'!$D$12:$W$12,'Matriz_Habilidades'!$D123:$W123)=0,"",SUMPRODUCT('Calc_Mix'!$D$12:$W$12,'Matriz_Habilidades'!$D123:$W123)/'Calc_Mix'!$X$12+ROW()*0.000001))</f>
        <v/>
      </c>
      <c r="P123" s="34">
        <f>IF(OR($B123="",$C123&lt;&gt;"Ativo",$D123&lt;&gt;'Calc_Mix'!$C$13,'Calc_Mix'!$X$13=0,COUNTIFS(Esc_Turno,'Calc_Mix'!$C$13,Esc_Circ,$B123)+COUNTIFS(Esc_Turno,'Calc_Mix'!$C$13,Esc_Instr,$B123)&gt;0),"",IF(SUMPRODUCT('Calc_Mix'!$D$13:$W$13,'Matriz_Habilidades'!$D123:$W123)=0,"",SUMPRODUCT('Calc_Mix'!$D$13:$W$13,'Matriz_Habilidades'!$D123:$W123)/'Calc_Mix'!$X$13+ROW()*0.000001))</f>
        <v/>
      </c>
      <c r="Q123" s="34">
        <f>IF(OR($B123="",$C123&lt;&gt;"Ativo",$D123&lt;&gt;'Calc_Mix'!$C$14,'Calc_Mix'!$X$14=0,COUNTIFS(Esc_Turno,'Calc_Mix'!$C$14,Esc_Circ,$B123)+COUNTIFS(Esc_Turno,'Calc_Mix'!$C$14,Esc_Instr,$B123)&gt;0),"",IF(SUMPRODUCT('Calc_Mix'!$D$14:$W$14,'Matriz_Habilidades'!$D123:$W123)=0,"",SUMPRODUCT('Calc_Mix'!$D$14:$W$14,'Matriz_Habilidades'!$D123:$W123)/'Calc_Mix'!$X$14+ROW()*0.000001))</f>
        <v/>
      </c>
      <c r="R123" s="34">
        <f>IF(OR($B123="",$C123&lt;&gt;"Ativo",$D123&lt;&gt;'Calc_Mix'!$C$15,'Calc_Mix'!$X$15=0,COUNTIFS(Esc_Turno,'Calc_Mix'!$C$15,Esc_Circ,$B123)+COUNTIFS(Esc_Turno,'Calc_Mix'!$C$15,Esc_Instr,$B123)&gt;0),"",IF(SUMPRODUCT('Calc_Mix'!$D$15:$W$15,'Matriz_Habilidades'!$D123:$W123)=0,"",SUMPRODUCT('Calc_Mix'!$D$15:$W$15,'Matriz_Habilidades'!$D123:$W123)/'Calc_Mix'!$X$15+ROW()*0.000001))</f>
        <v/>
      </c>
      <c r="S123" s="34">
        <f>IF(OR($B123="",$C123&lt;&gt;"Ativo",$D123&lt;&gt;'Calc_Mix'!$C$16,'Calc_Mix'!$X$16=0,COUNTIFS(Esc_Turno,'Calc_Mix'!$C$16,Esc_Circ,$B123)+COUNTIFS(Esc_Turno,'Calc_Mix'!$C$16,Esc_Instr,$B123)&gt;0),"",IF(SUMPRODUCT('Calc_Mix'!$D$16:$W$16,'Matriz_Habilidades'!$D123:$W123)=0,"",SUMPRODUCT('Calc_Mix'!$D$16:$W$16,'Matriz_Habilidades'!$D123:$W123)/'Calc_Mix'!$X$16+ROW()*0.000001))</f>
        <v/>
      </c>
      <c r="T123" s="34">
        <f>IF(OR($B123="",$C123&lt;&gt;"Ativo",$D123&lt;&gt;'Calc_Mix'!$C$17,'Calc_Mix'!$X$17=0,COUNTIFS(Esc_Turno,'Calc_Mix'!$C$17,Esc_Circ,$B123)+COUNTIFS(Esc_Turno,'Calc_Mix'!$C$17,Esc_Instr,$B123)&gt;0),"",IF(SUMPRODUCT('Calc_Mix'!$D$17:$W$17,'Matriz_Habilidades'!$D123:$W123)=0,"",SUMPRODUCT('Calc_Mix'!$D$17:$W$17,'Matriz_Habilidades'!$D123:$W123)/'Calc_Mix'!$X$17+ROW()*0.000001))</f>
        <v/>
      </c>
      <c r="U123" s="34">
        <f>IF(OR($B123="",$C123&lt;&gt;"Ativo",$D123&lt;&gt;'Calc_Mix'!$C$18,'Calc_Mix'!$X$18=0,COUNTIFS(Esc_Turno,'Calc_Mix'!$C$18,Esc_Circ,$B123)+COUNTIFS(Esc_Turno,'Calc_Mix'!$C$18,Esc_Instr,$B123)&gt;0),"",IF(SUMPRODUCT('Calc_Mix'!$D$18:$W$18,'Matriz_Habilidades'!$D123:$W123)=0,"",SUMPRODUCT('Calc_Mix'!$D$18:$W$18,'Matriz_Habilidades'!$D123:$W123)/'Calc_Mix'!$X$18+ROW()*0.000001))</f>
        <v/>
      </c>
      <c r="V123" s="34">
        <f>IF(OR($B123="",$C123&lt;&gt;"Ativo",$D123&lt;&gt;'Calc_Mix'!$C$19,'Calc_Mix'!$X$19=0,COUNTIFS(Esc_Turno,'Calc_Mix'!$C$19,Esc_Circ,$B123)+COUNTIFS(Esc_Turno,'Calc_Mix'!$C$19,Esc_Instr,$B123)&gt;0),"",IF(SUMPRODUCT('Calc_Mix'!$D$19:$W$19,'Matriz_Habilidades'!$D123:$W123)=0,"",SUMPRODUCT('Calc_Mix'!$D$19:$W$19,'Matriz_Habilidades'!$D123:$W123)/'Calc_Mix'!$X$19+ROW()*0.000001))</f>
        <v/>
      </c>
      <c r="W123" s="34">
        <f>IF(OR($B123="",$C123&lt;&gt;"Ativo",$D123&lt;&gt;'Calc_Mix'!$C$20,'Calc_Mix'!$X$20=0,COUNTIFS(Esc_Turno,'Calc_Mix'!$C$20,Esc_Circ,$B123)+COUNTIFS(Esc_Turno,'Calc_Mix'!$C$20,Esc_Instr,$B123)&gt;0),"",IF(SUMPRODUCT('Calc_Mix'!$D$20:$W$20,'Matriz_Habilidades'!$D123:$W123)=0,"",SUMPRODUCT('Calc_Mix'!$D$20:$W$20,'Matriz_Habilidades'!$D123:$W123)/'Calc_Mix'!$X$20+ROW()*0.000001))</f>
        <v/>
      </c>
      <c r="X123" s="34">
        <f>IF(OR($B123="",$C123&lt;&gt;"Ativo",$D123&lt;&gt;'Calc_Mix'!$C$21,'Calc_Mix'!$X$21=0,COUNTIFS(Esc_Turno,'Calc_Mix'!$C$21,Esc_Circ,$B123)+COUNTIFS(Esc_Turno,'Calc_Mix'!$C$21,Esc_Instr,$B123)&gt;0),"",IF(SUMPRODUCT('Calc_Mix'!$D$21:$W$21,'Matriz_Habilidades'!$D123:$W123)=0,"",SUMPRODUCT('Calc_Mix'!$D$21:$W$21,'Matriz_Habilidades'!$D123:$W123)/'Calc_Mix'!$X$21+ROW()*0.000001))</f>
        <v/>
      </c>
      <c r="Y123" s="34">
        <f>IF(OR($B123="",$C123&lt;&gt;"Ativo",$D123&lt;&gt;'Calc_Mix'!$C$22,'Calc_Mix'!$X$22=0,COUNTIFS(Esc_Turno,'Calc_Mix'!$C$22,Esc_Circ,$B123)+COUNTIFS(Esc_Turno,'Calc_Mix'!$C$22,Esc_Instr,$B123)&gt;0),"",IF(SUMPRODUCT('Calc_Mix'!$D$22:$W$22,'Matriz_Habilidades'!$D123:$W123)=0,"",SUMPRODUCT('Calc_Mix'!$D$22:$W$22,'Matriz_Habilidades'!$D123:$W123)/'Calc_Mix'!$X$22+ROW()*0.000001))</f>
        <v/>
      </c>
      <c r="Z123" s="34">
        <f>IF(OR($B123="",$C123&lt;&gt;"Ativo",$D123&lt;&gt;'Calc_Mix'!$C$23,'Calc_Mix'!$X$23=0,COUNTIFS(Esc_Turno,'Calc_Mix'!$C$23,Esc_Circ,$B123)+COUNTIFS(Esc_Turno,'Calc_Mix'!$C$23,Esc_Instr,$B123)&gt;0),"",IF(SUMPRODUCT('Calc_Mix'!$D$23:$W$23,'Matriz_Habilidades'!$D123:$W123)=0,"",SUMPRODUCT('Calc_Mix'!$D$23:$W$23,'Matriz_Habilidades'!$D123:$W123)/'Calc_Mix'!$X$23+ROW()*0.000001))</f>
        <v/>
      </c>
      <c r="AA123" s="34">
        <f>IF(OR($B123="",$C123&lt;&gt;"Ativo",$D123&lt;&gt;'Calc_Mix'!$C$24,'Calc_Mix'!$X$24=0,COUNTIFS(Esc_Turno,'Calc_Mix'!$C$24,Esc_Circ,$B123)+COUNTIFS(Esc_Turno,'Calc_Mix'!$C$24,Esc_Instr,$B123)&gt;0),"",IF(SUMPRODUCT('Calc_Mix'!$D$24:$W$24,'Matriz_Habilidades'!$D123:$W123)=0,"",SUMPRODUCT('Calc_Mix'!$D$24:$W$24,'Matriz_Habilidades'!$D123:$W123)/'Calc_Mix'!$X$24+ROW()*0.000001))</f>
        <v/>
      </c>
      <c r="AB123" s="34">
        <f>IF(OR($B123="",$C123&lt;&gt;"Ativo",$D123&lt;&gt;'Calc_Mix'!$C$25,'Calc_Mix'!$X$25=0,COUNTIFS(Esc_Turno,'Calc_Mix'!$C$25,Esc_Circ,$B123)+COUNTIFS(Esc_Turno,'Calc_Mix'!$C$25,Esc_Instr,$B123)&gt;0),"",IF(SUMPRODUCT('Calc_Mix'!$D$25:$W$25,'Matriz_Habilidades'!$D123:$W123)=0,"",SUMPRODUCT('Calc_Mix'!$D$25:$W$25,'Matriz_Habilidades'!$D123:$W123)/'Calc_Mix'!$X$25+ROW()*0.000001))</f>
        <v/>
      </c>
      <c r="AC123" s="34">
        <f>IF(OR($B123="",$C123&lt;&gt;"Ativo",$D123&lt;&gt;'Calc_Mix'!$C$26,'Calc_Mix'!$X$26=0,COUNTIFS(Esc_Turno,'Calc_Mix'!$C$26,Esc_Circ,$B123)+COUNTIFS(Esc_Turno,'Calc_Mix'!$C$26,Esc_Instr,$B123)&gt;0),"",IF(SUMPRODUCT('Calc_Mix'!$D$26:$W$26,'Matriz_Habilidades'!$D123:$W123)=0,"",SUMPRODUCT('Calc_Mix'!$D$26:$W$26,'Matriz_Habilidades'!$D123:$W123)/'Calc_Mix'!$X$26+ROW()*0.000001))</f>
        <v/>
      </c>
      <c r="AD123" s="34">
        <f>IF(OR($B123="",$C123&lt;&gt;"Ativo",$D123&lt;&gt;'Calc_Mix'!$C$27,'Calc_Mix'!$X$27=0,COUNTIFS(Esc_Turno,'Calc_Mix'!$C$27,Esc_Circ,$B123)+COUNTIFS(Esc_Turno,'Calc_Mix'!$C$27,Esc_Instr,$B123)&gt;0),"",IF(SUMPRODUCT('Calc_Mix'!$D$27:$W$27,'Matriz_Habilidades'!$D123:$W123)=0,"",SUMPRODUCT('Calc_Mix'!$D$27:$W$27,'Matriz_Habilidades'!$D123:$W123)/'Calc_Mix'!$X$27+ROW()*0.000001))</f>
        <v/>
      </c>
      <c r="AE123" s="34">
        <f>IF(OR($B123="",$C123&lt;&gt;"Ativo",$D123&lt;&gt;'Calc_Mix'!$C$28,'Calc_Mix'!$X$28=0,COUNTIFS(Esc_Turno,'Calc_Mix'!$C$28,Esc_Circ,$B123)+COUNTIFS(Esc_Turno,'Calc_Mix'!$C$28,Esc_Instr,$B123)&gt;0),"",IF(SUMPRODUCT('Calc_Mix'!$D$28:$W$28,'Matriz_Habilidades'!$D123:$W123)=0,"",SUMPRODUCT('Calc_Mix'!$D$28:$W$28,'Matriz_Habilidades'!$D123:$W123)/'Calc_Mix'!$X$28+ROW()*0.000001))</f>
        <v/>
      </c>
      <c r="AF123" s="34">
        <f>IF(OR($B123="",$C123&lt;&gt;"Ativo",$D123&lt;&gt;'Calc_Mix'!$C$29,'Calc_Mix'!$X$29=0,COUNTIFS(Esc_Turno,'Calc_Mix'!$C$29,Esc_Circ,$B123)+COUNTIFS(Esc_Turno,'Calc_Mix'!$C$29,Esc_Instr,$B123)&gt;0),"",IF(SUMPRODUCT('Calc_Mix'!$D$29:$W$29,'Matriz_Habilidades'!$D123:$W123)=0,"",SUMPRODUCT('Calc_Mix'!$D$29:$W$29,'Matriz_Habilidades'!$D123:$W123)/'Calc_Mix'!$X$29+ROW()*0.000001))</f>
        <v/>
      </c>
      <c r="AG123" s="34">
        <f>IF(OR($B123="",$C123&lt;&gt;"Ativo",$D123&lt;&gt;'Calc_Mix'!$C$30,'Calc_Mix'!$X$30=0,COUNTIFS(Esc_Turno,'Calc_Mix'!$C$30,Esc_Circ,$B123)+COUNTIFS(Esc_Turno,'Calc_Mix'!$C$30,Esc_Instr,$B123)&gt;0),"",IF(SUMPRODUCT('Calc_Mix'!$D$30:$W$30,'Matriz_Habilidades'!$D123:$W123)=0,"",SUMPRODUCT('Calc_Mix'!$D$30:$W$30,'Matriz_Habilidades'!$D123:$W123)/'Calc_Mix'!$X$30+ROW()*0.000001))</f>
        <v/>
      </c>
      <c r="AH123" s="34">
        <f>IF(OR($B123="",$C123&lt;&gt;"Ativo",$D123&lt;&gt;'Calc_Mix'!$C$31,'Calc_Mix'!$X$31=0,COUNTIFS(Esc_Turno,'Calc_Mix'!$C$31,Esc_Circ,$B123)+COUNTIFS(Esc_Turno,'Calc_Mix'!$C$31,Esc_Instr,$B123)&gt;0),"",IF(SUMPRODUCT('Calc_Mix'!$D$31:$W$31,'Matriz_Habilidades'!$D123:$W123)=0,"",SUMPRODUCT('Calc_Mix'!$D$31:$W$31,'Matriz_Habilidades'!$D123:$W123)/'Calc_Mix'!$X$31+ROW()*0.000001))</f>
        <v/>
      </c>
      <c r="AI123" s="34">
        <f>IF(OR($B123="",$C123&lt;&gt;"Ativo",$D123&lt;&gt;'Calc_Mix'!$C$32,'Calc_Mix'!$X$32=0,COUNTIFS(Esc_Turno,'Calc_Mix'!$C$32,Esc_Circ,$B123)+COUNTIFS(Esc_Turno,'Calc_Mix'!$C$32,Esc_Instr,$B123)&gt;0),"",IF(SUMPRODUCT('Calc_Mix'!$D$32:$W$32,'Matriz_Habilidades'!$D123:$W123)=0,"",SUMPRODUCT('Calc_Mix'!$D$32:$W$32,'Matriz_Habilidades'!$D123:$W123)/'Calc_Mix'!$X$32+ROW()*0.000001))</f>
        <v/>
      </c>
      <c r="AJ123" s="34">
        <f>IF(OR($B123="",$C123&lt;&gt;"Ativo",$D123&lt;&gt;'Calc_Mix'!$C$33,'Calc_Mix'!$X$33=0,COUNTIFS(Esc_Turno,'Calc_Mix'!$C$33,Esc_Circ,$B123)+COUNTIFS(Esc_Turno,'Calc_Mix'!$C$33,Esc_Instr,$B123)&gt;0),"",IF(SUMPRODUCT('Calc_Mix'!$D$33:$W$33,'Matriz_Habilidades'!$D123:$W123)=0,"",SUMPRODUCT('Calc_Mix'!$D$33:$W$33,'Matriz_Habilidades'!$D123:$W123)/'Calc_Mix'!$X$33+ROW()*0.000001))</f>
        <v/>
      </c>
      <c r="AK123" s="34">
        <f>IF(OR($B123="",$C123&lt;&gt;"Ativo",$D123&lt;&gt;'Calc_Mix'!$C$34,'Calc_Mix'!$X$34=0,COUNTIFS(Esc_Turno,'Calc_Mix'!$C$34,Esc_Circ,$B123)+COUNTIFS(Esc_Turno,'Calc_Mix'!$C$34,Esc_Instr,$B123)&gt;0),"",IF(SUMPRODUCT('Calc_Mix'!$D$34:$W$34,'Matriz_Habilidades'!$D123:$W123)=0,"",SUMPRODUCT('Calc_Mix'!$D$34:$W$34,'Matriz_Habilidades'!$D123:$W123)/'Calc_Mix'!$X$34+ROW()*0.000001))</f>
        <v/>
      </c>
      <c r="AL123" s="34">
        <f>IF(OR($B123="",$C123&lt;&gt;"Ativo",$D123&lt;&gt;'Calc_Mix'!$C$35,'Calc_Mix'!$X$35=0,COUNTIFS(Esc_Turno,'Calc_Mix'!$C$35,Esc_Circ,$B123)+COUNTIFS(Esc_Turno,'Calc_Mix'!$C$35,Esc_Instr,$B123)&gt;0),"",IF(SUMPRODUCT('Calc_Mix'!$D$35:$W$35,'Matriz_Habilidades'!$D123:$W123)=0,"",SUMPRODUCT('Calc_Mix'!$D$35:$W$35,'Matriz_Habilidades'!$D123:$W123)/'Calc_Mix'!$X$35+ROW()*0.000001))</f>
        <v/>
      </c>
      <c r="AM123" s="34">
        <f>IF(OR($B123="",$C123&lt;&gt;"Ativo",$D123&lt;&gt;'Calc_Mix'!$C$36,'Calc_Mix'!$X$36=0,COUNTIFS(Esc_Turno,'Calc_Mix'!$C$36,Esc_Circ,$B123)+COUNTIFS(Esc_Turno,'Calc_Mix'!$C$36,Esc_Instr,$B123)&gt;0),"",IF(SUMPRODUCT('Calc_Mix'!$D$36:$W$36,'Matriz_Habilidades'!$D123:$W123)=0,"",SUMPRODUCT('Calc_Mix'!$D$36:$W$36,'Matriz_Habilidades'!$D123:$W123)/'Calc_Mix'!$X$36+ROW()*0.000001))</f>
        <v/>
      </c>
      <c r="AN123" s="34">
        <f>IF(OR($B123="",$C123&lt;&gt;"Ativo",$D123&lt;&gt;'Calc_Mix'!$C$37,'Calc_Mix'!$X$37=0,COUNTIFS(Esc_Turno,'Calc_Mix'!$C$37,Esc_Circ,$B123)+COUNTIFS(Esc_Turno,'Calc_Mix'!$C$37,Esc_Instr,$B123)&gt;0),"",IF(SUMPRODUCT('Calc_Mix'!$D$37:$W$37,'Matriz_Habilidades'!$D123:$W123)=0,"",SUMPRODUCT('Calc_Mix'!$D$37:$W$37,'Matriz_Habilidades'!$D123:$W123)/'Calc_Mix'!$X$37+ROW()*0.000001))</f>
        <v/>
      </c>
    </row>
    <row r="124">
      <c r="A124" s="27">
        <f>IF('Matriz_Habilidades'!A124="","",'Matriz_Habilidades'!A124)</f>
        <v/>
      </c>
      <c r="B124" s="28">
        <f>IF('Matriz_Habilidades'!B124="","",'Matriz_Habilidades'!B124)</f>
        <v/>
      </c>
      <c r="C124" s="27">
        <f>IF($A124="","",IFERROR(INDEX(Equipe_Status,MATCH($B124,Equipe_Nome,0)),"?"))</f>
        <v/>
      </c>
      <c r="D124" s="27">
        <f>IF($A124="","",IFERROR(INDEX(Equipe_Turno,MATCH($B124,Equipe_Nome,0)),"?"))</f>
        <v/>
      </c>
      <c r="E124" s="34">
        <f>IF(OR($B124="",$C124&lt;&gt;"Ativo",$D124&lt;&gt;'Calc_Mix'!$C$2,'Calc_Mix'!$X$2=0,COUNTIFS(Esc_Turno,'Calc_Mix'!$C$2,Esc_Circ,$B124)+COUNTIFS(Esc_Turno,'Calc_Mix'!$C$2,Esc_Instr,$B124)&gt;0),"",IF(SUMPRODUCT('Calc_Mix'!$D$2:$W$2,'Matriz_Habilidades'!$D124:$W124)=0,"",SUMPRODUCT('Calc_Mix'!$D$2:$W$2,'Matriz_Habilidades'!$D124:$W124)/'Calc_Mix'!$X$2+ROW()*0.000001))</f>
        <v/>
      </c>
      <c r="F124" s="34">
        <f>IF(OR($B124="",$C124&lt;&gt;"Ativo",$D124&lt;&gt;'Calc_Mix'!$C$3,'Calc_Mix'!$X$3=0,COUNTIFS(Esc_Turno,'Calc_Mix'!$C$3,Esc_Circ,$B124)+COUNTIFS(Esc_Turno,'Calc_Mix'!$C$3,Esc_Instr,$B124)&gt;0),"",IF(SUMPRODUCT('Calc_Mix'!$D$3:$W$3,'Matriz_Habilidades'!$D124:$W124)=0,"",SUMPRODUCT('Calc_Mix'!$D$3:$W$3,'Matriz_Habilidades'!$D124:$W124)/'Calc_Mix'!$X$3+ROW()*0.000001))</f>
        <v/>
      </c>
      <c r="G124" s="34">
        <f>IF(OR($B124="",$C124&lt;&gt;"Ativo",$D124&lt;&gt;'Calc_Mix'!$C$4,'Calc_Mix'!$X$4=0,COUNTIFS(Esc_Turno,'Calc_Mix'!$C$4,Esc_Circ,$B124)+COUNTIFS(Esc_Turno,'Calc_Mix'!$C$4,Esc_Instr,$B124)&gt;0),"",IF(SUMPRODUCT('Calc_Mix'!$D$4:$W$4,'Matriz_Habilidades'!$D124:$W124)=0,"",SUMPRODUCT('Calc_Mix'!$D$4:$W$4,'Matriz_Habilidades'!$D124:$W124)/'Calc_Mix'!$X$4+ROW()*0.000001))</f>
        <v/>
      </c>
      <c r="H124" s="34">
        <f>IF(OR($B124="",$C124&lt;&gt;"Ativo",$D124&lt;&gt;'Calc_Mix'!$C$5,'Calc_Mix'!$X$5=0,COUNTIFS(Esc_Turno,'Calc_Mix'!$C$5,Esc_Circ,$B124)+COUNTIFS(Esc_Turno,'Calc_Mix'!$C$5,Esc_Instr,$B124)&gt;0),"",IF(SUMPRODUCT('Calc_Mix'!$D$5:$W$5,'Matriz_Habilidades'!$D124:$W124)=0,"",SUMPRODUCT('Calc_Mix'!$D$5:$W$5,'Matriz_Habilidades'!$D124:$W124)/'Calc_Mix'!$X$5+ROW()*0.000001))</f>
        <v/>
      </c>
      <c r="I124" s="34">
        <f>IF(OR($B124="",$C124&lt;&gt;"Ativo",$D124&lt;&gt;'Calc_Mix'!$C$6,'Calc_Mix'!$X$6=0,COUNTIFS(Esc_Turno,'Calc_Mix'!$C$6,Esc_Circ,$B124)+COUNTIFS(Esc_Turno,'Calc_Mix'!$C$6,Esc_Instr,$B124)&gt;0),"",IF(SUMPRODUCT('Calc_Mix'!$D$6:$W$6,'Matriz_Habilidades'!$D124:$W124)=0,"",SUMPRODUCT('Calc_Mix'!$D$6:$W$6,'Matriz_Habilidades'!$D124:$W124)/'Calc_Mix'!$X$6+ROW()*0.000001))</f>
        <v/>
      </c>
      <c r="J124" s="34">
        <f>IF(OR($B124="",$C124&lt;&gt;"Ativo",$D124&lt;&gt;'Calc_Mix'!$C$7,'Calc_Mix'!$X$7=0,COUNTIFS(Esc_Turno,'Calc_Mix'!$C$7,Esc_Circ,$B124)+COUNTIFS(Esc_Turno,'Calc_Mix'!$C$7,Esc_Instr,$B124)&gt;0),"",IF(SUMPRODUCT('Calc_Mix'!$D$7:$W$7,'Matriz_Habilidades'!$D124:$W124)=0,"",SUMPRODUCT('Calc_Mix'!$D$7:$W$7,'Matriz_Habilidades'!$D124:$W124)/'Calc_Mix'!$X$7+ROW()*0.000001))</f>
        <v/>
      </c>
      <c r="K124" s="34">
        <f>IF(OR($B124="",$C124&lt;&gt;"Ativo",$D124&lt;&gt;'Calc_Mix'!$C$8,'Calc_Mix'!$X$8=0,COUNTIFS(Esc_Turno,'Calc_Mix'!$C$8,Esc_Circ,$B124)+COUNTIFS(Esc_Turno,'Calc_Mix'!$C$8,Esc_Instr,$B124)&gt;0),"",IF(SUMPRODUCT('Calc_Mix'!$D$8:$W$8,'Matriz_Habilidades'!$D124:$W124)=0,"",SUMPRODUCT('Calc_Mix'!$D$8:$W$8,'Matriz_Habilidades'!$D124:$W124)/'Calc_Mix'!$X$8+ROW()*0.000001))</f>
        <v/>
      </c>
      <c r="L124" s="34">
        <f>IF(OR($B124="",$C124&lt;&gt;"Ativo",$D124&lt;&gt;'Calc_Mix'!$C$9,'Calc_Mix'!$X$9=0,COUNTIFS(Esc_Turno,'Calc_Mix'!$C$9,Esc_Circ,$B124)+COUNTIFS(Esc_Turno,'Calc_Mix'!$C$9,Esc_Instr,$B124)&gt;0),"",IF(SUMPRODUCT('Calc_Mix'!$D$9:$W$9,'Matriz_Habilidades'!$D124:$W124)=0,"",SUMPRODUCT('Calc_Mix'!$D$9:$W$9,'Matriz_Habilidades'!$D124:$W124)/'Calc_Mix'!$X$9+ROW()*0.000001))</f>
        <v/>
      </c>
      <c r="M124" s="34">
        <f>IF(OR($B124="",$C124&lt;&gt;"Ativo",$D124&lt;&gt;'Calc_Mix'!$C$10,'Calc_Mix'!$X$10=0,COUNTIFS(Esc_Turno,'Calc_Mix'!$C$10,Esc_Circ,$B124)+COUNTIFS(Esc_Turno,'Calc_Mix'!$C$10,Esc_Instr,$B124)&gt;0),"",IF(SUMPRODUCT('Calc_Mix'!$D$10:$W$10,'Matriz_Habilidades'!$D124:$W124)=0,"",SUMPRODUCT('Calc_Mix'!$D$10:$W$10,'Matriz_Habilidades'!$D124:$W124)/'Calc_Mix'!$X$10+ROW()*0.000001))</f>
        <v/>
      </c>
      <c r="N124" s="34">
        <f>IF(OR($B124="",$C124&lt;&gt;"Ativo",$D124&lt;&gt;'Calc_Mix'!$C$11,'Calc_Mix'!$X$11=0,COUNTIFS(Esc_Turno,'Calc_Mix'!$C$11,Esc_Circ,$B124)+COUNTIFS(Esc_Turno,'Calc_Mix'!$C$11,Esc_Instr,$B124)&gt;0),"",IF(SUMPRODUCT('Calc_Mix'!$D$11:$W$11,'Matriz_Habilidades'!$D124:$W124)=0,"",SUMPRODUCT('Calc_Mix'!$D$11:$W$11,'Matriz_Habilidades'!$D124:$W124)/'Calc_Mix'!$X$11+ROW()*0.000001))</f>
        <v/>
      </c>
      <c r="O124" s="34">
        <f>IF(OR($B124="",$C124&lt;&gt;"Ativo",$D124&lt;&gt;'Calc_Mix'!$C$12,'Calc_Mix'!$X$12=0,COUNTIFS(Esc_Turno,'Calc_Mix'!$C$12,Esc_Circ,$B124)+COUNTIFS(Esc_Turno,'Calc_Mix'!$C$12,Esc_Instr,$B124)&gt;0),"",IF(SUMPRODUCT('Calc_Mix'!$D$12:$W$12,'Matriz_Habilidades'!$D124:$W124)=0,"",SUMPRODUCT('Calc_Mix'!$D$12:$W$12,'Matriz_Habilidades'!$D124:$W124)/'Calc_Mix'!$X$12+ROW()*0.000001))</f>
        <v/>
      </c>
      <c r="P124" s="34">
        <f>IF(OR($B124="",$C124&lt;&gt;"Ativo",$D124&lt;&gt;'Calc_Mix'!$C$13,'Calc_Mix'!$X$13=0,COUNTIFS(Esc_Turno,'Calc_Mix'!$C$13,Esc_Circ,$B124)+COUNTIFS(Esc_Turno,'Calc_Mix'!$C$13,Esc_Instr,$B124)&gt;0),"",IF(SUMPRODUCT('Calc_Mix'!$D$13:$W$13,'Matriz_Habilidades'!$D124:$W124)=0,"",SUMPRODUCT('Calc_Mix'!$D$13:$W$13,'Matriz_Habilidades'!$D124:$W124)/'Calc_Mix'!$X$13+ROW()*0.000001))</f>
        <v/>
      </c>
      <c r="Q124" s="34">
        <f>IF(OR($B124="",$C124&lt;&gt;"Ativo",$D124&lt;&gt;'Calc_Mix'!$C$14,'Calc_Mix'!$X$14=0,COUNTIFS(Esc_Turno,'Calc_Mix'!$C$14,Esc_Circ,$B124)+COUNTIFS(Esc_Turno,'Calc_Mix'!$C$14,Esc_Instr,$B124)&gt;0),"",IF(SUMPRODUCT('Calc_Mix'!$D$14:$W$14,'Matriz_Habilidades'!$D124:$W124)=0,"",SUMPRODUCT('Calc_Mix'!$D$14:$W$14,'Matriz_Habilidades'!$D124:$W124)/'Calc_Mix'!$X$14+ROW()*0.000001))</f>
        <v/>
      </c>
      <c r="R124" s="34">
        <f>IF(OR($B124="",$C124&lt;&gt;"Ativo",$D124&lt;&gt;'Calc_Mix'!$C$15,'Calc_Mix'!$X$15=0,COUNTIFS(Esc_Turno,'Calc_Mix'!$C$15,Esc_Circ,$B124)+COUNTIFS(Esc_Turno,'Calc_Mix'!$C$15,Esc_Instr,$B124)&gt;0),"",IF(SUMPRODUCT('Calc_Mix'!$D$15:$W$15,'Matriz_Habilidades'!$D124:$W124)=0,"",SUMPRODUCT('Calc_Mix'!$D$15:$W$15,'Matriz_Habilidades'!$D124:$W124)/'Calc_Mix'!$X$15+ROW()*0.000001))</f>
        <v/>
      </c>
      <c r="S124" s="34">
        <f>IF(OR($B124="",$C124&lt;&gt;"Ativo",$D124&lt;&gt;'Calc_Mix'!$C$16,'Calc_Mix'!$X$16=0,COUNTIFS(Esc_Turno,'Calc_Mix'!$C$16,Esc_Circ,$B124)+COUNTIFS(Esc_Turno,'Calc_Mix'!$C$16,Esc_Instr,$B124)&gt;0),"",IF(SUMPRODUCT('Calc_Mix'!$D$16:$W$16,'Matriz_Habilidades'!$D124:$W124)=0,"",SUMPRODUCT('Calc_Mix'!$D$16:$W$16,'Matriz_Habilidades'!$D124:$W124)/'Calc_Mix'!$X$16+ROW()*0.000001))</f>
        <v/>
      </c>
      <c r="T124" s="34">
        <f>IF(OR($B124="",$C124&lt;&gt;"Ativo",$D124&lt;&gt;'Calc_Mix'!$C$17,'Calc_Mix'!$X$17=0,COUNTIFS(Esc_Turno,'Calc_Mix'!$C$17,Esc_Circ,$B124)+COUNTIFS(Esc_Turno,'Calc_Mix'!$C$17,Esc_Instr,$B124)&gt;0),"",IF(SUMPRODUCT('Calc_Mix'!$D$17:$W$17,'Matriz_Habilidades'!$D124:$W124)=0,"",SUMPRODUCT('Calc_Mix'!$D$17:$W$17,'Matriz_Habilidades'!$D124:$W124)/'Calc_Mix'!$X$17+ROW()*0.000001))</f>
        <v/>
      </c>
      <c r="U124" s="34">
        <f>IF(OR($B124="",$C124&lt;&gt;"Ativo",$D124&lt;&gt;'Calc_Mix'!$C$18,'Calc_Mix'!$X$18=0,COUNTIFS(Esc_Turno,'Calc_Mix'!$C$18,Esc_Circ,$B124)+COUNTIFS(Esc_Turno,'Calc_Mix'!$C$18,Esc_Instr,$B124)&gt;0),"",IF(SUMPRODUCT('Calc_Mix'!$D$18:$W$18,'Matriz_Habilidades'!$D124:$W124)=0,"",SUMPRODUCT('Calc_Mix'!$D$18:$W$18,'Matriz_Habilidades'!$D124:$W124)/'Calc_Mix'!$X$18+ROW()*0.000001))</f>
        <v/>
      </c>
      <c r="V124" s="34">
        <f>IF(OR($B124="",$C124&lt;&gt;"Ativo",$D124&lt;&gt;'Calc_Mix'!$C$19,'Calc_Mix'!$X$19=0,COUNTIFS(Esc_Turno,'Calc_Mix'!$C$19,Esc_Circ,$B124)+COUNTIFS(Esc_Turno,'Calc_Mix'!$C$19,Esc_Instr,$B124)&gt;0),"",IF(SUMPRODUCT('Calc_Mix'!$D$19:$W$19,'Matriz_Habilidades'!$D124:$W124)=0,"",SUMPRODUCT('Calc_Mix'!$D$19:$W$19,'Matriz_Habilidades'!$D124:$W124)/'Calc_Mix'!$X$19+ROW()*0.000001))</f>
        <v/>
      </c>
      <c r="W124" s="34">
        <f>IF(OR($B124="",$C124&lt;&gt;"Ativo",$D124&lt;&gt;'Calc_Mix'!$C$20,'Calc_Mix'!$X$20=0,COUNTIFS(Esc_Turno,'Calc_Mix'!$C$20,Esc_Circ,$B124)+COUNTIFS(Esc_Turno,'Calc_Mix'!$C$20,Esc_Instr,$B124)&gt;0),"",IF(SUMPRODUCT('Calc_Mix'!$D$20:$W$20,'Matriz_Habilidades'!$D124:$W124)=0,"",SUMPRODUCT('Calc_Mix'!$D$20:$W$20,'Matriz_Habilidades'!$D124:$W124)/'Calc_Mix'!$X$20+ROW()*0.000001))</f>
        <v/>
      </c>
      <c r="X124" s="34">
        <f>IF(OR($B124="",$C124&lt;&gt;"Ativo",$D124&lt;&gt;'Calc_Mix'!$C$21,'Calc_Mix'!$X$21=0,COUNTIFS(Esc_Turno,'Calc_Mix'!$C$21,Esc_Circ,$B124)+COUNTIFS(Esc_Turno,'Calc_Mix'!$C$21,Esc_Instr,$B124)&gt;0),"",IF(SUMPRODUCT('Calc_Mix'!$D$21:$W$21,'Matriz_Habilidades'!$D124:$W124)=0,"",SUMPRODUCT('Calc_Mix'!$D$21:$W$21,'Matriz_Habilidades'!$D124:$W124)/'Calc_Mix'!$X$21+ROW()*0.000001))</f>
        <v/>
      </c>
      <c r="Y124" s="34">
        <f>IF(OR($B124="",$C124&lt;&gt;"Ativo",$D124&lt;&gt;'Calc_Mix'!$C$22,'Calc_Mix'!$X$22=0,COUNTIFS(Esc_Turno,'Calc_Mix'!$C$22,Esc_Circ,$B124)+COUNTIFS(Esc_Turno,'Calc_Mix'!$C$22,Esc_Instr,$B124)&gt;0),"",IF(SUMPRODUCT('Calc_Mix'!$D$22:$W$22,'Matriz_Habilidades'!$D124:$W124)=0,"",SUMPRODUCT('Calc_Mix'!$D$22:$W$22,'Matriz_Habilidades'!$D124:$W124)/'Calc_Mix'!$X$22+ROW()*0.000001))</f>
        <v/>
      </c>
      <c r="Z124" s="34">
        <f>IF(OR($B124="",$C124&lt;&gt;"Ativo",$D124&lt;&gt;'Calc_Mix'!$C$23,'Calc_Mix'!$X$23=0,COUNTIFS(Esc_Turno,'Calc_Mix'!$C$23,Esc_Circ,$B124)+COUNTIFS(Esc_Turno,'Calc_Mix'!$C$23,Esc_Instr,$B124)&gt;0),"",IF(SUMPRODUCT('Calc_Mix'!$D$23:$W$23,'Matriz_Habilidades'!$D124:$W124)=0,"",SUMPRODUCT('Calc_Mix'!$D$23:$W$23,'Matriz_Habilidades'!$D124:$W124)/'Calc_Mix'!$X$23+ROW()*0.000001))</f>
        <v/>
      </c>
      <c r="AA124" s="34">
        <f>IF(OR($B124="",$C124&lt;&gt;"Ativo",$D124&lt;&gt;'Calc_Mix'!$C$24,'Calc_Mix'!$X$24=0,COUNTIFS(Esc_Turno,'Calc_Mix'!$C$24,Esc_Circ,$B124)+COUNTIFS(Esc_Turno,'Calc_Mix'!$C$24,Esc_Instr,$B124)&gt;0),"",IF(SUMPRODUCT('Calc_Mix'!$D$24:$W$24,'Matriz_Habilidades'!$D124:$W124)=0,"",SUMPRODUCT('Calc_Mix'!$D$24:$W$24,'Matriz_Habilidades'!$D124:$W124)/'Calc_Mix'!$X$24+ROW()*0.000001))</f>
        <v/>
      </c>
      <c r="AB124" s="34">
        <f>IF(OR($B124="",$C124&lt;&gt;"Ativo",$D124&lt;&gt;'Calc_Mix'!$C$25,'Calc_Mix'!$X$25=0,COUNTIFS(Esc_Turno,'Calc_Mix'!$C$25,Esc_Circ,$B124)+COUNTIFS(Esc_Turno,'Calc_Mix'!$C$25,Esc_Instr,$B124)&gt;0),"",IF(SUMPRODUCT('Calc_Mix'!$D$25:$W$25,'Matriz_Habilidades'!$D124:$W124)=0,"",SUMPRODUCT('Calc_Mix'!$D$25:$W$25,'Matriz_Habilidades'!$D124:$W124)/'Calc_Mix'!$X$25+ROW()*0.000001))</f>
        <v/>
      </c>
      <c r="AC124" s="34">
        <f>IF(OR($B124="",$C124&lt;&gt;"Ativo",$D124&lt;&gt;'Calc_Mix'!$C$26,'Calc_Mix'!$X$26=0,COUNTIFS(Esc_Turno,'Calc_Mix'!$C$26,Esc_Circ,$B124)+COUNTIFS(Esc_Turno,'Calc_Mix'!$C$26,Esc_Instr,$B124)&gt;0),"",IF(SUMPRODUCT('Calc_Mix'!$D$26:$W$26,'Matriz_Habilidades'!$D124:$W124)=0,"",SUMPRODUCT('Calc_Mix'!$D$26:$W$26,'Matriz_Habilidades'!$D124:$W124)/'Calc_Mix'!$X$26+ROW()*0.000001))</f>
        <v/>
      </c>
      <c r="AD124" s="34">
        <f>IF(OR($B124="",$C124&lt;&gt;"Ativo",$D124&lt;&gt;'Calc_Mix'!$C$27,'Calc_Mix'!$X$27=0,COUNTIFS(Esc_Turno,'Calc_Mix'!$C$27,Esc_Circ,$B124)+COUNTIFS(Esc_Turno,'Calc_Mix'!$C$27,Esc_Instr,$B124)&gt;0),"",IF(SUMPRODUCT('Calc_Mix'!$D$27:$W$27,'Matriz_Habilidades'!$D124:$W124)=0,"",SUMPRODUCT('Calc_Mix'!$D$27:$W$27,'Matriz_Habilidades'!$D124:$W124)/'Calc_Mix'!$X$27+ROW()*0.000001))</f>
        <v/>
      </c>
      <c r="AE124" s="34">
        <f>IF(OR($B124="",$C124&lt;&gt;"Ativo",$D124&lt;&gt;'Calc_Mix'!$C$28,'Calc_Mix'!$X$28=0,COUNTIFS(Esc_Turno,'Calc_Mix'!$C$28,Esc_Circ,$B124)+COUNTIFS(Esc_Turno,'Calc_Mix'!$C$28,Esc_Instr,$B124)&gt;0),"",IF(SUMPRODUCT('Calc_Mix'!$D$28:$W$28,'Matriz_Habilidades'!$D124:$W124)=0,"",SUMPRODUCT('Calc_Mix'!$D$28:$W$28,'Matriz_Habilidades'!$D124:$W124)/'Calc_Mix'!$X$28+ROW()*0.000001))</f>
        <v/>
      </c>
      <c r="AF124" s="34">
        <f>IF(OR($B124="",$C124&lt;&gt;"Ativo",$D124&lt;&gt;'Calc_Mix'!$C$29,'Calc_Mix'!$X$29=0,COUNTIFS(Esc_Turno,'Calc_Mix'!$C$29,Esc_Circ,$B124)+COUNTIFS(Esc_Turno,'Calc_Mix'!$C$29,Esc_Instr,$B124)&gt;0),"",IF(SUMPRODUCT('Calc_Mix'!$D$29:$W$29,'Matriz_Habilidades'!$D124:$W124)=0,"",SUMPRODUCT('Calc_Mix'!$D$29:$W$29,'Matriz_Habilidades'!$D124:$W124)/'Calc_Mix'!$X$29+ROW()*0.000001))</f>
        <v/>
      </c>
      <c r="AG124" s="34">
        <f>IF(OR($B124="",$C124&lt;&gt;"Ativo",$D124&lt;&gt;'Calc_Mix'!$C$30,'Calc_Mix'!$X$30=0,COUNTIFS(Esc_Turno,'Calc_Mix'!$C$30,Esc_Circ,$B124)+COUNTIFS(Esc_Turno,'Calc_Mix'!$C$30,Esc_Instr,$B124)&gt;0),"",IF(SUMPRODUCT('Calc_Mix'!$D$30:$W$30,'Matriz_Habilidades'!$D124:$W124)=0,"",SUMPRODUCT('Calc_Mix'!$D$30:$W$30,'Matriz_Habilidades'!$D124:$W124)/'Calc_Mix'!$X$30+ROW()*0.000001))</f>
        <v/>
      </c>
      <c r="AH124" s="34">
        <f>IF(OR($B124="",$C124&lt;&gt;"Ativo",$D124&lt;&gt;'Calc_Mix'!$C$31,'Calc_Mix'!$X$31=0,COUNTIFS(Esc_Turno,'Calc_Mix'!$C$31,Esc_Circ,$B124)+COUNTIFS(Esc_Turno,'Calc_Mix'!$C$31,Esc_Instr,$B124)&gt;0),"",IF(SUMPRODUCT('Calc_Mix'!$D$31:$W$31,'Matriz_Habilidades'!$D124:$W124)=0,"",SUMPRODUCT('Calc_Mix'!$D$31:$W$31,'Matriz_Habilidades'!$D124:$W124)/'Calc_Mix'!$X$31+ROW()*0.000001))</f>
        <v/>
      </c>
      <c r="AI124" s="34">
        <f>IF(OR($B124="",$C124&lt;&gt;"Ativo",$D124&lt;&gt;'Calc_Mix'!$C$32,'Calc_Mix'!$X$32=0,COUNTIFS(Esc_Turno,'Calc_Mix'!$C$32,Esc_Circ,$B124)+COUNTIFS(Esc_Turno,'Calc_Mix'!$C$32,Esc_Instr,$B124)&gt;0),"",IF(SUMPRODUCT('Calc_Mix'!$D$32:$W$32,'Matriz_Habilidades'!$D124:$W124)=0,"",SUMPRODUCT('Calc_Mix'!$D$32:$W$32,'Matriz_Habilidades'!$D124:$W124)/'Calc_Mix'!$X$32+ROW()*0.000001))</f>
        <v/>
      </c>
      <c r="AJ124" s="34">
        <f>IF(OR($B124="",$C124&lt;&gt;"Ativo",$D124&lt;&gt;'Calc_Mix'!$C$33,'Calc_Mix'!$X$33=0,COUNTIFS(Esc_Turno,'Calc_Mix'!$C$33,Esc_Circ,$B124)+COUNTIFS(Esc_Turno,'Calc_Mix'!$C$33,Esc_Instr,$B124)&gt;0),"",IF(SUMPRODUCT('Calc_Mix'!$D$33:$W$33,'Matriz_Habilidades'!$D124:$W124)=0,"",SUMPRODUCT('Calc_Mix'!$D$33:$W$33,'Matriz_Habilidades'!$D124:$W124)/'Calc_Mix'!$X$33+ROW()*0.000001))</f>
        <v/>
      </c>
      <c r="AK124" s="34">
        <f>IF(OR($B124="",$C124&lt;&gt;"Ativo",$D124&lt;&gt;'Calc_Mix'!$C$34,'Calc_Mix'!$X$34=0,COUNTIFS(Esc_Turno,'Calc_Mix'!$C$34,Esc_Circ,$B124)+COUNTIFS(Esc_Turno,'Calc_Mix'!$C$34,Esc_Instr,$B124)&gt;0),"",IF(SUMPRODUCT('Calc_Mix'!$D$34:$W$34,'Matriz_Habilidades'!$D124:$W124)=0,"",SUMPRODUCT('Calc_Mix'!$D$34:$W$34,'Matriz_Habilidades'!$D124:$W124)/'Calc_Mix'!$X$34+ROW()*0.000001))</f>
        <v/>
      </c>
      <c r="AL124" s="34">
        <f>IF(OR($B124="",$C124&lt;&gt;"Ativo",$D124&lt;&gt;'Calc_Mix'!$C$35,'Calc_Mix'!$X$35=0,COUNTIFS(Esc_Turno,'Calc_Mix'!$C$35,Esc_Circ,$B124)+COUNTIFS(Esc_Turno,'Calc_Mix'!$C$35,Esc_Instr,$B124)&gt;0),"",IF(SUMPRODUCT('Calc_Mix'!$D$35:$W$35,'Matriz_Habilidades'!$D124:$W124)=0,"",SUMPRODUCT('Calc_Mix'!$D$35:$W$35,'Matriz_Habilidades'!$D124:$W124)/'Calc_Mix'!$X$35+ROW()*0.000001))</f>
        <v/>
      </c>
      <c r="AM124" s="34">
        <f>IF(OR($B124="",$C124&lt;&gt;"Ativo",$D124&lt;&gt;'Calc_Mix'!$C$36,'Calc_Mix'!$X$36=0,COUNTIFS(Esc_Turno,'Calc_Mix'!$C$36,Esc_Circ,$B124)+COUNTIFS(Esc_Turno,'Calc_Mix'!$C$36,Esc_Instr,$B124)&gt;0),"",IF(SUMPRODUCT('Calc_Mix'!$D$36:$W$36,'Matriz_Habilidades'!$D124:$W124)=0,"",SUMPRODUCT('Calc_Mix'!$D$36:$W$36,'Matriz_Habilidades'!$D124:$W124)/'Calc_Mix'!$X$36+ROW()*0.000001))</f>
        <v/>
      </c>
      <c r="AN124" s="34">
        <f>IF(OR($B124="",$C124&lt;&gt;"Ativo",$D124&lt;&gt;'Calc_Mix'!$C$37,'Calc_Mix'!$X$37=0,COUNTIFS(Esc_Turno,'Calc_Mix'!$C$37,Esc_Circ,$B124)+COUNTIFS(Esc_Turno,'Calc_Mix'!$C$37,Esc_Instr,$B124)&gt;0),"",IF(SUMPRODUCT('Calc_Mix'!$D$37:$W$37,'Matriz_Habilidades'!$D124:$W124)=0,"",SUMPRODUCT('Calc_Mix'!$D$37:$W$37,'Matriz_Habilidades'!$D124:$W124)/'Calc_Mix'!$X$37+ROW()*0.000001))</f>
        <v/>
      </c>
    </row>
    <row r="125">
      <c r="A125" s="27">
        <f>IF('Matriz_Habilidades'!A125="","",'Matriz_Habilidades'!A125)</f>
        <v/>
      </c>
      <c r="B125" s="28">
        <f>IF('Matriz_Habilidades'!B125="","",'Matriz_Habilidades'!B125)</f>
        <v/>
      </c>
      <c r="C125" s="27">
        <f>IF($A125="","",IFERROR(INDEX(Equipe_Status,MATCH($B125,Equipe_Nome,0)),"?"))</f>
        <v/>
      </c>
      <c r="D125" s="27">
        <f>IF($A125="","",IFERROR(INDEX(Equipe_Turno,MATCH($B125,Equipe_Nome,0)),"?"))</f>
        <v/>
      </c>
      <c r="E125" s="34">
        <f>IF(OR($B125="",$C125&lt;&gt;"Ativo",$D125&lt;&gt;'Calc_Mix'!$C$2,'Calc_Mix'!$X$2=0,COUNTIFS(Esc_Turno,'Calc_Mix'!$C$2,Esc_Circ,$B125)+COUNTIFS(Esc_Turno,'Calc_Mix'!$C$2,Esc_Instr,$B125)&gt;0),"",IF(SUMPRODUCT('Calc_Mix'!$D$2:$W$2,'Matriz_Habilidades'!$D125:$W125)=0,"",SUMPRODUCT('Calc_Mix'!$D$2:$W$2,'Matriz_Habilidades'!$D125:$W125)/'Calc_Mix'!$X$2+ROW()*0.000001))</f>
        <v/>
      </c>
      <c r="F125" s="34">
        <f>IF(OR($B125="",$C125&lt;&gt;"Ativo",$D125&lt;&gt;'Calc_Mix'!$C$3,'Calc_Mix'!$X$3=0,COUNTIFS(Esc_Turno,'Calc_Mix'!$C$3,Esc_Circ,$B125)+COUNTIFS(Esc_Turno,'Calc_Mix'!$C$3,Esc_Instr,$B125)&gt;0),"",IF(SUMPRODUCT('Calc_Mix'!$D$3:$W$3,'Matriz_Habilidades'!$D125:$W125)=0,"",SUMPRODUCT('Calc_Mix'!$D$3:$W$3,'Matriz_Habilidades'!$D125:$W125)/'Calc_Mix'!$X$3+ROW()*0.000001))</f>
        <v/>
      </c>
      <c r="G125" s="34">
        <f>IF(OR($B125="",$C125&lt;&gt;"Ativo",$D125&lt;&gt;'Calc_Mix'!$C$4,'Calc_Mix'!$X$4=0,COUNTIFS(Esc_Turno,'Calc_Mix'!$C$4,Esc_Circ,$B125)+COUNTIFS(Esc_Turno,'Calc_Mix'!$C$4,Esc_Instr,$B125)&gt;0),"",IF(SUMPRODUCT('Calc_Mix'!$D$4:$W$4,'Matriz_Habilidades'!$D125:$W125)=0,"",SUMPRODUCT('Calc_Mix'!$D$4:$W$4,'Matriz_Habilidades'!$D125:$W125)/'Calc_Mix'!$X$4+ROW()*0.000001))</f>
        <v/>
      </c>
      <c r="H125" s="34">
        <f>IF(OR($B125="",$C125&lt;&gt;"Ativo",$D125&lt;&gt;'Calc_Mix'!$C$5,'Calc_Mix'!$X$5=0,COUNTIFS(Esc_Turno,'Calc_Mix'!$C$5,Esc_Circ,$B125)+COUNTIFS(Esc_Turno,'Calc_Mix'!$C$5,Esc_Instr,$B125)&gt;0),"",IF(SUMPRODUCT('Calc_Mix'!$D$5:$W$5,'Matriz_Habilidades'!$D125:$W125)=0,"",SUMPRODUCT('Calc_Mix'!$D$5:$W$5,'Matriz_Habilidades'!$D125:$W125)/'Calc_Mix'!$X$5+ROW()*0.000001))</f>
        <v/>
      </c>
      <c r="I125" s="34">
        <f>IF(OR($B125="",$C125&lt;&gt;"Ativo",$D125&lt;&gt;'Calc_Mix'!$C$6,'Calc_Mix'!$X$6=0,COUNTIFS(Esc_Turno,'Calc_Mix'!$C$6,Esc_Circ,$B125)+COUNTIFS(Esc_Turno,'Calc_Mix'!$C$6,Esc_Instr,$B125)&gt;0),"",IF(SUMPRODUCT('Calc_Mix'!$D$6:$W$6,'Matriz_Habilidades'!$D125:$W125)=0,"",SUMPRODUCT('Calc_Mix'!$D$6:$W$6,'Matriz_Habilidades'!$D125:$W125)/'Calc_Mix'!$X$6+ROW()*0.000001))</f>
        <v/>
      </c>
      <c r="J125" s="34">
        <f>IF(OR($B125="",$C125&lt;&gt;"Ativo",$D125&lt;&gt;'Calc_Mix'!$C$7,'Calc_Mix'!$X$7=0,COUNTIFS(Esc_Turno,'Calc_Mix'!$C$7,Esc_Circ,$B125)+COUNTIFS(Esc_Turno,'Calc_Mix'!$C$7,Esc_Instr,$B125)&gt;0),"",IF(SUMPRODUCT('Calc_Mix'!$D$7:$W$7,'Matriz_Habilidades'!$D125:$W125)=0,"",SUMPRODUCT('Calc_Mix'!$D$7:$W$7,'Matriz_Habilidades'!$D125:$W125)/'Calc_Mix'!$X$7+ROW()*0.000001))</f>
        <v/>
      </c>
      <c r="K125" s="34">
        <f>IF(OR($B125="",$C125&lt;&gt;"Ativo",$D125&lt;&gt;'Calc_Mix'!$C$8,'Calc_Mix'!$X$8=0,COUNTIFS(Esc_Turno,'Calc_Mix'!$C$8,Esc_Circ,$B125)+COUNTIFS(Esc_Turno,'Calc_Mix'!$C$8,Esc_Instr,$B125)&gt;0),"",IF(SUMPRODUCT('Calc_Mix'!$D$8:$W$8,'Matriz_Habilidades'!$D125:$W125)=0,"",SUMPRODUCT('Calc_Mix'!$D$8:$W$8,'Matriz_Habilidades'!$D125:$W125)/'Calc_Mix'!$X$8+ROW()*0.000001))</f>
        <v/>
      </c>
      <c r="L125" s="34">
        <f>IF(OR($B125="",$C125&lt;&gt;"Ativo",$D125&lt;&gt;'Calc_Mix'!$C$9,'Calc_Mix'!$X$9=0,COUNTIFS(Esc_Turno,'Calc_Mix'!$C$9,Esc_Circ,$B125)+COUNTIFS(Esc_Turno,'Calc_Mix'!$C$9,Esc_Instr,$B125)&gt;0),"",IF(SUMPRODUCT('Calc_Mix'!$D$9:$W$9,'Matriz_Habilidades'!$D125:$W125)=0,"",SUMPRODUCT('Calc_Mix'!$D$9:$W$9,'Matriz_Habilidades'!$D125:$W125)/'Calc_Mix'!$X$9+ROW()*0.000001))</f>
        <v/>
      </c>
      <c r="M125" s="34">
        <f>IF(OR($B125="",$C125&lt;&gt;"Ativo",$D125&lt;&gt;'Calc_Mix'!$C$10,'Calc_Mix'!$X$10=0,COUNTIFS(Esc_Turno,'Calc_Mix'!$C$10,Esc_Circ,$B125)+COUNTIFS(Esc_Turno,'Calc_Mix'!$C$10,Esc_Instr,$B125)&gt;0),"",IF(SUMPRODUCT('Calc_Mix'!$D$10:$W$10,'Matriz_Habilidades'!$D125:$W125)=0,"",SUMPRODUCT('Calc_Mix'!$D$10:$W$10,'Matriz_Habilidades'!$D125:$W125)/'Calc_Mix'!$X$10+ROW()*0.000001))</f>
        <v/>
      </c>
      <c r="N125" s="34">
        <f>IF(OR($B125="",$C125&lt;&gt;"Ativo",$D125&lt;&gt;'Calc_Mix'!$C$11,'Calc_Mix'!$X$11=0,COUNTIFS(Esc_Turno,'Calc_Mix'!$C$11,Esc_Circ,$B125)+COUNTIFS(Esc_Turno,'Calc_Mix'!$C$11,Esc_Instr,$B125)&gt;0),"",IF(SUMPRODUCT('Calc_Mix'!$D$11:$W$11,'Matriz_Habilidades'!$D125:$W125)=0,"",SUMPRODUCT('Calc_Mix'!$D$11:$W$11,'Matriz_Habilidades'!$D125:$W125)/'Calc_Mix'!$X$11+ROW()*0.000001))</f>
        <v/>
      </c>
      <c r="O125" s="34">
        <f>IF(OR($B125="",$C125&lt;&gt;"Ativo",$D125&lt;&gt;'Calc_Mix'!$C$12,'Calc_Mix'!$X$12=0,COUNTIFS(Esc_Turno,'Calc_Mix'!$C$12,Esc_Circ,$B125)+COUNTIFS(Esc_Turno,'Calc_Mix'!$C$12,Esc_Instr,$B125)&gt;0),"",IF(SUMPRODUCT('Calc_Mix'!$D$12:$W$12,'Matriz_Habilidades'!$D125:$W125)=0,"",SUMPRODUCT('Calc_Mix'!$D$12:$W$12,'Matriz_Habilidades'!$D125:$W125)/'Calc_Mix'!$X$12+ROW()*0.000001))</f>
        <v/>
      </c>
      <c r="P125" s="34">
        <f>IF(OR($B125="",$C125&lt;&gt;"Ativo",$D125&lt;&gt;'Calc_Mix'!$C$13,'Calc_Mix'!$X$13=0,COUNTIFS(Esc_Turno,'Calc_Mix'!$C$13,Esc_Circ,$B125)+COUNTIFS(Esc_Turno,'Calc_Mix'!$C$13,Esc_Instr,$B125)&gt;0),"",IF(SUMPRODUCT('Calc_Mix'!$D$13:$W$13,'Matriz_Habilidades'!$D125:$W125)=0,"",SUMPRODUCT('Calc_Mix'!$D$13:$W$13,'Matriz_Habilidades'!$D125:$W125)/'Calc_Mix'!$X$13+ROW()*0.000001))</f>
        <v/>
      </c>
      <c r="Q125" s="34">
        <f>IF(OR($B125="",$C125&lt;&gt;"Ativo",$D125&lt;&gt;'Calc_Mix'!$C$14,'Calc_Mix'!$X$14=0,COUNTIFS(Esc_Turno,'Calc_Mix'!$C$14,Esc_Circ,$B125)+COUNTIFS(Esc_Turno,'Calc_Mix'!$C$14,Esc_Instr,$B125)&gt;0),"",IF(SUMPRODUCT('Calc_Mix'!$D$14:$W$14,'Matriz_Habilidades'!$D125:$W125)=0,"",SUMPRODUCT('Calc_Mix'!$D$14:$W$14,'Matriz_Habilidades'!$D125:$W125)/'Calc_Mix'!$X$14+ROW()*0.000001))</f>
        <v/>
      </c>
      <c r="R125" s="34">
        <f>IF(OR($B125="",$C125&lt;&gt;"Ativo",$D125&lt;&gt;'Calc_Mix'!$C$15,'Calc_Mix'!$X$15=0,COUNTIFS(Esc_Turno,'Calc_Mix'!$C$15,Esc_Circ,$B125)+COUNTIFS(Esc_Turno,'Calc_Mix'!$C$15,Esc_Instr,$B125)&gt;0),"",IF(SUMPRODUCT('Calc_Mix'!$D$15:$W$15,'Matriz_Habilidades'!$D125:$W125)=0,"",SUMPRODUCT('Calc_Mix'!$D$15:$W$15,'Matriz_Habilidades'!$D125:$W125)/'Calc_Mix'!$X$15+ROW()*0.000001))</f>
        <v/>
      </c>
      <c r="S125" s="34">
        <f>IF(OR($B125="",$C125&lt;&gt;"Ativo",$D125&lt;&gt;'Calc_Mix'!$C$16,'Calc_Mix'!$X$16=0,COUNTIFS(Esc_Turno,'Calc_Mix'!$C$16,Esc_Circ,$B125)+COUNTIFS(Esc_Turno,'Calc_Mix'!$C$16,Esc_Instr,$B125)&gt;0),"",IF(SUMPRODUCT('Calc_Mix'!$D$16:$W$16,'Matriz_Habilidades'!$D125:$W125)=0,"",SUMPRODUCT('Calc_Mix'!$D$16:$W$16,'Matriz_Habilidades'!$D125:$W125)/'Calc_Mix'!$X$16+ROW()*0.000001))</f>
        <v/>
      </c>
      <c r="T125" s="34">
        <f>IF(OR($B125="",$C125&lt;&gt;"Ativo",$D125&lt;&gt;'Calc_Mix'!$C$17,'Calc_Mix'!$X$17=0,COUNTIFS(Esc_Turno,'Calc_Mix'!$C$17,Esc_Circ,$B125)+COUNTIFS(Esc_Turno,'Calc_Mix'!$C$17,Esc_Instr,$B125)&gt;0),"",IF(SUMPRODUCT('Calc_Mix'!$D$17:$W$17,'Matriz_Habilidades'!$D125:$W125)=0,"",SUMPRODUCT('Calc_Mix'!$D$17:$W$17,'Matriz_Habilidades'!$D125:$W125)/'Calc_Mix'!$X$17+ROW()*0.000001))</f>
        <v/>
      </c>
      <c r="U125" s="34">
        <f>IF(OR($B125="",$C125&lt;&gt;"Ativo",$D125&lt;&gt;'Calc_Mix'!$C$18,'Calc_Mix'!$X$18=0,COUNTIFS(Esc_Turno,'Calc_Mix'!$C$18,Esc_Circ,$B125)+COUNTIFS(Esc_Turno,'Calc_Mix'!$C$18,Esc_Instr,$B125)&gt;0),"",IF(SUMPRODUCT('Calc_Mix'!$D$18:$W$18,'Matriz_Habilidades'!$D125:$W125)=0,"",SUMPRODUCT('Calc_Mix'!$D$18:$W$18,'Matriz_Habilidades'!$D125:$W125)/'Calc_Mix'!$X$18+ROW()*0.000001))</f>
        <v/>
      </c>
      <c r="V125" s="34">
        <f>IF(OR($B125="",$C125&lt;&gt;"Ativo",$D125&lt;&gt;'Calc_Mix'!$C$19,'Calc_Mix'!$X$19=0,COUNTIFS(Esc_Turno,'Calc_Mix'!$C$19,Esc_Circ,$B125)+COUNTIFS(Esc_Turno,'Calc_Mix'!$C$19,Esc_Instr,$B125)&gt;0),"",IF(SUMPRODUCT('Calc_Mix'!$D$19:$W$19,'Matriz_Habilidades'!$D125:$W125)=0,"",SUMPRODUCT('Calc_Mix'!$D$19:$W$19,'Matriz_Habilidades'!$D125:$W125)/'Calc_Mix'!$X$19+ROW()*0.000001))</f>
        <v/>
      </c>
      <c r="W125" s="34">
        <f>IF(OR($B125="",$C125&lt;&gt;"Ativo",$D125&lt;&gt;'Calc_Mix'!$C$20,'Calc_Mix'!$X$20=0,COUNTIFS(Esc_Turno,'Calc_Mix'!$C$20,Esc_Circ,$B125)+COUNTIFS(Esc_Turno,'Calc_Mix'!$C$20,Esc_Instr,$B125)&gt;0),"",IF(SUMPRODUCT('Calc_Mix'!$D$20:$W$20,'Matriz_Habilidades'!$D125:$W125)=0,"",SUMPRODUCT('Calc_Mix'!$D$20:$W$20,'Matriz_Habilidades'!$D125:$W125)/'Calc_Mix'!$X$20+ROW()*0.000001))</f>
        <v/>
      </c>
      <c r="X125" s="34">
        <f>IF(OR($B125="",$C125&lt;&gt;"Ativo",$D125&lt;&gt;'Calc_Mix'!$C$21,'Calc_Mix'!$X$21=0,COUNTIFS(Esc_Turno,'Calc_Mix'!$C$21,Esc_Circ,$B125)+COUNTIFS(Esc_Turno,'Calc_Mix'!$C$21,Esc_Instr,$B125)&gt;0),"",IF(SUMPRODUCT('Calc_Mix'!$D$21:$W$21,'Matriz_Habilidades'!$D125:$W125)=0,"",SUMPRODUCT('Calc_Mix'!$D$21:$W$21,'Matriz_Habilidades'!$D125:$W125)/'Calc_Mix'!$X$21+ROW()*0.000001))</f>
        <v/>
      </c>
      <c r="Y125" s="34">
        <f>IF(OR($B125="",$C125&lt;&gt;"Ativo",$D125&lt;&gt;'Calc_Mix'!$C$22,'Calc_Mix'!$X$22=0,COUNTIFS(Esc_Turno,'Calc_Mix'!$C$22,Esc_Circ,$B125)+COUNTIFS(Esc_Turno,'Calc_Mix'!$C$22,Esc_Instr,$B125)&gt;0),"",IF(SUMPRODUCT('Calc_Mix'!$D$22:$W$22,'Matriz_Habilidades'!$D125:$W125)=0,"",SUMPRODUCT('Calc_Mix'!$D$22:$W$22,'Matriz_Habilidades'!$D125:$W125)/'Calc_Mix'!$X$22+ROW()*0.000001))</f>
        <v/>
      </c>
      <c r="Z125" s="34">
        <f>IF(OR($B125="",$C125&lt;&gt;"Ativo",$D125&lt;&gt;'Calc_Mix'!$C$23,'Calc_Mix'!$X$23=0,COUNTIFS(Esc_Turno,'Calc_Mix'!$C$23,Esc_Circ,$B125)+COUNTIFS(Esc_Turno,'Calc_Mix'!$C$23,Esc_Instr,$B125)&gt;0),"",IF(SUMPRODUCT('Calc_Mix'!$D$23:$W$23,'Matriz_Habilidades'!$D125:$W125)=0,"",SUMPRODUCT('Calc_Mix'!$D$23:$W$23,'Matriz_Habilidades'!$D125:$W125)/'Calc_Mix'!$X$23+ROW()*0.000001))</f>
        <v/>
      </c>
      <c r="AA125" s="34">
        <f>IF(OR($B125="",$C125&lt;&gt;"Ativo",$D125&lt;&gt;'Calc_Mix'!$C$24,'Calc_Mix'!$X$24=0,COUNTIFS(Esc_Turno,'Calc_Mix'!$C$24,Esc_Circ,$B125)+COUNTIFS(Esc_Turno,'Calc_Mix'!$C$24,Esc_Instr,$B125)&gt;0),"",IF(SUMPRODUCT('Calc_Mix'!$D$24:$W$24,'Matriz_Habilidades'!$D125:$W125)=0,"",SUMPRODUCT('Calc_Mix'!$D$24:$W$24,'Matriz_Habilidades'!$D125:$W125)/'Calc_Mix'!$X$24+ROW()*0.000001))</f>
        <v/>
      </c>
      <c r="AB125" s="34">
        <f>IF(OR($B125="",$C125&lt;&gt;"Ativo",$D125&lt;&gt;'Calc_Mix'!$C$25,'Calc_Mix'!$X$25=0,COUNTIFS(Esc_Turno,'Calc_Mix'!$C$25,Esc_Circ,$B125)+COUNTIFS(Esc_Turno,'Calc_Mix'!$C$25,Esc_Instr,$B125)&gt;0),"",IF(SUMPRODUCT('Calc_Mix'!$D$25:$W$25,'Matriz_Habilidades'!$D125:$W125)=0,"",SUMPRODUCT('Calc_Mix'!$D$25:$W$25,'Matriz_Habilidades'!$D125:$W125)/'Calc_Mix'!$X$25+ROW()*0.000001))</f>
        <v/>
      </c>
      <c r="AC125" s="34">
        <f>IF(OR($B125="",$C125&lt;&gt;"Ativo",$D125&lt;&gt;'Calc_Mix'!$C$26,'Calc_Mix'!$X$26=0,COUNTIFS(Esc_Turno,'Calc_Mix'!$C$26,Esc_Circ,$B125)+COUNTIFS(Esc_Turno,'Calc_Mix'!$C$26,Esc_Instr,$B125)&gt;0),"",IF(SUMPRODUCT('Calc_Mix'!$D$26:$W$26,'Matriz_Habilidades'!$D125:$W125)=0,"",SUMPRODUCT('Calc_Mix'!$D$26:$W$26,'Matriz_Habilidades'!$D125:$W125)/'Calc_Mix'!$X$26+ROW()*0.000001))</f>
        <v/>
      </c>
      <c r="AD125" s="34">
        <f>IF(OR($B125="",$C125&lt;&gt;"Ativo",$D125&lt;&gt;'Calc_Mix'!$C$27,'Calc_Mix'!$X$27=0,COUNTIFS(Esc_Turno,'Calc_Mix'!$C$27,Esc_Circ,$B125)+COUNTIFS(Esc_Turno,'Calc_Mix'!$C$27,Esc_Instr,$B125)&gt;0),"",IF(SUMPRODUCT('Calc_Mix'!$D$27:$W$27,'Matriz_Habilidades'!$D125:$W125)=0,"",SUMPRODUCT('Calc_Mix'!$D$27:$W$27,'Matriz_Habilidades'!$D125:$W125)/'Calc_Mix'!$X$27+ROW()*0.000001))</f>
        <v/>
      </c>
      <c r="AE125" s="34">
        <f>IF(OR($B125="",$C125&lt;&gt;"Ativo",$D125&lt;&gt;'Calc_Mix'!$C$28,'Calc_Mix'!$X$28=0,COUNTIFS(Esc_Turno,'Calc_Mix'!$C$28,Esc_Circ,$B125)+COUNTIFS(Esc_Turno,'Calc_Mix'!$C$28,Esc_Instr,$B125)&gt;0),"",IF(SUMPRODUCT('Calc_Mix'!$D$28:$W$28,'Matriz_Habilidades'!$D125:$W125)=0,"",SUMPRODUCT('Calc_Mix'!$D$28:$W$28,'Matriz_Habilidades'!$D125:$W125)/'Calc_Mix'!$X$28+ROW()*0.000001))</f>
        <v/>
      </c>
      <c r="AF125" s="34">
        <f>IF(OR($B125="",$C125&lt;&gt;"Ativo",$D125&lt;&gt;'Calc_Mix'!$C$29,'Calc_Mix'!$X$29=0,COUNTIFS(Esc_Turno,'Calc_Mix'!$C$29,Esc_Circ,$B125)+COUNTIFS(Esc_Turno,'Calc_Mix'!$C$29,Esc_Instr,$B125)&gt;0),"",IF(SUMPRODUCT('Calc_Mix'!$D$29:$W$29,'Matriz_Habilidades'!$D125:$W125)=0,"",SUMPRODUCT('Calc_Mix'!$D$29:$W$29,'Matriz_Habilidades'!$D125:$W125)/'Calc_Mix'!$X$29+ROW()*0.000001))</f>
        <v/>
      </c>
      <c r="AG125" s="34">
        <f>IF(OR($B125="",$C125&lt;&gt;"Ativo",$D125&lt;&gt;'Calc_Mix'!$C$30,'Calc_Mix'!$X$30=0,COUNTIFS(Esc_Turno,'Calc_Mix'!$C$30,Esc_Circ,$B125)+COUNTIFS(Esc_Turno,'Calc_Mix'!$C$30,Esc_Instr,$B125)&gt;0),"",IF(SUMPRODUCT('Calc_Mix'!$D$30:$W$30,'Matriz_Habilidades'!$D125:$W125)=0,"",SUMPRODUCT('Calc_Mix'!$D$30:$W$30,'Matriz_Habilidades'!$D125:$W125)/'Calc_Mix'!$X$30+ROW()*0.000001))</f>
        <v/>
      </c>
      <c r="AH125" s="34">
        <f>IF(OR($B125="",$C125&lt;&gt;"Ativo",$D125&lt;&gt;'Calc_Mix'!$C$31,'Calc_Mix'!$X$31=0,COUNTIFS(Esc_Turno,'Calc_Mix'!$C$31,Esc_Circ,$B125)+COUNTIFS(Esc_Turno,'Calc_Mix'!$C$31,Esc_Instr,$B125)&gt;0),"",IF(SUMPRODUCT('Calc_Mix'!$D$31:$W$31,'Matriz_Habilidades'!$D125:$W125)=0,"",SUMPRODUCT('Calc_Mix'!$D$31:$W$31,'Matriz_Habilidades'!$D125:$W125)/'Calc_Mix'!$X$31+ROW()*0.000001))</f>
        <v/>
      </c>
      <c r="AI125" s="34">
        <f>IF(OR($B125="",$C125&lt;&gt;"Ativo",$D125&lt;&gt;'Calc_Mix'!$C$32,'Calc_Mix'!$X$32=0,COUNTIFS(Esc_Turno,'Calc_Mix'!$C$32,Esc_Circ,$B125)+COUNTIFS(Esc_Turno,'Calc_Mix'!$C$32,Esc_Instr,$B125)&gt;0),"",IF(SUMPRODUCT('Calc_Mix'!$D$32:$W$32,'Matriz_Habilidades'!$D125:$W125)=0,"",SUMPRODUCT('Calc_Mix'!$D$32:$W$32,'Matriz_Habilidades'!$D125:$W125)/'Calc_Mix'!$X$32+ROW()*0.000001))</f>
        <v/>
      </c>
      <c r="AJ125" s="34">
        <f>IF(OR($B125="",$C125&lt;&gt;"Ativo",$D125&lt;&gt;'Calc_Mix'!$C$33,'Calc_Mix'!$X$33=0,COUNTIFS(Esc_Turno,'Calc_Mix'!$C$33,Esc_Circ,$B125)+COUNTIFS(Esc_Turno,'Calc_Mix'!$C$33,Esc_Instr,$B125)&gt;0),"",IF(SUMPRODUCT('Calc_Mix'!$D$33:$W$33,'Matriz_Habilidades'!$D125:$W125)=0,"",SUMPRODUCT('Calc_Mix'!$D$33:$W$33,'Matriz_Habilidades'!$D125:$W125)/'Calc_Mix'!$X$33+ROW()*0.000001))</f>
        <v/>
      </c>
      <c r="AK125" s="34">
        <f>IF(OR($B125="",$C125&lt;&gt;"Ativo",$D125&lt;&gt;'Calc_Mix'!$C$34,'Calc_Mix'!$X$34=0,COUNTIFS(Esc_Turno,'Calc_Mix'!$C$34,Esc_Circ,$B125)+COUNTIFS(Esc_Turno,'Calc_Mix'!$C$34,Esc_Instr,$B125)&gt;0),"",IF(SUMPRODUCT('Calc_Mix'!$D$34:$W$34,'Matriz_Habilidades'!$D125:$W125)=0,"",SUMPRODUCT('Calc_Mix'!$D$34:$W$34,'Matriz_Habilidades'!$D125:$W125)/'Calc_Mix'!$X$34+ROW()*0.000001))</f>
        <v/>
      </c>
      <c r="AL125" s="34">
        <f>IF(OR($B125="",$C125&lt;&gt;"Ativo",$D125&lt;&gt;'Calc_Mix'!$C$35,'Calc_Mix'!$X$35=0,COUNTIFS(Esc_Turno,'Calc_Mix'!$C$35,Esc_Circ,$B125)+COUNTIFS(Esc_Turno,'Calc_Mix'!$C$35,Esc_Instr,$B125)&gt;0),"",IF(SUMPRODUCT('Calc_Mix'!$D$35:$W$35,'Matriz_Habilidades'!$D125:$W125)=0,"",SUMPRODUCT('Calc_Mix'!$D$35:$W$35,'Matriz_Habilidades'!$D125:$W125)/'Calc_Mix'!$X$35+ROW()*0.000001))</f>
        <v/>
      </c>
      <c r="AM125" s="34">
        <f>IF(OR($B125="",$C125&lt;&gt;"Ativo",$D125&lt;&gt;'Calc_Mix'!$C$36,'Calc_Mix'!$X$36=0,COUNTIFS(Esc_Turno,'Calc_Mix'!$C$36,Esc_Circ,$B125)+COUNTIFS(Esc_Turno,'Calc_Mix'!$C$36,Esc_Instr,$B125)&gt;0),"",IF(SUMPRODUCT('Calc_Mix'!$D$36:$W$36,'Matriz_Habilidades'!$D125:$W125)=0,"",SUMPRODUCT('Calc_Mix'!$D$36:$W$36,'Matriz_Habilidades'!$D125:$W125)/'Calc_Mix'!$X$36+ROW()*0.000001))</f>
        <v/>
      </c>
      <c r="AN125" s="34">
        <f>IF(OR($B125="",$C125&lt;&gt;"Ativo",$D125&lt;&gt;'Calc_Mix'!$C$37,'Calc_Mix'!$X$37=0,COUNTIFS(Esc_Turno,'Calc_Mix'!$C$37,Esc_Circ,$B125)+COUNTIFS(Esc_Turno,'Calc_Mix'!$C$37,Esc_Instr,$B125)&gt;0),"",IF(SUMPRODUCT('Calc_Mix'!$D$37:$W$37,'Matriz_Habilidades'!$D125:$W125)=0,"",SUMPRODUCT('Calc_Mix'!$D$37:$W$37,'Matriz_Habilidades'!$D125:$W125)/'Calc_Mix'!$X$37+ROW()*0.000001))</f>
        <v/>
      </c>
    </row>
    <row r="126">
      <c r="A126" s="27">
        <f>IF('Matriz_Habilidades'!A126="","",'Matriz_Habilidades'!A126)</f>
        <v/>
      </c>
      <c r="B126" s="28">
        <f>IF('Matriz_Habilidades'!B126="","",'Matriz_Habilidades'!B126)</f>
        <v/>
      </c>
      <c r="C126" s="27">
        <f>IF($A126="","",IFERROR(INDEX(Equipe_Status,MATCH($B126,Equipe_Nome,0)),"?"))</f>
        <v/>
      </c>
      <c r="D126" s="27">
        <f>IF($A126="","",IFERROR(INDEX(Equipe_Turno,MATCH($B126,Equipe_Nome,0)),"?"))</f>
        <v/>
      </c>
      <c r="E126" s="34">
        <f>IF(OR($B126="",$C126&lt;&gt;"Ativo",$D126&lt;&gt;'Calc_Mix'!$C$2,'Calc_Mix'!$X$2=0,COUNTIFS(Esc_Turno,'Calc_Mix'!$C$2,Esc_Circ,$B126)+COUNTIFS(Esc_Turno,'Calc_Mix'!$C$2,Esc_Instr,$B126)&gt;0),"",IF(SUMPRODUCT('Calc_Mix'!$D$2:$W$2,'Matriz_Habilidades'!$D126:$W126)=0,"",SUMPRODUCT('Calc_Mix'!$D$2:$W$2,'Matriz_Habilidades'!$D126:$W126)/'Calc_Mix'!$X$2+ROW()*0.000001))</f>
        <v/>
      </c>
      <c r="F126" s="34">
        <f>IF(OR($B126="",$C126&lt;&gt;"Ativo",$D126&lt;&gt;'Calc_Mix'!$C$3,'Calc_Mix'!$X$3=0,COUNTIFS(Esc_Turno,'Calc_Mix'!$C$3,Esc_Circ,$B126)+COUNTIFS(Esc_Turno,'Calc_Mix'!$C$3,Esc_Instr,$B126)&gt;0),"",IF(SUMPRODUCT('Calc_Mix'!$D$3:$W$3,'Matriz_Habilidades'!$D126:$W126)=0,"",SUMPRODUCT('Calc_Mix'!$D$3:$W$3,'Matriz_Habilidades'!$D126:$W126)/'Calc_Mix'!$X$3+ROW()*0.000001))</f>
        <v/>
      </c>
      <c r="G126" s="34">
        <f>IF(OR($B126="",$C126&lt;&gt;"Ativo",$D126&lt;&gt;'Calc_Mix'!$C$4,'Calc_Mix'!$X$4=0,COUNTIFS(Esc_Turno,'Calc_Mix'!$C$4,Esc_Circ,$B126)+COUNTIFS(Esc_Turno,'Calc_Mix'!$C$4,Esc_Instr,$B126)&gt;0),"",IF(SUMPRODUCT('Calc_Mix'!$D$4:$W$4,'Matriz_Habilidades'!$D126:$W126)=0,"",SUMPRODUCT('Calc_Mix'!$D$4:$W$4,'Matriz_Habilidades'!$D126:$W126)/'Calc_Mix'!$X$4+ROW()*0.000001))</f>
        <v/>
      </c>
      <c r="H126" s="34">
        <f>IF(OR($B126="",$C126&lt;&gt;"Ativo",$D126&lt;&gt;'Calc_Mix'!$C$5,'Calc_Mix'!$X$5=0,COUNTIFS(Esc_Turno,'Calc_Mix'!$C$5,Esc_Circ,$B126)+COUNTIFS(Esc_Turno,'Calc_Mix'!$C$5,Esc_Instr,$B126)&gt;0),"",IF(SUMPRODUCT('Calc_Mix'!$D$5:$W$5,'Matriz_Habilidades'!$D126:$W126)=0,"",SUMPRODUCT('Calc_Mix'!$D$5:$W$5,'Matriz_Habilidades'!$D126:$W126)/'Calc_Mix'!$X$5+ROW()*0.000001))</f>
        <v/>
      </c>
      <c r="I126" s="34">
        <f>IF(OR($B126="",$C126&lt;&gt;"Ativo",$D126&lt;&gt;'Calc_Mix'!$C$6,'Calc_Mix'!$X$6=0,COUNTIFS(Esc_Turno,'Calc_Mix'!$C$6,Esc_Circ,$B126)+COUNTIFS(Esc_Turno,'Calc_Mix'!$C$6,Esc_Instr,$B126)&gt;0),"",IF(SUMPRODUCT('Calc_Mix'!$D$6:$W$6,'Matriz_Habilidades'!$D126:$W126)=0,"",SUMPRODUCT('Calc_Mix'!$D$6:$W$6,'Matriz_Habilidades'!$D126:$W126)/'Calc_Mix'!$X$6+ROW()*0.000001))</f>
        <v/>
      </c>
      <c r="J126" s="34">
        <f>IF(OR($B126="",$C126&lt;&gt;"Ativo",$D126&lt;&gt;'Calc_Mix'!$C$7,'Calc_Mix'!$X$7=0,COUNTIFS(Esc_Turno,'Calc_Mix'!$C$7,Esc_Circ,$B126)+COUNTIFS(Esc_Turno,'Calc_Mix'!$C$7,Esc_Instr,$B126)&gt;0),"",IF(SUMPRODUCT('Calc_Mix'!$D$7:$W$7,'Matriz_Habilidades'!$D126:$W126)=0,"",SUMPRODUCT('Calc_Mix'!$D$7:$W$7,'Matriz_Habilidades'!$D126:$W126)/'Calc_Mix'!$X$7+ROW()*0.000001))</f>
        <v/>
      </c>
      <c r="K126" s="34">
        <f>IF(OR($B126="",$C126&lt;&gt;"Ativo",$D126&lt;&gt;'Calc_Mix'!$C$8,'Calc_Mix'!$X$8=0,COUNTIFS(Esc_Turno,'Calc_Mix'!$C$8,Esc_Circ,$B126)+COUNTIFS(Esc_Turno,'Calc_Mix'!$C$8,Esc_Instr,$B126)&gt;0),"",IF(SUMPRODUCT('Calc_Mix'!$D$8:$W$8,'Matriz_Habilidades'!$D126:$W126)=0,"",SUMPRODUCT('Calc_Mix'!$D$8:$W$8,'Matriz_Habilidades'!$D126:$W126)/'Calc_Mix'!$X$8+ROW()*0.000001))</f>
        <v/>
      </c>
      <c r="L126" s="34">
        <f>IF(OR($B126="",$C126&lt;&gt;"Ativo",$D126&lt;&gt;'Calc_Mix'!$C$9,'Calc_Mix'!$X$9=0,COUNTIFS(Esc_Turno,'Calc_Mix'!$C$9,Esc_Circ,$B126)+COUNTIFS(Esc_Turno,'Calc_Mix'!$C$9,Esc_Instr,$B126)&gt;0),"",IF(SUMPRODUCT('Calc_Mix'!$D$9:$W$9,'Matriz_Habilidades'!$D126:$W126)=0,"",SUMPRODUCT('Calc_Mix'!$D$9:$W$9,'Matriz_Habilidades'!$D126:$W126)/'Calc_Mix'!$X$9+ROW()*0.000001))</f>
        <v/>
      </c>
      <c r="M126" s="34">
        <f>IF(OR($B126="",$C126&lt;&gt;"Ativo",$D126&lt;&gt;'Calc_Mix'!$C$10,'Calc_Mix'!$X$10=0,COUNTIFS(Esc_Turno,'Calc_Mix'!$C$10,Esc_Circ,$B126)+COUNTIFS(Esc_Turno,'Calc_Mix'!$C$10,Esc_Instr,$B126)&gt;0),"",IF(SUMPRODUCT('Calc_Mix'!$D$10:$W$10,'Matriz_Habilidades'!$D126:$W126)=0,"",SUMPRODUCT('Calc_Mix'!$D$10:$W$10,'Matriz_Habilidades'!$D126:$W126)/'Calc_Mix'!$X$10+ROW()*0.000001))</f>
        <v/>
      </c>
      <c r="N126" s="34">
        <f>IF(OR($B126="",$C126&lt;&gt;"Ativo",$D126&lt;&gt;'Calc_Mix'!$C$11,'Calc_Mix'!$X$11=0,COUNTIFS(Esc_Turno,'Calc_Mix'!$C$11,Esc_Circ,$B126)+COUNTIFS(Esc_Turno,'Calc_Mix'!$C$11,Esc_Instr,$B126)&gt;0),"",IF(SUMPRODUCT('Calc_Mix'!$D$11:$W$11,'Matriz_Habilidades'!$D126:$W126)=0,"",SUMPRODUCT('Calc_Mix'!$D$11:$W$11,'Matriz_Habilidades'!$D126:$W126)/'Calc_Mix'!$X$11+ROW()*0.000001))</f>
        <v/>
      </c>
      <c r="O126" s="34">
        <f>IF(OR($B126="",$C126&lt;&gt;"Ativo",$D126&lt;&gt;'Calc_Mix'!$C$12,'Calc_Mix'!$X$12=0,COUNTIFS(Esc_Turno,'Calc_Mix'!$C$12,Esc_Circ,$B126)+COUNTIFS(Esc_Turno,'Calc_Mix'!$C$12,Esc_Instr,$B126)&gt;0),"",IF(SUMPRODUCT('Calc_Mix'!$D$12:$W$12,'Matriz_Habilidades'!$D126:$W126)=0,"",SUMPRODUCT('Calc_Mix'!$D$12:$W$12,'Matriz_Habilidades'!$D126:$W126)/'Calc_Mix'!$X$12+ROW()*0.000001))</f>
        <v/>
      </c>
      <c r="P126" s="34">
        <f>IF(OR($B126="",$C126&lt;&gt;"Ativo",$D126&lt;&gt;'Calc_Mix'!$C$13,'Calc_Mix'!$X$13=0,COUNTIFS(Esc_Turno,'Calc_Mix'!$C$13,Esc_Circ,$B126)+COUNTIFS(Esc_Turno,'Calc_Mix'!$C$13,Esc_Instr,$B126)&gt;0),"",IF(SUMPRODUCT('Calc_Mix'!$D$13:$W$13,'Matriz_Habilidades'!$D126:$W126)=0,"",SUMPRODUCT('Calc_Mix'!$D$13:$W$13,'Matriz_Habilidades'!$D126:$W126)/'Calc_Mix'!$X$13+ROW()*0.000001))</f>
        <v/>
      </c>
      <c r="Q126" s="34">
        <f>IF(OR($B126="",$C126&lt;&gt;"Ativo",$D126&lt;&gt;'Calc_Mix'!$C$14,'Calc_Mix'!$X$14=0,COUNTIFS(Esc_Turno,'Calc_Mix'!$C$14,Esc_Circ,$B126)+COUNTIFS(Esc_Turno,'Calc_Mix'!$C$14,Esc_Instr,$B126)&gt;0),"",IF(SUMPRODUCT('Calc_Mix'!$D$14:$W$14,'Matriz_Habilidades'!$D126:$W126)=0,"",SUMPRODUCT('Calc_Mix'!$D$14:$W$14,'Matriz_Habilidades'!$D126:$W126)/'Calc_Mix'!$X$14+ROW()*0.000001))</f>
        <v/>
      </c>
      <c r="R126" s="34">
        <f>IF(OR($B126="",$C126&lt;&gt;"Ativo",$D126&lt;&gt;'Calc_Mix'!$C$15,'Calc_Mix'!$X$15=0,COUNTIFS(Esc_Turno,'Calc_Mix'!$C$15,Esc_Circ,$B126)+COUNTIFS(Esc_Turno,'Calc_Mix'!$C$15,Esc_Instr,$B126)&gt;0),"",IF(SUMPRODUCT('Calc_Mix'!$D$15:$W$15,'Matriz_Habilidades'!$D126:$W126)=0,"",SUMPRODUCT('Calc_Mix'!$D$15:$W$15,'Matriz_Habilidades'!$D126:$W126)/'Calc_Mix'!$X$15+ROW()*0.000001))</f>
        <v/>
      </c>
      <c r="S126" s="34">
        <f>IF(OR($B126="",$C126&lt;&gt;"Ativo",$D126&lt;&gt;'Calc_Mix'!$C$16,'Calc_Mix'!$X$16=0,COUNTIFS(Esc_Turno,'Calc_Mix'!$C$16,Esc_Circ,$B126)+COUNTIFS(Esc_Turno,'Calc_Mix'!$C$16,Esc_Instr,$B126)&gt;0),"",IF(SUMPRODUCT('Calc_Mix'!$D$16:$W$16,'Matriz_Habilidades'!$D126:$W126)=0,"",SUMPRODUCT('Calc_Mix'!$D$16:$W$16,'Matriz_Habilidades'!$D126:$W126)/'Calc_Mix'!$X$16+ROW()*0.000001))</f>
        <v/>
      </c>
      <c r="T126" s="34">
        <f>IF(OR($B126="",$C126&lt;&gt;"Ativo",$D126&lt;&gt;'Calc_Mix'!$C$17,'Calc_Mix'!$X$17=0,COUNTIFS(Esc_Turno,'Calc_Mix'!$C$17,Esc_Circ,$B126)+COUNTIFS(Esc_Turno,'Calc_Mix'!$C$17,Esc_Instr,$B126)&gt;0),"",IF(SUMPRODUCT('Calc_Mix'!$D$17:$W$17,'Matriz_Habilidades'!$D126:$W126)=0,"",SUMPRODUCT('Calc_Mix'!$D$17:$W$17,'Matriz_Habilidades'!$D126:$W126)/'Calc_Mix'!$X$17+ROW()*0.000001))</f>
        <v/>
      </c>
      <c r="U126" s="34">
        <f>IF(OR($B126="",$C126&lt;&gt;"Ativo",$D126&lt;&gt;'Calc_Mix'!$C$18,'Calc_Mix'!$X$18=0,COUNTIFS(Esc_Turno,'Calc_Mix'!$C$18,Esc_Circ,$B126)+COUNTIFS(Esc_Turno,'Calc_Mix'!$C$18,Esc_Instr,$B126)&gt;0),"",IF(SUMPRODUCT('Calc_Mix'!$D$18:$W$18,'Matriz_Habilidades'!$D126:$W126)=0,"",SUMPRODUCT('Calc_Mix'!$D$18:$W$18,'Matriz_Habilidades'!$D126:$W126)/'Calc_Mix'!$X$18+ROW()*0.000001))</f>
        <v/>
      </c>
      <c r="V126" s="34">
        <f>IF(OR($B126="",$C126&lt;&gt;"Ativo",$D126&lt;&gt;'Calc_Mix'!$C$19,'Calc_Mix'!$X$19=0,COUNTIFS(Esc_Turno,'Calc_Mix'!$C$19,Esc_Circ,$B126)+COUNTIFS(Esc_Turno,'Calc_Mix'!$C$19,Esc_Instr,$B126)&gt;0),"",IF(SUMPRODUCT('Calc_Mix'!$D$19:$W$19,'Matriz_Habilidades'!$D126:$W126)=0,"",SUMPRODUCT('Calc_Mix'!$D$19:$W$19,'Matriz_Habilidades'!$D126:$W126)/'Calc_Mix'!$X$19+ROW()*0.000001))</f>
        <v/>
      </c>
      <c r="W126" s="34">
        <f>IF(OR($B126="",$C126&lt;&gt;"Ativo",$D126&lt;&gt;'Calc_Mix'!$C$20,'Calc_Mix'!$X$20=0,COUNTIFS(Esc_Turno,'Calc_Mix'!$C$20,Esc_Circ,$B126)+COUNTIFS(Esc_Turno,'Calc_Mix'!$C$20,Esc_Instr,$B126)&gt;0),"",IF(SUMPRODUCT('Calc_Mix'!$D$20:$W$20,'Matriz_Habilidades'!$D126:$W126)=0,"",SUMPRODUCT('Calc_Mix'!$D$20:$W$20,'Matriz_Habilidades'!$D126:$W126)/'Calc_Mix'!$X$20+ROW()*0.000001))</f>
        <v/>
      </c>
      <c r="X126" s="34">
        <f>IF(OR($B126="",$C126&lt;&gt;"Ativo",$D126&lt;&gt;'Calc_Mix'!$C$21,'Calc_Mix'!$X$21=0,COUNTIFS(Esc_Turno,'Calc_Mix'!$C$21,Esc_Circ,$B126)+COUNTIFS(Esc_Turno,'Calc_Mix'!$C$21,Esc_Instr,$B126)&gt;0),"",IF(SUMPRODUCT('Calc_Mix'!$D$21:$W$21,'Matriz_Habilidades'!$D126:$W126)=0,"",SUMPRODUCT('Calc_Mix'!$D$21:$W$21,'Matriz_Habilidades'!$D126:$W126)/'Calc_Mix'!$X$21+ROW()*0.000001))</f>
        <v/>
      </c>
      <c r="Y126" s="34">
        <f>IF(OR($B126="",$C126&lt;&gt;"Ativo",$D126&lt;&gt;'Calc_Mix'!$C$22,'Calc_Mix'!$X$22=0,COUNTIFS(Esc_Turno,'Calc_Mix'!$C$22,Esc_Circ,$B126)+COUNTIFS(Esc_Turno,'Calc_Mix'!$C$22,Esc_Instr,$B126)&gt;0),"",IF(SUMPRODUCT('Calc_Mix'!$D$22:$W$22,'Matriz_Habilidades'!$D126:$W126)=0,"",SUMPRODUCT('Calc_Mix'!$D$22:$W$22,'Matriz_Habilidades'!$D126:$W126)/'Calc_Mix'!$X$22+ROW()*0.000001))</f>
        <v/>
      </c>
      <c r="Z126" s="34">
        <f>IF(OR($B126="",$C126&lt;&gt;"Ativo",$D126&lt;&gt;'Calc_Mix'!$C$23,'Calc_Mix'!$X$23=0,COUNTIFS(Esc_Turno,'Calc_Mix'!$C$23,Esc_Circ,$B126)+COUNTIFS(Esc_Turno,'Calc_Mix'!$C$23,Esc_Instr,$B126)&gt;0),"",IF(SUMPRODUCT('Calc_Mix'!$D$23:$W$23,'Matriz_Habilidades'!$D126:$W126)=0,"",SUMPRODUCT('Calc_Mix'!$D$23:$W$23,'Matriz_Habilidades'!$D126:$W126)/'Calc_Mix'!$X$23+ROW()*0.000001))</f>
        <v/>
      </c>
      <c r="AA126" s="34">
        <f>IF(OR($B126="",$C126&lt;&gt;"Ativo",$D126&lt;&gt;'Calc_Mix'!$C$24,'Calc_Mix'!$X$24=0,COUNTIFS(Esc_Turno,'Calc_Mix'!$C$24,Esc_Circ,$B126)+COUNTIFS(Esc_Turno,'Calc_Mix'!$C$24,Esc_Instr,$B126)&gt;0),"",IF(SUMPRODUCT('Calc_Mix'!$D$24:$W$24,'Matriz_Habilidades'!$D126:$W126)=0,"",SUMPRODUCT('Calc_Mix'!$D$24:$W$24,'Matriz_Habilidades'!$D126:$W126)/'Calc_Mix'!$X$24+ROW()*0.000001))</f>
        <v/>
      </c>
      <c r="AB126" s="34">
        <f>IF(OR($B126="",$C126&lt;&gt;"Ativo",$D126&lt;&gt;'Calc_Mix'!$C$25,'Calc_Mix'!$X$25=0,COUNTIFS(Esc_Turno,'Calc_Mix'!$C$25,Esc_Circ,$B126)+COUNTIFS(Esc_Turno,'Calc_Mix'!$C$25,Esc_Instr,$B126)&gt;0),"",IF(SUMPRODUCT('Calc_Mix'!$D$25:$W$25,'Matriz_Habilidades'!$D126:$W126)=0,"",SUMPRODUCT('Calc_Mix'!$D$25:$W$25,'Matriz_Habilidades'!$D126:$W126)/'Calc_Mix'!$X$25+ROW()*0.000001))</f>
        <v/>
      </c>
      <c r="AC126" s="34">
        <f>IF(OR($B126="",$C126&lt;&gt;"Ativo",$D126&lt;&gt;'Calc_Mix'!$C$26,'Calc_Mix'!$X$26=0,COUNTIFS(Esc_Turno,'Calc_Mix'!$C$26,Esc_Circ,$B126)+COUNTIFS(Esc_Turno,'Calc_Mix'!$C$26,Esc_Instr,$B126)&gt;0),"",IF(SUMPRODUCT('Calc_Mix'!$D$26:$W$26,'Matriz_Habilidades'!$D126:$W126)=0,"",SUMPRODUCT('Calc_Mix'!$D$26:$W$26,'Matriz_Habilidades'!$D126:$W126)/'Calc_Mix'!$X$26+ROW()*0.000001))</f>
        <v/>
      </c>
      <c r="AD126" s="34">
        <f>IF(OR($B126="",$C126&lt;&gt;"Ativo",$D126&lt;&gt;'Calc_Mix'!$C$27,'Calc_Mix'!$X$27=0,COUNTIFS(Esc_Turno,'Calc_Mix'!$C$27,Esc_Circ,$B126)+COUNTIFS(Esc_Turno,'Calc_Mix'!$C$27,Esc_Instr,$B126)&gt;0),"",IF(SUMPRODUCT('Calc_Mix'!$D$27:$W$27,'Matriz_Habilidades'!$D126:$W126)=0,"",SUMPRODUCT('Calc_Mix'!$D$27:$W$27,'Matriz_Habilidades'!$D126:$W126)/'Calc_Mix'!$X$27+ROW()*0.000001))</f>
        <v/>
      </c>
      <c r="AE126" s="34">
        <f>IF(OR($B126="",$C126&lt;&gt;"Ativo",$D126&lt;&gt;'Calc_Mix'!$C$28,'Calc_Mix'!$X$28=0,COUNTIFS(Esc_Turno,'Calc_Mix'!$C$28,Esc_Circ,$B126)+COUNTIFS(Esc_Turno,'Calc_Mix'!$C$28,Esc_Instr,$B126)&gt;0),"",IF(SUMPRODUCT('Calc_Mix'!$D$28:$W$28,'Matriz_Habilidades'!$D126:$W126)=0,"",SUMPRODUCT('Calc_Mix'!$D$28:$W$28,'Matriz_Habilidades'!$D126:$W126)/'Calc_Mix'!$X$28+ROW()*0.000001))</f>
        <v/>
      </c>
      <c r="AF126" s="34">
        <f>IF(OR($B126="",$C126&lt;&gt;"Ativo",$D126&lt;&gt;'Calc_Mix'!$C$29,'Calc_Mix'!$X$29=0,COUNTIFS(Esc_Turno,'Calc_Mix'!$C$29,Esc_Circ,$B126)+COUNTIFS(Esc_Turno,'Calc_Mix'!$C$29,Esc_Instr,$B126)&gt;0),"",IF(SUMPRODUCT('Calc_Mix'!$D$29:$W$29,'Matriz_Habilidades'!$D126:$W126)=0,"",SUMPRODUCT('Calc_Mix'!$D$29:$W$29,'Matriz_Habilidades'!$D126:$W126)/'Calc_Mix'!$X$29+ROW()*0.000001))</f>
        <v/>
      </c>
      <c r="AG126" s="34">
        <f>IF(OR($B126="",$C126&lt;&gt;"Ativo",$D126&lt;&gt;'Calc_Mix'!$C$30,'Calc_Mix'!$X$30=0,COUNTIFS(Esc_Turno,'Calc_Mix'!$C$30,Esc_Circ,$B126)+COUNTIFS(Esc_Turno,'Calc_Mix'!$C$30,Esc_Instr,$B126)&gt;0),"",IF(SUMPRODUCT('Calc_Mix'!$D$30:$W$30,'Matriz_Habilidades'!$D126:$W126)=0,"",SUMPRODUCT('Calc_Mix'!$D$30:$W$30,'Matriz_Habilidades'!$D126:$W126)/'Calc_Mix'!$X$30+ROW()*0.000001))</f>
        <v/>
      </c>
      <c r="AH126" s="34">
        <f>IF(OR($B126="",$C126&lt;&gt;"Ativo",$D126&lt;&gt;'Calc_Mix'!$C$31,'Calc_Mix'!$X$31=0,COUNTIFS(Esc_Turno,'Calc_Mix'!$C$31,Esc_Circ,$B126)+COUNTIFS(Esc_Turno,'Calc_Mix'!$C$31,Esc_Instr,$B126)&gt;0),"",IF(SUMPRODUCT('Calc_Mix'!$D$31:$W$31,'Matriz_Habilidades'!$D126:$W126)=0,"",SUMPRODUCT('Calc_Mix'!$D$31:$W$31,'Matriz_Habilidades'!$D126:$W126)/'Calc_Mix'!$X$31+ROW()*0.000001))</f>
        <v/>
      </c>
      <c r="AI126" s="34">
        <f>IF(OR($B126="",$C126&lt;&gt;"Ativo",$D126&lt;&gt;'Calc_Mix'!$C$32,'Calc_Mix'!$X$32=0,COUNTIFS(Esc_Turno,'Calc_Mix'!$C$32,Esc_Circ,$B126)+COUNTIFS(Esc_Turno,'Calc_Mix'!$C$32,Esc_Instr,$B126)&gt;0),"",IF(SUMPRODUCT('Calc_Mix'!$D$32:$W$32,'Matriz_Habilidades'!$D126:$W126)=0,"",SUMPRODUCT('Calc_Mix'!$D$32:$W$32,'Matriz_Habilidades'!$D126:$W126)/'Calc_Mix'!$X$32+ROW()*0.000001))</f>
        <v/>
      </c>
      <c r="AJ126" s="34">
        <f>IF(OR($B126="",$C126&lt;&gt;"Ativo",$D126&lt;&gt;'Calc_Mix'!$C$33,'Calc_Mix'!$X$33=0,COUNTIFS(Esc_Turno,'Calc_Mix'!$C$33,Esc_Circ,$B126)+COUNTIFS(Esc_Turno,'Calc_Mix'!$C$33,Esc_Instr,$B126)&gt;0),"",IF(SUMPRODUCT('Calc_Mix'!$D$33:$W$33,'Matriz_Habilidades'!$D126:$W126)=0,"",SUMPRODUCT('Calc_Mix'!$D$33:$W$33,'Matriz_Habilidades'!$D126:$W126)/'Calc_Mix'!$X$33+ROW()*0.000001))</f>
        <v/>
      </c>
      <c r="AK126" s="34">
        <f>IF(OR($B126="",$C126&lt;&gt;"Ativo",$D126&lt;&gt;'Calc_Mix'!$C$34,'Calc_Mix'!$X$34=0,COUNTIFS(Esc_Turno,'Calc_Mix'!$C$34,Esc_Circ,$B126)+COUNTIFS(Esc_Turno,'Calc_Mix'!$C$34,Esc_Instr,$B126)&gt;0),"",IF(SUMPRODUCT('Calc_Mix'!$D$34:$W$34,'Matriz_Habilidades'!$D126:$W126)=0,"",SUMPRODUCT('Calc_Mix'!$D$34:$W$34,'Matriz_Habilidades'!$D126:$W126)/'Calc_Mix'!$X$34+ROW()*0.000001))</f>
        <v/>
      </c>
      <c r="AL126" s="34">
        <f>IF(OR($B126="",$C126&lt;&gt;"Ativo",$D126&lt;&gt;'Calc_Mix'!$C$35,'Calc_Mix'!$X$35=0,COUNTIFS(Esc_Turno,'Calc_Mix'!$C$35,Esc_Circ,$B126)+COUNTIFS(Esc_Turno,'Calc_Mix'!$C$35,Esc_Instr,$B126)&gt;0),"",IF(SUMPRODUCT('Calc_Mix'!$D$35:$W$35,'Matriz_Habilidades'!$D126:$W126)=0,"",SUMPRODUCT('Calc_Mix'!$D$35:$W$35,'Matriz_Habilidades'!$D126:$W126)/'Calc_Mix'!$X$35+ROW()*0.000001))</f>
        <v/>
      </c>
      <c r="AM126" s="34">
        <f>IF(OR($B126="",$C126&lt;&gt;"Ativo",$D126&lt;&gt;'Calc_Mix'!$C$36,'Calc_Mix'!$X$36=0,COUNTIFS(Esc_Turno,'Calc_Mix'!$C$36,Esc_Circ,$B126)+COUNTIFS(Esc_Turno,'Calc_Mix'!$C$36,Esc_Instr,$B126)&gt;0),"",IF(SUMPRODUCT('Calc_Mix'!$D$36:$W$36,'Matriz_Habilidades'!$D126:$W126)=0,"",SUMPRODUCT('Calc_Mix'!$D$36:$W$36,'Matriz_Habilidades'!$D126:$W126)/'Calc_Mix'!$X$36+ROW()*0.000001))</f>
        <v/>
      </c>
      <c r="AN126" s="34">
        <f>IF(OR($B126="",$C126&lt;&gt;"Ativo",$D126&lt;&gt;'Calc_Mix'!$C$37,'Calc_Mix'!$X$37=0,COUNTIFS(Esc_Turno,'Calc_Mix'!$C$37,Esc_Circ,$B126)+COUNTIFS(Esc_Turno,'Calc_Mix'!$C$37,Esc_Instr,$B126)&gt;0),"",IF(SUMPRODUCT('Calc_Mix'!$D$37:$W$37,'Matriz_Habilidades'!$D126:$W126)=0,"",SUMPRODUCT('Calc_Mix'!$D$37:$W$37,'Matriz_Habilidades'!$D126:$W126)/'Calc_Mix'!$X$37+ROW()*0.000001))</f>
        <v/>
      </c>
    </row>
    <row r="127">
      <c r="A127" s="27">
        <f>IF('Matriz_Habilidades'!A127="","",'Matriz_Habilidades'!A127)</f>
        <v/>
      </c>
      <c r="B127" s="28">
        <f>IF('Matriz_Habilidades'!B127="","",'Matriz_Habilidades'!B127)</f>
        <v/>
      </c>
      <c r="C127" s="27">
        <f>IF($A127="","",IFERROR(INDEX(Equipe_Status,MATCH($B127,Equipe_Nome,0)),"?"))</f>
        <v/>
      </c>
      <c r="D127" s="27">
        <f>IF($A127="","",IFERROR(INDEX(Equipe_Turno,MATCH($B127,Equipe_Nome,0)),"?"))</f>
        <v/>
      </c>
      <c r="E127" s="34">
        <f>IF(OR($B127="",$C127&lt;&gt;"Ativo",$D127&lt;&gt;'Calc_Mix'!$C$2,'Calc_Mix'!$X$2=0,COUNTIFS(Esc_Turno,'Calc_Mix'!$C$2,Esc_Circ,$B127)+COUNTIFS(Esc_Turno,'Calc_Mix'!$C$2,Esc_Instr,$B127)&gt;0),"",IF(SUMPRODUCT('Calc_Mix'!$D$2:$W$2,'Matriz_Habilidades'!$D127:$W127)=0,"",SUMPRODUCT('Calc_Mix'!$D$2:$W$2,'Matriz_Habilidades'!$D127:$W127)/'Calc_Mix'!$X$2+ROW()*0.000001))</f>
        <v/>
      </c>
      <c r="F127" s="34">
        <f>IF(OR($B127="",$C127&lt;&gt;"Ativo",$D127&lt;&gt;'Calc_Mix'!$C$3,'Calc_Mix'!$X$3=0,COUNTIFS(Esc_Turno,'Calc_Mix'!$C$3,Esc_Circ,$B127)+COUNTIFS(Esc_Turno,'Calc_Mix'!$C$3,Esc_Instr,$B127)&gt;0),"",IF(SUMPRODUCT('Calc_Mix'!$D$3:$W$3,'Matriz_Habilidades'!$D127:$W127)=0,"",SUMPRODUCT('Calc_Mix'!$D$3:$W$3,'Matriz_Habilidades'!$D127:$W127)/'Calc_Mix'!$X$3+ROW()*0.000001))</f>
        <v/>
      </c>
      <c r="G127" s="34">
        <f>IF(OR($B127="",$C127&lt;&gt;"Ativo",$D127&lt;&gt;'Calc_Mix'!$C$4,'Calc_Mix'!$X$4=0,COUNTIFS(Esc_Turno,'Calc_Mix'!$C$4,Esc_Circ,$B127)+COUNTIFS(Esc_Turno,'Calc_Mix'!$C$4,Esc_Instr,$B127)&gt;0),"",IF(SUMPRODUCT('Calc_Mix'!$D$4:$W$4,'Matriz_Habilidades'!$D127:$W127)=0,"",SUMPRODUCT('Calc_Mix'!$D$4:$W$4,'Matriz_Habilidades'!$D127:$W127)/'Calc_Mix'!$X$4+ROW()*0.000001))</f>
        <v/>
      </c>
      <c r="H127" s="34">
        <f>IF(OR($B127="",$C127&lt;&gt;"Ativo",$D127&lt;&gt;'Calc_Mix'!$C$5,'Calc_Mix'!$X$5=0,COUNTIFS(Esc_Turno,'Calc_Mix'!$C$5,Esc_Circ,$B127)+COUNTIFS(Esc_Turno,'Calc_Mix'!$C$5,Esc_Instr,$B127)&gt;0),"",IF(SUMPRODUCT('Calc_Mix'!$D$5:$W$5,'Matriz_Habilidades'!$D127:$W127)=0,"",SUMPRODUCT('Calc_Mix'!$D$5:$W$5,'Matriz_Habilidades'!$D127:$W127)/'Calc_Mix'!$X$5+ROW()*0.000001))</f>
        <v/>
      </c>
      <c r="I127" s="34">
        <f>IF(OR($B127="",$C127&lt;&gt;"Ativo",$D127&lt;&gt;'Calc_Mix'!$C$6,'Calc_Mix'!$X$6=0,COUNTIFS(Esc_Turno,'Calc_Mix'!$C$6,Esc_Circ,$B127)+COUNTIFS(Esc_Turno,'Calc_Mix'!$C$6,Esc_Instr,$B127)&gt;0),"",IF(SUMPRODUCT('Calc_Mix'!$D$6:$W$6,'Matriz_Habilidades'!$D127:$W127)=0,"",SUMPRODUCT('Calc_Mix'!$D$6:$W$6,'Matriz_Habilidades'!$D127:$W127)/'Calc_Mix'!$X$6+ROW()*0.000001))</f>
        <v/>
      </c>
      <c r="J127" s="34">
        <f>IF(OR($B127="",$C127&lt;&gt;"Ativo",$D127&lt;&gt;'Calc_Mix'!$C$7,'Calc_Mix'!$X$7=0,COUNTIFS(Esc_Turno,'Calc_Mix'!$C$7,Esc_Circ,$B127)+COUNTIFS(Esc_Turno,'Calc_Mix'!$C$7,Esc_Instr,$B127)&gt;0),"",IF(SUMPRODUCT('Calc_Mix'!$D$7:$W$7,'Matriz_Habilidades'!$D127:$W127)=0,"",SUMPRODUCT('Calc_Mix'!$D$7:$W$7,'Matriz_Habilidades'!$D127:$W127)/'Calc_Mix'!$X$7+ROW()*0.000001))</f>
        <v/>
      </c>
      <c r="K127" s="34">
        <f>IF(OR($B127="",$C127&lt;&gt;"Ativo",$D127&lt;&gt;'Calc_Mix'!$C$8,'Calc_Mix'!$X$8=0,COUNTIFS(Esc_Turno,'Calc_Mix'!$C$8,Esc_Circ,$B127)+COUNTIFS(Esc_Turno,'Calc_Mix'!$C$8,Esc_Instr,$B127)&gt;0),"",IF(SUMPRODUCT('Calc_Mix'!$D$8:$W$8,'Matriz_Habilidades'!$D127:$W127)=0,"",SUMPRODUCT('Calc_Mix'!$D$8:$W$8,'Matriz_Habilidades'!$D127:$W127)/'Calc_Mix'!$X$8+ROW()*0.000001))</f>
        <v/>
      </c>
      <c r="L127" s="34">
        <f>IF(OR($B127="",$C127&lt;&gt;"Ativo",$D127&lt;&gt;'Calc_Mix'!$C$9,'Calc_Mix'!$X$9=0,COUNTIFS(Esc_Turno,'Calc_Mix'!$C$9,Esc_Circ,$B127)+COUNTIFS(Esc_Turno,'Calc_Mix'!$C$9,Esc_Instr,$B127)&gt;0),"",IF(SUMPRODUCT('Calc_Mix'!$D$9:$W$9,'Matriz_Habilidades'!$D127:$W127)=0,"",SUMPRODUCT('Calc_Mix'!$D$9:$W$9,'Matriz_Habilidades'!$D127:$W127)/'Calc_Mix'!$X$9+ROW()*0.000001))</f>
        <v/>
      </c>
      <c r="M127" s="34">
        <f>IF(OR($B127="",$C127&lt;&gt;"Ativo",$D127&lt;&gt;'Calc_Mix'!$C$10,'Calc_Mix'!$X$10=0,COUNTIFS(Esc_Turno,'Calc_Mix'!$C$10,Esc_Circ,$B127)+COUNTIFS(Esc_Turno,'Calc_Mix'!$C$10,Esc_Instr,$B127)&gt;0),"",IF(SUMPRODUCT('Calc_Mix'!$D$10:$W$10,'Matriz_Habilidades'!$D127:$W127)=0,"",SUMPRODUCT('Calc_Mix'!$D$10:$W$10,'Matriz_Habilidades'!$D127:$W127)/'Calc_Mix'!$X$10+ROW()*0.000001))</f>
        <v/>
      </c>
      <c r="N127" s="34">
        <f>IF(OR($B127="",$C127&lt;&gt;"Ativo",$D127&lt;&gt;'Calc_Mix'!$C$11,'Calc_Mix'!$X$11=0,COUNTIFS(Esc_Turno,'Calc_Mix'!$C$11,Esc_Circ,$B127)+COUNTIFS(Esc_Turno,'Calc_Mix'!$C$11,Esc_Instr,$B127)&gt;0),"",IF(SUMPRODUCT('Calc_Mix'!$D$11:$W$11,'Matriz_Habilidades'!$D127:$W127)=0,"",SUMPRODUCT('Calc_Mix'!$D$11:$W$11,'Matriz_Habilidades'!$D127:$W127)/'Calc_Mix'!$X$11+ROW()*0.000001))</f>
        <v/>
      </c>
      <c r="O127" s="34">
        <f>IF(OR($B127="",$C127&lt;&gt;"Ativo",$D127&lt;&gt;'Calc_Mix'!$C$12,'Calc_Mix'!$X$12=0,COUNTIFS(Esc_Turno,'Calc_Mix'!$C$12,Esc_Circ,$B127)+COUNTIFS(Esc_Turno,'Calc_Mix'!$C$12,Esc_Instr,$B127)&gt;0),"",IF(SUMPRODUCT('Calc_Mix'!$D$12:$W$12,'Matriz_Habilidades'!$D127:$W127)=0,"",SUMPRODUCT('Calc_Mix'!$D$12:$W$12,'Matriz_Habilidades'!$D127:$W127)/'Calc_Mix'!$X$12+ROW()*0.000001))</f>
        <v/>
      </c>
      <c r="P127" s="34">
        <f>IF(OR($B127="",$C127&lt;&gt;"Ativo",$D127&lt;&gt;'Calc_Mix'!$C$13,'Calc_Mix'!$X$13=0,COUNTIFS(Esc_Turno,'Calc_Mix'!$C$13,Esc_Circ,$B127)+COUNTIFS(Esc_Turno,'Calc_Mix'!$C$13,Esc_Instr,$B127)&gt;0),"",IF(SUMPRODUCT('Calc_Mix'!$D$13:$W$13,'Matriz_Habilidades'!$D127:$W127)=0,"",SUMPRODUCT('Calc_Mix'!$D$13:$W$13,'Matriz_Habilidades'!$D127:$W127)/'Calc_Mix'!$X$13+ROW()*0.000001))</f>
        <v/>
      </c>
      <c r="Q127" s="34">
        <f>IF(OR($B127="",$C127&lt;&gt;"Ativo",$D127&lt;&gt;'Calc_Mix'!$C$14,'Calc_Mix'!$X$14=0,COUNTIFS(Esc_Turno,'Calc_Mix'!$C$14,Esc_Circ,$B127)+COUNTIFS(Esc_Turno,'Calc_Mix'!$C$14,Esc_Instr,$B127)&gt;0),"",IF(SUMPRODUCT('Calc_Mix'!$D$14:$W$14,'Matriz_Habilidades'!$D127:$W127)=0,"",SUMPRODUCT('Calc_Mix'!$D$14:$W$14,'Matriz_Habilidades'!$D127:$W127)/'Calc_Mix'!$X$14+ROW()*0.000001))</f>
        <v/>
      </c>
      <c r="R127" s="34">
        <f>IF(OR($B127="",$C127&lt;&gt;"Ativo",$D127&lt;&gt;'Calc_Mix'!$C$15,'Calc_Mix'!$X$15=0,COUNTIFS(Esc_Turno,'Calc_Mix'!$C$15,Esc_Circ,$B127)+COUNTIFS(Esc_Turno,'Calc_Mix'!$C$15,Esc_Instr,$B127)&gt;0),"",IF(SUMPRODUCT('Calc_Mix'!$D$15:$W$15,'Matriz_Habilidades'!$D127:$W127)=0,"",SUMPRODUCT('Calc_Mix'!$D$15:$W$15,'Matriz_Habilidades'!$D127:$W127)/'Calc_Mix'!$X$15+ROW()*0.000001))</f>
        <v/>
      </c>
      <c r="S127" s="34">
        <f>IF(OR($B127="",$C127&lt;&gt;"Ativo",$D127&lt;&gt;'Calc_Mix'!$C$16,'Calc_Mix'!$X$16=0,COUNTIFS(Esc_Turno,'Calc_Mix'!$C$16,Esc_Circ,$B127)+COUNTIFS(Esc_Turno,'Calc_Mix'!$C$16,Esc_Instr,$B127)&gt;0),"",IF(SUMPRODUCT('Calc_Mix'!$D$16:$W$16,'Matriz_Habilidades'!$D127:$W127)=0,"",SUMPRODUCT('Calc_Mix'!$D$16:$W$16,'Matriz_Habilidades'!$D127:$W127)/'Calc_Mix'!$X$16+ROW()*0.000001))</f>
        <v/>
      </c>
      <c r="T127" s="34">
        <f>IF(OR($B127="",$C127&lt;&gt;"Ativo",$D127&lt;&gt;'Calc_Mix'!$C$17,'Calc_Mix'!$X$17=0,COUNTIFS(Esc_Turno,'Calc_Mix'!$C$17,Esc_Circ,$B127)+COUNTIFS(Esc_Turno,'Calc_Mix'!$C$17,Esc_Instr,$B127)&gt;0),"",IF(SUMPRODUCT('Calc_Mix'!$D$17:$W$17,'Matriz_Habilidades'!$D127:$W127)=0,"",SUMPRODUCT('Calc_Mix'!$D$17:$W$17,'Matriz_Habilidades'!$D127:$W127)/'Calc_Mix'!$X$17+ROW()*0.000001))</f>
        <v/>
      </c>
      <c r="U127" s="34">
        <f>IF(OR($B127="",$C127&lt;&gt;"Ativo",$D127&lt;&gt;'Calc_Mix'!$C$18,'Calc_Mix'!$X$18=0,COUNTIFS(Esc_Turno,'Calc_Mix'!$C$18,Esc_Circ,$B127)+COUNTIFS(Esc_Turno,'Calc_Mix'!$C$18,Esc_Instr,$B127)&gt;0),"",IF(SUMPRODUCT('Calc_Mix'!$D$18:$W$18,'Matriz_Habilidades'!$D127:$W127)=0,"",SUMPRODUCT('Calc_Mix'!$D$18:$W$18,'Matriz_Habilidades'!$D127:$W127)/'Calc_Mix'!$X$18+ROW()*0.000001))</f>
        <v/>
      </c>
      <c r="V127" s="34">
        <f>IF(OR($B127="",$C127&lt;&gt;"Ativo",$D127&lt;&gt;'Calc_Mix'!$C$19,'Calc_Mix'!$X$19=0,COUNTIFS(Esc_Turno,'Calc_Mix'!$C$19,Esc_Circ,$B127)+COUNTIFS(Esc_Turno,'Calc_Mix'!$C$19,Esc_Instr,$B127)&gt;0),"",IF(SUMPRODUCT('Calc_Mix'!$D$19:$W$19,'Matriz_Habilidades'!$D127:$W127)=0,"",SUMPRODUCT('Calc_Mix'!$D$19:$W$19,'Matriz_Habilidades'!$D127:$W127)/'Calc_Mix'!$X$19+ROW()*0.000001))</f>
        <v/>
      </c>
      <c r="W127" s="34">
        <f>IF(OR($B127="",$C127&lt;&gt;"Ativo",$D127&lt;&gt;'Calc_Mix'!$C$20,'Calc_Mix'!$X$20=0,COUNTIFS(Esc_Turno,'Calc_Mix'!$C$20,Esc_Circ,$B127)+COUNTIFS(Esc_Turno,'Calc_Mix'!$C$20,Esc_Instr,$B127)&gt;0),"",IF(SUMPRODUCT('Calc_Mix'!$D$20:$W$20,'Matriz_Habilidades'!$D127:$W127)=0,"",SUMPRODUCT('Calc_Mix'!$D$20:$W$20,'Matriz_Habilidades'!$D127:$W127)/'Calc_Mix'!$X$20+ROW()*0.000001))</f>
        <v/>
      </c>
      <c r="X127" s="34">
        <f>IF(OR($B127="",$C127&lt;&gt;"Ativo",$D127&lt;&gt;'Calc_Mix'!$C$21,'Calc_Mix'!$X$21=0,COUNTIFS(Esc_Turno,'Calc_Mix'!$C$21,Esc_Circ,$B127)+COUNTIFS(Esc_Turno,'Calc_Mix'!$C$21,Esc_Instr,$B127)&gt;0),"",IF(SUMPRODUCT('Calc_Mix'!$D$21:$W$21,'Matriz_Habilidades'!$D127:$W127)=0,"",SUMPRODUCT('Calc_Mix'!$D$21:$W$21,'Matriz_Habilidades'!$D127:$W127)/'Calc_Mix'!$X$21+ROW()*0.000001))</f>
        <v/>
      </c>
      <c r="Y127" s="34">
        <f>IF(OR($B127="",$C127&lt;&gt;"Ativo",$D127&lt;&gt;'Calc_Mix'!$C$22,'Calc_Mix'!$X$22=0,COUNTIFS(Esc_Turno,'Calc_Mix'!$C$22,Esc_Circ,$B127)+COUNTIFS(Esc_Turno,'Calc_Mix'!$C$22,Esc_Instr,$B127)&gt;0),"",IF(SUMPRODUCT('Calc_Mix'!$D$22:$W$22,'Matriz_Habilidades'!$D127:$W127)=0,"",SUMPRODUCT('Calc_Mix'!$D$22:$W$22,'Matriz_Habilidades'!$D127:$W127)/'Calc_Mix'!$X$22+ROW()*0.000001))</f>
        <v/>
      </c>
      <c r="Z127" s="34">
        <f>IF(OR($B127="",$C127&lt;&gt;"Ativo",$D127&lt;&gt;'Calc_Mix'!$C$23,'Calc_Mix'!$X$23=0,COUNTIFS(Esc_Turno,'Calc_Mix'!$C$23,Esc_Circ,$B127)+COUNTIFS(Esc_Turno,'Calc_Mix'!$C$23,Esc_Instr,$B127)&gt;0),"",IF(SUMPRODUCT('Calc_Mix'!$D$23:$W$23,'Matriz_Habilidades'!$D127:$W127)=0,"",SUMPRODUCT('Calc_Mix'!$D$23:$W$23,'Matriz_Habilidades'!$D127:$W127)/'Calc_Mix'!$X$23+ROW()*0.000001))</f>
        <v/>
      </c>
      <c r="AA127" s="34">
        <f>IF(OR($B127="",$C127&lt;&gt;"Ativo",$D127&lt;&gt;'Calc_Mix'!$C$24,'Calc_Mix'!$X$24=0,COUNTIFS(Esc_Turno,'Calc_Mix'!$C$24,Esc_Circ,$B127)+COUNTIFS(Esc_Turno,'Calc_Mix'!$C$24,Esc_Instr,$B127)&gt;0),"",IF(SUMPRODUCT('Calc_Mix'!$D$24:$W$24,'Matriz_Habilidades'!$D127:$W127)=0,"",SUMPRODUCT('Calc_Mix'!$D$24:$W$24,'Matriz_Habilidades'!$D127:$W127)/'Calc_Mix'!$X$24+ROW()*0.000001))</f>
        <v/>
      </c>
      <c r="AB127" s="34">
        <f>IF(OR($B127="",$C127&lt;&gt;"Ativo",$D127&lt;&gt;'Calc_Mix'!$C$25,'Calc_Mix'!$X$25=0,COUNTIFS(Esc_Turno,'Calc_Mix'!$C$25,Esc_Circ,$B127)+COUNTIFS(Esc_Turno,'Calc_Mix'!$C$25,Esc_Instr,$B127)&gt;0),"",IF(SUMPRODUCT('Calc_Mix'!$D$25:$W$25,'Matriz_Habilidades'!$D127:$W127)=0,"",SUMPRODUCT('Calc_Mix'!$D$25:$W$25,'Matriz_Habilidades'!$D127:$W127)/'Calc_Mix'!$X$25+ROW()*0.000001))</f>
        <v/>
      </c>
      <c r="AC127" s="34">
        <f>IF(OR($B127="",$C127&lt;&gt;"Ativo",$D127&lt;&gt;'Calc_Mix'!$C$26,'Calc_Mix'!$X$26=0,COUNTIFS(Esc_Turno,'Calc_Mix'!$C$26,Esc_Circ,$B127)+COUNTIFS(Esc_Turno,'Calc_Mix'!$C$26,Esc_Instr,$B127)&gt;0),"",IF(SUMPRODUCT('Calc_Mix'!$D$26:$W$26,'Matriz_Habilidades'!$D127:$W127)=0,"",SUMPRODUCT('Calc_Mix'!$D$26:$W$26,'Matriz_Habilidades'!$D127:$W127)/'Calc_Mix'!$X$26+ROW()*0.000001))</f>
        <v/>
      </c>
      <c r="AD127" s="34">
        <f>IF(OR($B127="",$C127&lt;&gt;"Ativo",$D127&lt;&gt;'Calc_Mix'!$C$27,'Calc_Mix'!$X$27=0,COUNTIFS(Esc_Turno,'Calc_Mix'!$C$27,Esc_Circ,$B127)+COUNTIFS(Esc_Turno,'Calc_Mix'!$C$27,Esc_Instr,$B127)&gt;0),"",IF(SUMPRODUCT('Calc_Mix'!$D$27:$W$27,'Matriz_Habilidades'!$D127:$W127)=0,"",SUMPRODUCT('Calc_Mix'!$D$27:$W$27,'Matriz_Habilidades'!$D127:$W127)/'Calc_Mix'!$X$27+ROW()*0.000001))</f>
        <v/>
      </c>
      <c r="AE127" s="34">
        <f>IF(OR($B127="",$C127&lt;&gt;"Ativo",$D127&lt;&gt;'Calc_Mix'!$C$28,'Calc_Mix'!$X$28=0,COUNTIFS(Esc_Turno,'Calc_Mix'!$C$28,Esc_Circ,$B127)+COUNTIFS(Esc_Turno,'Calc_Mix'!$C$28,Esc_Instr,$B127)&gt;0),"",IF(SUMPRODUCT('Calc_Mix'!$D$28:$W$28,'Matriz_Habilidades'!$D127:$W127)=0,"",SUMPRODUCT('Calc_Mix'!$D$28:$W$28,'Matriz_Habilidades'!$D127:$W127)/'Calc_Mix'!$X$28+ROW()*0.000001))</f>
        <v/>
      </c>
      <c r="AF127" s="34">
        <f>IF(OR($B127="",$C127&lt;&gt;"Ativo",$D127&lt;&gt;'Calc_Mix'!$C$29,'Calc_Mix'!$X$29=0,COUNTIFS(Esc_Turno,'Calc_Mix'!$C$29,Esc_Circ,$B127)+COUNTIFS(Esc_Turno,'Calc_Mix'!$C$29,Esc_Instr,$B127)&gt;0),"",IF(SUMPRODUCT('Calc_Mix'!$D$29:$W$29,'Matriz_Habilidades'!$D127:$W127)=0,"",SUMPRODUCT('Calc_Mix'!$D$29:$W$29,'Matriz_Habilidades'!$D127:$W127)/'Calc_Mix'!$X$29+ROW()*0.000001))</f>
        <v/>
      </c>
      <c r="AG127" s="34">
        <f>IF(OR($B127="",$C127&lt;&gt;"Ativo",$D127&lt;&gt;'Calc_Mix'!$C$30,'Calc_Mix'!$X$30=0,COUNTIFS(Esc_Turno,'Calc_Mix'!$C$30,Esc_Circ,$B127)+COUNTIFS(Esc_Turno,'Calc_Mix'!$C$30,Esc_Instr,$B127)&gt;0),"",IF(SUMPRODUCT('Calc_Mix'!$D$30:$W$30,'Matriz_Habilidades'!$D127:$W127)=0,"",SUMPRODUCT('Calc_Mix'!$D$30:$W$30,'Matriz_Habilidades'!$D127:$W127)/'Calc_Mix'!$X$30+ROW()*0.000001))</f>
        <v/>
      </c>
      <c r="AH127" s="34">
        <f>IF(OR($B127="",$C127&lt;&gt;"Ativo",$D127&lt;&gt;'Calc_Mix'!$C$31,'Calc_Mix'!$X$31=0,COUNTIFS(Esc_Turno,'Calc_Mix'!$C$31,Esc_Circ,$B127)+COUNTIFS(Esc_Turno,'Calc_Mix'!$C$31,Esc_Instr,$B127)&gt;0),"",IF(SUMPRODUCT('Calc_Mix'!$D$31:$W$31,'Matriz_Habilidades'!$D127:$W127)=0,"",SUMPRODUCT('Calc_Mix'!$D$31:$W$31,'Matriz_Habilidades'!$D127:$W127)/'Calc_Mix'!$X$31+ROW()*0.000001))</f>
        <v/>
      </c>
      <c r="AI127" s="34">
        <f>IF(OR($B127="",$C127&lt;&gt;"Ativo",$D127&lt;&gt;'Calc_Mix'!$C$32,'Calc_Mix'!$X$32=0,COUNTIFS(Esc_Turno,'Calc_Mix'!$C$32,Esc_Circ,$B127)+COUNTIFS(Esc_Turno,'Calc_Mix'!$C$32,Esc_Instr,$B127)&gt;0),"",IF(SUMPRODUCT('Calc_Mix'!$D$32:$W$32,'Matriz_Habilidades'!$D127:$W127)=0,"",SUMPRODUCT('Calc_Mix'!$D$32:$W$32,'Matriz_Habilidades'!$D127:$W127)/'Calc_Mix'!$X$32+ROW()*0.000001))</f>
        <v/>
      </c>
      <c r="AJ127" s="34">
        <f>IF(OR($B127="",$C127&lt;&gt;"Ativo",$D127&lt;&gt;'Calc_Mix'!$C$33,'Calc_Mix'!$X$33=0,COUNTIFS(Esc_Turno,'Calc_Mix'!$C$33,Esc_Circ,$B127)+COUNTIFS(Esc_Turno,'Calc_Mix'!$C$33,Esc_Instr,$B127)&gt;0),"",IF(SUMPRODUCT('Calc_Mix'!$D$33:$W$33,'Matriz_Habilidades'!$D127:$W127)=0,"",SUMPRODUCT('Calc_Mix'!$D$33:$W$33,'Matriz_Habilidades'!$D127:$W127)/'Calc_Mix'!$X$33+ROW()*0.000001))</f>
        <v/>
      </c>
      <c r="AK127" s="34">
        <f>IF(OR($B127="",$C127&lt;&gt;"Ativo",$D127&lt;&gt;'Calc_Mix'!$C$34,'Calc_Mix'!$X$34=0,COUNTIFS(Esc_Turno,'Calc_Mix'!$C$34,Esc_Circ,$B127)+COUNTIFS(Esc_Turno,'Calc_Mix'!$C$34,Esc_Instr,$B127)&gt;0),"",IF(SUMPRODUCT('Calc_Mix'!$D$34:$W$34,'Matriz_Habilidades'!$D127:$W127)=0,"",SUMPRODUCT('Calc_Mix'!$D$34:$W$34,'Matriz_Habilidades'!$D127:$W127)/'Calc_Mix'!$X$34+ROW()*0.000001))</f>
        <v/>
      </c>
      <c r="AL127" s="34">
        <f>IF(OR($B127="",$C127&lt;&gt;"Ativo",$D127&lt;&gt;'Calc_Mix'!$C$35,'Calc_Mix'!$X$35=0,COUNTIFS(Esc_Turno,'Calc_Mix'!$C$35,Esc_Circ,$B127)+COUNTIFS(Esc_Turno,'Calc_Mix'!$C$35,Esc_Instr,$B127)&gt;0),"",IF(SUMPRODUCT('Calc_Mix'!$D$35:$W$35,'Matriz_Habilidades'!$D127:$W127)=0,"",SUMPRODUCT('Calc_Mix'!$D$35:$W$35,'Matriz_Habilidades'!$D127:$W127)/'Calc_Mix'!$X$35+ROW()*0.000001))</f>
        <v/>
      </c>
      <c r="AM127" s="34">
        <f>IF(OR($B127="",$C127&lt;&gt;"Ativo",$D127&lt;&gt;'Calc_Mix'!$C$36,'Calc_Mix'!$X$36=0,COUNTIFS(Esc_Turno,'Calc_Mix'!$C$36,Esc_Circ,$B127)+COUNTIFS(Esc_Turno,'Calc_Mix'!$C$36,Esc_Instr,$B127)&gt;0),"",IF(SUMPRODUCT('Calc_Mix'!$D$36:$W$36,'Matriz_Habilidades'!$D127:$W127)=0,"",SUMPRODUCT('Calc_Mix'!$D$36:$W$36,'Matriz_Habilidades'!$D127:$W127)/'Calc_Mix'!$X$36+ROW()*0.000001))</f>
        <v/>
      </c>
      <c r="AN127" s="34">
        <f>IF(OR($B127="",$C127&lt;&gt;"Ativo",$D127&lt;&gt;'Calc_Mix'!$C$37,'Calc_Mix'!$X$37=0,COUNTIFS(Esc_Turno,'Calc_Mix'!$C$37,Esc_Circ,$B127)+COUNTIFS(Esc_Turno,'Calc_Mix'!$C$37,Esc_Instr,$B127)&gt;0),"",IF(SUMPRODUCT('Calc_Mix'!$D$37:$W$37,'Matriz_Habilidades'!$D127:$W127)=0,"",SUMPRODUCT('Calc_Mix'!$D$37:$W$37,'Matriz_Habilidades'!$D127:$W127)/'Calc_Mix'!$X$37+ROW()*0.000001))</f>
        <v/>
      </c>
    </row>
    <row r="128">
      <c r="A128" s="27">
        <f>IF('Matriz_Habilidades'!A128="","",'Matriz_Habilidades'!A128)</f>
        <v/>
      </c>
      <c r="B128" s="28">
        <f>IF('Matriz_Habilidades'!B128="","",'Matriz_Habilidades'!B128)</f>
        <v/>
      </c>
      <c r="C128" s="27">
        <f>IF($A128="","",IFERROR(INDEX(Equipe_Status,MATCH($B128,Equipe_Nome,0)),"?"))</f>
        <v/>
      </c>
      <c r="D128" s="27">
        <f>IF($A128="","",IFERROR(INDEX(Equipe_Turno,MATCH($B128,Equipe_Nome,0)),"?"))</f>
        <v/>
      </c>
      <c r="E128" s="34">
        <f>IF(OR($B128="",$C128&lt;&gt;"Ativo",$D128&lt;&gt;'Calc_Mix'!$C$2,'Calc_Mix'!$X$2=0,COUNTIFS(Esc_Turno,'Calc_Mix'!$C$2,Esc_Circ,$B128)+COUNTIFS(Esc_Turno,'Calc_Mix'!$C$2,Esc_Instr,$B128)&gt;0),"",IF(SUMPRODUCT('Calc_Mix'!$D$2:$W$2,'Matriz_Habilidades'!$D128:$W128)=0,"",SUMPRODUCT('Calc_Mix'!$D$2:$W$2,'Matriz_Habilidades'!$D128:$W128)/'Calc_Mix'!$X$2+ROW()*0.000001))</f>
        <v/>
      </c>
      <c r="F128" s="34">
        <f>IF(OR($B128="",$C128&lt;&gt;"Ativo",$D128&lt;&gt;'Calc_Mix'!$C$3,'Calc_Mix'!$X$3=0,COUNTIFS(Esc_Turno,'Calc_Mix'!$C$3,Esc_Circ,$B128)+COUNTIFS(Esc_Turno,'Calc_Mix'!$C$3,Esc_Instr,$B128)&gt;0),"",IF(SUMPRODUCT('Calc_Mix'!$D$3:$W$3,'Matriz_Habilidades'!$D128:$W128)=0,"",SUMPRODUCT('Calc_Mix'!$D$3:$W$3,'Matriz_Habilidades'!$D128:$W128)/'Calc_Mix'!$X$3+ROW()*0.000001))</f>
        <v/>
      </c>
      <c r="G128" s="34">
        <f>IF(OR($B128="",$C128&lt;&gt;"Ativo",$D128&lt;&gt;'Calc_Mix'!$C$4,'Calc_Mix'!$X$4=0,COUNTIFS(Esc_Turno,'Calc_Mix'!$C$4,Esc_Circ,$B128)+COUNTIFS(Esc_Turno,'Calc_Mix'!$C$4,Esc_Instr,$B128)&gt;0),"",IF(SUMPRODUCT('Calc_Mix'!$D$4:$W$4,'Matriz_Habilidades'!$D128:$W128)=0,"",SUMPRODUCT('Calc_Mix'!$D$4:$W$4,'Matriz_Habilidades'!$D128:$W128)/'Calc_Mix'!$X$4+ROW()*0.000001))</f>
        <v/>
      </c>
      <c r="H128" s="34">
        <f>IF(OR($B128="",$C128&lt;&gt;"Ativo",$D128&lt;&gt;'Calc_Mix'!$C$5,'Calc_Mix'!$X$5=0,COUNTIFS(Esc_Turno,'Calc_Mix'!$C$5,Esc_Circ,$B128)+COUNTIFS(Esc_Turno,'Calc_Mix'!$C$5,Esc_Instr,$B128)&gt;0),"",IF(SUMPRODUCT('Calc_Mix'!$D$5:$W$5,'Matriz_Habilidades'!$D128:$W128)=0,"",SUMPRODUCT('Calc_Mix'!$D$5:$W$5,'Matriz_Habilidades'!$D128:$W128)/'Calc_Mix'!$X$5+ROW()*0.000001))</f>
        <v/>
      </c>
      <c r="I128" s="34">
        <f>IF(OR($B128="",$C128&lt;&gt;"Ativo",$D128&lt;&gt;'Calc_Mix'!$C$6,'Calc_Mix'!$X$6=0,COUNTIFS(Esc_Turno,'Calc_Mix'!$C$6,Esc_Circ,$B128)+COUNTIFS(Esc_Turno,'Calc_Mix'!$C$6,Esc_Instr,$B128)&gt;0),"",IF(SUMPRODUCT('Calc_Mix'!$D$6:$W$6,'Matriz_Habilidades'!$D128:$W128)=0,"",SUMPRODUCT('Calc_Mix'!$D$6:$W$6,'Matriz_Habilidades'!$D128:$W128)/'Calc_Mix'!$X$6+ROW()*0.000001))</f>
        <v/>
      </c>
      <c r="J128" s="34">
        <f>IF(OR($B128="",$C128&lt;&gt;"Ativo",$D128&lt;&gt;'Calc_Mix'!$C$7,'Calc_Mix'!$X$7=0,COUNTIFS(Esc_Turno,'Calc_Mix'!$C$7,Esc_Circ,$B128)+COUNTIFS(Esc_Turno,'Calc_Mix'!$C$7,Esc_Instr,$B128)&gt;0),"",IF(SUMPRODUCT('Calc_Mix'!$D$7:$W$7,'Matriz_Habilidades'!$D128:$W128)=0,"",SUMPRODUCT('Calc_Mix'!$D$7:$W$7,'Matriz_Habilidades'!$D128:$W128)/'Calc_Mix'!$X$7+ROW()*0.000001))</f>
        <v/>
      </c>
      <c r="K128" s="34">
        <f>IF(OR($B128="",$C128&lt;&gt;"Ativo",$D128&lt;&gt;'Calc_Mix'!$C$8,'Calc_Mix'!$X$8=0,COUNTIFS(Esc_Turno,'Calc_Mix'!$C$8,Esc_Circ,$B128)+COUNTIFS(Esc_Turno,'Calc_Mix'!$C$8,Esc_Instr,$B128)&gt;0),"",IF(SUMPRODUCT('Calc_Mix'!$D$8:$W$8,'Matriz_Habilidades'!$D128:$W128)=0,"",SUMPRODUCT('Calc_Mix'!$D$8:$W$8,'Matriz_Habilidades'!$D128:$W128)/'Calc_Mix'!$X$8+ROW()*0.000001))</f>
        <v/>
      </c>
      <c r="L128" s="34">
        <f>IF(OR($B128="",$C128&lt;&gt;"Ativo",$D128&lt;&gt;'Calc_Mix'!$C$9,'Calc_Mix'!$X$9=0,COUNTIFS(Esc_Turno,'Calc_Mix'!$C$9,Esc_Circ,$B128)+COUNTIFS(Esc_Turno,'Calc_Mix'!$C$9,Esc_Instr,$B128)&gt;0),"",IF(SUMPRODUCT('Calc_Mix'!$D$9:$W$9,'Matriz_Habilidades'!$D128:$W128)=0,"",SUMPRODUCT('Calc_Mix'!$D$9:$W$9,'Matriz_Habilidades'!$D128:$W128)/'Calc_Mix'!$X$9+ROW()*0.000001))</f>
        <v/>
      </c>
      <c r="M128" s="34">
        <f>IF(OR($B128="",$C128&lt;&gt;"Ativo",$D128&lt;&gt;'Calc_Mix'!$C$10,'Calc_Mix'!$X$10=0,COUNTIFS(Esc_Turno,'Calc_Mix'!$C$10,Esc_Circ,$B128)+COUNTIFS(Esc_Turno,'Calc_Mix'!$C$10,Esc_Instr,$B128)&gt;0),"",IF(SUMPRODUCT('Calc_Mix'!$D$10:$W$10,'Matriz_Habilidades'!$D128:$W128)=0,"",SUMPRODUCT('Calc_Mix'!$D$10:$W$10,'Matriz_Habilidades'!$D128:$W128)/'Calc_Mix'!$X$10+ROW()*0.000001))</f>
        <v/>
      </c>
      <c r="N128" s="34">
        <f>IF(OR($B128="",$C128&lt;&gt;"Ativo",$D128&lt;&gt;'Calc_Mix'!$C$11,'Calc_Mix'!$X$11=0,COUNTIFS(Esc_Turno,'Calc_Mix'!$C$11,Esc_Circ,$B128)+COUNTIFS(Esc_Turno,'Calc_Mix'!$C$11,Esc_Instr,$B128)&gt;0),"",IF(SUMPRODUCT('Calc_Mix'!$D$11:$W$11,'Matriz_Habilidades'!$D128:$W128)=0,"",SUMPRODUCT('Calc_Mix'!$D$11:$W$11,'Matriz_Habilidades'!$D128:$W128)/'Calc_Mix'!$X$11+ROW()*0.000001))</f>
        <v/>
      </c>
      <c r="O128" s="34">
        <f>IF(OR($B128="",$C128&lt;&gt;"Ativo",$D128&lt;&gt;'Calc_Mix'!$C$12,'Calc_Mix'!$X$12=0,COUNTIFS(Esc_Turno,'Calc_Mix'!$C$12,Esc_Circ,$B128)+COUNTIFS(Esc_Turno,'Calc_Mix'!$C$12,Esc_Instr,$B128)&gt;0),"",IF(SUMPRODUCT('Calc_Mix'!$D$12:$W$12,'Matriz_Habilidades'!$D128:$W128)=0,"",SUMPRODUCT('Calc_Mix'!$D$12:$W$12,'Matriz_Habilidades'!$D128:$W128)/'Calc_Mix'!$X$12+ROW()*0.000001))</f>
        <v/>
      </c>
      <c r="P128" s="34">
        <f>IF(OR($B128="",$C128&lt;&gt;"Ativo",$D128&lt;&gt;'Calc_Mix'!$C$13,'Calc_Mix'!$X$13=0,COUNTIFS(Esc_Turno,'Calc_Mix'!$C$13,Esc_Circ,$B128)+COUNTIFS(Esc_Turno,'Calc_Mix'!$C$13,Esc_Instr,$B128)&gt;0),"",IF(SUMPRODUCT('Calc_Mix'!$D$13:$W$13,'Matriz_Habilidades'!$D128:$W128)=0,"",SUMPRODUCT('Calc_Mix'!$D$13:$W$13,'Matriz_Habilidades'!$D128:$W128)/'Calc_Mix'!$X$13+ROW()*0.000001))</f>
        <v/>
      </c>
      <c r="Q128" s="34">
        <f>IF(OR($B128="",$C128&lt;&gt;"Ativo",$D128&lt;&gt;'Calc_Mix'!$C$14,'Calc_Mix'!$X$14=0,COUNTIFS(Esc_Turno,'Calc_Mix'!$C$14,Esc_Circ,$B128)+COUNTIFS(Esc_Turno,'Calc_Mix'!$C$14,Esc_Instr,$B128)&gt;0),"",IF(SUMPRODUCT('Calc_Mix'!$D$14:$W$14,'Matriz_Habilidades'!$D128:$W128)=0,"",SUMPRODUCT('Calc_Mix'!$D$14:$W$14,'Matriz_Habilidades'!$D128:$W128)/'Calc_Mix'!$X$14+ROW()*0.000001))</f>
        <v/>
      </c>
      <c r="R128" s="34">
        <f>IF(OR($B128="",$C128&lt;&gt;"Ativo",$D128&lt;&gt;'Calc_Mix'!$C$15,'Calc_Mix'!$X$15=0,COUNTIFS(Esc_Turno,'Calc_Mix'!$C$15,Esc_Circ,$B128)+COUNTIFS(Esc_Turno,'Calc_Mix'!$C$15,Esc_Instr,$B128)&gt;0),"",IF(SUMPRODUCT('Calc_Mix'!$D$15:$W$15,'Matriz_Habilidades'!$D128:$W128)=0,"",SUMPRODUCT('Calc_Mix'!$D$15:$W$15,'Matriz_Habilidades'!$D128:$W128)/'Calc_Mix'!$X$15+ROW()*0.000001))</f>
        <v/>
      </c>
      <c r="S128" s="34">
        <f>IF(OR($B128="",$C128&lt;&gt;"Ativo",$D128&lt;&gt;'Calc_Mix'!$C$16,'Calc_Mix'!$X$16=0,COUNTIFS(Esc_Turno,'Calc_Mix'!$C$16,Esc_Circ,$B128)+COUNTIFS(Esc_Turno,'Calc_Mix'!$C$16,Esc_Instr,$B128)&gt;0),"",IF(SUMPRODUCT('Calc_Mix'!$D$16:$W$16,'Matriz_Habilidades'!$D128:$W128)=0,"",SUMPRODUCT('Calc_Mix'!$D$16:$W$16,'Matriz_Habilidades'!$D128:$W128)/'Calc_Mix'!$X$16+ROW()*0.000001))</f>
        <v/>
      </c>
      <c r="T128" s="34">
        <f>IF(OR($B128="",$C128&lt;&gt;"Ativo",$D128&lt;&gt;'Calc_Mix'!$C$17,'Calc_Mix'!$X$17=0,COUNTIFS(Esc_Turno,'Calc_Mix'!$C$17,Esc_Circ,$B128)+COUNTIFS(Esc_Turno,'Calc_Mix'!$C$17,Esc_Instr,$B128)&gt;0),"",IF(SUMPRODUCT('Calc_Mix'!$D$17:$W$17,'Matriz_Habilidades'!$D128:$W128)=0,"",SUMPRODUCT('Calc_Mix'!$D$17:$W$17,'Matriz_Habilidades'!$D128:$W128)/'Calc_Mix'!$X$17+ROW()*0.000001))</f>
        <v/>
      </c>
      <c r="U128" s="34">
        <f>IF(OR($B128="",$C128&lt;&gt;"Ativo",$D128&lt;&gt;'Calc_Mix'!$C$18,'Calc_Mix'!$X$18=0,COUNTIFS(Esc_Turno,'Calc_Mix'!$C$18,Esc_Circ,$B128)+COUNTIFS(Esc_Turno,'Calc_Mix'!$C$18,Esc_Instr,$B128)&gt;0),"",IF(SUMPRODUCT('Calc_Mix'!$D$18:$W$18,'Matriz_Habilidades'!$D128:$W128)=0,"",SUMPRODUCT('Calc_Mix'!$D$18:$W$18,'Matriz_Habilidades'!$D128:$W128)/'Calc_Mix'!$X$18+ROW()*0.000001))</f>
        <v/>
      </c>
      <c r="V128" s="34">
        <f>IF(OR($B128="",$C128&lt;&gt;"Ativo",$D128&lt;&gt;'Calc_Mix'!$C$19,'Calc_Mix'!$X$19=0,COUNTIFS(Esc_Turno,'Calc_Mix'!$C$19,Esc_Circ,$B128)+COUNTIFS(Esc_Turno,'Calc_Mix'!$C$19,Esc_Instr,$B128)&gt;0),"",IF(SUMPRODUCT('Calc_Mix'!$D$19:$W$19,'Matriz_Habilidades'!$D128:$W128)=0,"",SUMPRODUCT('Calc_Mix'!$D$19:$W$19,'Matriz_Habilidades'!$D128:$W128)/'Calc_Mix'!$X$19+ROW()*0.000001))</f>
        <v/>
      </c>
      <c r="W128" s="34">
        <f>IF(OR($B128="",$C128&lt;&gt;"Ativo",$D128&lt;&gt;'Calc_Mix'!$C$20,'Calc_Mix'!$X$20=0,COUNTIFS(Esc_Turno,'Calc_Mix'!$C$20,Esc_Circ,$B128)+COUNTIFS(Esc_Turno,'Calc_Mix'!$C$20,Esc_Instr,$B128)&gt;0),"",IF(SUMPRODUCT('Calc_Mix'!$D$20:$W$20,'Matriz_Habilidades'!$D128:$W128)=0,"",SUMPRODUCT('Calc_Mix'!$D$20:$W$20,'Matriz_Habilidades'!$D128:$W128)/'Calc_Mix'!$X$20+ROW()*0.000001))</f>
        <v/>
      </c>
      <c r="X128" s="34">
        <f>IF(OR($B128="",$C128&lt;&gt;"Ativo",$D128&lt;&gt;'Calc_Mix'!$C$21,'Calc_Mix'!$X$21=0,COUNTIFS(Esc_Turno,'Calc_Mix'!$C$21,Esc_Circ,$B128)+COUNTIFS(Esc_Turno,'Calc_Mix'!$C$21,Esc_Instr,$B128)&gt;0),"",IF(SUMPRODUCT('Calc_Mix'!$D$21:$W$21,'Matriz_Habilidades'!$D128:$W128)=0,"",SUMPRODUCT('Calc_Mix'!$D$21:$W$21,'Matriz_Habilidades'!$D128:$W128)/'Calc_Mix'!$X$21+ROW()*0.000001))</f>
        <v/>
      </c>
      <c r="Y128" s="34">
        <f>IF(OR($B128="",$C128&lt;&gt;"Ativo",$D128&lt;&gt;'Calc_Mix'!$C$22,'Calc_Mix'!$X$22=0,COUNTIFS(Esc_Turno,'Calc_Mix'!$C$22,Esc_Circ,$B128)+COUNTIFS(Esc_Turno,'Calc_Mix'!$C$22,Esc_Instr,$B128)&gt;0),"",IF(SUMPRODUCT('Calc_Mix'!$D$22:$W$22,'Matriz_Habilidades'!$D128:$W128)=0,"",SUMPRODUCT('Calc_Mix'!$D$22:$W$22,'Matriz_Habilidades'!$D128:$W128)/'Calc_Mix'!$X$22+ROW()*0.000001))</f>
        <v/>
      </c>
      <c r="Z128" s="34">
        <f>IF(OR($B128="",$C128&lt;&gt;"Ativo",$D128&lt;&gt;'Calc_Mix'!$C$23,'Calc_Mix'!$X$23=0,COUNTIFS(Esc_Turno,'Calc_Mix'!$C$23,Esc_Circ,$B128)+COUNTIFS(Esc_Turno,'Calc_Mix'!$C$23,Esc_Instr,$B128)&gt;0),"",IF(SUMPRODUCT('Calc_Mix'!$D$23:$W$23,'Matriz_Habilidades'!$D128:$W128)=0,"",SUMPRODUCT('Calc_Mix'!$D$23:$W$23,'Matriz_Habilidades'!$D128:$W128)/'Calc_Mix'!$X$23+ROW()*0.000001))</f>
        <v/>
      </c>
      <c r="AA128" s="34">
        <f>IF(OR($B128="",$C128&lt;&gt;"Ativo",$D128&lt;&gt;'Calc_Mix'!$C$24,'Calc_Mix'!$X$24=0,COUNTIFS(Esc_Turno,'Calc_Mix'!$C$24,Esc_Circ,$B128)+COUNTIFS(Esc_Turno,'Calc_Mix'!$C$24,Esc_Instr,$B128)&gt;0),"",IF(SUMPRODUCT('Calc_Mix'!$D$24:$W$24,'Matriz_Habilidades'!$D128:$W128)=0,"",SUMPRODUCT('Calc_Mix'!$D$24:$W$24,'Matriz_Habilidades'!$D128:$W128)/'Calc_Mix'!$X$24+ROW()*0.000001))</f>
        <v/>
      </c>
      <c r="AB128" s="34">
        <f>IF(OR($B128="",$C128&lt;&gt;"Ativo",$D128&lt;&gt;'Calc_Mix'!$C$25,'Calc_Mix'!$X$25=0,COUNTIFS(Esc_Turno,'Calc_Mix'!$C$25,Esc_Circ,$B128)+COUNTIFS(Esc_Turno,'Calc_Mix'!$C$25,Esc_Instr,$B128)&gt;0),"",IF(SUMPRODUCT('Calc_Mix'!$D$25:$W$25,'Matriz_Habilidades'!$D128:$W128)=0,"",SUMPRODUCT('Calc_Mix'!$D$25:$W$25,'Matriz_Habilidades'!$D128:$W128)/'Calc_Mix'!$X$25+ROW()*0.000001))</f>
        <v/>
      </c>
      <c r="AC128" s="34">
        <f>IF(OR($B128="",$C128&lt;&gt;"Ativo",$D128&lt;&gt;'Calc_Mix'!$C$26,'Calc_Mix'!$X$26=0,COUNTIFS(Esc_Turno,'Calc_Mix'!$C$26,Esc_Circ,$B128)+COUNTIFS(Esc_Turno,'Calc_Mix'!$C$26,Esc_Instr,$B128)&gt;0),"",IF(SUMPRODUCT('Calc_Mix'!$D$26:$W$26,'Matriz_Habilidades'!$D128:$W128)=0,"",SUMPRODUCT('Calc_Mix'!$D$26:$W$26,'Matriz_Habilidades'!$D128:$W128)/'Calc_Mix'!$X$26+ROW()*0.000001))</f>
        <v/>
      </c>
      <c r="AD128" s="34">
        <f>IF(OR($B128="",$C128&lt;&gt;"Ativo",$D128&lt;&gt;'Calc_Mix'!$C$27,'Calc_Mix'!$X$27=0,COUNTIFS(Esc_Turno,'Calc_Mix'!$C$27,Esc_Circ,$B128)+COUNTIFS(Esc_Turno,'Calc_Mix'!$C$27,Esc_Instr,$B128)&gt;0),"",IF(SUMPRODUCT('Calc_Mix'!$D$27:$W$27,'Matriz_Habilidades'!$D128:$W128)=0,"",SUMPRODUCT('Calc_Mix'!$D$27:$W$27,'Matriz_Habilidades'!$D128:$W128)/'Calc_Mix'!$X$27+ROW()*0.000001))</f>
        <v/>
      </c>
      <c r="AE128" s="34">
        <f>IF(OR($B128="",$C128&lt;&gt;"Ativo",$D128&lt;&gt;'Calc_Mix'!$C$28,'Calc_Mix'!$X$28=0,COUNTIFS(Esc_Turno,'Calc_Mix'!$C$28,Esc_Circ,$B128)+COUNTIFS(Esc_Turno,'Calc_Mix'!$C$28,Esc_Instr,$B128)&gt;0),"",IF(SUMPRODUCT('Calc_Mix'!$D$28:$W$28,'Matriz_Habilidades'!$D128:$W128)=0,"",SUMPRODUCT('Calc_Mix'!$D$28:$W$28,'Matriz_Habilidades'!$D128:$W128)/'Calc_Mix'!$X$28+ROW()*0.000001))</f>
        <v/>
      </c>
      <c r="AF128" s="34">
        <f>IF(OR($B128="",$C128&lt;&gt;"Ativo",$D128&lt;&gt;'Calc_Mix'!$C$29,'Calc_Mix'!$X$29=0,COUNTIFS(Esc_Turno,'Calc_Mix'!$C$29,Esc_Circ,$B128)+COUNTIFS(Esc_Turno,'Calc_Mix'!$C$29,Esc_Instr,$B128)&gt;0),"",IF(SUMPRODUCT('Calc_Mix'!$D$29:$W$29,'Matriz_Habilidades'!$D128:$W128)=0,"",SUMPRODUCT('Calc_Mix'!$D$29:$W$29,'Matriz_Habilidades'!$D128:$W128)/'Calc_Mix'!$X$29+ROW()*0.000001))</f>
        <v/>
      </c>
      <c r="AG128" s="34">
        <f>IF(OR($B128="",$C128&lt;&gt;"Ativo",$D128&lt;&gt;'Calc_Mix'!$C$30,'Calc_Mix'!$X$30=0,COUNTIFS(Esc_Turno,'Calc_Mix'!$C$30,Esc_Circ,$B128)+COUNTIFS(Esc_Turno,'Calc_Mix'!$C$30,Esc_Instr,$B128)&gt;0),"",IF(SUMPRODUCT('Calc_Mix'!$D$30:$W$30,'Matriz_Habilidades'!$D128:$W128)=0,"",SUMPRODUCT('Calc_Mix'!$D$30:$W$30,'Matriz_Habilidades'!$D128:$W128)/'Calc_Mix'!$X$30+ROW()*0.000001))</f>
        <v/>
      </c>
      <c r="AH128" s="34">
        <f>IF(OR($B128="",$C128&lt;&gt;"Ativo",$D128&lt;&gt;'Calc_Mix'!$C$31,'Calc_Mix'!$X$31=0,COUNTIFS(Esc_Turno,'Calc_Mix'!$C$31,Esc_Circ,$B128)+COUNTIFS(Esc_Turno,'Calc_Mix'!$C$31,Esc_Instr,$B128)&gt;0),"",IF(SUMPRODUCT('Calc_Mix'!$D$31:$W$31,'Matriz_Habilidades'!$D128:$W128)=0,"",SUMPRODUCT('Calc_Mix'!$D$31:$W$31,'Matriz_Habilidades'!$D128:$W128)/'Calc_Mix'!$X$31+ROW()*0.000001))</f>
        <v/>
      </c>
      <c r="AI128" s="34">
        <f>IF(OR($B128="",$C128&lt;&gt;"Ativo",$D128&lt;&gt;'Calc_Mix'!$C$32,'Calc_Mix'!$X$32=0,COUNTIFS(Esc_Turno,'Calc_Mix'!$C$32,Esc_Circ,$B128)+COUNTIFS(Esc_Turno,'Calc_Mix'!$C$32,Esc_Instr,$B128)&gt;0),"",IF(SUMPRODUCT('Calc_Mix'!$D$32:$W$32,'Matriz_Habilidades'!$D128:$W128)=0,"",SUMPRODUCT('Calc_Mix'!$D$32:$W$32,'Matriz_Habilidades'!$D128:$W128)/'Calc_Mix'!$X$32+ROW()*0.000001))</f>
        <v/>
      </c>
      <c r="AJ128" s="34">
        <f>IF(OR($B128="",$C128&lt;&gt;"Ativo",$D128&lt;&gt;'Calc_Mix'!$C$33,'Calc_Mix'!$X$33=0,COUNTIFS(Esc_Turno,'Calc_Mix'!$C$33,Esc_Circ,$B128)+COUNTIFS(Esc_Turno,'Calc_Mix'!$C$33,Esc_Instr,$B128)&gt;0),"",IF(SUMPRODUCT('Calc_Mix'!$D$33:$W$33,'Matriz_Habilidades'!$D128:$W128)=0,"",SUMPRODUCT('Calc_Mix'!$D$33:$W$33,'Matriz_Habilidades'!$D128:$W128)/'Calc_Mix'!$X$33+ROW()*0.000001))</f>
        <v/>
      </c>
      <c r="AK128" s="34">
        <f>IF(OR($B128="",$C128&lt;&gt;"Ativo",$D128&lt;&gt;'Calc_Mix'!$C$34,'Calc_Mix'!$X$34=0,COUNTIFS(Esc_Turno,'Calc_Mix'!$C$34,Esc_Circ,$B128)+COUNTIFS(Esc_Turno,'Calc_Mix'!$C$34,Esc_Instr,$B128)&gt;0),"",IF(SUMPRODUCT('Calc_Mix'!$D$34:$W$34,'Matriz_Habilidades'!$D128:$W128)=0,"",SUMPRODUCT('Calc_Mix'!$D$34:$W$34,'Matriz_Habilidades'!$D128:$W128)/'Calc_Mix'!$X$34+ROW()*0.000001))</f>
        <v/>
      </c>
      <c r="AL128" s="34">
        <f>IF(OR($B128="",$C128&lt;&gt;"Ativo",$D128&lt;&gt;'Calc_Mix'!$C$35,'Calc_Mix'!$X$35=0,COUNTIFS(Esc_Turno,'Calc_Mix'!$C$35,Esc_Circ,$B128)+COUNTIFS(Esc_Turno,'Calc_Mix'!$C$35,Esc_Instr,$B128)&gt;0),"",IF(SUMPRODUCT('Calc_Mix'!$D$35:$W$35,'Matriz_Habilidades'!$D128:$W128)=0,"",SUMPRODUCT('Calc_Mix'!$D$35:$W$35,'Matriz_Habilidades'!$D128:$W128)/'Calc_Mix'!$X$35+ROW()*0.000001))</f>
        <v/>
      </c>
      <c r="AM128" s="34">
        <f>IF(OR($B128="",$C128&lt;&gt;"Ativo",$D128&lt;&gt;'Calc_Mix'!$C$36,'Calc_Mix'!$X$36=0,COUNTIFS(Esc_Turno,'Calc_Mix'!$C$36,Esc_Circ,$B128)+COUNTIFS(Esc_Turno,'Calc_Mix'!$C$36,Esc_Instr,$B128)&gt;0),"",IF(SUMPRODUCT('Calc_Mix'!$D$36:$W$36,'Matriz_Habilidades'!$D128:$W128)=0,"",SUMPRODUCT('Calc_Mix'!$D$36:$W$36,'Matriz_Habilidades'!$D128:$W128)/'Calc_Mix'!$X$36+ROW()*0.000001))</f>
        <v/>
      </c>
      <c r="AN128" s="34">
        <f>IF(OR($B128="",$C128&lt;&gt;"Ativo",$D128&lt;&gt;'Calc_Mix'!$C$37,'Calc_Mix'!$X$37=0,COUNTIFS(Esc_Turno,'Calc_Mix'!$C$37,Esc_Circ,$B128)+COUNTIFS(Esc_Turno,'Calc_Mix'!$C$37,Esc_Instr,$B128)&gt;0),"",IF(SUMPRODUCT('Calc_Mix'!$D$37:$W$37,'Matriz_Habilidades'!$D128:$W128)=0,"",SUMPRODUCT('Calc_Mix'!$D$37:$W$37,'Matriz_Habilidades'!$D128:$W128)/'Calc_Mix'!$X$37+ROW()*0.000001))</f>
        <v/>
      </c>
    </row>
    <row r="129">
      <c r="A129" s="27">
        <f>IF('Matriz_Habilidades'!A129="","",'Matriz_Habilidades'!A129)</f>
        <v/>
      </c>
      <c r="B129" s="28">
        <f>IF('Matriz_Habilidades'!B129="","",'Matriz_Habilidades'!B129)</f>
        <v/>
      </c>
      <c r="C129" s="27">
        <f>IF($A129="","",IFERROR(INDEX(Equipe_Status,MATCH($B129,Equipe_Nome,0)),"?"))</f>
        <v/>
      </c>
      <c r="D129" s="27">
        <f>IF($A129="","",IFERROR(INDEX(Equipe_Turno,MATCH($B129,Equipe_Nome,0)),"?"))</f>
        <v/>
      </c>
      <c r="E129" s="34">
        <f>IF(OR($B129="",$C129&lt;&gt;"Ativo",$D129&lt;&gt;'Calc_Mix'!$C$2,'Calc_Mix'!$X$2=0,COUNTIFS(Esc_Turno,'Calc_Mix'!$C$2,Esc_Circ,$B129)+COUNTIFS(Esc_Turno,'Calc_Mix'!$C$2,Esc_Instr,$B129)&gt;0),"",IF(SUMPRODUCT('Calc_Mix'!$D$2:$W$2,'Matriz_Habilidades'!$D129:$W129)=0,"",SUMPRODUCT('Calc_Mix'!$D$2:$W$2,'Matriz_Habilidades'!$D129:$W129)/'Calc_Mix'!$X$2+ROW()*0.000001))</f>
        <v/>
      </c>
      <c r="F129" s="34">
        <f>IF(OR($B129="",$C129&lt;&gt;"Ativo",$D129&lt;&gt;'Calc_Mix'!$C$3,'Calc_Mix'!$X$3=0,COUNTIFS(Esc_Turno,'Calc_Mix'!$C$3,Esc_Circ,$B129)+COUNTIFS(Esc_Turno,'Calc_Mix'!$C$3,Esc_Instr,$B129)&gt;0),"",IF(SUMPRODUCT('Calc_Mix'!$D$3:$W$3,'Matriz_Habilidades'!$D129:$W129)=0,"",SUMPRODUCT('Calc_Mix'!$D$3:$W$3,'Matriz_Habilidades'!$D129:$W129)/'Calc_Mix'!$X$3+ROW()*0.000001))</f>
        <v/>
      </c>
      <c r="G129" s="34">
        <f>IF(OR($B129="",$C129&lt;&gt;"Ativo",$D129&lt;&gt;'Calc_Mix'!$C$4,'Calc_Mix'!$X$4=0,COUNTIFS(Esc_Turno,'Calc_Mix'!$C$4,Esc_Circ,$B129)+COUNTIFS(Esc_Turno,'Calc_Mix'!$C$4,Esc_Instr,$B129)&gt;0),"",IF(SUMPRODUCT('Calc_Mix'!$D$4:$W$4,'Matriz_Habilidades'!$D129:$W129)=0,"",SUMPRODUCT('Calc_Mix'!$D$4:$W$4,'Matriz_Habilidades'!$D129:$W129)/'Calc_Mix'!$X$4+ROW()*0.000001))</f>
        <v/>
      </c>
      <c r="H129" s="34">
        <f>IF(OR($B129="",$C129&lt;&gt;"Ativo",$D129&lt;&gt;'Calc_Mix'!$C$5,'Calc_Mix'!$X$5=0,COUNTIFS(Esc_Turno,'Calc_Mix'!$C$5,Esc_Circ,$B129)+COUNTIFS(Esc_Turno,'Calc_Mix'!$C$5,Esc_Instr,$B129)&gt;0),"",IF(SUMPRODUCT('Calc_Mix'!$D$5:$W$5,'Matriz_Habilidades'!$D129:$W129)=0,"",SUMPRODUCT('Calc_Mix'!$D$5:$W$5,'Matriz_Habilidades'!$D129:$W129)/'Calc_Mix'!$X$5+ROW()*0.000001))</f>
        <v/>
      </c>
      <c r="I129" s="34">
        <f>IF(OR($B129="",$C129&lt;&gt;"Ativo",$D129&lt;&gt;'Calc_Mix'!$C$6,'Calc_Mix'!$X$6=0,COUNTIFS(Esc_Turno,'Calc_Mix'!$C$6,Esc_Circ,$B129)+COUNTIFS(Esc_Turno,'Calc_Mix'!$C$6,Esc_Instr,$B129)&gt;0),"",IF(SUMPRODUCT('Calc_Mix'!$D$6:$W$6,'Matriz_Habilidades'!$D129:$W129)=0,"",SUMPRODUCT('Calc_Mix'!$D$6:$W$6,'Matriz_Habilidades'!$D129:$W129)/'Calc_Mix'!$X$6+ROW()*0.000001))</f>
        <v/>
      </c>
      <c r="J129" s="34">
        <f>IF(OR($B129="",$C129&lt;&gt;"Ativo",$D129&lt;&gt;'Calc_Mix'!$C$7,'Calc_Mix'!$X$7=0,COUNTIFS(Esc_Turno,'Calc_Mix'!$C$7,Esc_Circ,$B129)+COUNTIFS(Esc_Turno,'Calc_Mix'!$C$7,Esc_Instr,$B129)&gt;0),"",IF(SUMPRODUCT('Calc_Mix'!$D$7:$W$7,'Matriz_Habilidades'!$D129:$W129)=0,"",SUMPRODUCT('Calc_Mix'!$D$7:$W$7,'Matriz_Habilidades'!$D129:$W129)/'Calc_Mix'!$X$7+ROW()*0.000001))</f>
        <v/>
      </c>
      <c r="K129" s="34">
        <f>IF(OR($B129="",$C129&lt;&gt;"Ativo",$D129&lt;&gt;'Calc_Mix'!$C$8,'Calc_Mix'!$X$8=0,COUNTIFS(Esc_Turno,'Calc_Mix'!$C$8,Esc_Circ,$B129)+COUNTIFS(Esc_Turno,'Calc_Mix'!$C$8,Esc_Instr,$B129)&gt;0),"",IF(SUMPRODUCT('Calc_Mix'!$D$8:$W$8,'Matriz_Habilidades'!$D129:$W129)=0,"",SUMPRODUCT('Calc_Mix'!$D$8:$W$8,'Matriz_Habilidades'!$D129:$W129)/'Calc_Mix'!$X$8+ROW()*0.000001))</f>
        <v/>
      </c>
      <c r="L129" s="34">
        <f>IF(OR($B129="",$C129&lt;&gt;"Ativo",$D129&lt;&gt;'Calc_Mix'!$C$9,'Calc_Mix'!$X$9=0,COUNTIFS(Esc_Turno,'Calc_Mix'!$C$9,Esc_Circ,$B129)+COUNTIFS(Esc_Turno,'Calc_Mix'!$C$9,Esc_Instr,$B129)&gt;0),"",IF(SUMPRODUCT('Calc_Mix'!$D$9:$W$9,'Matriz_Habilidades'!$D129:$W129)=0,"",SUMPRODUCT('Calc_Mix'!$D$9:$W$9,'Matriz_Habilidades'!$D129:$W129)/'Calc_Mix'!$X$9+ROW()*0.000001))</f>
        <v/>
      </c>
      <c r="M129" s="34">
        <f>IF(OR($B129="",$C129&lt;&gt;"Ativo",$D129&lt;&gt;'Calc_Mix'!$C$10,'Calc_Mix'!$X$10=0,COUNTIFS(Esc_Turno,'Calc_Mix'!$C$10,Esc_Circ,$B129)+COUNTIFS(Esc_Turno,'Calc_Mix'!$C$10,Esc_Instr,$B129)&gt;0),"",IF(SUMPRODUCT('Calc_Mix'!$D$10:$W$10,'Matriz_Habilidades'!$D129:$W129)=0,"",SUMPRODUCT('Calc_Mix'!$D$10:$W$10,'Matriz_Habilidades'!$D129:$W129)/'Calc_Mix'!$X$10+ROW()*0.000001))</f>
        <v/>
      </c>
      <c r="N129" s="34">
        <f>IF(OR($B129="",$C129&lt;&gt;"Ativo",$D129&lt;&gt;'Calc_Mix'!$C$11,'Calc_Mix'!$X$11=0,COUNTIFS(Esc_Turno,'Calc_Mix'!$C$11,Esc_Circ,$B129)+COUNTIFS(Esc_Turno,'Calc_Mix'!$C$11,Esc_Instr,$B129)&gt;0),"",IF(SUMPRODUCT('Calc_Mix'!$D$11:$W$11,'Matriz_Habilidades'!$D129:$W129)=0,"",SUMPRODUCT('Calc_Mix'!$D$11:$W$11,'Matriz_Habilidades'!$D129:$W129)/'Calc_Mix'!$X$11+ROW()*0.000001))</f>
        <v/>
      </c>
      <c r="O129" s="34">
        <f>IF(OR($B129="",$C129&lt;&gt;"Ativo",$D129&lt;&gt;'Calc_Mix'!$C$12,'Calc_Mix'!$X$12=0,COUNTIFS(Esc_Turno,'Calc_Mix'!$C$12,Esc_Circ,$B129)+COUNTIFS(Esc_Turno,'Calc_Mix'!$C$12,Esc_Instr,$B129)&gt;0),"",IF(SUMPRODUCT('Calc_Mix'!$D$12:$W$12,'Matriz_Habilidades'!$D129:$W129)=0,"",SUMPRODUCT('Calc_Mix'!$D$12:$W$12,'Matriz_Habilidades'!$D129:$W129)/'Calc_Mix'!$X$12+ROW()*0.000001))</f>
        <v/>
      </c>
      <c r="P129" s="34">
        <f>IF(OR($B129="",$C129&lt;&gt;"Ativo",$D129&lt;&gt;'Calc_Mix'!$C$13,'Calc_Mix'!$X$13=0,COUNTIFS(Esc_Turno,'Calc_Mix'!$C$13,Esc_Circ,$B129)+COUNTIFS(Esc_Turno,'Calc_Mix'!$C$13,Esc_Instr,$B129)&gt;0),"",IF(SUMPRODUCT('Calc_Mix'!$D$13:$W$13,'Matriz_Habilidades'!$D129:$W129)=0,"",SUMPRODUCT('Calc_Mix'!$D$13:$W$13,'Matriz_Habilidades'!$D129:$W129)/'Calc_Mix'!$X$13+ROW()*0.000001))</f>
        <v/>
      </c>
      <c r="Q129" s="34">
        <f>IF(OR($B129="",$C129&lt;&gt;"Ativo",$D129&lt;&gt;'Calc_Mix'!$C$14,'Calc_Mix'!$X$14=0,COUNTIFS(Esc_Turno,'Calc_Mix'!$C$14,Esc_Circ,$B129)+COUNTIFS(Esc_Turno,'Calc_Mix'!$C$14,Esc_Instr,$B129)&gt;0),"",IF(SUMPRODUCT('Calc_Mix'!$D$14:$W$14,'Matriz_Habilidades'!$D129:$W129)=0,"",SUMPRODUCT('Calc_Mix'!$D$14:$W$14,'Matriz_Habilidades'!$D129:$W129)/'Calc_Mix'!$X$14+ROW()*0.000001))</f>
        <v/>
      </c>
      <c r="R129" s="34">
        <f>IF(OR($B129="",$C129&lt;&gt;"Ativo",$D129&lt;&gt;'Calc_Mix'!$C$15,'Calc_Mix'!$X$15=0,COUNTIFS(Esc_Turno,'Calc_Mix'!$C$15,Esc_Circ,$B129)+COUNTIFS(Esc_Turno,'Calc_Mix'!$C$15,Esc_Instr,$B129)&gt;0),"",IF(SUMPRODUCT('Calc_Mix'!$D$15:$W$15,'Matriz_Habilidades'!$D129:$W129)=0,"",SUMPRODUCT('Calc_Mix'!$D$15:$W$15,'Matriz_Habilidades'!$D129:$W129)/'Calc_Mix'!$X$15+ROW()*0.000001))</f>
        <v/>
      </c>
      <c r="S129" s="34">
        <f>IF(OR($B129="",$C129&lt;&gt;"Ativo",$D129&lt;&gt;'Calc_Mix'!$C$16,'Calc_Mix'!$X$16=0,COUNTIFS(Esc_Turno,'Calc_Mix'!$C$16,Esc_Circ,$B129)+COUNTIFS(Esc_Turno,'Calc_Mix'!$C$16,Esc_Instr,$B129)&gt;0),"",IF(SUMPRODUCT('Calc_Mix'!$D$16:$W$16,'Matriz_Habilidades'!$D129:$W129)=0,"",SUMPRODUCT('Calc_Mix'!$D$16:$W$16,'Matriz_Habilidades'!$D129:$W129)/'Calc_Mix'!$X$16+ROW()*0.000001))</f>
        <v/>
      </c>
      <c r="T129" s="34">
        <f>IF(OR($B129="",$C129&lt;&gt;"Ativo",$D129&lt;&gt;'Calc_Mix'!$C$17,'Calc_Mix'!$X$17=0,COUNTIFS(Esc_Turno,'Calc_Mix'!$C$17,Esc_Circ,$B129)+COUNTIFS(Esc_Turno,'Calc_Mix'!$C$17,Esc_Instr,$B129)&gt;0),"",IF(SUMPRODUCT('Calc_Mix'!$D$17:$W$17,'Matriz_Habilidades'!$D129:$W129)=0,"",SUMPRODUCT('Calc_Mix'!$D$17:$W$17,'Matriz_Habilidades'!$D129:$W129)/'Calc_Mix'!$X$17+ROW()*0.000001))</f>
        <v/>
      </c>
      <c r="U129" s="34">
        <f>IF(OR($B129="",$C129&lt;&gt;"Ativo",$D129&lt;&gt;'Calc_Mix'!$C$18,'Calc_Mix'!$X$18=0,COUNTIFS(Esc_Turno,'Calc_Mix'!$C$18,Esc_Circ,$B129)+COUNTIFS(Esc_Turno,'Calc_Mix'!$C$18,Esc_Instr,$B129)&gt;0),"",IF(SUMPRODUCT('Calc_Mix'!$D$18:$W$18,'Matriz_Habilidades'!$D129:$W129)=0,"",SUMPRODUCT('Calc_Mix'!$D$18:$W$18,'Matriz_Habilidades'!$D129:$W129)/'Calc_Mix'!$X$18+ROW()*0.000001))</f>
        <v/>
      </c>
      <c r="V129" s="34">
        <f>IF(OR($B129="",$C129&lt;&gt;"Ativo",$D129&lt;&gt;'Calc_Mix'!$C$19,'Calc_Mix'!$X$19=0,COUNTIFS(Esc_Turno,'Calc_Mix'!$C$19,Esc_Circ,$B129)+COUNTIFS(Esc_Turno,'Calc_Mix'!$C$19,Esc_Instr,$B129)&gt;0),"",IF(SUMPRODUCT('Calc_Mix'!$D$19:$W$19,'Matriz_Habilidades'!$D129:$W129)=0,"",SUMPRODUCT('Calc_Mix'!$D$19:$W$19,'Matriz_Habilidades'!$D129:$W129)/'Calc_Mix'!$X$19+ROW()*0.000001))</f>
        <v/>
      </c>
      <c r="W129" s="34">
        <f>IF(OR($B129="",$C129&lt;&gt;"Ativo",$D129&lt;&gt;'Calc_Mix'!$C$20,'Calc_Mix'!$X$20=0,COUNTIFS(Esc_Turno,'Calc_Mix'!$C$20,Esc_Circ,$B129)+COUNTIFS(Esc_Turno,'Calc_Mix'!$C$20,Esc_Instr,$B129)&gt;0),"",IF(SUMPRODUCT('Calc_Mix'!$D$20:$W$20,'Matriz_Habilidades'!$D129:$W129)=0,"",SUMPRODUCT('Calc_Mix'!$D$20:$W$20,'Matriz_Habilidades'!$D129:$W129)/'Calc_Mix'!$X$20+ROW()*0.000001))</f>
        <v/>
      </c>
      <c r="X129" s="34">
        <f>IF(OR($B129="",$C129&lt;&gt;"Ativo",$D129&lt;&gt;'Calc_Mix'!$C$21,'Calc_Mix'!$X$21=0,COUNTIFS(Esc_Turno,'Calc_Mix'!$C$21,Esc_Circ,$B129)+COUNTIFS(Esc_Turno,'Calc_Mix'!$C$21,Esc_Instr,$B129)&gt;0),"",IF(SUMPRODUCT('Calc_Mix'!$D$21:$W$21,'Matriz_Habilidades'!$D129:$W129)=0,"",SUMPRODUCT('Calc_Mix'!$D$21:$W$21,'Matriz_Habilidades'!$D129:$W129)/'Calc_Mix'!$X$21+ROW()*0.000001))</f>
        <v/>
      </c>
      <c r="Y129" s="34">
        <f>IF(OR($B129="",$C129&lt;&gt;"Ativo",$D129&lt;&gt;'Calc_Mix'!$C$22,'Calc_Mix'!$X$22=0,COUNTIFS(Esc_Turno,'Calc_Mix'!$C$22,Esc_Circ,$B129)+COUNTIFS(Esc_Turno,'Calc_Mix'!$C$22,Esc_Instr,$B129)&gt;0),"",IF(SUMPRODUCT('Calc_Mix'!$D$22:$W$22,'Matriz_Habilidades'!$D129:$W129)=0,"",SUMPRODUCT('Calc_Mix'!$D$22:$W$22,'Matriz_Habilidades'!$D129:$W129)/'Calc_Mix'!$X$22+ROW()*0.000001))</f>
        <v/>
      </c>
      <c r="Z129" s="34">
        <f>IF(OR($B129="",$C129&lt;&gt;"Ativo",$D129&lt;&gt;'Calc_Mix'!$C$23,'Calc_Mix'!$X$23=0,COUNTIFS(Esc_Turno,'Calc_Mix'!$C$23,Esc_Circ,$B129)+COUNTIFS(Esc_Turno,'Calc_Mix'!$C$23,Esc_Instr,$B129)&gt;0),"",IF(SUMPRODUCT('Calc_Mix'!$D$23:$W$23,'Matriz_Habilidades'!$D129:$W129)=0,"",SUMPRODUCT('Calc_Mix'!$D$23:$W$23,'Matriz_Habilidades'!$D129:$W129)/'Calc_Mix'!$X$23+ROW()*0.000001))</f>
        <v/>
      </c>
      <c r="AA129" s="34">
        <f>IF(OR($B129="",$C129&lt;&gt;"Ativo",$D129&lt;&gt;'Calc_Mix'!$C$24,'Calc_Mix'!$X$24=0,COUNTIFS(Esc_Turno,'Calc_Mix'!$C$24,Esc_Circ,$B129)+COUNTIFS(Esc_Turno,'Calc_Mix'!$C$24,Esc_Instr,$B129)&gt;0),"",IF(SUMPRODUCT('Calc_Mix'!$D$24:$W$24,'Matriz_Habilidades'!$D129:$W129)=0,"",SUMPRODUCT('Calc_Mix'!$D$24:$W$24,'Matriz_Habilidades'!$D129:$W129)/'Calc_Mix'!$X$24+ROW()*0.000001))</f>
        <v/>
      </c>
      <c r="AB129" s="34">
        <f>IF(OR($B129="",$C129&lt;&gt;"Ativo",$D129&lt;&gt;'Calc_Mix'!$C$25,'Calc_Mix'!$X$25=0,COUNTIFS(Esc_Turno,'Calc_Mix'!$C$25,Esc_Circ,$B129)+COUNTIFS(Esc_Turno,'Calc_Mix'!$C$25,Esc_Instr,$B129)&gt;0),"",IF(SUMPRODUCT('Calc_Mix'!$D$25:$W$25,'Matriz_Habilidades'!$D129:$W129)=0,"",SUMPRODUCT('Calc_Mix'!$D$25:$W$25,'Matriz_Habilidades'!$D129:$W129)/'Calc_Mix'!$X$25+ROW()*0.000001))</f>
        <v/>
      </c>
      <c r="AC129" s="34">
        <f>IF(OR($B129="",$C129&lt;&gt;"Ativo",$D129&lt;&gt;'Calc_Mix'!$C$26,'Calc_Mix'!$X$26=0,COUNTIFS(Esc_Turno,'Calc_Mix'!$C$26,Esc_Circ,$B129)+COUNTIFS(Esc_Turno,'Calc_Mix'!$C$26,Esc_Instr,$B129)&gt;0),"",IF(SUMPRODUCT('Calc_Mix'!$D$26:$W$26,'Matriz_Habilidades'!$D129:$W129)=0,"",SUMPRODUCT('Calc_Mix'!$D$26:$W$26,'Matriz_Habilidades'!$D129:$W129)/'Calc_Mix'!$X$26+ROW()*0.000001))</f>
        <v/>
      </c>
      <c r="AD129" s="34">
        <f>IF(OR($B129="",$C129&lt;&gt;"Ativo",$D129&lt;&gt;'Calc_Mix'!$C$27,'Calc_Mix'!$X$27=0,COUNTIFS(Esc_Turno,'Calc_Mix'!$C$27,Esc_Circ,$B129)+COUNTIFS(Esc_Turno,'Calc_Mix'!$C$27,Esc_Instr,$B129)&gt;0),"",IF(SUMPRODUCT('Calc_Mix'!$D$27:$W$27,'Matriz_Habilidades'!$D129:$W129)=0,"",SUMPRODUCT('Calc_Mix'!$D$27:$W$27,'Matriz_Habilidades'!$D129:$W129)/'Calc_Mix'!$X$27+ROW()*0.000001))</f>
        <v/>
      </c>
      <c r="AE129" s="34">
        <f>IF(OR($B129="",$C129&lt;&gt;"Ativo",$D129&lt;&gt;'Calc_Mix'!$C$28,'Calc_Mix'!$X$28=0,COUNTIFS(Esc_Turno,'Calc_Mix'!$C$28,Esc_Circ,$B129)+COUNTIFS(Esc_Turno,'Calc_Mix'!$C$28,Esc_Instr,$B129)&gt;0),"",IF(SUMPRODUCT('Calc_Mix'!$D$28:$W$28,'Matriz_Habilidades'!$D129:$W129)=0,"",SUMPRODUCT('Calc_Mix'!$D$28:$W$28,'Matriz_Habilidades'!$D129:$W129)/'Calc_Mix'!$X$28+ROW()*0.000001))</f>
        <v/>
      </c>
      <c r="AF129" s="34">
        <f>IF(OR($B129="",$C129&lt;&gt;"Ativo",$D129&lt;&gt;'Calc_Mix'!$C$29,'Calc_Mix'!$X$29=0,COUNTIFS(Esc_Turno,'Calc_Mix'!$C$29,Esc_Circ,$B129)+COUNTIFS(Esc_Turno,'Calc_Mix'!$C$29,Esc_Instr,$B129)&gt;0),"",IF(SUMPRODUCT('Calc_Mix'!$D$29:$W$29,'Matriz_Habilidades'!$D129:$W129)=0,"",SUMPRODUCT('Calc_Mix'!$D$29:$W$29,'Matriz_Habilidades'!$D129:$W129)/'Calc_Mix'!$X$29+ROW()*0.000001))</f>
        <v/>
      </c>
      <c r="AG129" s="34">
        <f>IF(OR($B129="",$C129&lt;&gt;"Ativo",$D129&lt;&gt;'Calc_Mix'!$C$30,'Calc_Mix'!$X$30=0,COUNTIFS(Esc_Turno,'Calc_Mix'!$C$30,Esc_Circ,$B129)+COUNTIFS(Esc_Turno,'Calc_Mix'!$C$30,Esc_Instr,$B129)&gt;0),"",IF(SUMPRODUCT('Calc_Mix'!$D$30:$W$30,'Matriz_Habilidades'!$D129:$W129)=0,"",SUMPRODUCT('Calc_Mix'!$D$30:$W$30,'Matriz_Habilidades'!$D129:$W129)/'Calc_Mix'!$X$30+ROW()*0.000001))</f>
        <v/>
      </c>
      <c r="AH129" s="34">
        <f>IF(OR($B129="",$C129&lt;&gt;"Ativo",$D129&lt;&gt;'Calc_Mix'!$C$31,'Calc_Mix'!$X$31=0,COUNTIFS(Esc_Turno,'Calc_Mix'!$C$31,Esc_Circ,$B129)+COUNTIFS(Esc_Turno,'Calc_Mix'!$C$31,Esc_Instr,$B129)&gt;0),"",IF(SUMPRODUCT('Calc_Mix'!$D$31:$W$31,'Matriz_Habilidades'!$D129:$W129)=0,"",SUMPRODUCT('Calc_Mix'!$D$31:$W$31,'Matriz_Habilidades'!$D129:$W129)/'Calc_Mix'!$X$31+ROW()*0.000001))</f>
        <v/>
      </c>
      <c r="AI129" s="34">
        <f>IF(OR($B129="",$C129&lt;&gt;"Ativo",$D129&lt;&gt;'Calc_Mix'!$C$32,'Calc_Mix'!$X$32=0,COUNTIFS(Esc_Turno,'Calc_Mix'!$C$32,Esc_Circ,$B129)+COUNTIFS(Esc_Turno,'Calc_Mix'!$C$32,Esc_Instr,$B129)&gt;0),"",IF(SUMPRODUCT('Calc_Mix'!$D$32:$W$32,'Matriz_Habilidades'!$D129:$W129)=0,"",SUMPRODUCT('Calc_Mix'!$D$32:$W$32,'Matriz_Habilidades'!$D129:$W129)/'Calc_Mix'!$X$32+ROW()*0.000001))</f>
        <v/>
      </c>
      <c r="AJ129" s="34">
        <f>IF(OR($B129="",$C129&lt;&gt;"Ativo",$D129&lt;&gt;'Calc_Mix'!$C$33,'Calc_Mix'!$X$33=0,COUNTIFS(Esc_Turno,'Calc_Mix'!$C$33,Esc_Circ,$B129)+COUNTIFS(Esc_Turno,'Calc_Mix'!$C$33,Esc_Instr,$B129)&gt;0),"",IF(SUMPRODUCT('Calc_Mix'!$D$33:$W$33,'Matriz_Habilidades'!$D129:$W129)=0,"",SUMPRODUCT('Calc_Mix'!$D$33:$W$33,'Matriz_Habilidades'!$D129:$W129)/'Calc_Mix'!$X$33+ROW()*0.000001))</f>
        <v/>
      </c>
      <c r="AK129" s="34">
        <f>IF(OR($B129="",$C129&lt;&gt;"Ativo",$D129&lt;&gt;'Calc_Mix'!$C$34,'Calc_Mix'!$X$34=0,COUNTIFS(Esc_Turno,'Calc_Mix'!$C$34,Esc_Circ,$B129)+COUNTIFS(Esc_Turno,'Calc_Mix'!$C$34,Esc_Instr,$B129)&gt;0),"",IF(SUMPRODUCT('Calc_Mix'!$D$34:$W$34,'Matriz_Habilidades'!$D129:$W129)=0,"",SUMPRODUCT('Calc_Mix'!$D$34:$W$34,'Matriz_Habilidades'!$D129:$W129)/'Calc_Mix'!$X$34+ROW()*0.000001))</f>
        <v/>
      </c>
      <c r="AL129" s="34">
        <f>IF(OR($B129="",$C129&lt;&gt;"Ativo",$D129&lt;&gt;'Calc_Mix'!$C$35,'Calc_Mix'!$X$35=0,COUNTIFS(Esc_Turno,'Calc_Mix'!$C$35,Esc_Circ,$B129)+COUNTIFS(Esc_Turno,'Calc_Mix'!$C$35,Esc_Instr,$B129)&gt;0),"",IF(SUMPRODUCT('Calc_Mix'!$D$35:$W$35,'Matriz_Habilidades'!$D129:$W129)=0,"",SUMPRODUCT('Calc_Mix'!$D$35:$W$35,'Matriz_Habilidades'!$D129:$W129)/'Calc_Mix'!$X$35+ROW()*0.000001))</f>
        <v/>
      </c>
      <c r="AM129" s="34">
        <f>IF(OR($B129="",$C129&lt;&gt;"Ativo",$D129&lt;&gt;'Calc_Mix'!$C$36,'Calc_Mix'!$X$36=0,COUNTIFS(Esc_Turno,'Calc_Mix'!$C$36,Esc_Circ,$B129)+COUNTIFS(Esc_Turno,'Calc_Mix'!$C$36,Esc_Instr,$B129)&gt;0),"",IF(SUMPRODUCT('Calc_Mix'!$D$36:$W$36,'Matriz_Habilidades'!$D129:$W129)=0,"",SUMPRODUCT('Calc_Mix'!$D$36:$W$36,'Matriz_Habilidades'!$D129:$W129)/'Calc_Mix'!$X$36+ROW()*0.000001))</f>
        <v/>
      </c>
      <c r="AN129" s="34">
        <f>IF(OR($B129="",$C129&lt;&gt;"Ativo",$D129&lt;&gt;'Calc_Mix'!$C$37,'Calc_Mix'!$X$37=0,COUNTIFS(Esc_Turno,'Calc_Mix'!$C$37,Esc_Circ,$B129)+COUNTIFS(Esc_Turno,'Calc_Mix'!$C$37,Esc_Instr,$B129)&gt;0),"",IF(SUMPRODUCT('Calc_Mix'!$D$37:$W$37,'Matriz_Habilidades'!$D129:$W129)=0,"",SUMPRODUCT('Calc_Mix'!$D$37:$W$37,'Matriz_Habilidades'!$D129:$W129)/'Calc_Mix'!$X$37+ROW()*0.000001))</f>
        <v/>
      </c>
    </row>
    <row r="130">
      <c r="A130" s="27">
        <f>IF('Matriz_Habilidades'!A130="","",'Matriz_Habilidades'!A130)</f>
        <v/>
      </c>
      <c r="B130" s="28">
        <f>IF('Matriz_Habilidades'!B130="","",'Matriz_Habilidades'!B130)</f>
        <v/>
      </c>
      <c r="C130" s="27">
        <f>IF($A130="","",IFERROR(INDEX(Equipe_Status,MATCH($B130,Equipe_Nome,0)),"?"))</f>
        <v/>
      </c>
      <c r="D130" s="27">
        <f>IF($A130="","",IFERROR(INDEX(Equipe_Turno,MATCH($B130,Equipe_Nome,0)),"?"))</f>
        <v/>
      </c>
      <c r="E130" s="34">
        <f>IF(OR($B130="",$C130&lt;&gt;"Ativo",$D130&lt;&gt;'Calc_Mix'!$C$2,'Calc_Mix'!$X$2=0,COUNTIFS(Esc_Turno,'Calc_Mix'!$C$2,Esc_Circ,$B130)+COUNTIFS(Esc_Turno,'Calc_Mix'!$C$2,Esc_Instr,$B130)&gt;0),"",IF(SUMPRODUCT('Calc_Mix'!$D$2:$W$2,'Matriz_Habilidades'!$D130:$W130)=0,"",SUMPRODUCT('Calc_Mix'!$D$2:$W$2,'Matriz_Habilidades'!$D130:$W130)/'Calc_Mix'!$X$2+ROW()*0.000001))</f>
        <v/>
      </c>
      <c r="F130" s="34">
        <f>IF(OR($B130="",$C130&lt;&gt;"Ativo",$D130&lt;&gt;'Calc_Mix'!$C$3,'Calc_Mix'!$X$3=0,COUNTIFS(Esc_Turno,'Calc_Mix'!$C$3,Esc_Circ,$B130)+COUNTIFS(Esc_Turno,'Calc_Mix'!$C$3,Esc_Instr,$B130)&gt;0),"",IF(SUMPRODUCT('Calc_Mix'!$D$3:$W$3,'Matriz_Habilidades'!$D130:$W130)=0,"",SUMPRODUCT('Calc_Mix'!$D$3:$W$3,'Matriz_Habilidades'!$D130:$W130)/'Calc_Mix'!$X$3+ROW()*0.000001))</f>
        <v/>
      </c>
      <c r="G130" s="34">
        <f>IF(OR($B130="",$C130&lt;&gt;"Ativo",$D130&lt;&gt;'Calc_Mix'!$C$4,'Calc_Mix'!$X$4=0,COUNTIFS(Esc_Turno,'Calc_Mix'!$C$4,Esc_Circ,$B130)+COUNTIFS(Esc_Turno,'Calc_Mix'!$C$4,Esc_Instr,$B130)&gt;0),"",IF(SUMPRODUCT('Calc_Mix'!$D$4:$W$4,'Matriz_Habilidades'!$D130:$W130)=0,"",SUMPRODUCT('Calc_Mix'!$D$4:$W$4,'Matriz_Habilidades'!$D130:$W130)/'Calc_Mix'!$X$4+ROW()*0.000001))</f>
        <v/>
      </c>
      <c r="H130" s="34">
        <f>IF(OR($B130="",$C130&lt;&gt;"Ativo",$D130&lt;&gt;'Calc_Mix'!$C$5,'Calc_Mix'!$X$5=0,COUNTIFS(Esc_Turno,'Calc_Mix'!$C$5,Esc_Circ,$B130)+COUNTIFS(Esc_Turno,'Calc_Mix'!$C$5,Esc_Instr,$B130)&gt;0),"",IF(SUMPRODUCT('Calc_Mix'!$D$5:$W$5,'Matriz_Habilidades'!$D130:$W130)=0,"",SUMPRODUCT('Calc_Mix'!$D$5:$W$5,'Matriz_Habilidades'!$D130:$W130)/'Calc_Mix'!$X$5+ROW()*0.000001))</f>
        <v/>
      </c>
      <c r="I130" s="34">
        <f>IF(OR($B130="",$C130&lt;&gt;"Ativo",$D130&lt;&gt;'Calc_Mix'!$C$6,'Calc_Mix'!$X$6=0,COUNTIFS(Esc_Turno,'Calc_Mix'!$C$6,Esc_Circ,$B130)+COUNTIFS(Esc_Turno,'Calc_Mix'!$C$6,Esc_Instr,$B130)&gt;0),"",IF(SUMPRODUCT('Calc_Mix'!$D$6:$W$6,'Matriz_Habilidades'!$D130:$W130)=0,"",SUMPRODUCT('Calc_Mix'!$D$6:$W$6,'Matriz_Habilidades'!$D130:$W130)/'Calc_Mix'!$X$6+ROW()*0.000001))</f>
        <v/>
      </c>
      <c r="J130" s="34">
        <f>IF(OR($B130="",$C130&lt;&gt;"Ativo",$D130&lt;&gt;'Calc_Mix'!$C$7,'Calc_Mix'!$X$7=0,COUNTIFS(Esc_Turno,'Calc_Mix'!$C$7,Esc_Circ,$B130)+COUNTIFS(Esc_Turno,'Calc_Mix'!$C$7,Esc_Instr,$B130)&gt;0),"",IF(SUMPRODUCT('Calc_Mix'!$D$7:$W$7,'Matriz_Habilidades'!$D130:$W130)=0,"",SUMPRODUCT('Calc_Mix'!$D$7:$W$7,'Matriz_Habilidades'!$D130:$W130)/'Calc_Mix'!$X$7+ROW()*0.000001))</f>
        <v/>
      </c>
      <c r="K130" s="34">
        <f>IF(OR($B130="",$C130&lt;&gt;"Ativo",$D130&lt;&gt;'Calc_Mix'!$C$8,'Calc_Mix'!$X$8=0,COUNTIFS(Esc_Turno,'Calc_Mix'!$C$8,Esc_Circ,$B130)+COUNTIFS(Esc_Turno,'Calc_Mix'!$C$8,Esc_Instr,$B130)&gt;0),"",IF(SUMPRODUCT('Calc_Mix'!$D$8:$W$8,'Matriz_Habilidades'!$D130:$W130)=0,"",SUMPRODUCT('Calc_Mix'!$D$8:$W$8,'Matriz_Habilidades'!$D130:$W130)/'Calc_Mix'!$X$8+ROW()*0.000001))</f>
        <v/>
      </c>
      <c r="L130" s="34">
        <f>IF(OR($B130="",$C130&lt;&gt;"Ativo",$D130&lt;&gt;'Calc_Mix'!$C$9,'Calc_Mix'!$X$9=0,COUNTIFS(Esc_Turno,'Calc_Mix'!$C$9,Esc_Circ,$B130)+COUNTIFS(Esc_Turno,'Calc_Mix'!$C$9,Esc_Instr,$B130)&gt;0),"",IF(SUMPRODUCT('Calc_Mix'!$D$9:$W$9,'Matriz_Habilidades'!$D130:$W130)=0,"",SUMPRODUCT('Calc_Mix'!$D$9:$W$9,'Matriz_Habilidades'!$D130:$W130)/'Calc_Mix'!$X$9+ROW()*0.000001))</f>
        <v/>
      </c>
      <c r="M130" s="34">
        <f>IF(OR($B130="",$C130&lt;&gt;"Ativo",$D130&lt;&gt;'Calc_Mix'!$C$10,'Calc_Mix'!$X$10=0,COUNTIFS(Esc_Turno,'Calc_Mix'!$C$10,Esc_Circ,$B130)+COUNTIFS(Esc_Turno,'Calc_Mix'!$C$10,Esc_Instr,$B130)&gt;0),"",IF(SUMPRODUCT('Calc_Mix'!$D$10:$W$10,'Matriz_Habilidades'!$D130:$W130)=0,"",SUMPRODUCT('Calc_Mix'!$D$10:$W$10,'Matriz_Habilidades'!$D130:$W130)/'Calc_Mix'!$X$10+ROW()*0.000001))</f>
        <v/>
      </c>
      <c r="N130" s="34">
        <f>IF(OR($B130="",$C130&lt;&gt;"Ativo",$D130&lt;&gt;'Calc_Mix'!$C$11,'Calc_Mix'!$X$11=0,COUNTIFS(Esc_Turno,'Calc_Mix'!$C$11,Esc_Circ,$B130)+COUNTIFS(Esc_Turno,'Calc_Mix'!$C$11,Esc_Instr,$B130)&gt;0),"",IF(SUMPRODUCT('Calc_Mix'!$D$11:$W$11,'Matriz_Habilidades'!$D130:$W130)=0,"",SUMPRODUCT('Calc_Mix'!$D$11:$W$11,'Matriz_Habilidades'!$D130:$W130)/'Calc_Mix'!$X$11+ROW()*0.000001))</f>
        <v/>
      </c>
      <c r="O130" s="34">
        <f>IF(OR($B130="",$C130&lt;&gt;"Ativo",$D130&lt;&gt;'Calc_Mix'!$C$12,'Calc_Mix'!$X$12=0,COUNTIFS(Esc_Turno,'Calc_Mix'!$C$12,Esc_Circ,$B130)+COUNTIFS(Esc_Turno,'Calc_Mix'!$C$12,Esc_Instr,$B130)&gt;0),"",IF(SUMPRODUCT('Calc_Mix'!$D$12:$W$12,'Matriz_Habilidades'!$D130:$W130)=0,"",SUMPRODUCT('Calc_Mix'!$D$12:$W$12,'Matriz_Habilidades'!$D130:$W130)/'Calc_Mix'!$X$12+ROW()*0.000001))</f>
        <v/>
      </c>
      <c r="P130" s="34">
        <f>IF(OR($B130="",$C130&lt;&gt;"Ativo",$D130&lt;&gt;'Calc_Mix'!$C$13,'Calc_Mix'!$X$13=0,COUNTIFS(Esc_Turno,'Calc_Mix'!$C$13,Esc_Circ,$B130)+COUNTIFS(Esc_Turno,'Calc_Mix'!$C$13,Esc_Instr,$B130)&gt;0),"",IF(SUMPRODUCT('Calc_Mix'!$D$13:$W$13,'Matriz_Habilidades'!$D130:$W130)=0,"",SUMPRODUCT('Calc_Mix'!$D$13:$W$13,'Matriz_Habilidades'!$D130:$W130)/'Calc_Mix'!$X$13+ROW()*0.000001))</f>
        <v/>
      </c>
      <c r="Q130" s="34">
        <f>IF(OR($B130="",$C130&lt;&gt;"Ativo",$D130&lt;&gt;'Calc_Mix'!$C$14,'Calc_Mix'!$X$14=0,COUNTIFS(Esc_Turno,'Calc_Mix'!$C$14,Esc_Circ,$B130)+COUNTIFS(Esc_Turno,'Calc_Mix'!$C$14,Esc_Instr,$B130)&gt;0),"",IF(SUMPRODUCT('Calc_Mix'!$D$14:$W$14,'Matriz_Habilidades'!$D130:$W130)=0,"",SUMPRODUCT('Calc_Mix'!$D$14:$W$14,'Matriz_Habilidades'!$D130:$W130)/'Calc_Mix'!$X$14+ROW()*0.000001))</f>
        <v/>
      </c>
      <c r="R130" s="34">
        <f>IF(OR($B130="",$C130&lt;&gt;"Ativo",$D130&lt;&gt;'Calc_Mix'!$C$15,'Calc_Mix'!$X$15=0,COUNTIFS(Esc_Turno,'Calc_Mix'!$C$15,Esc_Circ,$B130)+COUNTIFS(Esc_Turno,'Calc_Mix'!$C$15,Esc_Instr,$B130)&gt;0),"",IF(SUMPRODUCT('Calc_Mix'!$D$15:$W$15,'Matriz_Habilidades'!$D130:$W130)=0,"",SUMPRODUCT('Calc_Mix'!$D$15:$W$15,'Matriz_Habilidades'!$D130:$W130)/'Calc_Mix'!$X$15+ROW()*0.000001))</f>
        <v/>
      </c>
      <c r="S130" s="34">
        <f>IF(OR($B130="",$C130&lt;&gt;"Ativo",$D130&lt;&gt;'Calc_Mix'!$C$16,'Calc_Mix'!$X$16=0,COUNTIFS(Esc_Turno,'Calc_Mix'!$C$16,Esc_Circ,$B130)+COUNTIFS(Esc_Turno,'Calc_Mix'!$C$16,Esc_Instr,$B130)&gt;0),"",IF(SUMPRODUCT('Calc_Mix'!$D$16:$W$16,'Matriz_Habilidades'!$D130:$W130)=0,"",SUMPRODUCT('Calc_Mix'!$D$16:$W$16,'Matriz_Habilidades'!$D130:$W130)/'Calc_Mix'!$X$16+ROW()*0.000001))</f>
        <v/>
      </c>
      <c r="T130" s="34">
        <f>IF(OR($B130="",$C130&lt;&gt;"Ativo",$D130&lt;&gt;'Calc_Mix'!$C$17,'Calc_Mix'!$X$17=0,COUNTIFS(Esc_Turno,'Calc_Mix'!$C$17,Esc_Circ,$B130)+COUNTIFS(Esc_Turno,'Calc_Mix'!$C$17,Esc_Instr,$B130)&gt;0),"",IF(SUMPRODUCT('Calc_Mix'!$D$17:$W$17,'Matriz_Habilidades'!$D130:$W130)=0,"",SUMPRODUCT('Calc_Mix'!$D$17:$W$17,'Matriz_Habilidades'!$D130:$W130)/'Calc_Mix'!$X$17+ROW()*0.000001))</f>
        <v/>
      </c>
      <c r="U130" s="34">
        <f>IF(OR($B130="",$C130&lt;&gt;"Ativo",$D130&lt;&gt;'Calc_Mix'!$C$18,'Calc_Mix'!$X$18=0,COUNTIFS(Esc_Turno,'Calc_Mix'!$C$18,Esc_Circ,$B130)+COUNTIFS(Esc_Turno,'Calc_Mix'!$C$18,Esc_Instr,$B130)&gt;0),"",IF(SUMPRODUCT('Calc_Mix'!$D$18:$W$18,'Matriz_Habilidades'!$D130:$W130)=0,"",SUMPRODUCT('Calc_Mix'!$D$18:$W$18,'Matriz_Habilidades'!$D130:$W130)/'Calc_Mix'!$X$18+ROW()*0.000001))</f>
        <v/>
      </c>
      <c r="V130" s="34">
        <f>IF(OR($B130="",$C130&lt;&gt;"Ativo",$D130&lt;&gt;'Calc_Mix'!$C$19,'Calc_Mix'!$X$19=0,COUNTIFS(Esc_Turno,'Calc_Mix'!$C$19,Esc_Circ,$B130)+COUNTIFS(Esc_Turno,'Calc_Mix'!$C$19,Esc_Instr,$B130)&gt;0),"",IF(SUMPRODUCT('Calc_Mix'!$D$19:$W$19,'Matriz_Habilidades'!$D130:$W130)=0,"",SUMPRODUCT('Calc_Mix'!$D$19:$W$19,'Matriz_Habilidades'!$D130:$W130)/'Calc_Mix'!$X$19+ROW()*0.000001))</f>
        <v/>
      </c>
      <c r="W130" s="34">
        <f>IF(OR($B130="",$C130&lt;&gt;"Ativo",$D130&lt;&gt;'Calc_Mix'!$C$20,'Calc_Mix'!$X$20=0,COUNTIFS(Esc_Turno,'Calc_Mix'!$C$20,Esc_Circ,$B130)+COUNTIFS(Esc_Turno,'Calc_Mix'!$C$20,Esc_Instr,$B130)&gt;0),"",IF(SUMPRODUCT('Calc_Mix'!$D$20:$W$20,'Matriz_Habilidades'!$D130:$W130)=0,"",SUMPRODUCT('Calc_Mix'!$D$20:$W$20,'Matriz_Habilidades'!$D130:$W130)/'Calc_Mix'!$X$20+ROW()*0.000001))</f>
        <v/>
      </c>
      <c r="X130" s="34">
        <f>IF(OR($B130="",$C130&lt;&gt;"Ativo",$D130&lt;&gt;'Calc_Mix'!$C$21,'Calc_Mix'!$X$21=0,COUNTIFS(Esc_Turno,'Calc_Mix'!$C$21,Esc_Circ,$B130)+COUNTIFS(Esc_Turno,'Calc_Mix'!$C$21,Esc_Instr,$B130)&gt;0),"",IF(SUMPRODUCT('Calc_Mix'!$D$21:$W$21,'Matriz_Habilidades'!$D130:$W130)=0,"",SUMPRODUCT('Calc_Mix'!$D$21:$W$21,'Matriz_Habilidades'!$D130:$W130)/'Calc_Mix'!$X$21+ROW()*0.000001))</f>
        <v/>
      </c>
      <c r="Y130" s="34">
        <f>IF(OR($B130="",$C130&lt;&gt;"Ativo",$D130&lt;&gt;'Calc_Mix'!$C$22,'Calc_Mix'!$X$22=0,COUNTIFS(Esc_Turno,'Calc_Mix'!$C$22,Esc_Circ,$B130)+COUNTIFS(Esc_Turno,'Calc_Mix'!$C$22,Esc_Instr,$B130)&gt;0),"",IF(SUMPRODUCT('Calc_Mix'!$D$22:$W$22,'Matriz_Habilidades'!$D130:$W130)=0,"",SUMPRODUCT('Calc_Mix'!$D$22:$W$22,'Matriz_Habilidades'!$D130:$W130)/'Calc_Mix'!$X$22+ROW()*0.000001))</f>
        <v/>
      </c>
      <c r="Z130" s="34">
        <f>IF(OR($B130="",$C130&lt;&gt;"Ativo",$D130&lt;&gt;'Calc_Mix'!$C$23,'Calc_Mix'!$X$23=0,COUNTIFS(Esc_Turno,'Calc_Mix'!$C$23,Esc_Circ,$B130)+COUNTIFS(Esc_Turno,'Calc_Mix'!$C$23,Esc_Instr,$B130)&gt;0),"",IF(SUMPRODUCT('Calc_Mix'!$D$23:$W$23,'Matriz_Habilidades'!$D130:$W130)=0,"",SUMPRODUCT('Calc_Mix'!$D$23:$W$23,'Matriz_Habilidades'!$D130:$W130)/'Calc_Mix'!$X$23+ROW()*0.000001))</f>
        <v/>
      </c>
      <c r="AA130" s="34">
        <f>IF(OR($B130="",$C130&lt;&gt;"Ativo",$D130&lt;&gt;'Calc_Mix'!$C$24,'Calc_Mix'!$X$24=0,COUNTIFS(Esc_Turno,'Calc_Mix'!$C$24,Esc_Circ,$B130)+COUNTIFS(Esc_Turno,'Calc_Mix'!$C$24,Esc_Instr,$B130)&gt;0),"",IF(SUMPRODUCT('Calc_Mix'!$D$24:$W$24,'Matriz_Habilidades'!$D130:$W130)=0,"",SUMPRODUCT('Calc_Mix'!$D$24:$W$24,'Matriz_Habilidades'!$D130:$W130)/'Calc_Mix'!$X$24+ROW()*0.000001))</f>
        <v/>
      </c>
      <c r="AB130" s="34">
        <f>IF(OR($B130="",$C130&lt;&gt;"Ativo",$D130&lt;&gt;'Calc_Mix'!$C$25,'Calc_Mix'!$X$25=0,COUNTIFS(Esc_Turno,'Calc_Mix'!$C$25,Esc_Circ,$B130)+COUNTIFS(Esc_Turno,'Calc_Mix'!$C$25,Esc_Instr,$B130)&gt;0),"",IF(SUMPRODUCT('Calc_Mix'!$D$25:$W$25,'Matriz_Habilidades'!$D130:$W130)=0,"",SUMPRODUCT('Calc_Mix'!$D$25:$W$25,'Matriz_Habilidades'!$D130:$W130)/'Calc_Mix'!$X$25+ROW()*0.000001))</f>
        <v/>
      </c>
      <c r="AC130" s="34">
        <f>IF(OR($B130="",$C130&lt;&gt;"Ativo",$D130&lt;&gt;'Calc_Mix'!$C$26,'Calc_Mix'!$X$26=0,COUNTIFS(Esc_Turno,'Calc_Mix'!$C$26,Esc_Circ,$B130)+COUNTIFS(Esc_Turno,'Calc_Mix'!$C$26,Esc_Instr,$B130)&gt;0),"",IF(SUMPRODUCT('Calc_Mix'!$D$26:$W$26,'Matriz_Habilidades'!$D130:$W130)=0,"",SUMPRODUCT('Calc_Mix'!$D$26:$W$26,'Matriz_Habilidades'!$D130:$W130)/'Calc_Mix'!$X$26+ROW()*0.000001))</f>
        <v/>
      </c>
      <c r="AD130" s="34">
        <f>IF(OR($B130="",$C130&lt;&gt;"Ativo",$D130&lt;&gt;'Calc_Mix'!$C$27,'Calc_Mix'!$X$27=0,COUNTIFS(Esc_Turno,'Calc_Mix'!$C$27,Esc_Circ,$B130)+COUNTIFS(Esc_Turno,'Calc_Mix'!$C$27,Esc_Instr,$B130)&gt;0),"",IF(SUMPRODUCT('Calc_Mix'!$D$27:$W$27,'Matriz_Habilidades'!$D130:$W130)=0,"",SUMPRODUCT('Calc_Mix'!$D$27:$W$27,'Matriz_Habilidades'!$D130:$W130)/'Calc_Mix'!$X$27+ROW()*0.000001))</f>
        <v/>
      </c>
      <c r="AE130" s="34">
        <f>IF(OR($B130="",$C130&lt;&gt;"Ativo",$D130&lt;&gt;'Calc_Mix'!$C$28,'Calc_Mix'!$X$28=0,COUNTIFS(Esc_Turno,'Calc_Mix'!$C$28,Esc_Circ,$B130)+COUNTIFS(Esc_Turno,'Calc_Mix'!$C$28,Esc_Instr,$B130)&gt;0),"",IF(SUMPRODUCT('Calc_Mix'!$D$28:$W$28,'Matriz_Habilidades'!$D130:$W130)=0,"",SUMPRODUCT('Calc_Mix'!$D$28:$W$28,'Matriz_Habilidades'!$D130:$W130)/'Calc_Mix'!$X$28+ROW()*0.000001))</f>
        <v/>
      </c>
      <c r="AF130" s="34">
        <f>IF(OR($B130="",$C130&lt;&gt;"Ativo",$D130&lt;&gt;'Calc_Mix'!$C$29,'Calc_Mix'!$X$29=0,COUNTIFS(Esc_Turno,'Calc_Mix'!$C$29,Esc_Circ,$B130)+COUNTIFS(Esc_Turno,'Calc_Mix'!$C$29,Esc_Instr,$B130)&gt;0),"",IF(SUMPRODUCT('Calc_Mix'!$D$29:$W$29,'Matriz_Habilidades'!$D130:$W130)=0,"",SUMPRODUCT('Calc_Mix'!$D$29:$W$29,'Matriz_Habilidades'!$D130:$W130)/'Calc_Mix'!$X$29+ROW()*0.000001))</f>
        <v/>
      </c>
      <c r="AG130" s="34">
        <f>IF(OR($B130="",$C130&lt;&gt;"Ativo",$D130&lt;&gt;'Calc_Mix'!$C$30,'Calc_Mix'!$X$30=0,COUNTIFS(Esc_Turno,'Calc_Mix'!$C$30,Esc_Circ,$B130)+COUNTIFS(Esc_Turno,'Calc_Mix'!$C$30,Esc_Instr,$B130)&gt;0),"",IF(SUMPRODUCT('Calc_Mix'!$D$30:$W$30,'Matriz_Habilidades'!$D130:$W130)=0,"",SUMPRODUCT('Calc_Mix'!$D$30:$W$30,'Matriz_Habilidades'!$D130:$W130)/'Calc_Mix'!$X$30+ROW()*0.000001))</f>
        <v/>
      </c>
      <c r="AH130" s="34">
        <f>IF(OR($B130="",$C130&lt;&gt;"Ativo",$D130&lt;&gt;'Calc_Mix'!$C$31,'Calc_Mix'!$X$31=0,COUNTIFS(Esc_Turno,'Calc_Mix'!$C$31,Esc_Circ,$B130)+COUNTIFS(Esc_Turno,'Calc_Mix'!$C$31,Esc_Instr,$B130)&gt;0),"",IF(SUMPRODUCT('Calc_Mix'!$D$31:$W$31,'Matriz_Habilidades'!$D130:$W130)=0,"",SUMPRODUCT('Calc_Mix'!$D$31:$W$31,'Matriz_Habilidades'!$D130:$W130)/'Calc_Mix'!$X$31+ROW()*0.000001))</f>
        <v/>
      </c>
      <c r="AI130" s="34">
        <f>IF(OR($B130="",$C130&lt;&gt;"Ativo",$D130&lt;&gt;'Calc_Mix'!$C$32,'Calc_Mix'!$X$32=0,COUNTIFS(Esc_Turno,'Calc_Mix'!$C$32,Esc_Circ,$B130)+COUNTIFS(Esc_Turno,'Calc_Mix'!$C$32,Esc_Instr,$B130)&gt;0),"",IF(SUMPRODUCT('Calc_Mix'!$D$32:$W$32,'Matriz_Habilidades'!$D130:$W130)=0,"",SUMPRODUCT('Calc_Mix'!$D$32:$W$32,'Matriz_Habilidades'!$D130:$W130)/'Calc_Mix'!$X$32+ROW()*0.000001))</f>
        <v/>
      </c>
      <c r="AJ130" s="34">
        <f>IF(OR($B130="",$C130&lt;&gt;"Ativo",$D130&lt;&gt;'Calc_Mix'!$C$33,'Calc_Mix'!$X$33=0,COUNTIFS(Esc_Turno,'Calc_Mix'!$C$33,Esc_Circ,$B130)+COUNTIFS(Esc_Turno,'Calc_Mix'!$C$33,Esc_Instr,$B130)&gt;0),"",IF(SUMPRODUCT('Calc_Mix'!$D$33:$W$33,'Matriz_Habilidades'!$D130:$W130)=0,"",SUMPRODUCT('Calc_Mix'!$D$33:$W$33,'Matriz_Habilidades'!$D130:$W130)/'Calc_Mix'!$X$33+ROW()*0.000001))</f>
        <v/>
      </c>
      <c r="AK130" s="34">
        <f>IF(OR($B130="",$C130&lt;&gt;"Ativo",$D130&lt;&gt;'Calc_Mix'!$C$34,'Calc_Mix'!$X$34=0,COUNTIFS(Esc_Turno,'Calc_Mix'!$C$34,Esc_Circ,$B130)+COUNTIFS(Esc_Turno,'Calc_Mix'!$C$34,Esc_Instr,$B130)&gt;0),"",IF(SUMPRODUCT('Calc_Mix'!$D$34:$W$34,'Matriz_Habilidades'!$D130:$W130)=0,"",SUMPRODUCT('Calc_Mix'!$D$34:$W$34,'Matriz_Habilidades'!$D130:$W130)/'Calc_Mix'!$X$34+ROW()*0.000001))</f>
        <v/>
      </c>
      <c r="AL130" s="34">
        <f>IF(OR($B130="",$C130&lt;&gt;"Ativo",$D130&lt;&gt;'Calc_Mix'!$C$35,'Calc_Mix'!$X$35=0,COUNTIFS(Esc_Turno,'Calc_Mix'!$C$35,Esc_Circ,$B130)+COUNTIFS(Esc_Turno,'Calc_Mix'!$C$35,Esc_Instr,$B130)&gt;0),"",IF(SUMPRODUCT('Calc_Mix'!$D$35:$W$35,'Matriz_Habilidades'!$D130:$W130)=0,"",SUMPRODUCT('Calc_Mix'!$D$35:$W$35,'Matriz_Habilidades'!$D130:$W130)/'Calc_Mix'!$X$35+ROW()*0.000001))</f>
        <v/>
      </c>
      <c r="AM130" s="34">
        <f>IF(OR($B130="",$C130&lt;&gt;"Ativo",$D130&lt;&gt;'Calc_Mix'!$C$36,'Calc_Mix'!$X$36=0,COUNTIFS(Esc_Turno,'Calc_Mix'!$C$36,Esc_Circ,$B130)+COUNTIFS(Esc_Turno,'Calc_Mix'!$C$36,Esc_Instr,$B130)&gt;0),"",IF(SUMPRODUCT('Calc_Mix'!$D$36:$W$36,'Matriz_Habilidades'!$D130:$W130)=0,"",SUMPRODUCT('Calc_Mix'!$D$36:$W$36,'Matriz_Habilidades'!$D130:$W130)/'Calc_Mix'!$X$36+ROW()*0.000001))</f>
        <v/>
      </c>
      <c r="AN130" s="34">
        <f>IF(OR($B130="",$C130&lt;&gt;"Ativo",$D130&lt;&gt;'Calc_Mix'!$C$37,'Calc_Mix'!$X$37=0,COUNTIFS(Esc_Turno,'Calc_Mix'!$C$37,Esc_Circ,$B130)+COUNTIFS(Esc_Turno,'Calc_Mix'!$C$37,Esc_Instr,$B130)&gt;0),"",IF(SUMPRODUCT('Calc_Mix'!$D$37:$W$37,'Matriz_Habilidades'!$D130:$W130)=0,"",SUMPRODUCT('Calc_Mix'!$D$37:$W$37,'Matriz_Habilidades'!$D130:$W130)/'Calc_Mix'!$X$37+ROW()*0.000001))</f>
        <v/>
      </c>
    </row>
    <row r="131">
      <c r="A131" s="27">
        <f>IF('Matriz_Habilidades'!A131="","",'Matriz_Habilidades'!A131)</f>
        <v/>
      </c>
      <c r="B131" s="28">
        <f>IF('Matriz_Habilidades'!B131="","",'Matriz_Habilidades'!B131)</f>
        <v/>
      </c>
      <c r="C131" s="27">
        <f>IF($A131="","",IFERROR(INDEX(Equipe_Status,MATCH($B131,Equipe_Nome,0)),"?"))</f>
        <v/>
      </c>
      <c r="D131" s="27">
        <f>IF($A131="","",IFERROR(INDEX(Equipe_Turno,MATCH($B131,Equipe_Nome,0)),"?"))</f>
        <v/>
      </c>
      <c r="E131" s="34">
        <f>IF(OR($B131="",$C131&lt;&gt;"Ativo",$D131&lt;&gt;'Calc_Mix'!$C$2,'Calc_Mix'!$X$2=0,COUNTIFS(Esc_Turno,'Calc_Mix'!$C$2,Esc_Circ,$B131)+COUNTIFS(Esc_Turno,'Calc_Mix'!$C$2,Esc_Instr,$B131)&gt;0),"",IF(SUMPRODUCT('Calc_Mix'!$D$2:$W$2,'Matriz_Habilidades'!$D131:$W131)=0,"",SUMPRODUCT('Calc_Mix'!$D$2:$W$2,'Matriz_Habilidades'!$D131:$W131)/'Calc_Mix'!$X$2+ROW()*0.000001))</f>
        <v/>
      </c>
      <c r="F131" s="34">
        <f>IF(OR($B131="",$C131&lt;&gt;"Ativo",$D131&lt;&gt;'Calc_Mix'!$C$3,'Calc_Mix'!$X$3=0,COUNTIFS(Esc_Turno,'Calc_Mix'!$C$3,Esc_Circ,$B131)+COUNTIFS(Esc_Turno,'Calc_Mix'!$C$3,Esc_Instr,$B131)&gt;0),"",IF(SUMPRODUCT('Calc_Mix'!$D$3:$W$3,'Matriz_Habilidades'!$D131:$W131)=0,"",SUMPRODUCT('Calc_Mix'!$D$3:$W$3,'Matriz_Habilidades'!$D131:$W131)/'Calc_Mix'!$X$3+ROW()*0.000001))</f>
        <v/>
      </c>
      <c r="G131" s="34">
        <f>IF(OR($B131="",$C131&lt;&gt;"Ativo",$D131&lt;&gt;'Calc_Mix'!$C$4,'Calc_Mix'!$X$4=0,COUNTIFS(Esc_Turno,'Calc_Mix'!$C$4,Esc_Circ,$B131)+COUNTIFS(Esc_Turno,'Calc_Mix'!$C$4,Esc_Instr,$B131)&gt;0),"",IF(SUMPRODUCT('Calc_Mix'!$D$4:$W$4,'Matriz_Habilidades'!$D131:$W131)=0,"",SUMPRODUCT('Calc_Mix'!$D$4:$W$4,'Matriz_Habilidades'!$D131:$W131)/'Calc_Mix'!$X$4+ROW()*0.000001))</f>
        <v/>
      </c>
      <c r="H131" s="34">
        <f>IF(OR($B131="",$C131&lt;&gt;"Ativo",$D131&lt;&gt;'Calc_Mix'!$C$5,'Calc_Mix'!$X$5=0,COUNTIFS(Esc_Turno,'Calc_Mix'!$C$5,Esc_Circ,$B131)+COUNTIFS(Esc_Turno,'Calc_Mix'!$C$5,Esc_Instr,$B131)&gt;0),"",IF(SUMPRODUCT('Calc_Mix'!$D$5:$W$5,'Matriz_Habilidades'!$D131:$W131)=0,"",SUMPRODUCT('Calc_Mix'!$D$5:$W$5,'Matriz_Habilidades'!$D131:$W131)/'Calc_Mix'!$X$5+ROW()*0.000001))</f>
        <v/>
      </c>
      <c r="I131" s="34">
        <f>IF(OR($B131="",$C131&lt;&gt;"Ativo",$D131&lt;&gt;'Calc_Mix'!$C$6,'Calc_Mix'!$X$6=0,COUNTIFS(Esc_Turno,'Calc_Mix'!$C$6,Esc_Circ,$B131)+COUNTIFS(Esc_Turno,'Calc_Mix'!$C$6,Esc_Instr,$B131)&gt;0),"",IF(SUMPRODUCT('Calc_Mix'!$D$6:$W$6,'Matriz_Habilidades'!$D131:$W131)=0,"",SUMPRODUCT('Calc_Mix'!$D$6:$W$6,'Matriz_Habilidades'!$D131:$W131)/'Calc_Mix'!$X$6+ROW()*0.000001))</f>
        <v/>
      </c>
      <c r="J131" s="34">
        <f>IF(OR($B131="",$C131&lt;&gt;"Ativo",$D131&lt;&gt;'Calc_Mix'!$C$7,'Calc_Mix'!$X$7=0,COUNTIFS(Esc_Turno,'Calc_Mix'!$C$7,Esc_Circ,$B131)+COUNTIFS(Esc_Turno,'Calc_Mix'!$C$7,Esc_Instr,$B131)&gt;0),"",IF(SUMPRODUCT('Calc_Mix'!$D$7:$W$7,'Matriz_Habilidades'!$D131:$W131)=0,"",SUMPRODUCT('Calc_Mix'!$D$7:$W$7,'Matriz_Habilidades'!$D131:$W131)/'Calc_Mix'!$X$7+ROW()*0.000001))</f>
        <v/>
      </c>
      <c r="K131" s="34">
        <f>IF(OR($B131="",$C131&lt;&gt;"Ativo",$D131&lt;&gt;'Calc_Mix'!$C$8,'Calc_Mix'!$X$8=0,COUNTIFS(Esc_Turno,'Calc_Mix'!$C$8,Esc_Circ,$B131)+COUNTIFS(Esc_Turno,'Calc_Mix'!$C$8,Esc_Instr,$B131)&gt;0),"",IF(SUMPRODUCT('Calc_Mix'!$D$8:$W$8,'Matriz_Habilidades'!$D131:$W131)=0,"",SUMPRODUCT('Calc_Mix'!$D$8:$W$8,'Matriz_Habilidades'!$D131:$W131)/'Calc_Mix'!$X$8+ROW()*0.000001))</f>
        <v/>
      </c>
      <c r="L131" s="34">
        <f>IF(OR($B131="",$C131&lt;&gt;"Ativo",$D131&lt;&gt;'Calc_Mix'!$C$9,'Calc_Mix'!$X$9=0,COUNTIFS(Esc_Turno,'Calc_Mix'!$C$9,Esc_Circ,$B131)+COUNTIFS(Esc_Turno,'Calc_Mix'!$C$9,Esc_Instr,$B131)&gt;0),"",IF(SUMPRODUCT('Calc_Mix'!$D$9:$W$9,'Matriz_Habilidades'!$D131:$W131)=0,"",SUMPRODUCT('Calc_Mix'!$D$9:$W$9,'Matriz_Habilidades'!$D131:$W131)/'Calc_Mix'!$X$9+ROW()*0.000001))</f>
        <v/>
      </c>
      <c r="M131" s="34">
        <f>IF(OR($B131="",$C131&lt;&gt;"Ativo",$D131&lt;&gt;'Calc_Mix'!$C$10,'Calc_Mix'!$X$10=0,COUNTIFS(Esc_Turno,'Calc_Mix'!$C$10,Esc_Circ,$B131)+COUNTIFS(Esc_Turno,'Calc_Mix'!$C$10,Esc_Instr,$B131)&gt;0),"",IF(SUMPRODUCT('Calc_Mix'!$D$10:$W$10,'Matriz_Habilidades'!$D131:$W131)=0,"",SUMPRODUCT('Calc_Mix'!$D$10:$W$10,'Matriz_Habilidades'!$D131:$W131)/'Calc_Mix'!$X$10+ROW()*0.000001))</f>
        <v/>
      </c>
      <c r="N131" s="34">
        <f>IF(OR($B131="",$C131&lt;&gt;"Ativo",$D131&lt;&gt;'Calc_Mix'!$C$11,'Calc_Mix'!$X$11=0,COUNTIFS(Esc_Turno,'Calc_Mix'!$C$11,Esc_Circ,$B131)+COUNTIFS(Esc_Turno,'Calc_Mix'!$C$11,Esc_Instr,$B131)&gt;0),"",IF(SUMPRODUCT('Calc_Mix'!$D$11:$W$11,'Matriz_Habilidades'!$D131:$W131)=0,"",SUMPRODUCT('Calc_Mix'!$D$11:$W$11,'Matriz_Habilidades'!$D131:$W131)/'Calc_Mix'!$X$11+ROW()*0.000001))</f>
        <v/>
      </c>
      <c r="O131" s="34">
        <f>IF(OR($B131="",$C131&lt;&gt;"Ativo",$D131&lt;&gt;'Calc_Mix'!$C$12,'Calc_Mix'!$X$12=0,COUNTIFS(Esc_Turno,'Calc_Mix'!$C$12,Esc_Circ,$B131)+COUNTIFS(Esc_Turno,'Calc_Mix'!$C$12,Esc_Instr,$B131)&gt;0),"",IF(SUMPRODUCT('Calc_Mix'!$D$12:$W$12,'Matriz_Habilidades'!$D131:$W131)=0,"",SUMPRODUCT('Calc_Mix'!$D$12:$W$12,'Matriz_Habilidades'!$D131:$W131)/'Calc_Mix'!$X$12+ROW()*0.000001))</f>
        <v/>
      </c>
      <c r="P131" s="34">
        <f>IF(OR($B131="",$C131&lt;&gt;"Ativo",$D131&lt;&gt;'Calc_Mix'!$C$13,'Calc_Mix'!$X$13=0,COUNTIFS(Esc_Turno,'Calc_Mix'!$C$13,Esc_Circ,$B131)+COUNTIFS(Esc_Turno,'Calc_Mix'!$C$13,Esc_Instr,$B131)&gt;0),"",IF(SUMPRODUCT('Calc_Mix'!$D$13:$W$13,'Matriz_Habilidades'!$D131:$W131)=0,"",SUMPRODUCT('Calc_Mix'!$D$13:$W$13,'Matriz_Habilidades'!$D131:$W131)/'Calc_Mix'!$X$13+ROW()*0.000001))</f>
        <v/>
      </c>
      <c r="Q131" s="34">
        <f>IF(OR($B131="",$C131&lt;&gt;"Ativo",$D131&lt;&gt;'Calc_Mix'!$C$14,'Calc_Mix'!$X$14=0,COUNTIFS(Esc_Turno,'Calc_Mix'!$C$14,Esc_Circ,$B131)+COUNTIFS(Esc_Turno,'Calc_Mix'!$C$14,Esc_Instr,$B131)&gt;0),"",IF(SUMPRODUCT('Calc_Mix'!$D$14:$W$14,'Matriz_Habilidades'!$D131:$W131)=0,"",SUMPRODUCT('Calc_Mix'!$D$14:$W$14,'Matriz_Habilidades'!$D131:$W131)/'Calc_Mix'!$X$14+ROW()*0.000001))</f>
        <v/>
      </c>
      <c r="R131" s="34">
        <f>IF(OR($B131="",$C131&lt;&gt;"Ativo",$D131&lt;&gt;'Calc_Mix'!$C$15,'Calc_Mix'!$X$15=0,COUNTIFS(Esc_Turno,'Calc_Mix'!$C$15,Esc_Circ,$B131)+COUNTIFS(Esc_Turno,'Calc_Mix'!$C$15,Esc_Instr,$B131)&gt;0),"",IF(SUMPRODUCT('Calc_Mix'!$D$15:$W$15,'Matriz_Habilidades'!$D131:$W131)=0,"",SUMPRODUCT('Calc_Mix'!$D$15:$W$15,'Matriz_Habilidades'!$D131:$W131)/'Calc_Mix'!$X$15+ROW()*0.000001))</f>
        <v/>
      </c>
      <c r="S131" s="34">
        <f>IF(OR($B131="",$C131&lt;&gt;"Ativo",$D131&lt;&gt;'Calc_Mix'!$C$16,'Calc_Mix'!$X$16=0,COUNTIFS(Esc_Turno,'Calc_Mix'!$C$16,Esc_Circ,$B131)+COUNTIFS(Esc_Turno,'Calc_Mix'!$C$16,Esc_Instr,$B131)&gt;0),"",IF(SUMPRODUCT('Calc_Mix'!$D$16:$W$16,'Matriz_Habilidades'!$D131:$W131)=0,"",SUMPRODUCT('Calc_Mix'!$D$16:$W$16,'Matriz_Habilidades'!$D131:$W131)/'Calc_Mix'!$X$16+ROW()*0.000001))</f>
        <v/>
      </c>
      <c r="T131" s="34">
        <f>IF(OR($B131="",$C131&lt;&gt;"Ativo",$D131&lt;&gt;'Calc_Mix'!$C$17,'Calc_Mix'!$X$17=0,COUNTIFS(Esc_Turno,'Calc_Mix'!$C$17,Esc_Circ,$B131)+COUNTIFS(Esc_Turno,'Calc_Mix'!$C$17,Esc_Instr,$B131)&gt;0),"",IF(SUMPRODUCT('Calc_Mix'!$D$17:$W$17,'Matriz_Habilidades'!$D131:$W131)=0,"",SUMPRODUCT('Calc_Mix'!$D$17:$W$17,'Matriz_Habilidades'!$D131:$W131)/'Calc_Mix'!$X$17+ROW()*0.000001))</f>
        <v/>
      </c>
      <c r="U131" s="34">
        <f>IF(OR($B131="",$C131&lt;&gt;"Ativo",$D131&lt;&gt;'Calc_Mix'!$C$18,'Calc_Mix'!$X$18=0,COUNTIFS(Esc_Turno,'Calc_Mix'!$C$18,Esc_Circ,$B131)+COUNTIFS(Esc_Turno,'Calc_Mix'!$C$18,Esc_Instr,$B131)&gt;0),"",IF(SUMPRODUCT('Calc_Mix'!$D$18:$W$18,'Matriz_Habilidades'!$D131:$W131)=0,"",SUMPRODUCT('Calc_Mix'!$D$18:$W$18,'Matriz_Habilidades'!$D131:$W131)/'Calc_Mix'!$X$18+ROW()*0.000001))</f>
        <v/>
      </c>
      <c r="V131" s="34">
        <f>IF(OR($B131="",$C131&lt;&gt;"Ativo",$D131&lt;&gt;'Calc_Mix'!$C$19,'Calc_Mix'!$X$19=0,COUNTIFS(Esc_Turno,'Calc_Mix'!$C$19,Esc_Circ,$B131)+COUNTIFS(Esc_Turno,'Calc_Mix'!$C$19,Esc_Instr,$B131)&gt;0),"",IF(SUMPRODUCT('Calc_Mix'!$D$19:$W$19,'Matriz_Habilidades'!$D131:$W131)=0,"",SUMPRODUCT('Calc_Mix'!$D$19:$W$19,'Matriz_Habilidades'!$D131:$W131)/'Calc_Mix'!$X$19+ROW()*0.000001))</f>
        <v/>
      </c>
      <c r="W131" s="34">
        <f>IF(OR($B131="",$C131&lt;&gt;"Ativo",$D131&lt;&gt;'Calc_Mix'!$C$20,'Calc_Mix'!$X$20=0,COUNTIFS(Esc_Turno,'Calc_Mix'!$C$20,Esc_Circ,$B131)+COUNTIFS(Esc_Turno,'Calc_Mix'!$C$20,Esc_Instr,$B131)&gt;0),"",IF(SUMPRODUCT('Calc_Mix'!$D$20:$W$20,'Matriz_Habilidades'!$D131:$W131)=0,"",SUMPRODUCT('Calc_Mix'!$D$20:$W$20,'Matriz_Habilidades'!$D131:$W131)/'Calc_Mix'!$X$20+ROW()*0.000001))</f>
        <v/>
      </c>
      <c r="X131" s="34">
        <f>IF(OR($B131="",$C131&lt;&gt;"Ativo",$D131&lt;&gt;'Calc_Mix'!$C$21,'Calc_Mix'!$X$21=0,COUNTIFS(Esc_Turno,'Calc_Mix'!$C$21,Esc_Circ,$B131)+COUNTIFS(Esc_Turno,'Calc_Mix'!$C$21,Esc_Instr,$B131)&gt;0),"",IF(SUMPRODUCT('Calc_Mix'!$D$21:$W$21,'Matriz_Habilidades'!$D131:$W131)=0,"",SUMPRODUCT('Calc_Mix'!$D$21:$W$21,'Matriz_Habilidades'!$D131:$W131)/'Calc_Mix'!$X$21+ROW()*0.000001))</f>
        <v/>
      </c>
      <c r="Y131" s="34">
        <f>IF(OR($B131="",$C131&lt;&gt;"Ativo",$D131&lt;&gt;'Calc_Mix'!$C$22,'Calc_Mix'!$X$22=0,COUNTIFS(Esc_Turno,'Calc_Mix'!$C$22,Esc_Circ,$B131)+COUNTIFS(Esc_Turno,'Calc_Mix'!$C$22,Esc_Instr,$B131)&gt;0),"",IF(SUMPRODUCT('Calc_Mix'!$D$22:$W$22,'Matriz_Habilidades'!$D131:$W131)=0,"",SUMPRODUCT('Calc_Mix'!$D$22:$W$22,'Matriz_Habilidades'!$D131:$W131)/'Calc_Mix'!$X$22+ROW()*0.000001))</f>
        <v/>
      </c>
      <c r="Z131" s="34">
        <f>IF(OR($B131="",$C131&lt;&gt;"Ativo",$D131&lt;&gt;'Calc_Mix'!$C$23,'Calc_Mix'!$X$23=0,COUNTIFS(Esc_Turno,'Calc_Mix'!$C$23,Esc_Circ,$B131)+COUNTIFS(Esc_Turno,'Calc_Mix'!$C$23,Esc_Instr,$B131)&gt;0),"",IF(SUMPRODUCT('Calc_Mix'!$D$23:$W$23,'Matriz_Habilidades'!$D131:$W131)=0,"",SUMPRODUCT('Calc_Mix'!$D$23:$W$23,'Matriz_Habilidades'!$D131:$W131)/'Calc_Mix'!$X$23+ROW()*0.000001))</f>
        <v/>
      </c>
      <c r="AA131" s="34">
        <f>IF(OR($B131="",$C131&lt;&gt;"Ativo",$D131&lt;&gt;'Calc_Mix'!$C$24,'Calc_Mix'!$X$24=0,COUNTIFS(Esc_Turno,'Calc_Mix'!$C$24,Esc_Circ,$B131)+COUNTIFS(Esc_Turno,'Calc_Mix'!$C$24,Esc_Instr,$B131)&gt;0),"",IF(SUMPRODUCT('Calc_Mix'!$D$24:$W$24,'Matriz_Habilidades'!$D131:$W131)=0,"",SUMPRODUCT('Calc_Mix'!$D$24:$W$24,'Matriz_Habilidades'!$D131:$W131)/'Calc_Mix'!$X$24+ROW()*0.000001))</f>
        <v/>
      </c>
      <c r="AB131" s="34">
        <f>IF(OR($B131="",$C131&lt;&gt;"Ativo",$D131&lt;&gt;'Calc_Mix'!$C$25,'Calc_Mix'!$X$25=0,COUNTIFS(Esc_Turno,'Calc_Mix'!$C$25,Esc_Circ,$B131)+COUNTIFS(Esc_Turno,'Calc_Mix'!$C$25,Esc_Instr,$B131)&gt;0),"",IF(SUMPRODUCT('Calc_Mix'!$D$25:$W$25,'Matriz_Habilidades'!$D131:$W131)=0,"",SUMPRODUCT('Calc_Mix'!$D$25:$W$25,'Matriz_Habilidades'!$D131:$W131)/'Calc_Mix'!$X$25+ROW()*0.000001))</f>
        <v/>
      </c>
      <c r="AC131" s="34">
        <f>IF(OR($B131="",$C131&lt;&gt;"Ativo",$D131&lt;&gt;'Calc_Mix'!$C$26,'Calc_Mix'!$X$26=0,COUNTIFS(Esc_Turno,'Calc_Mix'!$C$26,Esc_Circ,$B131)+COUNTIFS(Esc_Turno,'Calc_Mix'!$C$26,Esc_Instr,$B131)&gt;0),"",IF(SUMPRODUCT('Calc_Mix'!$D$26:$W$26,'Matriz_Habilidades'!$D131:$W131)=0,"",SUMPRODUCT('Calc_Mix'!$D$26:$W$26,'Matriz_Habilidades'!$D131:$W131)/'Calc_Mix'!$X$26+ROW()*0.000001))</f>
        <v/>
      </c>
      <c r="AD131" s="34">
        <f>IF(OR($B131="",$C131&lt;&gt;"Ativo",$D131&lt;&gt;'Calc_Mix'!$C$27,'Calc_Mix'!$X$27=0,COUNTIFS(Esc_Turno,'Calc_Mix'!$C$27,Esc_Circ,$B131)+COUNTIFS(Esc_Turno,'Calc_Mix'!$C$27,Esc_Instr,$B131)&gt;0),"",IF(SUMPRODUCT('Calc_Mix'!$D$27:$W$27,'Matriz_Habilidades'!$D131:$W131)=0,"",SUMPRODUCT('Calc_Mix'!$D$27:$W$27,'Matriz_Habilidades'!$D131:$W131)/'Calc_Mix'!$X$27+ROW()*0.000001))</f>
        <v/>
      </c>
      <c r="AE131" s="34">
        <f>IF(OR($B131="",$C131&lt;&gt;"Ativo",$D131&lt;&gt;'Calc_Mix'!$C$28,'Calc_Mix'!$X$28=0,COUNTIFS(Esc_Turno,'Calc_Mix'!$C$28,Esc_Circ,$B131)+COUNTIFS(Esc_Turno,'Calc_Mix'!$C$28,Esc_Instr,$B131)&gt;0),"",IF(SUMPRODUCT('Calc_Mix'!$D$28:$W$28,'Matriz_Habilidades'!$D131:$W131)=0,"",SUMPRODUCT('Calc_Mix'!$D$28:$W$28,'Matriz_Habilidades'!$D131:$W131)/'Calc_Mix'!$X$28+ROW()*0.000001))</f>
        <v/>
      </c>
      <c r="AF131" s="34">
        <f>IF(OR($B131="",$C131&lt;&gt;"Ativo",$D131&lt;&gt;'Calc_Mix'!$C$29,'Calc_Mix'!$X$29=0,COUNTIFS(Esc_Turno,'Calc_Mix'!$C$29,Esc_Circ,$B131)+COUNTIFS(Esc_Turno,'Calc_Mix'!$C$29,Esc_Instr,$B131)&gt;0),"",IF(SUMPRODUCT('Calc_Mix'!$D$29:$W$29,'Matriz_Habilidades'!$D131:$W131)=0,"",SUMPRODUCT('Calc_Mix'!$D$29:$W$29,'Matriz_Habilidades'!$D131:$W131)/'Calc_Mix'!$X$29+ROW()*0.000001))</f>
        <v/>
      </c>
      <c r="AG131" s="34">
        <f>IF(OR($B131="",$C131&lt;&gt;"Ativo",$D131&lt;&gt;'Calc_Mix'!$C$30,'Calc_Mix'!$X$30=0,COUNTIFS(Esc_Turno,'Calc_Mix'!$C$30,Esc_Circ,$B131)+COUNTIFS(Esc_Turno,'Calc_Mix'!$C$30,Esc_Instr,$B131)&gt;0),"",IF(SUMPRODUCT('Calc_Mix'!$D$30:$W$30,'Matriz_Habilidades'!$D131:$W131)=0,"",SUMPRODUCT('Calc_Mix'!$D$30:$W$30,'Matriz_Habilidades'!$D131:$W131)/'Calc_Mix'!$X$30+ROW()*0.000001))</f>
        <v/>
      </c>
      <c r="AH131" s="34">
        <f>IF(OR($B131="",$C131&lt;&gt;"Ativo",$D131&lt;&gt;'Calc_Mix'!$C$31,'Calc_Mix'!$X$31=0,COUNTIFS(Esc_Turno,'Calc_Mix'!$C$31,Esc_Circ,$B131)+COUNTIFS(Esc_Turno,'Calc_Mix'!$C$31,Esc_Instr,$B131)&gt;0),"",IF(SUMPRODUCT('Calc_Mix'!$D$31:$W$31,'Matriz_Habilidades'!$D131:$W131)=0,"",SUMPRODUCT('Calc_Mix'!$D$31:$W$31,'Matriz_Habilidades'!$D131:$W131)/'Calc_Mix'!$X$31+ROW()*0.000001))</f>
        <v/>
      </c>
      <c r="AI131" s="34">
        <f>IF(OR($B131="",$C131&lt;&gt;"Ativo",$D131&lt;&gt;'Calc_Mix'!$C$32,'Calc_Mix'!$X$32=0,COUNTIFS(Esc_Turno,'Calc_Mix'!$C$32,Esc_Circ,$B131)+COUNTIFS(Esc_Turno,'Calc_Mix'!$C$32,Esc_Instr,$B131)&gt;0),"",IF(SUMPRODUCT('Calc_Mix'!$D$32:$W$32,'Matriz_Habilidades'!$D131:$W131)=0,"",SUMPRODUCT('Calc_Mix'!$D$32:$W$32,'Matriz_Habilidades'!$D131:$W131)/'Calc_Mix'!$X$32+ROW()*0.000001))</f>
        <v/>
      </c>
      <c r="AJ131" s="34">
        <f>IF(OR($B131="",$C131&lt;&gt;"Ativo",$D131&lt;&gt;'Calc_Mix'!$C$33,'Calc_Mix'!$X$33=0,COUNTIFS(Esc_Turno,'Calc_Mix'!$C$33,Esc_Circ,$B131)+COUNTIFS(Esc_Turno,'Calc_Mix'!$C$33,Esc_Instr,$B131)&gt;0),"",IF(SUMPRODUCT('Calc_Mix'!$D$33:$W$33,'Matriz_Habilidades'!$D131:$W131)=0,"",SUMPRODUCT('Calc_Mix'!$D$33:$W$33,'Matriz_Habilidades'!$D131:$W131)/'Calc_Mix'!$X$33+ROW()*0.000001))</f>
        <v/>
      </c>
      <c r="AK131" s="34">
        <f>IF(OR($B131="",$C131&lt;&gt;"Ativo",$D131&lt;&gt;'Calc_Mix'!$C$34,'Calc_Mix'!$X$34=0,COUNTIFS(Esc_Turno,'Calc_Mix'!$C$34,Esc_Circ,$B131)+COUNTIFS(Esc_Turno,'Calc_Mix'!$C$34,Esc_Instr,$B131)&gt;0),"",IF(SUMPRODUCT('Calc_Mix'!$D$34:$W$34,'Matriz_Habilidades'!$D131:$W131)=0,"",SUMPRODUCT('Calc_Mix'!$D$34:$W$34,'Matriz_Habilidades'!$D131:$W131)/'Calc_Mix'!$X$34+ROW()*0.000001))</f>
        <v/>
      </c>
      <c r="AL131" s="34">
        <f>IF(OR($B131="",$C131&lt;&gt;"Ativo",$D131&lt;&gt;'Calc_Mix'!$C$35,'Calc_Mix'!$X$35=0,COUNTIFS(Esc_Turno,'Calc_Mix'!$C$35,Esc_Circ,$B131)+COUNTIFS(Esc_Turno,'Calc_Mix'!$C$35,Esc_Instr,$B131)&gt;0),"",IF(SUMPRODUCT('Calc_Mix'!$D$35:$W$35,'Matriz_Habilidades'!$D131:$W131)=0,"",SUMPRODUCT('Calc_Mix'!$D$35:$W$35,'Matriz_Habilidades'!$D131:$W131)/'Calc_Mix'!$X$35+ROW()*0.000001))</f>
        <v/>
      </c>
      <c r="AM131" s="34">
        <f>IF(OR($B131="",$C131&lt;&gt;"Ativo",$D131&lt;&gt;'Calc_Mix'!$C$36,'Calc_Mix'!$X$36=0,COUNTIFS(Esc_Turno,'Calc_Mix'!$C$36,Esc_Circ,$B131)+COUNTIFS(Esc_Turno,'Calc_Mix'!$C$36,Esc_Instr,$B131)&gt;0),"",IF(SUMPRODUCT('Calc_Mix'!$D$36:$W$36,'Matriz_Habilidades'!$D131:$W131)=0,"",SUMPRODUCT('Calc_Mix'!$D$36:$W$36,'Matriz_Habilidades'!$D131:$W131)/'Calc_Mix'!$X$36+ROW()*0.000001))</f>
        <v/>
      </c>
      <c r="AN131" s="34">
        <f>IF(OR($B131="",$C131&lt;&gt;"Ativo",$D131&lt;&gt;'Calc_Mix'!$C$37,'Calc_Mix'!$X$37=0,COUNTIFS(Esc_Turno,'Calc_Mix'!$C$37,Esc_Circ,$B131)+COUNTIFS(Esc_Turno,'Calc_Mix'!$C$37,Esc_Instr,$B131)&gt;0),"",IF(SUMPRODUCT('Calc_Mix'!$D$37:$W$37,'Matriz_Habilidades'!$D131:$W131)=0,"",SUMPRODUCT('Calc_Mix'!$D$37:$W$37,'Matriz_Habilidades'!$D131:$W131)/'Calc_Mix'!$X$37+ROW()*0.000001))</f>
        <v/>
      </c>
    </row>
    <row r="132">
      <c r="A132" s="27">
        <f>IF('Matriz_Habilidades'!A132="","",'Matriz_Habilidades'!A132)</f>
        <v/>
      </c>
      <c r="B132" s="28">
        <f>IF('Matriz_Habilidades'!B132="","",'Matriz_Habilidades'!B132)</f>
        <v/>
      </c>
      <c r="C132" s="27">
        <f>IF($A132="","",IFERROR(INDEX(Equipe_Status,MATCH($B132,Equipe_Nome,0)),"?"))</f>
        <v/>
      </c>
      <c r="D132" s="27">
        <f>IF($A132="","",IFERROR(INDEX(Equipe_Turno,MATCH($B132,Equipe_Nome,0)),"?"))</f>
        <v/>
      </c>
      <c r="E132" s="34">
        <f>IF(OR($B132="",$C132&lt;&gt;"Ativo",$D132&lt;&gt;'Calc_Mix'!$C$2,'Calc_Mix'!$X$2=0,COUNTIFS(Esc_Turno,'Calc_Mix'!$C$2,Esc_Circ,$B132)+COUNTIFS(Esc_Turno,'Calc_Mix'!$C$2,Esc_Instr,$B132)&gt;0),"",IF(SUMPRODUCT('Calc_Mix'!$D$2:$W$2,'Matriz_Habilidades'!$D132:$W132)=0,"",SUMPRODUCT('Calc_Mix'!$D$2:$W$2,'Matriz_Habilidades'!$D132:$W132)/'Calc_Mix'!$X$2+ROW()*0.000001))</f>
        <v/>
      </c>
      <c r="F132" s="34">
        <f>IF(OR($B132="",$C132&lt;&gt;"Ativo",$D132&lt;&gt;'Calc_Mix'!$C$3,'Calc_Mix'!$X$3=0,COUNTIFS(Esc_Turno,'Calc_Mix'!$C$3,Esc_Circ,$B132)+COUNTIFS(Esc_Turno,'Calc_Mix'!$C$3,Esc_Instr,$B132)&gt;0),"",IF(SUMPRODUCT('Calc_Mix'!$D$3:$W$3,'Matriz_Habilidades'!$D132:$W132)=0,"",SUMPRODUCT('Calc_Mix'!$D$3:$W$3,'Matriz_Habilidades'!$D132:$W132)/'Calc_Mix'!$X$3+ROW()*0.000001))</f>
        <v/>
      </c>
      <c r="G132" s="34">
        <f>IF(OR($B132="",$C132&lt;&gt;"Ativo",$D132&lt;&gt;'Calc_Mix'!$C$4,'Calc_Mix'!$X$4=0,COUNTIFS(Esc_Turno,'Calc_Mix'!$C$4,Esc_Circ,$B132)+COUNTIFS(Esc_Turno,'Calc_Mix'!$C$4,Esc_Instr,$B132)&gt;0),"",IF(SUMPRODUCT('Calc_Mix'!$D$4:$W$4,'Matriz_Habilidades'!$D132:$W132)=0,"",SUMPRODUCT('Calc_Mix'!$D$4:$W$4,'Matriz_Habilidades'!$D132:$W132)/'Calc_Mix'!$X$4+ROW()*0.000001))</f>
        <v/>
      </c>
      <c r="H132" s="34">
        <f>IF(OR($B132="",$C132&lt;&gt;"Ativo",$D132&lt;&gt;'Calc_Mix'!$C$5,'Calc_Mix'!$X$5=0,COUNTIFS(Esc_Turno,'Calc_Mix'!$C$5,Esc_Circ,$B132)+COUNTIFS(Esc_Turno,'Calc_Mix'!$C$5,Esc_Instr,$B132)&gt;0),"",IF(SUMPRODUCT('Calc_Mix'!$D$5:$W$5,'Matriz_Habilidades'!$D132:$W132)=0,"",SUMPRODUCT('Calc_Mix'!$D$5:$W$5,'Matriz_Habilidades'!$D132:$W132)/'Calc_Mix'!$X$5+ROW()*0.000001))</f>
        <v/>
      </c>
      <c r="I132" s="34">
        <f>IF(OR($B132="",$C132&lt;&gt;"Ativo",$D132&lt;&gt;'Calc_Mix'!$C$6,'Calc_Mix'!$X$6=0,COUNTIFS(Esc_Turno,'Calc_Mix'!$C$6,Esc_Circ,$B132)+COUNTIFS(Esc_Turno,'Calc_Mix'!$C$6,Esc_Instr,$B132)&gt;0),"",IF(SUMPRODUCT('Calc_Mix'!$D$6:$W$6,'Matriz_Habilidades'!$D132:$W132)=0,"",SUMPRODUCT('Calc_Mix'!$D$6:$W$6,'Matriz_Habilidades'!$D132:$W132)/'Calc_Mix'!$X$6+ROW()*0.000001))</f>
        <v/>
      </c>
      <c r="J132" s="34">
        <f>IF(OR($B132="",$C132&lt;&gt;"Ativo",$D132&lt;&gt;'Calc_Mix'!$C$7,'Calc_Mix'!$X$7=0,COUNTIFS(Esc_Turno,'Calc_Mix'!$C$7,Esc_Circ,$B132)+COUNTIFS(Esc_Turno,'Calc_Mix'!$C$7,Esc_Instr,$B132)&gt;0),"",IF(SUMPRODUCT('Calc_Mix'!$D$7:$W$7,'Matriz_Habilidades'!$D132:$W132)=0,"",SUMPRODUCT('Calc_Mix'!$D$7:$W$7,'Matriz_Habilidades'!$D132:$W132)/'Calc_Mix'!$X$7+ROW()*0.000001))</f>
        <v/>
      </c>
      <c r="K132" s="34">
        <f>IF(OR($B132="",$C132&lt;&gt;"Ativo",$D132&lt;&gt;'Calc_Mix'!$C$8,'Calc_Mix'!$X$8=0,COUNTIFS(Esc_Turno,'Calc_Mix'!$C$8,Esc_Circ,$B132)+COUNTIFS(Esc_Turno,'Calc_Mix'!$C$8,Esc_Instr,$B132)&gt;0),"",IF(SUMPRODUCT('Calc_Mix'!$D$8:$W$8,'Matriz_Habilidades'!$D132:$W132)=0,"",SUMPRODUCT('Calc_Mix'!$D$8:$W$8,'Matriz_Habilidades'!$D132:$W132)/'Calc_Mix'!$X$8+ROW()*0.000001))</f>
        <v/>
      </c>
      <c r="L132" s="34">
        <f>IF(OR($B132="",$C132&lt;&gt;"Ativo",$D132&lt;&gt;'Calc_Mix'!$C$9,'Calc_Mix'!$X$9=0,COUNTIFS(Esc_Turno,'Calc_Mix'!$C$9,Esc_Circ,$B132)+COUNTIFS(Esc_Turno,'Calc_Mix'!$C$9,Esc_Instr,$B132)&gt;0),"",IF(SUMPRODUCT('Calc_Mix'!$D$9:$W$9,'Matriz_Habilidades'!$D132:$W132)=0,"",SUMPRODUCT('Calc_Mix'!$D$9:$W$9,'Matriz_Habilidades'!$D132:$W132)/'Calc_Mix'!$X$9+ROW()*0.000001))</f>
        <v/>
      </c>
      <c r="M132" s="34">
        <f>IF(OR($B132="",$C132&lt;&gt;"Ativo",$D132&lt;&gt;'Calc_Mix'!$C$10,'Calc_Mix'!$X$10=0,COUNTIFS(Esc_Turno,'Calc_Mix'!$C$10,Esc_Circ,$B132)+COUNTIFS(Esc_Turno,'Calc_Mix'!$C$10,Esc_Instr,$B132)&gt;0),"",IF(SUMPRODUCT('Calc_Mix'!$D$10:$W$10,'Matriz_Habilidades'!$D132:$W132)=0,"",SUMPRODUCT('Calc_Mix'!$D$10:$W$10,'Matriz_Habilidades'!$D132:$W132)/'Calc_Mix'!$X$10+ROW()*0.000001))</f>
        <v/>
      </c>
      <c r="N132" s="34">
        <f>IF(OR($B132="",$C132&lt;&gt;"Ativo",$D132&lt;&gt;'Calc_Mix'!$C$11,'Calc_Mix'!$X$11=0,COUNTIFS(Esc_Turno,'Calc_Mix'!$C$11,Esc_Circ,$B132)+COUNTIFS(Esc_Turno,'Calc_Mix'!$C$11,Esc_Instr,$B132)&gt;0),"",IF(SUMPRODUCT('Calc_Mix'!$D$11:$W$11,'Matriz_Habilidades'!$D132:$W132)=0,"",SUMPRODUCT('Calc_Mix'!$D$11:$W$11,'Matriz_Habilidades'!$D132:$W132)/'Calc_Mix'!$X$11+ROW()*0.000001))</f>
        <v/>
      </c>
      <c r="O132" s="34">
        <f>IF(OR($B132="",$C132&lt;&gt;"Ativo",$D132&lt;&gt;'Calc_Mix'!$C$12,'Calc_Mix'!$X$12=0,COUNTIFS(Esc_Turno,'Calc_Mix'!$C$12,Esc_Circ,$B132)+COUNTIFS(Esc_Turno,'Calc_Mix'!$C$12,Esc_Instr,$B132)&gt;0),"",IF(SUMPRODUCT('Calc_Mix'!$D$12:$W$12,'Matriz_Habilidades'!$D132:$W132)=0,"",SUMPRODUCT('Calc_Mix'!$D$12:$W$12,'Matriz_Habilidades'!$D132:$W132)/'Calc_Mix'!$X$12+ROW()*0.000001))</f>
        <v/>
      </c>
      <c r="P132" s="34">
        <f>IF(OR($B132="",$C132&lt;&gt;"Ativo",$D132&lt;&gt;'Calc_Mix'!$C$13,'Calc_Mix'!$X$13=0,COUNTIFS(Esc_Turno,'Calc_Mix'!$C$13,Esc_Circ,$B132)+COUNTIFS(Esc_Turno,'Calc_Mix'!$C$13,Esc_Instr,$B132)&gt;0),"",IF(SUMPRODUCT('Calc_Mix'!$D$13:$W$13,'Matriz_Habilidades'!$D132:$W132)=0,"",SUMPRODUCT('Calc_Mix'!$D$13:$W$13,'Matriz_Habilidades'!$D132:$W132)/'Calc_Mix'!$X$13+ROW()*0.000001))</f>
        <v/>
      </c>
      <c r="Q132" s="34">
        <f>IF(OR($B132="",$C132&lt;&gt;"Ativo",$D132&lt;&gt;'Calc_Mix'!$C$14,'Calc_Mix'!$X$14=0,COUNTIFS(Esc_Turno,'Calc_Mix'!$C$14,Esc_Circ,$B132)+COUNTIFS(Esc_Turno,'Calc_Mix'!$C$14,Esc_Instr,$B132)&gt;0),"",IF(SUMPRODUCT('Calc_Mix'!$D$14:$W$14,'Matriz_Habilidades'!$D132:$W132)=0,"",SUMPRODUCT('Calc_Mix'!$D$14:$W$14,'Matriz_Habilidades'!$D132:$W132)/'Calc_Mix'!$X$14+ROW()*0.000001))</f>
        <v/>
      </c>
      <c r="R132" s="34">
        <f>IF(OR($B132="",$C132&lt;&gt;"Ativo",$D132&lt;&gt;'Calc_Mix'!$C$15,'Calc_Mix'!$X$15=0,COUNTIFS(Esc_Turno,'Calc_Mix'!$C$15,Esc_Circ,$B132)+COUNTIFS(Esc_Turno,'Calc_Mix'!$C$15,Esc_Instr,$B132)&gt;0),"",IF(SUMPRODUCT('Calc_Mix'!$D$15:$W$15,'Matriz_Habilidades'!$D132:$W132)=0,"",SUMPRODUCT('Calc_Mix'!$D$15:$W$15,'Matriz_Habilidades'!$D132:$W132)/'Calc_Mix'!$X$15+ROW()*0.000001))</f>
        <v/>
      </c>
      <c r="S132" s="34">
        <f>IF(OR($B132="",$C132&lt;&gt;"Ativo",$D132&lt;&gt;'Calc_Mix'!$C$16,'Calc_Mix'!$X$16=0,COUNTIFS(Esc_Turno,'Calc_Mix'!$C$16,Esc_Circ,$B132)+COUNTIFS(Esc_Turno,'Calc_Mix'!$C$16,Esc_Instr,$B132)&gt;0),"",IF(SUMPRODUCT('Calc_Mix'!$D$16:$W$16,'Matriz_Habilidades'!$D132:$W132)=0,"",SUMPRODUCT('Calc_Mix'!$D$16:$W$16,'Matriz_Habilidades'!$D132:$W132)/'Calc_Mix'!$X$16+ROW()*0.000001))</f>
        <v/>
      </c>
      <c r="T132" s="34">
        <f>IF(OR($B132="",$C132&lt;&gt;"Ativo",$D132&lt;&gt;'Calc_Mix'!$C$17,'Calc_Mix'!$X$17=0,COUNTIFS(Esc_Turno,'Calc_Mix'!$C$17,Esc_Circ,$B132)+COUNTIFS(Esc_Turno,'Calc_Mix'!$C$17,Esc_Instr,$B132)&gt;0),"",IF(SUMPRODUCT('Calc_Mix'!$D$17:$W$17,'Matriz_Habilidades'!$D132:$W132)=0,"",SUMPRODUCT('Calc_Mix'!$D$17:$W$17,'Matriz_Habilidades'!$D132:$W132)/'Calc_Mix'!$X$17+ROW()*0.000001))</f>
        <v/>
      </c>
      <c r="U132" s="34">
        <f>IF(OR($B132="",$C132&lt;&gt;"Ativo",$D132&lt;&gt;'Calc_Mix'!$C$18,'Calc_Mix'!$X$18=0,COUNTIFS(Esc_Turno,'Calc_Mix'!$C$18,Esc_Circ,$B132)+COUNTIFS(Esc_Turno,'Calc_Mix'!$C$18,Esc_Instr,$B132)&gt;0),"",IF(SUMPRODUCT('Calc_Mix'!$D$18:$W$18,'Matriz_Habilidades'!$D132:$W132)=0,"",SUMPRODUCT('Calc_Mix'!$D$18:$W$18,'Matriz_Habilidades'!$D132:$W132)/'Calc_Mix'!$X$18+ROW()*0.000001))</f>
        <v/>
      </c>
      <c r="V132" s="34">
        <f>IF(OR($B132="",$C132&lt;&gt;"Ativo",$D132&lt;&gt;'Calc_Mix'!$C$19,'Calc_Mix'!$X$19=0,COUNTIFS(Esc_Turno,'Calc_Mix'!$C$19,Esc_Circ,$B132)+COUNTIFS(Esc_Turno,'Calc_Mix'!$C$19,Esc_Instr,$B132)&gt;0),"",IF(SUMPRODUCT('Calc_Mix'!$D$19:$W$19,'Matriz_Habilidades'!$D132:$W132)=0,"",SUMPRODUCT('Calc_Mix'!$D$19:$W$19,'Matriz_Habilidades'!$D132:$W132)/'Calc_Mix'!$X$19+ROW()*0.000001))</f>
        <v/>
      </c>
      <c r="W132" s="34">
        <f>IF(OR($B132="",$C132&lt;&gt;"Ativo",$D132&lt;&gt;'Calc_Mix'!$C$20,'Calc_Mix'!$X$20=0,COUNTIFS(Esc_Turno,'Calc_Mix'!$C$20,Esc_Circ,$B132)+COUNTIFS(Esc_Turno,'Calc_Mix'!$C$20,Esc_Instr,$B132)&gt;0),"",IF(SUMPRODUCT('Calc_Mix'!$D$20:$W$20,'Matriz_Habilidades'!$D132:$W132)=0,"",SUMPRODUCT('Calc_Mix'!$D$20:$W$20,'Matriz_Habilidades'!$D132:$W132)/'Calc_Mix'!$X$20+ROW()*0.000001))</f>
        <v/>
      </c>
      <c r="X132" s="34">
        <f>IF(OR($B132="",$C132&lt;&gt;"Ativo",$D132&lt;&gt;'Calc_Mix'!$C$21,'Calc_Mix'!$X$21=0,COUNTIFS(Esc_Turno,'Calc_Mix'!$C$21,Esc_Circ,$B132)+COUNTIFS(Esc_Turno,'Calc_Mix'!$C$21,Esc_Instr,$B132)&gt;0),"",IF(SUMPRODUCT('Calc_Mix'!$D$21:$W$21,'Matriz_Habilidades'!$D132:$W132)=0,"",SUMPRODUCT('Calc_Mix'!$D$21:$W$21,'Matriz_Habilidades'!$D132:$W132)/'Calc_Mix'!$X$21+ROW()*0.000001))</f>
        <v/>
      </c>
      <c r="Y132" s="34">
        <f>IF(OR($B132="",$C132&lt;&gt;"Ativo",$D132&lt;&gt;'Calc_Mix'!$C$22,'Calc_Mix'!$X$22=0,COUNTIFS(Esc_Turno,'Calc_Mix'!$C$22,Esc_Circ,$B132)+COUNTIFS(Esc_Turno,'Calc_Mix'!$C$22,Esc_Instr,$B132)&gt;0),"",IF(SUMPRODUCT('Calc_Mix'!$D$22:$W$22,'Matriz_Habilidades'!$D132:$W132)=0,"",SUMPRODUCT('Calc_Mix'!$D$22:$W$22,'Matriz_Habilidades'!$D132:$W132)/'Calc_Mix'!$X$22+ROW()*0.000001))</f>
        <v/>
      </c>
      <c r="Z132" s="34">
        <f>IF(OR($B132="",$C132&lt;&gt;"Ativo",$D132&lt;&gt;'Calc_Mix'!$C$23,'Calc_Mix'!$X$23=0,COUNTIFS(Esc_Turno,'Calc_Mix'!$C$23,Esc_Circ,$B132)+COUNTIFS(Esc_Turno,'Calc_Mix'!$C$23,Esc_Instr,$B132)&gt;0),"",IF(SUMPRODUCT('Calc_Mix'!$D$23:$W$23,'Matriz_Habilidades'!$D132:$W132)=0,"",SUMPRODUCT('Calc_Mix'!$D$23:$W$23,'Matriz_Habilidades'!$D132:$W132)/'Calc_Mix'!$X$23+ROW()*0.000001))</f>
        <v/>
      </c>
      <c r="AA132" s="34">
        <f>IF(OR($B132="",$C132&lt;&gt;"Ativo",$D132&lt;&gt;'Calc_Mix'!$C$24,'Calc_Mix'!$X$24=0,COUNTIFS(Esc_Turno,'Calc_Mix'!$C$24,Esc_Circ,$B132)+COUNTIFS(Esc_Turno,'Calc_Mix'!$C$24,Esc_Instr,$B132)&gt;0),"",IF(SUMPRODUCT('Calc_Mix'!$D$24:$W$24,'Matriz_Habilidades'!$D132:$W132)=0,"",SUMPRODUCT('Calc_Mix'!$D$24:$W$24,'Matriz_Habilidades'!$D132:$W132)/'Calc_Mix'!$X$24+ROW()*0.000001))</f>
        <v/>
      </c>
      <c r="AB132" s="34">
        <f>IF(OR($B132="",$C132&lt;&gt;"Ativo",$D132&lt;&gt;'Calc_Mix'!$C$25,'Calc_Mix'!$X$25=0,COUNTIFS(Esc_Turno,'Calc_Mix'!$C$25,Esc_Circ,$B132)+COUNTIFS(Esc_Turno,'Calc_Mix'!$C$25,Esc_Instr,$B132)&gt;0),"",IF(SUMPRODUCT('Calc_Mix'!$D$25:$W$25,'Matriz_Habilidades'!$D132:$W132)=0,"",SUMPRODUCT('Calc_Mix'!$D$25:$W$25,'Matriz_Habilidades'!$D132:$W132)/'Calc_Mix'!$X$25+ROW()*0.000001))</f>
        <v/>
      </c>
      <c r="AC132" s="34">
        <f>IF(OR($B132="",$C132&lt;&gt;"Ativo",$D132&lt;&gt;'Calc_Mix'!$C$26,'Calc_Mix'!$X$26=0,COUNTIFS(Esc_Turno,'Calc_Mix'!$C$26,Esc_Circ,$B132)+COUNTIFS(Esc_Turno,'Calc_Mix'!$C$26,Esc_Instr,$B132)&gt;0),"",IF(SUMPRODUCT('Calc_Mix'!$D$26:$W$26,'Matriz_Habilidades'!$D132:$W132)=0,"",SUMPRODUCT('Calc_Mix'!$D$26:$W$26,'Matriz_Habilidades'!$D132:$W132)/'Calc_Mix'!$X$26+ROW()*0.000001))</f>
        <v/>
      </c>
      <c r="AD132" s="34">
        <f>IF(OR($B132="",$C132&lt;&gt;"Ativo",$D132&lt;&gt;'Calc_Mix'!$C$27,'Calc_Mix'!$X$27=0,COUNTIFS(Esc_Turno,'Calc_Mix'!$C$27,Esc_Circ,$B132)+COUNTIFS(Esc_Turno,'Calc_Mix'!$C$27,Esc_Instr,$B132)&gt;0),"",IF(SUMPRODUCT('Calc_Mix'!$D$27:$W$27,'Matriz_Habilidades'!$D132:$W132)=0,"",SUMPRODUCT('Calc_Mix'!$D$27:$W$27,'Matriz_Habilidades'!$D132:$W132)/'Calc_Mix'!$X$27+ROW()*0.000001))</f>
        <v/>
      </c>
      <c r="AE132" s="34">
        <f>IF(OR($B132="",$C132&lt;&gt;"Ativo",$D132&lt;&gt;'Calc_Mix'!$C$28,'Calc_Mix'!$X$28=0,COUNTIFS(Esc_Turno,'Calc_Mix'!$C$28,Esc_Circ,$B132)+COUNTIFS(Esc_Turno,'Calc_Mix'!$C$28,Esc_Instr,$B132)&gt;0),"",IF(SUMPRODUCT('Calc_Mix'!$D$28:$W$28,'Matriz_Habilidades'!$D132:$W132)=0,"",SUMPRODUCT('Calc_Mix'!$D$28:$W$28,'Matriz_Habilidades'!$D132:$W132)/'Calc_Mix'!$X$28+ROW()*0.000001))</f>
        <v/>
      </c>
      <c r="AF132" s="34">
        <f>IF(OR($B132="",$C132&lt;&gt;"Ativo",$D132&lt;&gt;'Calc_Mix'!$C$29,'Calc_Mix'!$X$29=0,COUNTIFS(Esc_Turno,'Calc_Mix'!$C$29,Esc_Circ,$B132)+COUNTIFS(Esc_Turno,'Calc_Mix'!$C$29,Esc_Instr,$B132)&gt;0),"",IF(SUMPRODUCT('Calc_Mix'!$D$29:$W$29,'Matriz_Habilidades'!$D132:$W132)=0,"",SUMPRODUCT('Calc_Mix'!$D$29:$W$29,'Matriz_Habilidades'!$D132:$W132)/'Calc_Mix'!$X$29+ROW()*0.000001))</f>
        <v/>
      </c>
      <c r="AG132" s="34">
        <f>IF(OR($B132="",$C132&lt;&gt;"Ativo",$D132&lt;&gt;'Calc_Mix'!$C$30,'Calc_Mix'!$X$30=0,COUNTIFS(Esc_Turno,'Calc_Mix'!$C$30,Esc_Circ,$B132)+COUNTIFS(Esc_Turno,'Calc_Mix'!$C$30,Esc_Instr,$B132)&gt;0),"",IF(SUMPRODUCT('Calc_Mix'!$D$30:$W$30,'Matriz_Habilidades'!$D132:$W132)=0,"",SUMPRODUCT('Calc_Mix'!$D$30:$W$30,'Matriz_Habilidades'!$D132:$W132)/'Calc_Mix'!$X$30+ROW()*0.000001))</f>
        <v/>
      </c>
      <c r="AH132" s="34">
        <f>IF(OR($B132="",$C132&lt;&gt;"Ativo",$D132&lt;&gt;'Calc_Mix'!$C$31,'Calc_Mix'!$X$31=0,COUNTIFS(Esc_Turno,'Calc_Mix'!$C$31,Esc_Circ,$B132)+COUNTIFS(Esc_Turno,'Calc_Mix'!$C$31,Esc_Instr,$B132)&gt;0),"",IF(SUMPRODUCT('Calc_Mix'!$D$31:$W$31,'Matriz_Habilidades'!$D132:$W132)=0,"",SUMPRODUCT('Calc_Mix'!$D$31:$W$31,'Matriz_Habilidades'!$D132:$W132)/'Calc_Mix'!$X$31+ROW()*0.000001))</f>
        <v/>
      </c>
      <c r="AI132" s="34">
        <f>IF(OR($B132="",$C132&lt;&gt;"Ativo",$D132&lt;&gt;'Calc_Mix'!$C$32,'Calc_Mix'!$X$32=0,COUNTIFS(Esc_Turno,'Calc_Mix'!$C$32,Esc_Circ,$B132)+COUNTIFS(Esc_Turno,'Calc_Mix'!$C$32,Esc_Instr,$B132)&gt;0),"",IF(SUMPRODUCT('Calc_Mix'!$D$32:$W$32,'Matriz_Habilidades'!$D132:$W132)=0,"",SUMPRODUCT('Calc_Mix'!$D$32:$W$32,'Matriz_Habilidades'!$D132:$W132)/'Calc_Mix'!$X$32+ROW()*0.000001))</f>
        <v/>
      </c>
      <c r="AJ132" s="34">
        <f>IF(OR($B132="",$C132&lt;&gt;"Ativo",$D132&lt;&gt;'Calc_Mix'!$C$33,'Calc_Mix'!$X$33=0,COUNTIFS(Esc_Turno,'Calc_Mix'!$C$33,Esc_Circ,$B132)+COUNTIFS(Esc_Turno,'Calc_Mix'!$C$33,Esc_Instr,$B132)&gt;0),"",IF(SUMPRODUCT('Calc_Mix'!$D$33:$W$33,'Matriz_Habilidades'!$D132:$W132)=0,"",SUMPRODUCT('Calc_Mix'!$D$33:$W$33,'Matriz_Habilidades'!$D132:$W132)/'Calc_Mix'!$X$33+ROW()*0.000001))</f>
        <v/>
      </c>
      <c r="AK132" s="34">
        <f>IF(OR($B132="",$C132&lt;&gt;"Ativo",$D132&lt;&gt;'Calc_Mix'!$C$34,'Calc_Mix'!$X$34=0,COUNTIFS(Esc_Turno,'Calc_Mix'!$C$34,Esc_Circ,$B132)+COUNTIFS(Esc_Turno,'Calc_Mix'!$C$34,Esc_Instr,$B132)&gt;0),"",IF(SUMPRODUCT('Calc_Mix'!$D$34:$W$34,'Matriz_Habilidades'!$D132:$W132)=0,"",SUMPRODUCT('Calc_Mix'!$D$34:$W$34,'Matriz_Habilidades'!$D132:$W132)/'Calc_Mix'!$X$34+ROW()*0.000001))</f>
        <v/>
      </c>
      <c r="AL132" s="34">
        <f>IF(OR($B132="",$C132&lt;&gt;"Ativo",$D132&lt;&gt;'Calc_Mix'!$C$35,'Calc_Mix'!$X$35=0,COUNTIFS(Esc_Turno,'Calc_Mix'!$C$35,Esc_Circ,$B132)+COUNTIFS(Esc_Turno,'Calc_Mix'!$C$35,Esc_Instr,$B132)&gt;0),"",IF(SUMPRODUCT('Calc_Mix'!$D$35:$W$35,'Matriz_Habilidades'!$D132:$W132)=0,"",SUMPRODUCT('Calc_Mix'!$D$35:$W$35,'Matriz_Habilidades'!$D132:$W132)/'Calc_Mix'!$X$35+ROW()*0.000001))</f>
        <v/>
      </c>
      <c r="AM132" s="34">
        <f>IF(OR($B132="",$C132&lt;&gt;"Ativo",$D132&lt;&gt;'Calc_Mix'!$C$36,'Calc_Mix'!$X$36=0,COUNTIFS(Esc_Turno,'Calc_Mix'!$C$36,Esc_Circ,$B132)+COUNTIFS(Esc_Turno,'Calc_Mix'!$C$36,Esc_Instr,$B132)&gt;0),"",IF(SUMPRODUCT('Calc_Mix'!$D$36:$W$36,'Matriz_Habilidades'!$D132:$W132)=0,"",SUMPRODUCT('Calc_Mix'!$D$36:$W$36,'Matriz_Habilidades'!$D132:$W132)/'Calc_Mix'!$X$36+ROW()*0.000001))</f>
        <v/>
      </c>
      <c r="AN132" s="34">
        <f>IF(OR($B132="",$C132&lt;&gt;"Ativo",$D132&lt;&gt;'Calc_Mix'!$C$37,'Calc_Mix'!$X$37=0,COUNTIFS(Esc_Turno,'Calc_Mix'!$C$37,Esc_Circ,$B132)+COUNTIFS(Esc_Turno,'Calc_Mix'!$C$37,Esc_Instr,$B132)&gt;0),"",IF(SUMPRODUCT('Calc_Mix'!$D$37:$W$37,'Matriz_Habilidades'!$D132:$W132)=0,"",SUMPRODUCT('Calc_Mix'!$D$37:$W$37,'Matriz_Habilidades'!$D132:$W132)/'Calc_Mix'!$X$37+ROW()*0.000001))</f>
        <v/>
      </c>
    </row>
    <row r="133">
      <c r="A133" s="27">
        <f>IF('Matriz_Habilidades'!A133="","",'Matriz_Habilidades'!A133)</f>
        <v/>
      </c>
      <c r="B133" s="28">
        <f>IF('Matriz_Habilidades'!B133="","",'Matriz_Habilidades'!B133)</f>
        <v/>
      </c>
      <c r="C133" s="27">
        <f>IF($A133="","",IFERROR(INDEX(Equipe_Status,MATCH($B133,Equipe_Nome,0)),"?"))</f>
        <v/>
      </c>
      <c r="D133" s="27">
        <f>IF($A133="","",IFERROR(INDEX(Equipe_Turno,MATCH($B133,Equipe_Nome,0)),"?"))</f>
        <v/>
      </c>
      <c r="E133" s="34">
        <f>IF(OR($B133="",$C133&lt;&gt;"Ativo",$D133&lt;&gt;'Calc_Mix'!$C$2,'Calc_Mix'!$X$2=0,COUNTIFS(Esc_Turno,'Calc_Mix'!$C$2,Esc_Circ,$B133)+COUNTIFS(Esc_Turno,'Calc_Mix'!$C$2,Esc_Instr,$B133)&gt;0),"",IF(SUMPRODUCT('Calc_Mix'!$D$2:$W$2,'Matriz_Habilidades'!$D133:$W133)=0,"",SUMPRODUCT('Calc_Mix'!$D$2:$W$2,'Matriz_Habilidades'!$D133:$W133)/'Calc_Mix'!$X$2+ROW()*0.000001))</f>
        <v/>
      </c>
      <c r="F133" s="34">
        <f>IF(OR($B133="",$C133&lt;&gt;"Ativo",$D133&lt;&gt;'Calc_Mix'!$C$3,'Calc_Mix'!$X$3=0,COUNTIFS(Esc_Turno,'Calc_Mix'!$C$3,Esc_Circ,$B133)+COUNTIFS(Esc_Turno,'Calc_Mix'!$C$3,Esc_Instr,$B133)&gt;0),"",IF(SUMPRODUCT('Calc_Mix'!$D$3:$W$3,'Matriz_Habilidades'!$D133:$W133)=0,"",SUMPRODUCT('Calc_Mix'!$D$3:$W$3,'Matriz_Habilidades'!$D133:$W133)/'Calc_Mix'!$X$3+ROW()*0.000001))</f>
        <v/>
      </c>
      <c r="G133" s="34">
        <f>IF(OR($B133="",$C133&lt;&gt;"Ativo",$D133&lt;&gt;'Calc_Mix'!$C$4,'Calc_Mix'!$X$4=0,COUNTIFS(Esc_Turno,'Calc_Mix'!$C$4,Esc_Circ,$B133)+COUNTIFS(Esc_Turno,'Calc_Mix'!$C$4,Esc_Instr,$B133)&gt;0),"",IF(SUMPRODUCT('Calc_Mix'!$D$4:$W$4,'Matriz_Habilidades'!$D133:$W133)=0,"",SUMPRODUCT('Calc_Mix'!$D$4:$W$4,'Matriz_Habilidades'!$D133:$W133)/'Calc_Mix'!$X$4+ROW()*0.000001))</f>
        <v/>
      </c>
      <c r="H133" s="34">
        <f>IF(OR($B133="",$C133&lt;&gt;"Ativo",$D133&lt;&gt;'Calc_Mix'!$C$5,'Calc_Mix'!$X$5=0,COUNTIFS(Esc_Turno,'Calc_Mix'!$C$5,Esc_Circ,$B133)+COUNTIFS(Esc_Turno,'Calc_Mix'!$C$5,Esc_Instr,$B133)&gt;0),"",IF(SUMPRODUCT('Calc_Mix'!$D$5:$W$5,'Matriz_Habilidades'!$D133:$W133)=0,"",SUMPRODUCT('Calc_Mix'!$D$5:$W$5,'Matriz_Habilidades'!$D133:$W133)/'Calc_Mix'!$X$5+ROW()*0.000001))</f>
        <v/>
      </c>
      <c r="I133" s="34">
        <f>IF(OR($B133="",$C133&lt;&gt;"Ativo",$D133&lt;&gt;'Calc_Mix'!$C$6,'Calc_Mix'!$X$6=0,COUNTIFS(Esc_Turno,'Calc_Mix'!$C$6,Esc_Circ,$B133)+COUNTIFS(Esc_Turno,'Calc_Mix'!$C$6,Esc_Instr,$B133)&gt;0),"",IF(SUMPRODUCT('Calc_Mix'!$D$6:$W$6,'Matriz_Habilidades'!$D133:$W133)=0,"",SUMPRODUCT('Calc_Mix'!$D$6:$W$6,'Matriz_Habilidades'!$D133:$W133)/'Calc_Mix'!$X$6+ROW()*0.000001))</f>
        <v/>
      </c>
      <c r="J133" s="34">
        <f>IF(OR($B133="",$C133&lt;&gt;"Ativo",$D133&lt;&gt;'Calc_Mix'!$C$7,'Calc_Mix'!$X$7=0,COUNTIFS(Esc_Turno,'Calc_Mix'!$C$7,Esc_Circ,$B133)+COUNTIFS(Esc_Turno,'Calc_Mix'!$C$7,Esc_Instr,$B133)&gt;0),"",IF(SUMPRODUCT('Calc_Mix'!$D$7:$W$7,'Matriz_Habilidades'!$D133:$W133)=0,"",SUMPRODUCT('Calc_Mix'!$D$7:$W$7,'Matriz_Habilidades'!$D133:$W133)/'Calc_Mix'!$X$7+ROW()*0.000001))</f>
        <v/>
      </c>
      <c r="K133" s="34">
        <f>IF(OR($B133="",$C133&lt;&gt;"Ativo",$D133&lt;&gt;'Calc_Mix'!$C$8,'Calc_Mix'!$X$8=0,COUNTIFS(Esc_Turno,'Calc_Mix'!$C$8,Esc_Circ,$B133)+COUNTIFS(Esc_Turno,'Calc_Mix'!$C$8,Esc_Instr,$B133)&gt;0),"",IF(SUMPRODUCT('Calc_Mix'!$D$8:$W$8,'Matriz_Habilidades'!$D133:$W133)=0,"",SUMPRODUCT('Calc_Mix'!$D$8:$W$8,'Matriz_Habilidades'!$D133:$W133)/'Calc_Mix'!$X$8+ROW()*0.000001))</f>
        <v/>
      </c>
      <c r="L133" s="34">
        <f>IF(OR($B133="",$C133&lt;&gt;"Ativo",$D133&lt;&gt;'Calc_Mix'!$C$9,'Calc_Mix'!$X$9=0,COUNTIFS(Esc_Turno,'Calc_Mix'!$C$9,Esc_Circ,$B133)+COUNTIFS(Esc_Turno,'Calc_Mix'!$C$9,Esc_Instr,$B133)&gt;0),"",IF(SUMPRODUCT('Calc_Mix'!$D$9:$W$9,'Matriz_Habilidades'!$D133:$W133)=0,"",SUMPRODUCT('Calc_Mix'!$D$9:$W$9,'Matriz_Habilidades'!$D133:$W133)/'Calc_Mix'!$X$9+ROW()*0.000001))</f>
        <v/>
      </c>
      <c r="M133" s="34">
        <f>IF(OR($B133="",$C133&lt;&gt;"Ativo",$D133&lt;&gt;'Calc_Mix'!$C$10,'Calc_Mix'!$X$10=0,COUNTIFS(Esc_Turno,'Calc_Mix'!$C$10,Esc_Circ,$B133)+COUNTIFS(Esc_Turno,'Calc_Mix'!$C$10,Esc_Instr,$B133)&gt;0),"",IF(SUMPRODUCT('Calc_Mix'!$D$10:$W$10,'Matriz_Habilidades'!$D133:$W133)=0,"",SUMPRODUCT('Calc_Mix'!$D$10:$W$10,'Matriz_Habilidades'!$D133:$W133)/'Calc_Mix'!$X$10+ROW()*0.000001))</f>
        <v/>
      </c>
      <c r="N133" s="34">
        <f>IF(OR($B133="",$C133&lt;&gt;"Ativo",$D133&lt;&gt;'Calc_Mix'!$C$11,'Calc_Mix'!$X$11=0,COUNTIFS(Esc_Turno,'Calc_Mix'!$C$11,Esc_Circ,$B133)+COUNTIFS(Esc_Turno,'Calc_Mix'!$C$11,Esc_Instr,$B133)&gt;0),"",IF(SUMPRODUCT('Calc_Mix'!$D$11:$W$11,'Matriz_Habilidades'!$D133:$W133)=0,"",SUMPRODUCT('Calc_Mix'!$D$11:$W$11,'Matriz_Habilidades'!$D133:$W133)/'Calc_Mix'!$X$11+ROW()*0.000001))</f>
        <v/>
      </c>
      <c r="O133" s="34">
        <f>IF(OR($B133="",$C133&lt;&gt;"Ativo",$D133&lt;&gt;'Calc_Mix'!$C$12,'Calc_Mix'!$X$12=0,COUNTIFS(Esc_Turno,'Calc_Mix'!$C$12,Esc_Circ,$B133)+COUNTIFS(Esc_Turno,'Calc_Mix'!$C$12,Esc_Instr,$B133)&gt;0),"",IF(SUMPRODUCT('Calc_Mix'!$D$12:$W$12,'Matriz_Habilidades'!$D133:$W133)=0,"",SUMPRODUCT('Calc_Mix'!$D$12:$W$12,'Matriz_Habilidades'!$D133:$W133)/'Calc_Mix'!$X$12+ROW()*0.000001))</f>
        <v/>
      </c>
      <c r="P133" s="34">
        <f>IF(OR($B133="",$C133&lt;&gt;"Ativo",$D133&lt;&gt;'Calc_Mix'!$C$13,'Calc_Mix'!$X$13=0,COUNTIFS(Esc_Turno,'Calc_Mix'!$C$13,Esc_Circ,$B133)+COUNTIFS(Esc_Turno,'Calc_Mix'!$C$13,Esc_Instr,$B133)&gt;0),"",IF(SUMPRODUCT('Calc_Mix'!$D$13:$W$13,'Matriz_Habilidades'!$D133:$W133)=0,"",SUMPRODUCT('Calc_Mix'!$D$13:$W$13,'Matriz_Habilidades'!$D133:$W133)/'Calc_Mix'!$X$13+ROW()*0.000001))</f>
        <v/>
      </c>
      <c r="Q133" s="34">
        <f>IF(OR($B133="",$C133&lt;&gt;"Ativo",$D133&lt;&gt;'Calc_Mix'!$C$14,'Calc_Mix'!$X$14=0,COUNTIFS(Esc_Turno,'Calc_Mix'!$C$14,Esc_Circ,$B133)+COUNTIFS(Esc_Turno,'Calc_Mix'!$C$14,Esc_Instr,$B133)&gt;0),"",IF(SUMPRODUCT('Calc_Mix'!$D$14:$W$14,'Matriz_Habilidades'!$D133:$W133)=0,"",SUMPRODUCT('Calc_Mix'!$D$14:$W$14,'Matriz_Habilidades'!$D133:$W133)/'Calc_Mix'!$X$14+ROW()*0.000001))</f>
        <v/>
      </c>
      <c r="R133" s="34">
        <f>IF(OR($B133="",$C133&lt;&gt;"Ativo",$D133&lt;&gt;'Calc_Mix'!$C$15,'Calc_Mix'!$X$15=0,COUNTIFS(Esc_Turno,'Calc_Mix'!$C$15,Esc_Circ,$B133)+COUNTIFS(Esc_Turno,'Calc_Mix'!$C$15,Esc_Instr,$B133)&gt;0),"",IF(SUMPRODUCT('Calc_Mix'!$D$15:$W$15,'Matriz_Habilidades'!$D133:$W133)=0,"",SUMPRODUCT('Calc_Mix'!$D$15:$W$15,'Matriz_Habilidades'!$D133:$W133)/'Calc_Mix'!$X$15+ROW()*0.000001))</f>
        <v/>
      </c>
      <c r="S133" s="34">
        <f>IF(OR($B133="",$C133&lt;&gt;"Ativo",$D133&lt;&gt;'Calc_Mix'!$C$16,'Calc_Mix'!$X$16=0,COUNTIFS(Esc_Turno,'Calc_Mix'!$C$16,Esc_Circ,$B133)+COUNTIFS(Esc_Turno,'Calc_Mix'!$C$16,Esc_Instr,$B133)&gt;0),"",IF(SUMPRODUCT('Calc_Mix'!$D$16:$W$16,'Matriz_Habilidades'!$D133:$W133)=0,"",SUMPRODUCT('Calc_Mix'!$D$16:$W$16,'Matriz_Habilidades'!$D133:$W133)/'Calc_Mix'!$X$16+ROW()*0.000001))</f>
        <v/>
      </c>
      <c r="T133" s="34">
        <f>IF(OR($B133="",$C133&lt;&gt;"Ativo",$D133&lt;&gt;'Calc_Mix'!$C$17,'Calc_Mix'!$X$17=0,COUNTIFS(Esc_Turno,'Calc_Mix'!$C$17,Esc_Circ,$B133)+COUNTIFS(Esc_Turno,'Calc_Mix'!$C$17,Esc_Instr,$B133)&gt;0),"",IF(SUMPRODUCT('Calc_Mix'!$D$17:$W$17,'Matriz_Habilidades'!$D133:$W133)=0,"",SUMPRODUCT('Calc_Mix'!$D$17:$W$17,'Matriz_Habilidades'!$D133:$W133)/'Calc_Mix'!$X$17+ROW()*0.000001))</f>
        <v/>
      </c>
      <c r="U133" s="34">
        <f>IF(OR($B133="",$C133&lt;&gt;"Ativo",$D133&lt;&gt;'Calc_Mix'!$C$18,'Calc_Mix'!$X$18=0,COUNTIFS(Esc_Turno,'Calc_Mix'!$C$18,Esc_Circ,$B133)+COUNTIFS(Esc_Turno,'Calc_Mix'!$C$18,Esc_Instr,$B133)&gt;0),"",IF(SUMPRODUCT('Calc_Mix'!$D$18:$W$18,'Matriz_Habilidades'!$D133:$W133)=0,"",SUMPRODUCT('Calc_Mix'!$D$18:$W$18,'Matriz_Habilidades'!$D133:$W133)/'Calc_Mix'!$X$18+ROW()*0.000001))</f>
        <v/>
      </c>
      <c r="V133" s="34">
        <f>IF(OR($B133="",$C133&lt;&gt;"Ativo",$D133&lt;&gt;'Calc_Mix'!$C$19,'Calc_Mix'!$X$19=0,COUNTIFS(Esc_Turno,'Calc_Mix'!$C$19,Esc_Circ,$B133)+COUNTIFS(Esc_Turno,'Calc_Mix'!$C$19,Esc_Instr,$B133)&gt;0),"",IF(SUMPRODUCT('Calc_Mix'!$D$19:$W$19,'Matriz_Habilidades'!$D133:$W133)=0,"",SUMPRODUCT('Calc_Mix'!$D$19:$W$19,'Matriz_Habilidades'!$D133:$W133)/'Calc_Mix'!$X$19+ROW()*0.000001))</f>
        <v/>
      </c>
      <c r="W133" s="34">
        <f>IF(OR($B133="",$C133&lt;&gt;"Ativo",$D133&lt;&gt;'Calc_Mix'!$C$20,'Calc_Mix'!$X$20=0,COUNTIFS(Esc_Turno,'Calc_Mix'!$C$20,Esc_Circ,$B133)+COUNTIFS(Esc_Turno,'Calc_Mix'!$C$20,Esc_Instr,$B133)&gt;0),"",IF(SUMPRODUCT('Calc_Mix'!$D$20:$W$20,'Matriz_Habilidades'!$D133:$W133)=0,"",SUMPRODUCT('Calc_Mix'!$D$20:$W$20,'Matriz_Habilidades'!$D133:$W133)/'Calc_Mix'!$X$20+ROW()*0.000001))</f>
        <v/>
      </c>
      <c r="X133" s="34">
        <f>IF(OR($B133="",$C133&lt;&gt;"Ativo",$D133&lt;&gt;'Calc_Mix'!$C$21,'Calc_Mix'!$X$21=0,COUNTIFS(Esc_Turno,'Calc_Mix'!$C$21,Esc_Circ,$B133)+COUNTIFS(Esc_Turno,'Calc_Mix'!$C$21,Esc_Instr,$B133)&gt;0),"",IF(SUMPRODUCT('Calc_Mix'!$D$21:$W$21,'Matriz_Habilidades'!$D133:$W133)=0,"",SUMPRODUCT('Calc_Mix'!$D$21:$W$21,'Matriz_Habilidades'!$D133:$W133)/'Calc_Mix'!$X$21+ROW()*0.000001))</f>
        <v/>
      </c>
      <c r="Y133" s="34">
        <f>IF(OR($B133="",$C133&lt;&gt;"Ativo",$D133&lt;&gt;'Calc_Mix'!$C$22,'Calc_Mix'!$X$22=0,COUNTIFS(Esc_Turno,'Calc_Mix'!$C$22,Esc_Circ,$B133)+COUNTIFS(Esc_Turno,'Calc_Mix'!$C$22,Esc_Instr,$B133)&gt;0),"",IF(SUMPRODUCT('Calc_Mix'!$D$22:$W$22,'Matriz_Habilidades'!$D133:$W133)=0,"",SUMPRODUCT('Calc_Mix'!$D$22:$W$22,'Matriz_Habilidades'!$D133:$W133)/'Calc_Mix'!$X$22+ROW()*0.000001))</f>
        <v/>
      </c>
      <c r="Z133" s="34">
        <f>IF(OR($B133="",$C133&lt;&gt;"Ativo",$D133&lt;&gt;'Calc_Mix'!$C$23,'Calc_Mix'!$X$23=0,COUNTIFS(Esc_Turno,'Calc_Mix'!$C$23,Esc_Circ,$B133)+COUNTIFS(Esc_Turno,'Calc_Mix'!$C$23,Esc_Instr,$B133)&gt;0),"",IF(SUMPRODUCT('Calc_Mix'!$D$23:$W$23,'Matriz_Habilidades'!$D133:$W133)=0,"",SUMPRODUCT('Calc_Mix'!$D$23:$W$23,'Matriz_Habilidades'!$D133:$W133)/'Calc_Mix'!$X$23+ROW()*0.000001))</f>
        <v/>
      </c>
      <c r="AA133" s="34">
        <f>IF(OR($B133="",$C133&lt;&gt;"Ativo",$D133&lt;&gt;'Calc_Mix'!$C$24,'Calc_Mix'!$X$24=0,COUNTIFS(Esc_Turno,'Calc_Mix'!$C$24,Esc_Circ,$B133)+COUNTIFS(Esc_Turno,'Calc_Mix'!$C$24,Esc_Instr,$B133)&gt;0),"",IF(SUMPRODUCT('Calc_Mix'!$D$24:$W$24,'Matriz_Habilidades'!$D133:$W133)=0,"",SUMPRODUCT('Calc_Mix'!$D$24:$W$24,'Matriz_Habilidades'!$D133:$W133)/'Calc_Mix'!$X$24+ROW()*0.000001))</f>
        <v/>
      </c>
      <c r="AB133" s="34">
        <f>IF(OR($B133="",$C133&lt;&gt;"Ativo",$D133&lt;&gt;'Calc_Mix'!$C$25,'Calc_Mix'!$X$25=0,COUNTIFS(Esc_Turno,'Calc_Mix'!$C$25,Esc_Circ,$B133)+COUNTIFS(Esc_Turno,'Calc_Mix'!$C$25,Esc_Instr,$B133)&gt;0),"",IF(SUMPRODUCT('Calc_Mix'!$D$25:$W$25,'Matriz_Habilidades'!$D133:$W133)=0,"",SUMPRODUCT('Calc_Mix'!$D$25:$W$25,'Matriz_Habilidades'!$D133:$W133)/'Calc_Mix'!$X$25+ROW()*0.000001))</f>
        <v/>
      </c>
      <c r="AC133" s="34">
        <f>IF(OR($B133="",$C133&lt;&gt;"Ativo",$D133&lt;&gt;'Calc_Mix'!$C$26,'Calc_Mix'!$X$26=0,COUNTIFS(Esc_Turno,'Calc_Mix'!$C$26,Esc_Circ,$B133)+COUNTIFS(Esc_Turno,'Calc_Mix'!$C$26,Esc_Instr,$B133)&gt;0),"",IF(SUMPRODUCT('Calc_Mix'!$D$26:$W$26,'Matriz_Habilidades'!$D133:$W133)=0,"",SUMPRODUCT('Calc_Mix'!$D$26:$W$26,'Matriz_Habilidades'!$D133:$W133)/'Calc_Mix'!$X$26+ROW()*0.000001))</f>
        <v/>
      </c>
      <c r="AD133" s="34">
        <f>IF(OR($B133="",$C133&lt;&gt;"Ativo",$D133&lt;&gt;'Calc_Mix'!$C$27,'Calc_Mix'!$X$27=0,COUNTIFS(Esc_Turno,'Calc_Mix'!$C$27,Esc_Circ,$B133)+COUNTIFS(Esc_Turno,'Calc_Mix'!$C$27,Esc_Instr,$B133)&gt;0),"",IF(SUMPRODUCT('Calc_Mix'!$D$27:$W$27,'Matriz_Habilidades'!$D133:$W133)=0,"",SUMPRODUCT('Calc_Mix'!$D$27:$W$27,'Matriz_Habilidades'!$D133:$W133)/'Calc_Mix'!$X$27+ROW()*0.000001))</f>
        <v/>
      </c>
      <c r="AE133" s="34">
        <f>IF(OR($B133="",$C133&lt;&gt;"Ativo",$D133&lt;&gt;'Calc_Mix'!$C$28,'Calc_Mix'!$X$28=0,COUNTIFS(Esc_Turno,'Calc_Mix'!$C$28,Esc_Circ,$B133)+COUNTIFS(Esc_Turno,'Calc_Mix'!$C$28,Esc_Instr,$B133)&gt;0),"",IF(SUMPRODUCT('Calc_Mix'!$D$28:$W$28,'Matriz_Habilidades'!$D133:$W133)=0,"",SUMPRODUCT('Calc_Mix'!$D$28:$W$28,'Matriz_Habilidades'!$D133:$W133)/'Calc_Mix'!$X$28+ROW()*0.000001))</f>
        <v/>
      </c>
      <c r="AF133" s="34">
        <f>IF(OR($B133="",$C133&lt;&gt;"Ativo",$D133&lt;&gt;'Calc_Mix'!$C$29,'Calc_Mix'!$X$29=0,COUNTIFS(Esc_Turno,'Calc_Mix'!$C$29,Esc_Circ,$B133)+COUNTIFS(Esc_Turno,'Calc_Mix'!$C$29,Esc_Instr,$B133)&gt;0),"",IF(SUMPRODUCT('Calc_Mix'!$D$29:$W$29,'Matriz_Habilidades'!$D133:$W133)=0,"",SUMPRODUCT('Calc_Mix'!$D$29:$W$29,'Matriz_Habilidades'!$D133:$W133)/'Calc_Mix'!$X$29+ROW()*0.000001))</f>
        <v/>
      </c>
      <c r="AG133" s="34">
        <f>IF(OR($B133="",$C133&lt;&gt;"Ativo",$D133&lt;&gt;'Calc_Mix'!$C$30,'Calc_Mix'!$X$30=0,COUNTIFS(Esc_Turno,'Calc_Mix'!$C$30,Esc_Circ,$B133)+COUNTIFS(Esc_Turno,'Calc_Mix'!$C$30,Esc_Instr,$B133)&gt;0),"",IF(SUMPRODUCT('Calc_Mix'!$D$30:$W$30,'Matriz_Habilidades'!$D133:$W133)=0,"",SUMPRODUCT('Calc_Mix'!$D$30:$W$30,'Matriz_Habilidades'!$D133:$W133)/'Calc_Mix'!$X$30+ROW()*0.000001))</f>
        <v/>
      </c>
      <c r="AH133" s="34">
        <f>IF(OR($B133="",$C133&lt;&gt;"Ativo",$D133&lt;&gt;'Calc_Mix'!$C$31,'Calc_Mix'!$X$31=0,COUNTIFS(Esc_Turno,'Calc_Mix'!$C$31,Esc_Circ,$B133)+COUNTIFS(Esc_Turno,'Calc_Mix'!$C$31,Esc_Instr,$B133)&gt;0),"",IF(SUMPRODUCT('Calc_Mix'!$D$31:$W$31,'Matriz_Habilidades'!$D133:$W133)=0,"",SUMPRODUCT('Calc_Mix'!$D$31:$W$31,'Matriz_Habilidades'!$D133:$W133)/'Calc_Mix'!$X$31+ROW()*0.000001))</f>
        <v/>
      </c>
      <c r="AI133" s="34">
        <f>IF(OR($B133="",$C133&lt;&gt;"Ativo",$D133&lt;&gt;'Calc_Mix'!$C$32,'Calc_Mix'!$X$32=0,COUNTIFS(Esc_Turno,'Calc_Mix'!$C$32,Esc_Circ,$B133)+COUNTIFS(Esc_Turno,'Calc_Mix'!$C$32,Esc_Instr,$B133)&gt;0),"",IF(SUMPRODUCT('Calc_Mix'!$D$32:$W$32,'Matriz_Habilidades'!$D133:$W133)=0,"",SUMPRODUCT('Calc_Mix'!$D$32:$W$32,'Matriz_Habilidades'!$D133:$W133)/'Calc_Mix'!$X$32+ROW()*0.000001))</f>
        <v/>
      </c>
      <c r="AJ133" s="34">
        <f>IF(OR($B133="",$C133&lt;&gt;"Ativo",$D133&lt;&gt;'Calc_Mix'!$C$33,'Calc_Mix'!$X$33=0,COUNTIFS(Esc_Turno,'Calc_Mix'!$C$33,Esc_Circ,$B133)+COUNTIFS(Esc_Turno,'Calc_Mix'!$C$33,Esc_Instr,$B133)&gt;0),"",IF(SUMPRODUCT('Calc_Mix'!$D$33:$W$33,'Matriz_Habilidades'!$D133:$W133)=0,"",SUMPRODUCT('Calc_Mix'!$D$33:$W$33,'Matriz_Habilidades'!$D133:$W133)/'Calc_Mix'!$X$33+ROW()*0.000001))</f>
        <v/>
      </c>
      <c r="AK133" s="34">
        <f>IF(OR($B133="",$C133&lt;&gt;"Ativo",$D133&lt;&gt;'Calc_Mix'!$C$34,'Calc_Mix'!$X$34=0,COUNTIFS(Esc_Turno,'Calc_Mix'!$C$34,Esc_Circ,$B133)+COUNTIFS(Esc_Turno,'Calc_Mix'!$C$34,Esc_Instr,$B133)&gt;0),"",IF(SUMPRODUCT('Calc_Mix'!$D$34:$W$34,'Matriz_Habilidades'!$D133:$W133)=0,"",SUMPRODUCT('Calc_Mix'!$D$34:$W$34,'Matriz_Habilidades'!$D133:$W133)/'Calc_Mix'!$X$34+ROW()*0.000001))</f>
        <v/>
      </c>
      <c r="AL133" s="34">
        <f>IF(OR($B133="",$C133&lt;&gt;"Ativo",$D133&lt;&gt;'Calc_Mix'!$C$35,'Calc_Mix'!$X$35=0,COUNTIFS(Esc_Turno,'Calc_Mix'!$C$35,Esc_Circ,$B133)+COUNTIFS(Esc_Turno,'Calc_Mix'!$C$35,Esc_Instr,$B133)&gt;0),"",IF(SUMPRODUCT('Calc_Mix'!$D$35:$W$35,'Matriz_Habilidades'!$D133:$W133)=0,"",SUMPRODUCT('Calc_Mix'!$D$35:$W$35,'Matriz_Habilidades'!$D133:$W133)/'Calc_Mix'!$X$35+ROW()*0.000001))</f>
        <v/>
      </c>
      <c r="AM133" s="34">
        <f>IF(OR($B133="",$C133&lt;&gt;"Ativo",$D133&lt;&gt;'Calc_Mix'!$C$36,'Calc_Mix'!$X$36=0,COUNTIFS(Esc_Turno,'Calc_Mix'!$C$36,Esc_Circ,$B133)+COUNTIFS(Esc_Turno,'Calc_Mix'!$C$36,Esc_Instr,$B133)&gt;0),"",IF(SUMPRODUCT('Calc_Mix'!$D$36:$W$36,'Matriz_Habilidades'!$D133:$W133)=0,"",SUMPRODUCT('Calc_Mix'!$D$36:$W$36,'Matriz_Habilidades'!$D133:$W133)/'Calc_Mix'!$X$36+ROW()*0.000001))</f>
        <v/>
      </c>
      <c r="AN133" s="34">
        <f>IF(OR($B133="",$C133&lt;&gt;"Ativo",$D133&lt;&gt;'Calc_Mix'!$C$37,'Calc_Mix'!$X$37=0,COUNTIFS(Esc_Turno,'Calc_Mix'!$C$37,Esc_Circ,$B133)+COUNTIFS(Esc_Turno,'Calc_Mix'!$C$37,Esc_Instr,$B133)&gt;0),"",IF(SUMPRODUCT('Calc_Mix'!$D$37:$W$37,'Matriz_Habilidades'!$D133:$W133)=0,"",SUMPRODUCT('Calc_Mix'!$D$37:$W$37,'Matriz_Habilidades'!$D133:$W133)/'Calc_Mix'!$X$37+ROW()*0.000001))</f>
        <v/>
      </c>
    </row>
    <row r="134">
      <c r="A134" s="27">
        <f>IF('Matriz_Habilidades'!A134="","",'Matriz_Habilidades'!A134)</f>
        <v/>
      </c>
      <c r="B134" s="28">
        <f>IF('Matriz_Habilidades'!B134="","",'Matriz_Habilidades'!B134)</f>
        <v/>
      </c>
      <c r="C134" s="27">
        <f>IF($A134="","",IFERROR(INDEX(Equipe_Status,MATCH($B134,Equipe_Nome,0)),"?"))</f>
        <v/>
      </c>
      <c r="D134" s="27">
        <f>IF($A134="","",IFERROR(INDEX(Equipe_Turno,MATCH($B134,Equipe_Nome,0)),"?"))</f>
        <v/>
      </c>
      <c r="E134" s="34">
        <f>IF(OR($B134="",$C134&lt;&gt;"Ativo",$D134&lt;&gt;'Calc_Mix'!$C$2,'Calc_Mix'!$X$2=0,COUNTIFS(Esc_Turno,'Calc_Mix'!$C$2,Esc_Circ,$B134)+COUNTIFS(Esc_Turno,'Calc_Mix'!$C$2,Esc_Instr,$B134)&gt;0),"",IF(SUMPRODUCT('Calc_Mix'!$D$2:$W$2,'Matriz_Habilidades'!$D134:$W134)=0,"",SUMPRODUCT('Calc_Mix'!$D$2:$W$2,'Matriz_Habilidades'!$D134:$W134)/'Calc_Mix'!$X$2+ROW()*0.000001))</f>
        <v/>
      </c>
      <c r="F134" s="34">
        <f>IF(OR($B134="",$C134&lt;&gt;"Ativo",$D134&lt;&gt;'Calc_Mix'!$C$3,'Calc_Mix'!$X$3=0,COUNTIFS(Esc_Turno,'Calc_Mix'!$C$3,Esc_Circ,$B134)+COUNTIFS(Esc_Turno,'Calc_Mix'!$C$3,Esc_Instr,$B134)&gt;0),"",IF(SUMPRODUCT('Calc_Mix'!$D$3:$W$3,'Matriz_Habilidades'!$D134:$W134)=0,"",SUMPRODUCT('Calc_Mix'!$D$3:$W$3,'Matriz_Habilidades'!$D134:$W134)/'Calc_Mix'!$X$3+ROW()*0.000001))</f>
        <v/>
      </c>
      <c r="G134" s="34">
        <f>IF(OR($B134="",$C134&lt;&gt;"Ativo",$D134&lt;&gt;'Calc_Mix'!$C$4,'Calc_Mix'!$X$4=0,COUNTIFS(Esc_Turno,'Calc_Mix'!$C$4,Esc_Circ,$B134)+COUNTIFS(Esc_Turno,'Calc_Mix'!$C$4,Esc_Instr,$B134)&gt;0),"",IF(SUMPRODUCT('Calc_Mix'!$D$4:$W$4,'Matriz_Habilidades'!$D134:$W134)=0,"",SUMPRODUCT('Calc_Mix'!$D$4:$W$4,'Matriz_Habilidades'!$D134:$W134)/'Calc_Mix'!$X$4+ROW()*0.000001))</f>
        <v/>
      </c>
      <c r="H134" s="34">
        <f>IF(OR($B134="",$C134&lt;&gt;"Ativo",$D134&lt;&gt;'Calc_Mix'!$C$5,'Calc_Mix'!$X$5=0,COUNTIFS(Esc_Turno,'Calc_Mix'!$C$5,Esc_Circ,$B134)+COUNTIFS(Esc_Turno,'Calc_Mix'!$C$5,Esc_Instr,$B134)&gt;0),"",IF(SUMPRODUCT('Calc_Mix'!$D$5:$W$5,'Matriz_Habilidades'!$D134:$W134)=0,"",SUMPRODUCT('Calc_Mix'!$D$5:$W$5,'Matriz_Habilidades'!$D134:$W134)/'Calc_Mix'!$X$5+ROW()*0.000001))</f>
        <v/>
      </c>
      <c r="I134" s="34">
        <f>IF(OR($B134="",$C134&lt;&gt;"Ativo",$D134&lt;&gt;'Calc_Mix'!$C$6,'Calc_Mix'!$X$6=0,COUNTIFS(Esc_Turno,'Calc_Mix'!$C$6,Esc_Circ,$B134)+COUNTIFS(Esc_Turno,'Calc_Mix'!$C$6,Esc_Instr,$B134)&gt;0),"",IF(SUMPRODUCT('Calc_Mix'!$D$6:$W$6,'Matriz_Habilidades'!$D134:$W134)=0,"",SUMPRODUCT('Calc_Mix'!$D$6:$W$6,'Matriz_Habilidades'!$D134:$W134)/'Calc_Mix'!$X$6+ROW()*0.000001))</f>
        <v/>
      </c>
      <c r="J134" s="34">
        <f>IF(OR($B134="",$C134&lt;&gt;"Ativo",$D134&lt;&gt;'Calc_Mix'!$C$7,'Calc_Mix'!$X$7=0,COUNTIFS(Esc_Turno,'Calc_Mix'!$C$7,Esc_Circ,$B134)+COUNTIFS(Esc_Turno,'Calc_Mix'!$C$7,Esc_Instr,$B134)&gt;0),"",IF(SUMPRODUCT('Calc_Mix'!$D$7:$W$7,'Matriz_Habilidades'!$D134:$W134)=0,"",SUMPRODUCT('Calc_Mix'!$D$7:$W$7,'Matriz_Habilidades'!$D134:$W134)/'Calc_Mix'!$X$7+ROW()*0.000001))</f>
        <v/>
      </c>
      <c r="K134" s="34">
        <f>IF(OR($B134="",$C134&lt;&gt;"Ativo",$D134&lt;&gt;'Calc_Mix'!$C$8,'Calc_Mix'!$X$8=0,COUNTIFS(Esc_Turno,'Calc_Mix'!$C$8,Esc_Circ,$B134)+COUNTIFS(Esc_Turno,'Calc_Mix'!$C$8,Esc_Instr,$B134)&gt;0),"",IF(SUMPRODUCT('Calc_Mix'!$D$8:$W$8,'Matriz_Habilidades'!$D134:$W134)=0,"",SUMPRODUCT('Calc_Mix'!$D$8:$W$8,'Matriz_Habilidades'!$D134:$W134)/'Calc_Mix'!$X$8+ROW()*0.000001))</f>
        <v/>
      </c>
      <c r="L134" s="34">
        <f>IF(OR($B134="",$C134&lt;&gt;"Ativo",$D134&lt;&gt;'Calc_Mix'!$C$9,'Calc_Mix'!$X$9=0,COUNTIFS(Esc_Turno,'Calc_Mix'!$C$9,Esc_Circ,$B134)+COUNTIFS(Esc_Turno,'Calc_Mix'!$C$9,Esc_Instr,$B134)&gt;0),"",IF(SUMPRODUCT('Calc_Mix'!$D$9:$W$9,'Matriz_Habilidades'!$D134:$W134)=0,"",SUMPRODUCT('Calc_Mix'!$D$9:$W$9,'Matriz_Habilidades'!$D134:$W134)/'Calc_Mix'!$X$9+ROW()*0.000001))</f>
        <v/>
      </c>
      <c r="M134" s="34">
        <f>IF(OR($B134="",$C134&lt;&gt;"Ativo",$D134&lt;&gt;'Calc_Mix'!$C$10,'Calc_Mix'!$X$10=0,COUNTIFS(Esc_Turno,'Calc_Mix'!$C$10,Esc_Circ,$B134)+COUNTIFS(Esc_Turno,'Calc_Mix'!$C$10,Esc_Instr,$B134)&gt;0),"",IF(SUMPRODUCT('Calc_Mix'!$D$10:$W$10,'Matriz_Habilidades'!$D134:$W134)=0,"",SUMPRODUCT('Calc_Mix'!$D$10:$W$10,'Matriz_Habilidades'!$D134:$W134)/'Calc_Mix'!$X$10+ROW()*0.000001))</f>
        <v/>
      </c>
      <c r="N134" s="34">
        <f>IF(OR($B134="",$C134&lt;&gt;"Ativo",$D134&lt;&gt;'Calc_Mix'!$C$11,'Calc_Mix'!$X$11=0,COUNTIFS(Esc_Turno,'Calc_Mix'!$C$11,Esc_Circ,$B134)+COUNTIFS(Esc_Turno,'Calc_Mix'!$C$11,Esc_Instr,$B134)&gt;0),"",IF(SUMPRODUCT('Calc_Mix'!$D$11:$W$11,'Matriz_Habilidades'!$D134:$W134)=0,"",SUMPRODUCT('Calc_Mix'!$D$11:$W$11,'Matriz_Habilidades'!$D134:$W134)/'Calc_Mix'!$X$11+ROW()*0.000001))</f>
        <v/>
      </c>
      <c r="O134" s="34">
        <f>IF(OR($B134="",$C134&lt;&gt;"Ativo",$D134&lt;&gt;'Calc_Mix'!$C$12,'Calc_Mix'!$X$12=0,COUNTIFS(Esc_Turno,'Calc_Mix'!$C$12,Esc_Circ,$B134)+COUNTIFS(Esc_Turno,'Calc_Mix'!$C$12,Esc_Instr,$B134)&gt;0),"",IF(SUMPRODUCT('Calc_Mix'!$D$12:$W$12,'Matriz_Habilidades'!$D134:$W134)=0,"",SUMPRODUCT('Calc_Mix'!$D$12:$W$12,'Matriz_Habilidades'!$D134:$W134)/'Calc_Mix'!$X$12+ROW()*0.000001))</f>
        <v/>
      </c>
      <c r="P134" s="34">
        <f>IF(OR($B134="",$C134&lt;&gt;"Ativo",$D134&lt;&gt;'Calc_Mix'!$C$13,'Calc_Mix'!$X$13=0,COUNTIFS(Esc_Turno,'Calc_Mix'!$C$13,Esc_Circ,$B134)+COUNTIFS(Esc_Turno,'Calc_Mix'!$C$13,Esc_Instr,$B134)&gt;0),"",IF(SUMPRODUCT('Calc_Mix'!$D$13:$W$13,'Matriz_Habilidades'!$D134:$W134)=0,"",SUMPRODUCT('Calc_Mix'!$D$13:$W$13,'Matriz_Habilidades'!$D134:$W134)/'Calc_Mix'!$X$13+ROW()*0.000001))</f>
        <v/>
      </c>
      <c r="Q134" s="34">
        <f>IF(OR($B134="",$C134&lt;&gt;"Ativo",$D134&lt;&gt;'Calc_Mix'!$C$14,'Calc_Mix'!$X$14=0,COUNTIFS(Esc_Turno,'Calc_Mix'!$C$14,Esc_Circ,$B134)+COUNTIFS(Esc_Turno,'Calc_Mix'!$C$14,Esc_Instr,$B134)&gt;0),"",IF(SUMPRODUCT('Calc_Mix'!$D$14:$W$14,'Matriz_Habilidades'!$D134:$W134)=0,"",SUMPRODUCT('Calc_Mix'!$D$14:$W$14,'Matriz_Habilidades'!$D134:$W134)/'Calc_Mix'!$X$14+ROW()*0.000001))</f>
        <v/>
      </c>
      <c r="R134" s="34">
        <f>IF(OR($B134="",$C134&lt;&gt;"Ativo",$D134&lt;&gt;'Calc_Mix'!$C$15,'Calc_Mix'!$X$15=0,COUNTIFS(Esc_Turno,'Calc_Mix'!$C$15,Esc_Circ,$B134)+COUNTIFS(Esc_Turno,'Calc_Mix'!$C$15,Esc_Instr,$B134)&gt;0),"",IF(SUMPRODUCT('Calc_Mix'!$D$15:$W$15,'Matriz_Habilidades'!$D134:$W134)=0,"",SUMPRODUCT('Calc_Mix'!$D$15:$W$15,'Matriz_Habilidades'!$D134:$W134)/'Calc_Mix'!$X$15+ROW()*0.000001))</f>
        <v/>
      </c>
      <c r="S134" s="34">
        <f>IF(OR($B134="",$C134&lt;&gt;"Ativo",$D134&lt;&gt;'Calc_Mix'!$C$16,'Calc_Mix'!$X$16=0,COUNTIFS(Esc_Turno,'Calc_Mix'!$C$16,Esc_Circ,$B134)+COUNTIFS(Esc_Turno,'Calc_Mix'!$C$16,Esc_Instr,$B134)&gt;0),"",IF(SUMPRODUCT('Calc_Mix'!$D$16:$W$16,'Matriz_Habilidades'!$D134:$W134)=0,"",SUMPRODUCT('Calc_Mix'!$D$16:$W$16,'Matriz_Habilidades'!$D134:$W134)/'Calc_Mix'!$X$16+ROW()*0.000001))</f>
        <v/>
      </c>
      <c r="T134" s="34">
        <f>IF(OR($B134="",$C134&lt;&gt;"Ativo",$D134&lt;&gt;'Calc_Mix'!$C$17,'Calc_Mix'!$X$17=0,COUNTIFS(Esc_Turno,'Calc_Mix'!$C$17,Esc_Circ,$B134)+COUNTIFS(Esc_Turno,'Calc_Mix'!$C$17,Esc_Instr,$B134)&gt;0),"",IF(SUMPRODUCT('Calc_Mix'!$D$17:$W$17,'Matriz_Habilidades'!$D134:$W134)=0,"",SUMPRODUCT('Calc_Mix'!$D$17:$W$17,'Matriz_Habilidades'!$D134:$W134)/'Calc_Mix'!$X$17+ROW()*0.000001))</f>
        <v/>
      </c>
      <c r="U134" s="34">
        <f>IF(OR($B134="",$C134&lt;&gt;"Ativo",$D134&lt;&gt;'Calc_Mix'!$C$18,'Calc_Mix'!$X$18=0,COUNTIFS(Esc_Turno,'Calc_Mix'!$C$18,Esc_Circ,$B134)+COUNTIFS(Esc_Turno,'Calc_Mix'!$C$18,Esc_Instr,$B134)&gt;0),"",IF(SUMPRODUCT('Calc_Mix'!$D$18:$W$18,'Matriz_Habilidades'!$D134:$W134)=0,"",SUMPRODUCT('Calc_Mix'!$D$18:$W$18,'Matriz_Habilidades'!$D134:$W134)/'Calc_Mix'!$X$18+ROW()*0.000001))</f>
        <v/>
      </c>
      <c r="V134" s="34">
        <f>IF(OR($B134="",$C134&lt;&gt;"Ativo",$D134&lt;&gt;'Calc_Mix'!$C$19,'Calc_Mix'!$X$19=0,COUNTIFS(Esc_Turno,'Calc_Mix'!$C$19,Esc_Circ,$B134)+COUNTIFS(Esc_Turno,'Calc_Mix'!$C$19,Esc_Instr,$B134)&gt;0),"",IF(SUMPRODUCT('Calc_Mix'!$D$19:$W$19,'Matriz_Habilidades'!$D134:$W134)=0,"",SUMPRODUCT('Calc_Mix'!$D$19:$W$19,'Matriz_Habilidades'!$D134:$W134)/'Calc_Mix'!$X$19+ROW()*0.000001))</f>
        <v/>
      </c>
      <c r="W134" s="34">
        <f>IF(OR($B134="",$C134&lt;&gt;"Ativo",$D134&lt;&gt;'Calc_Mix'!$C$20,'Calc_Mix'!$X$20=0,COUNTIFS(Esc_Turno,'Calc_Mix'!$C$20,Esc_Circ,$B134)+COUNTIFS(Esc_Turno,'Calc_Mix'!$C$20,Esc_Instr,$B134)&gt;0),"",IF(SUMPRODUCT('Calc_Mix'!$D$20:$W$20,'Matriz_Habilidades'!$D134:$W134)=0,"",SUMPRODUCT('Calc_Mix'!$D$20:$W$20,'Matriz_Habilidades'!$D134:$W134)/'Calc_Mix'!$X$20+ROW()*0.000001))</f>
        <v/>
      </c>
      <c r="X134" s="34">
        <f>IF(OR($B134="",$C134&lt;&gt;"Ativo",$D134&lt;&gt;'Calc_Mix'!$C$21,'Calc_Mix'!$X$21=0,COUNTIFS(Esc_Turno,'Calc_Mix'!$C$21,Esc_Circ,$B134)+COUNTIFS(Esc_Turno,'Calc_Mix'!$C$21,Esc_Instr,$B134)&gt;0),"",IF(SUMPRODUCT('Calc_Mix'!$D$21:$W$21,'Matriz_Habilidades'!$D134:$W134)=0,"",SUMPRODUCT('Calc_Mix'!$D$21:$W$21,'Matriz_Habilidades'!$D134:$W134)/'Calc_Mix'!$X$21+ROW()*0.000001))</f>
        <v/>
      </c>
      <c r="Y134" s="34">
        <f>IF(OR($B134="",$C134&lt;&gt;"Ativo",$D134&lt;&gt;'Calc_Mix'!$C$22,'Calc_Mix'!$X$22=0,COUNTIFS(Esc_Turno,'Calc_Mix'!$C$22,Esc_Circ,$B134)+COUNTIFS(Esc_Turno,'Calc_Mix'!$C$22,Esc_Instr,$B134)&gt;0),"",IF(SUMPRODUCT('Calc_Mix'!$D$22:$W$22,'Matriz_Habilidades'!$D134:$W134)=0,"",SUMPRODUCT('Calc_Mix'!$D$22:$W$22,'Matriz_Habilidades'!$D134:$W134)/'Calc_Mix'!$X$22+ROW()*0.000001))</f>
        <v/>
      </c>
      <c r="Z134" s="34">
        <f>IF(OR($B134="",$C134&lt;&gt;"Ativo",$D134&lt;&gt;'Calc_Mix'!$C$23,'Calc_Mix'!$X$23=0,COUNTIFS(Esc_Turno,'Calc_Mix'!$C$23,Esc_Circ,$B134)+COUNTIFS(Esc_Turno,'Calc_Mix'!$C$23,Esc_Instr,$B134)&gt;0),"",IF(SUMPRODUCT('Calc_Mix'!$D$23:$W$23,'Matriz_Habilidades'!$D134:$W134)=0,"",SUMPRODUCT('Calc_Mix'!$D$23:$W$23,'Matriz_Habilidades'!$D134:$W134)/'Calc_Mix'!$X$23+ROW()*0.000001))</f>
        <v/>
      </c>
      <c r="AA134" s="34">
        <f>IF(OR($B134="",$C134&lt;&gt;"Ativo",$D134&lt;&gt;'Calc_Mix'!$C$24,'Calc_Mix'!$X$24=0,COUNTIFS(Esc_Turno,'Calc_Mix'!$C$24,Esc_Circ,$B134)+COUNTIFS(Esc_Turno,'Calc_Mix'!$C$24,Esc_Instr,$B134)&gt;0),"",IF(SUMPRODUCT('Calc_Mix'!$D$24:$W$24,'Matriz_Habilidades'!$D134:$W134)=0,"",SUMPRODUCT('Calc_Mix'!$D$24:$W$24,'Matriz_Habilidades'!$D134:$W134)/'Calc_Mix'!$X$24+ROW()*0.000001))</f>
        <v/>
      </c>
      <c r="AB134" s="34">
        <f>IF(OR($B134="",$C134&lt;&gt;"Ativo",$D134&lt;&gt;'Calc_Mix'!$C$25,'Calc_Mix'!$X$25=0,COUNTIFS(Esc_Turno,'Calc_Mix'!$C$25,Esc_Circ,$B134)+COUNTIFS(Esc_Turno,'Calc_Mix'!$C$25,Esc_Instr,$B134)&gt;0),"",IF(SUMPRODUCT('Calc_Mix'!$D$25:$W$25,'Matriz_Habilidades'!$D134:$W134)=0,"",SUMPRODUCT('Calc_Mix'!$D$25:$W$25,'Matriz_Habilidades'!$D134:$W134)/'Calc_Mix'!$X$25+ROW()*0.000001))</f>
        <v/>
      </c>
      <c r="AC134" s="34">
        <f>IF(OR($B134="",$C134&lt;&gt;"Ativo",$D134&lt;&gt;'Calc_Mix'!$C$26,'Calc_Mix'!$X$26=0,COUNTIFS(Esc_Turno,'Calc_Mix'!$C$26,Esc_Circ,$B134)+COUNTIFS(Esc_Turno,'Calc_Mix'!$C$26,Esc_Instr,$B134)&gt;0),"",IF(SUMPRODUCT('Calc_Mix'!$D$26:$W$26,'Matriz_Habilidades'!$D134:$W134)=0,"",SUMPRODUCT('Calc_Mix'!$D$26:$W$26,'Matriz_Habilidades'!$D134:$W134)/'Calc_Mix'!$X$26+ROW()*0.000001))</f>
        <v/>
      </c>
      <c r="AD134" s="34">
        <f>IF(OR($B134="",$C134&lt;&gt;"Ativo",$D134&lt;&gt;'Calc_Mix'!$C$27,'Calc_Mix'!$X$27=0,COUNTIFS(Esc_Turno,'Calc_Mix'!$C$27,Esc_Circ,$B134)+COUNTIFS(Esc_Turno,'Calc_Mix'!$C$27,Esc_Instr,$B134)&gt;0),"",IF(SUMPRODUCT('Calc_Mix'!$D$27:$W$27,'Matriz_Habilidades'!$D134:$W134)=0,"",SUMPRODUCT('Calc_Mix'!$D$27:$W$27,'Matriz_Habilidades'!$D134:$W134)/'Calc_Mix'!$X$27+ROW()*0.000001))</f>
        <v/>
      </c>
      <c r="AE134" s="34">
        <f>IF(OR($B134="",$C134&lt;&gt;"Ativo",$D134&lt;&gt;'Calc_Mix'!$C$28,'Calc_Mix'!$X$28=0,COUNTIFS(Esc_Turno,'Calc_Mix'!$C$28,Esc_Circ,$B134)+COUNTIFS(Esc_Turno,'Calc_Mix'!$C$28,Esc_Instr,$B134)&gt;0),"",IF(SUMPRODUCT('Calc_Mix'!$D$28:$W$28,'Matriz_Habilidades'!$D134:$W134)=0,"",SUMPRODUCT('Calc_Mix'!$D$28:$W$28,'Matriz_Habilidades'!$D134:$W134)/'Calc_Mix'!$X$28+ROW()*0.000001))</f>
        <v/>
      </c>
      <c r="AF134" s="34">
        <f>IF(OR($B134="",$C134&lt;&gt;"Ativo",$D134&lt;&gt;'Calc_Mix'!$C$29,'Calc_Mix'!$X$29=0,COUNTIFS(Esc_Turno,'Calc_Mix'!$C$29,Esc_Circ,$B134)+COUNTIFS(Esc_Turno,'Calc_Mix'!$C$29,Esc_Instr,$B134)&gt;0),"",IF(SUMPRODUCT('Calc_Mix'!$D$29:$W$29,'Matriz_Habilidades'!$D134:$W134)=0,"",SUMPRODUCT('Calc_Mix'!$D$29:$W$29,'Matriz_Habilidades'!$D134:$W134)/'Calc_Mix'!$X$29+ROW()*0.000001))</f>
        <v/>
      </c>
      <c r="AG134" s="34">
        <f>IF(OR($B134="",$C134&lt;&gt;"Ativo",$D134&lt;&gt;'Calc_Mix'!$C$30,'Calc_Mix'!$X$30=0,COUNTIFS(Esc_Turno,'Calc_Mix'!$C$30,Esc_Circ,$B134)+COUNTIFS(Esc_Turno,'Calc_Mix'!$C$30,Esc_Instr,$B134)&gt;0),"",IF(SUMPRODUCT('Calc_Mix'!$D$30:$W$30,'Matriz_Habilidades'!$D134:$W134)=0,"",SUMPRODUCT('Calc_Mix'!$D$30:$W$30,'Matriz_Habilidades'!$D134:$W134)/'Calc_Mix'!$X$30+ROW()*0.000001))</f>
        <v/>
      </c>
      <c r="AH134" s="34">
        <f>IF(OR($B134="",$C134&lt;&gt;"Ativo",$D134&lt;&gt;'Calc_Mix'!$C$31,'Calc_Mix'!$X$31=0,COUNTIFS(Esc_Turno,'Calc_Mix'!$C$31,Esc_Circ,$B134)+COUNTIFS(Esc_Turno,'Calc_Mix'!$C$31,Esc_Instr,$B134)&gt;0),"",IF(SUMPRODUCT('Calc_Mix'!$D$31:$W$31,'Matriz_Habilidades'!$D134:$W134)=0,"",SUMPRODUCT('Calc_Mix'!$D$31:$W$31,'Matriz_Habilidades'!$D134:$W134)/'Calc_Mix'!$X$31+ROW()*0.000001))</f>
        <v/>
      </c>
      <c r="AI134" s="34">
        <f>IF(OR($B134="",$C134&lt;&gt;"Ativo",$D134&lt;&gt;'Calc_Mix'!$C$32,'Calc_Mix'!$X$32=0,COUNTIFS(Esc_Turno,'Calc_Mix'!$C$32,Esc_Circ,$B134)+COUNTIFS(Esc_Turno,'Calc_Mix'!$C$32,Esc_Instr,$B134)&gt;0),"",IF(SUMPRODUCT('Calc_Mix'!$D$32:$W$32,'Matriz_Habilidades'!$D134:$W134)=0,"",SUMPRODUCT('Calc_Mix'!$D$32:$W$32,'Matriz_Habilidades'!$D134:$W134)/'Calc_Mix'!$X$32+ROW()*0.000001))</f>
        <v/>
      </c>
      <c r="AJ134" s="34">
        <f>IF(OR($B134="",$C134&lt;&gt;"Ativo",$D134&lt;&gt;'Calc_Mix'!$C$33,'Calc_Mix'!$X$33=0,COUNTIFS(Esc_Turno,'Calc_Mix'!$C$33,Esc_Circ,$B134)+COUNTIFS(Esc_Turno,'Calc_Mix'!$C$33,Esc_Instr,$B134)&gt;0),"",IF(SUMPRODUCT('Calc_Mix'!$D$33:$W$33,'Matriz_Habilidades'!$D134:$W134)=0,"",SUMPRODUCT('Calc_Mix'!$D$33:$W$33,'Matriz_Habilidades'!$D134:$W134)/'Calc_Mix'!$X$33+ROW()*0.000001))</f>
        <v/>
      </c>
      <c r="AK134" s="34">
        <f>IF(OR($B134="",$C134&lt;&gt;"Ativo",$D134&lt;&gt;'Calc_Mix'!$C$34,'Calc_Mix'!$X$34=0,COUNTIFS(Esc_Turno,'Calc_Mix'!$C$34,Esc_Circ,$B134)+COUNTIFS(Esc_Turno,'Calc_Mix'!$C$34,Esc_Instr,$B134)&gt;0),"",IF(SUMPRODUCT('Calc_Mix'!$D$34:$W$34,'Matriz_Habilidades'!$D134:$W134)=0,"",SUMPRODUCT('Calc_Mix'!$D$34:$W$34,'Matriz_Habilidades'!$D134:$W134)/'Calc_Mix'!$X$34+ROW()*0.000001))</f>
        <v/>
      </c>
      <c r="AL134" s="34">
        <f>IF(OR($B134="",$C134&lt;&gt;"Ativo",$D134&lt;&gt;'Calc_Mix'!$C$35,'Calc_Mix'!$X$35=0,COUNTIFS(Esc_Turno,'Calc_Mix'!$C$35,Esc_Circ,$B134)+COUNTIFS(Esc_Turno,'Calc_Mix'!$C$35,Esc_Instr,$B134)&gt;0),"",IF(SUMPRODUCT('Calc_Mix'!$D$35:$W$35,'Matriz_Habilidades'!$D134:$W134)=0,"",SUMPRODUCT('Calc_Mix'!$D$35:$W$35,'Matriz_Habilidades'!$D134:$W134)/'Calc_Mix'!$X$35+ROW()*0.000001))</f>
        <v/>
      </c>
      <c r="AM134" s="34">
        <f>IF(OR($B134="",$C134&lt;&gt;"Ativo",$D134&lt;&gt;'Calc_Mix'!$C$36,'Calc_Mix'!$X$36=0,COUNTIFS(Esc_Turno,'Calc_Mix'!$C$36,Esc_Circ,$B134)+COUNTIFS(Esc_Turno,'Calc_Mix'!$C$36,Esc_Instr,$B134)&gt;0),"",IF(SUMPRODUCT('Calc_Mix'!$D$36:$W$36,'Matriz_Habilidades'!$D134:$W134)=0,"",SUMPRODUCT('Calc_Mix'!$D$36:$W$36,'Matriz_Habilidades'!$D134:$W134)/'Calc_Mix'!$X$36+ROW()*0.000001))</f>
        <v/>
      </c>
      <c r="AN134" s="34">
        <f>IF(OR($B134="",$C134&lt;&gt;"Ativo",$D134&lt;&gt;'Calc_Mix'!$C$37,'Calc_Mix'!$X$37=0,COUNTIFS(Esc_Turno,'Calc_Mix'!$C$37,Esc_Circ,$B134)+COUNTIFS(Esc_Turno,'Calc_Mix'!$C$37,Esc_Instr,$B134)&gt;0),"",IF(SUMPRODUCT('Calc_Mix'!$D$37:$W$37,'Matriz_Habilidades'!$D134:$W134)=0,"",SUMPRODUCT('Calc_Mix'!$D$37:$W$37,'Matriz_Habilidades'!$D134:$W134)/'Calc_Mix'!$X$37+ROW()*0.000001))</f>
        <v/>
      </c>
    </row>
    <row r="135">
      <c r="A135" s="27">
        <f>IF('Matriz_Habilidades'!A135="","",'Matriz_Habilidades'!A135)</f>
        <v/>
      </c>
      <c r="B135" s="28">
        <f>IF('Matriz_Habilidades'!B135="","",'Matriz_Habilidades'!B135)</f>
        <v/>
      </c>
      <c r="C135" s="27">
        <f>IF($A135="","",IFERROR(INDEX(Equipe_Status,MATCH($B135,Equipe_Nome,0)),"?"))</f>
        <v/>
      </c>
      <c r="D135" s="27">
        <f>IF($A135="","",IFERROR(INDEX(Equipe_Turno,MATCH($B135,Equipe_Nome,0)),"?"))</f>
        <v/>
      </c>
      <c r="E135" s="34">
        <f>IF(OR($B135="",$C135&lt;&gt;"Ativo",$D135&lt;&gt;'Calc_Mix'!$C$2,'Calc_Mix'!$X$2=0,COUNTIFS(Esc_Turno,'Calc_Mix'!$C$2,Esc_Circ,$B135)+COUNTIFS(Esc_Turno,'Calc_Mix'!$C$2,Esc_Instr,$B135)&gt;0),"",IF(SUMPRODUCT('Calc_Mix'!$D$2:$W$2,'Matriz_Habilidades'!$D135:$W135)=0,"",SUMPRODUCT('Calc_Mix'!$D$2:$W$2,'Matriz_Habilidades'!$D135:$W135)/'Calc_Mix'!$X$2+ROW()*0.000001))</f>
        <v/>
      </c>
      <c r="F135" s="34">
        <f>IF(OR($B135="",$C135&lt;&gt;"Ativo",$D135&lt;&gt;'Calc_Mix'!$C$3,'Calc_Mix'!$X$3=0,COUNTIFS(Esc_Turno,'Calc_Mix'!$C$3,Esc_Circ,$B135)+COUNTIFS(Esc_Turno,'Calc_Mix'!$C$3,Esc_Instr,$B135)&gt;0),"",IF(SUMPRODUCT('Calc_Mix'!$D$3:$W$3,'Matriz_Habilidades'!$D135:$W135)=0,"",SUMPRODUCT('Calc_Mix'!$D$3:$W$3,'Matriz_Habilidades'!$D135:$W135)/'Calc_Mix'!$X$3+ROW()*0.000001))</f>
        <v/>
      </c>
      <c r="G135" s="34">
        <f>IF(OR($B135="",$C135&lt;&gt;"Ativo",$D135&lt;&gt;'Calc_Mix'!$C$4,'Calc_Mix'!$X$4=0,COUNTIFS(Esc_Turno,'Calc_Mix'!$C$4,Esc_Circ,$B135)+COUNTIFS(Esc_Turno,'Calc_Mix'!$C$4,Esc_Instr,$B135)&gt;0),"",IF(SUMPRODUCT('Calc_Mix'!$D$4:$W$4,'Matriz_Habilidades'!$D135:$W135)=0,"",SUMPRODUCT('Calc_Mix'!$D$4:$W$4,'Matriz_Habilidades'!$D135:$W135)/'Calc_Mix'!$X$4+ROW()*0.000001))</f>
        <v/>
      </c>
      <c r="H135" s="34">
        <f>IF(OR($B135="",$C135&lt;&gt;"Ativo",$D135&lt;&gt;'Calc_Mix'!$C$5,'Calc_Mix'!$X$5=0,COUNTIFS(Esc_Turno,'Calc_Mix'!$C$5,Esc_Circ,$B135)+COUNTIFS(Esc_Turno,'Calc_Mix'!$C$5,Esc_Instr,$B135)&gt;0),"",IF(SUMPRODUCT('Calc_Mix'!$D$5:$W$5,'Matriz_Habilidades'!$D135:$W135)=0,"",SUMPRODUCT('Calc_Mix'!$D$5:$W$5,'Matriz_Habilidades'!$D135:$W135)/'Calc_Mix'!$X$5+ROW()*0.000001))</f>
        <v/>
      </c>
      <c r="I135" s="34">
        <f>IF(OR($B135="",$C135&lt;&gt;"Ativo",$D135&lt;&gt;'Calc_Mix'!$C$6,'Calc_Mix'!$X$6=0,COUNTIFS(Esc_Turno,'Calc_Mix'!$C$6,Esc_Circ,$B135)+COUNTIFS(Esc_Turno,'Calc_Mix'!$C$6,Esc_Instr,$B135)&gt;0),"",IF(SUMPRODUCT('Calc_Mix'!$D$6:$W$6,'Matriz_Habilidades'!$D135:$W135)=0,"",SUMPRODUCT('Calc_Mix'!$D$6:$W$6,'Matriz_Habilidades'!$D135:$W135)/'Calc_Mix'!$X$6+ROW()*0.000001))</f>
        <v/>
      </c>
      <c r="J135" s="34">
        <f>IF(OR($B135="",$C135&lt;&gt;"Ativo",$D135&lt;&gt;'Calc_Mix'!$C$7,'Calc_Mix'!$X$7=0,COUNTIFS(Esc_Turno,'Calc_Mix'!$C$7,Esc_Circ,$B135)+COUNTIFS(Esc_Turno,'Calc_Mix'!$C$7,Esc_Instr,$B135)&gt;0),"",IF(SUMPRODUCT('Calc_Mix'!$D$7:$W$7,'Matriz_Habilidades'!$D135:$W135)=0,"",SUMPRODUCT('Calc_Mix'!$D$7:$W$7,'Matriz_Habilidades'!$D135:$W135)/'Calc_Mix'!$X$7+ROW()*0.000001))</f>
        <v/>
      </c>
      <c r="K135" s="34">
        <f>IF(OR($B135="",$C135&lt;&gt;"Ativo",$D135&lt;&gt;'Calc_Mix'!$C$8,'Calc_Mix'!$X$8=0,COUNTIFS(Esc_Turno,'Calc_Mix'!$C$8,Esc_Circ,$B135)+COUNTIFS(Esc_Turno,'Calc_Mix'!$C$8,Esc_Instr,$B135)&gt;0),"",IF(SUMPRODUCT('Calc_Mix'!$D$8:$W$8,'Matriz_Habilidades'!$D135:$W135)=0,"",SUMPRODUCT('Calc_Mix'!$D$8:$W$8,'Matriz_Habilidades'!$D135:$W135)/'Calc_Mix'!$X$8+ROW()*0.000001))</f>
        <v/>
      </c>
      <c r="L135" s="34">
        <f>IF(OR($B135="",$C135&lt;&gt;"Ativo",$D135&lt;&gt;'Calc_Mix'!$C$9,'Calc_Mix'!$X$9=0,COUNTIFS(Esc_Turno,'Calc_Mix'!$C$9,Esc_Circ,$B135)+COUNTIFS(Esc_Turno,'Calc_Mix'!$C$9,Esc_Instr,$B135)&gt;0),"",IF(SUMPRODUCT('Calc_Mix'!$D$9:$W$9,'Matriz_Habilidades'!$D135:$W135)=0,"",SUMPRODUCT('Calc_Mix'!$D$9:$W$9,'Matriz_Habilidades'!$D135:$W135)/'Calc_Mix'!$X$9+ROW()*0.000001))</f>
        <v/>
      </c>
      <c r="M135" s="34">
        <f>IF(OR($B135="",$C135&lt;&gt;"Ativo",$D135&lt;&gt;'Calc_Mix'!$C$10,'Calc_Mix'!$X$10=0,COUNTIFS(Esc_Turno,'Calc_Mix'!$C$10,Esc_Circ,$B135)+COUNTIFS(Esc_Turno,'Calc_Mix'!$C$10,Esc_Instr,$B135)&gt;0),"",IF(SUMPRODUCT('Calc_Mix'!$D$10:$W$10,'Matriz_Habilidades'!$D135:$W135)=0,"",SUMPRODUCT('Calc_Mix'!$D$10:$W$10,'Matriz_Habilidades'!$D135:$W135)/'Calc_Mix'!$X$10+ROW()*0.000001))</f>
        <v/>
      </c>
      <c r="N135" s="34">
        <f>IF(OR($B135="",$C135&lt;&gt;"Ativo",$D135&lt;&gt;'Calc_Mix'!$C$11,'Calc_Mix'!$X$11=0,COUNTIFS(Esc_Turno,'Calc_Mix'!$C$11,Esc_Circ,$B135)+COUNTIFS(Esc_Turno,'Calc_Mix'!$C$11,Esc_Instr,$B135)&gt;0),"",IF(SUMPRODUCT('Calc_Mix'!$D$11:$W$11,'Matriz_Habilidades'!$D135:$W135)=0,"",SUMPRODUCT('Calc_Mix'!$D$11:$W$11,'Matriz_Habilidades'!$D135:$W135)/'Calc_Mix'!$X$11+ROW()*0.000001))</f>
        <v/>
      </c>
      <c r="O135" s="34">
        <f>IF(OR($B135="",$C135&lt;&gt;"Ativo",$D135&lt;&gt;'Calc_Mix'!$C$12,'Calc_Mix'!$X$12=0,COUNTIFS(Esc_Turno,'Calc_Mix'!$C$12,Esc_Circ,$B135)+COUNTIFS(Esc_Turno,'Calc_Mix'!$C$12,Esc_Instr,$B135)&gt;0),"",IF(SUMPRODUCT('Calc_Mix'!$D$12:$W$12,'Matriz_Habilidades'!$D135:$W135)=0,"",SUMPRODUCT('Calc_Mix'!$D$12:$W$12,'Matriz_Habilidades'!$D135:$W135)/'Calc_Mix'!$X$12+ROW()*0.000001))</f>
        <v/>
      </c>
      <c r="P135" s="34">
        <f>IF(OR($B135="",$C135&lt;&gt;"Ativo",$D135&lt;&gt;'Calc_Mix'!$C$13,'Calc_Mix'!$X$13=0,COUNTIFS(Esc_Turno,'Calc_Mix'!$C$13,Esc_Circ,$B135)+COUNTIFS(Esc_Turno,'Calc_Mix'!$C$13,Esc_Instr,$B135)&gt;0),"",IF(SUMPRODUCT('Calc_Mix'!$D$13:$W$13,'Matriz_Habilidades'!$D135:$W135)=0,"",SUMPRODUCT('Calc_Mix'!$D$13:$W$13,'Matriz_Habilidades'!$D135:$W135)/'Calc_Mix'!$X$13+ROW()*0.000001))</f>
        <v/>
      </c>
      <c r="Q135" s="34">
        <f>IF(OR($B135="",$C135&lt;&gt;"Ativo",$D135&lt;&gt;'Calc_Mix'!$C$14,'Calc_Mix'!$X$14=0,COUNTIFS(Esc_Turno,'Calc_Mix'!$C$14,Esc_Circ,$B135)+COUNTIFS(Esc_Turno,'Calc_Mix'!$C$14,Esc_Instr,$B135)&gt;0),"",IF(SUMPRODUCT('Calc_Mix'!$D$14:$W$14,'Matriz_Habilidades'!$D135:$W135)=0,"",SUMPRODUCT('Calc_Mix'!$D$14:$W$14,'Matriz_Habilidades'!$D135:$W135)/'Calc_Mix'!$X$14+ROW()*0.000001))</f>
        <v/>
      </c>
      <c r="R135" s="34">
        <f>IF(OR($B135="",$C135&lt;&gt;"Ativo",$D135&lt;&gt;'Calc_Mix'!$C$15,'Calc_Mix'!$X$15=0,COUNTIFS(Esc_Turno,'Calc_Mix'!$C$15,Esc_Circ,$B135)+COUNTIFS(Esc_Turno,'Calc_Mix'!$C$15,Esc_Instr,$B135)&gt;0),"",IF(SUMPRODUCT('Calc_Mix'!$D$15:$W$15,'Matriz_Habilidades'!$D135:$W135)=0,"",SUMPRODUCT('Calc_Mix'!$D$15:$W$15,'Matriz_Habilidades'!$D135:$W135)/'Calc_Mix'!$X$15+ROW()*0.000001))</f>
        <v/>
      </c>
      <c r="S135" s="34">
        <f>IF(OR($B135="",$C135&lt;&gt;"Ativo",$D135&lt;&gt;'Calc_Mix'!$C$16,'Calc_Mix'!$X$16=0,COUNTIFS(Esc_Turno,'Calc_Mix'!$C$16,Esc_Circ,$B135)+COUNTIFS(Esc_Turno,'Calc_Mix'!$C$16,Esc_Instr,$B135)&gt;0),"",IF(SUMPRODUCT('Calc_Mix'!$D$16:$W$16,'Matriz_Habilidades'!$D135:$W135)=0,"",SUMPRODUCT('Calc_Mix'!$D$16:$W$16,'Matriz_Habilidades'!$D135:$W135)/'Calc_Mix'!$X$16+ROW()*0.000001))</f>
        <v/>
      </c>
      <c r="T135" s="34">
        <f>IF(OR($B135="",$C135&lt;&gt;"Ativo",$D135&lt;&gt;'Calc_Mix'!$C$17,'Calc_Mix'!$X$17=0,COUNTIFS(Esc_Turno,'Calc_Mix'!$C$17,Esc_Circ,$B135)+COUNTIFS(Esc_Turno,'Calc_Mix'!$C$17,Esc_Instr,$B135)&gt;0),"",IF(SUMPRODUCT('Calc_Mix'!$D$17:$W$17,'Matriz_Habilidades'!$D135:$W135)=0,"",SUMPRODUCT('Calc_Mix'!$D$17:$W$17,'Matriz_Habilidades'!$D135:$W135)/'Calc_Mix'!$X$17+ROW()*0.000001))</f>
        <v/>
      </c>
      <c r="U135" s="34">
        <f>IF(OR($B135="",$C135&lt;&gt;"Ativo",$D135&lt;&gt;'Calc_Mix'!$C$18,'Calc_Mix'!$X$18=0,COUNTIFS(Esc_Turno,'Calc_Mix'!$C$18,Esc_Circ,$B135)+COUNTIFS(Esc_Turno,'Calc_Mix'!$C$18,Esc_Instr,$B135)&gt;0),"",IF(SUMPRODUCT('Calc_Mix'!$D$18:$W$18,'Matriz_Habilidades'!$D135:$W135)=0,"",SUMPRODUCT('Calc_Mix'!$D$18:$W$18,'Matriz_Habilidades'!$D135:$W135)/'Calc_Mix'!$X$18+ROW()*0.000001))</f>
        <v/>
      </c>
      <c r="V135" s="34">
        <f>IF(OR($B135="",$C135&lt;&gt;"Ativo",$D135&lt;&gt;'Calc_Mix'!$C$19,'Calc_Mix'!$X$19=0,COUNTIFS(Esc_Turno,'Calc_Mix'!$C$19,Esc_Circ,$B135)+COUNTIFS(Esc_Turno,'Calc_Mix'!$C$19,Esc_Instr,$B135)&gt;0),"",IF(SUMPRODUCT('Calc_Mix'!$D$19:$W$19,'Matriz_Habilidades'!$D135:$W135)=0,"",SUMPRODUCT('Calc_Mix'!$D$19:$W$19,'Matriz_Habilidades'!$D135:$W135)/'Calc_Mix'!$X$19+ROW()*0.000001))</f>
        <v/>
      </c>
      <c r="W135" s="34">
        <f>IF(OR($B135="",$C135&lt;&gt;"Ativo",$D135&lt;&gt;'Calc_Mix'!$C$20,'Calc_Mix'!$X$20=0,COUNTIFS(Esc_Turno,'Calc_Mix'!$C$20,Esc_Circ,$B135)+COUNTIFS(Esc_Turno,'Calc_Mix'!$C$20,Esc_Instr,$B135)&gt;0),"",IF(SUMPRODUCT('Calc_Mix'!$D$20:$W$20,'Matriz_Habilidades'!$D135:$W135)=0,"",SUMPRODUCT('Calc_Mix'!$D$20:$W$20,'Matriz_Habilidades'!$D135:$W135)/'Calc_Mix'!$X$20+ROW()*0.000001))</f>
        <v/>
      </c>
      <c r="X135" s="34">
        <f>IF(OR($B135="",$C135&lt;&gt;"Ativo",$D135&lt;&gt;'Calc_Mix'!$C$21,'Calc_Mix'!$X$21=0,COUNTIFS(Esc_Turno,'Calc_Mix'!$C$21,Esc_Circ,$B135)+COUNTIFS(Esc_Turno,'Calc_Mix'!$C$21,Esc_Instr,$B135)&gt;0),"",IF(SUMPRODUCT('Calc_Mix'!$D$21:$W$21,'Matriz_Habilidades'!$D135:$W135)=0,"",SUMPRODUCT('Calc_Mix'!$D$21:$W$21,'Matriz_Habilidades'!$D135:$W135)/'Calc_Mix'!$X$21+ROW()*0.000001))</f>
        <v/>
      </c>
      <c r="Y135" s="34">
        <f>IF(OR($B135="",$C135&lt;&gt;"Ativo",$D135&lt;&gt;'Calc_Mix'!$C$22,'Calc_Mix'!$X$22=0,COUNTIFS(Esc_Turno,'Calc_Mix'!$C$22,Esc_Circ,$B135)+COUNTIFS(Esc_Turno,'Calc_Mix'!$C$22,Esc_Instr,$B135)&gt;0),"",IF(SUMPRODUCT('Calc_Mix'!$D$22:$W$22,'Matriz_Habilidades'!$D135:$W135)=0,"",SUMPRODUCT('Calc_Mix'!$D$22:$W$22,'Matriz_Habilidades'!$D135:$W135)/'Calc_Mix'!$X$22+ROW()*0.000001))</f>
        <v/>
      </c>
      <c r="Z135" s="34">
        <f>IF(OR($B135="",$C135&lt;&gt;"Ativo",$D135&lt;&gt;'Calc_Mix'!$C$23,'Calc_Mix'!$X$23=0,COUNTIFS(Esc_Turno,'Calc_Mix'!$C$23,Esc_Circ,$B135)+COUNTIFS(Esc_Turno,'Calc_Mix'!$C$23,Esc_Instr,$B135)&gt;0),"",IF(SUMPRODUCT('Calc_Mix'!$D$23:$W$23,'Matriz_Habilidades'!$D135:$W135)=0,"",SUMPRODUCT('Calc_Mix'!$D$23:$W$23,'Matriz_Habilidades'!$D135:$W135)/'Calc_Mix'!$X$23+ROW()*0.000001))</f>
        <v/>
      </c>
      <c r="AA135" s="34">
        <f>IF(OR($B135="",$C135&lt;&gt;"Ativo",$D135&lt;&gt;'Calc_Mix'!$C$24,'Calc_Mix'!$X$24=0,COUNTIFS(Esc_Turno,'Calc_Mix'!$C$24,Esc_Circ,$B135)+COUNTIFS(Esc_Turno,'Calc_Mix'!$C$24,Esc_Instr,$B135)&gt;0),"",IF(SUMPRODUCT('Calc_Mix'!$D$24:$W$24,'Matriz_Habilidades'!$D135:$W135)=0,"",SUMPRODUCT('Calc_Mix'!$D$24:$W$24,'Matriz_Habilidades'!$D135:$W135)/'Calc_Mix'!$X$24+ROW()*0.000001))</f>
        <v/>
      </c>
      <c r="AB135" s="34">
        <f>IF(OR($B135="",$C135&lt;&gt;"Ativo",$D135&lt;&gt;'Calc_Mix'!$C$25,'Calc_Mix'!$X$25=0,COUNTIFS(Esc_Turno,'Calc_Mix'!$C$25,Esc_Circ,$B135)+COUNTIFS(Esc_Turno,'Calc_Mix'!$C$25,Esc_Instr,$B135)&gt;0),"",IF(SUMPRODUCT('Calc_Mix'!$D$25:$W$25,'Matriz_Habilidades'!$D135:$W135)=0,"",SUMPRODUCT('Calc_Mix'!$D$25:$W$25,'Matriz_Habilidades'!$D135:$W135)/'Calc_Mix'!$X$25+ROW()*0.000001))</f>
        <v/>
      </c>
      <c r="AC135" s="34">
        <f>IF(OR($B135="",$C135&lt;&gt;"Ativo",$D135&lt;&gt;'Calc_Mix'!$C$26,'Calc_Mix'!$X$26=0,COUNTIFS(Esc_Turno,'Calc_Mix'!$C$26,Esc_Circ,$B135)+COUNTIFS(Esc_Turno,'Calc_Mix'!$C$26,Esc_Instr,$B135)&gt;0),"",IF(SUMPRODUCT('Calc_Mix'!$D$26:$W$26,'Matriz_Habilidades'!$D135:$W135)=0,"",SUMPRODUCT('Calc_Mix'!$D$26:$W$26,'Matriz_Habilidades'!$D135:$W135)/'Calc_Mix'!$X$26+ROW()*0.000001))</f>
        <v/>
      </c>
      <c r="AD135" s="34">
        <f>IF(OR($B135="",$C135&lt;&gt;"Ativo",$D135&lt;&gt;'Calc_Mix'!$C$27,'Calc_Mix'!$X$27=0,COUNTIFS(Esc_Turno,'Calc_Mix'!$C$27,Esc_Circ,$B135)+COUNTIFS(Esc_Turno,'Calc_Mix'!$C$27,Esc_Instr,$B135)&gt;0),"",IF(SUMPRODUCT('Calc_Mix'!$D$27:$W$27,'Matriz_Habilidades'!$D135:$W135)=0,"",SUMPRODUCT('Calc_Mix'!$D$27:$W$27,'Matriz_Habilidades'!$D135:$W135)/'Calc_Mix'!$X$27+ROW()*0.000001))</f>
        <v/>
      </c>
      <c r="AE135" s="34">
        <f>IF(OR($B135="",$C135&lt;&gt;"Ativo",$D135&lt;&gt;'Calc_Mix'!$C$28,'Calc_Mix'!$X$28=0,COUNTIFS(Esc_Turno,'Calc_Mix'!$C$28,Esc_Circ,$B135)+COUNTIFS(Esc_Turno,'Calc_Mix'!$C$28,Esc_Instr,$B135)&gt;0),"",IF(SUMPRODUCT('Calc_Mix'!$D$28:$W$28,'Matriz_Habilidades'!$D135:$W135)=0,"",SUMPRODUCT('Calc_Mix'!$D$28:$W$28,'Matriz_Habilidades'!$D135:$W135)/'Calc_Mix'!$X$28+ROW()*0.000001))</f>
        <v/>
      </c>
      <c r="AF135" s="34">
        <f>IF(OR($B135="",$C135&lt;&gt;"Ativo",$D135&lt;&gt;'Calc_Mix'!$C$29,'Calc_Mix'!$X$29=0,COUNTIFS(Esc_Turno,'Calc_Mix'!$C$29,Esc_Circ,$B135)+COUNTIFS(Esc_Turno,'Calc_Mix'!$C$29,Esc_Instr,$B135)&gt;0),"",IF(SUMPRODUCT('Calc_Mix'!$D$29:$W$29,'Matriz_Habilidades'!$D135:$W135)=0,"",SUMPRODUCT('Calc_Mix'!$D$29:$W$29,'Matriz_Habilidades'!$D135:$W135)/'Calc_Mix'!$X$29+ROW()*0.000001))</f>
        <v/>
      </c>
      <c r="AG135" s="34">
        <f>IF(OR($B135="",$C135&lt;&gt;"Ativo",$D135&lt;&gt;'Calc_Mix'!$C$30,'Calc_Mix'!$X$30=0,COUNTIFS(Esc_Turno,'Calc_Mix'!$C$30,Esc_Circ,$B135)+COUNTIFS(Esc_Turno,'Calc_Mix'!$C$30,Esc_Instr,$B135)&gt;0),"",IF(SUMPRODUCT('Calc_Mix'!$D$30:$W$30,'Matriz_Habilidades'!$D135:$W135)=0,"",SUMPRODUCT('Calc_Mix'!$D$30:$W$30,'Matriz_Habilidades'!$D135:$W135)/'Calc_Mix'!$X$30+ROW()*0.000001))</f>
        <v/>
      </c>
      <c r="AH135" s="34">
        <f>IF(OR($B135="",$C135&lt;&gt;"Ativo",$D135&lt;&gt;'Calc_Mix'!$C$31,'Calc_Mix'!$X$31=0,COUNTIFS(Esc_Turno,'Calc_Mix'!$C$31,Esc_Circ,$B135)+COUNTIFS(Esc_Turno,'Calc_Mix'!$C$31,Esc_Instr,$B135)&gt;0),"",IF(SUMPRODUCT('Calc_Mix'!$D$31:$W$31,'Matriz_Habilidades'!$D135:$W135)=0,"",SUMPRODUCT('Calc_Mix'!$D$31:$W$31,'Matriz_Habilidades'!$D135:$W135)/'Calc_Mix'!$X$31+ROW()*0.000001))</f>
        <v/>
      </c>
      <c r="AI135" s="34">
        <f>IF(OR($B135="",$C135&lt;&gt;"Ativo",$D135&lt;&gt;'Calc_Mix'!$C$32,'Calc_Mix'!$X$32=0,COUNTIFS(Esc_Turno,'Calc_Mix'!$C$32,Esc_Circ,$B135)+COUNTIFS(Esc_Turno,'Calc_Mix'!$C$32,Esc_Instr,$B135)&gt;0),"",IF(SUMPRODUCT('Calc_Mix'!$D$32:$W$32,'Matriz_Habilidades'!$D135:$W135)=0,"",SUMPRODUCT('Calc_Mix'!$D$32:$W$32,'Matriz_Habilidades'!$D135:$W135)/'Calc_Mix'!$X$32+ROW()*0.000001))</f>
        <v/>
      </c>
      <c r="AJ135" s="34">
        <f>IF(OR($B135="",$C135&lt;&gt;"Ativo",$D135&lt;&gt;'Calc_Mix'!$C$33,'Calc_Mix'!$X$33=0,COUNTIFS(Esc_Turno,'Calc_Mix'!$C$33,Esc_Circ,$B135)+COUNTIFS(Esc_Turno,'Calc_Mix'!$C$33,Esc_Instr,$B135)&gt;0),"",IF(SUMPRODUCT('Calc_Mix'!$D$33:$W$33,'Matriz_Habilidades'!$D135:$W135)=0,"",SUMPRODUCT('Calc_Mix'!$D$33:$W$33,'Matriz_Habilidades'!$D135:$W135)/'Calc_Mix'!$X$33+ROW()*0.000001))</f>
        <v/>
      </c>
      <c r="AK135" s="34">
        <f>IF(OR($B135="",$C135&lt;&gt;"Ativo",$D135&lt;&gt;'Calc_Mix'!$C$34,'Calc_Mix'!$X$34=0,COUNTIFS(Esc_Turno,'Calc_Mix'!$C$34,Esc_Circ,$B135)+COUNTIFS(Esc_Turno,'Calc_Mix'!$C$34,Esc_Instr,$B135)&gt;0),"",IF(SUMPRODUCT('Calc_Mix'!$D$34:$W$34,'Matriz_Habilidades'!$D135:$W135)=0,"",SUMPRODUCT('Calc_Mix'!$D$34:$W$34,'Matriz_Habilidades'!$D135:$W135)/'Calc_Mix'!$X$34+ROW()*0.000001))</f>
        <v/>
      </c>
      <c r="AL135" s="34">
        <f>IF(OR($B135="",$C135&lt;&gt;"Ativo",$D135&lt;&gt;'Calc_Mix'!$C$35,'Calc_Mix'!$X$35=0,COUNTIFS(Esc_Turno,'Calc_Mix'!$C$35,Esc_Circ,$B135)+COUNTIFS(Esc_Turno,'Calc_Mix'!$C$35,Esc_Instr,$B135)&gt;0),"",IF(SUMPRODUCT('Calc_Mix'!$D$35:$W$35,'Matriz_Habilidades'!$D135:$W135)=0,"",SUMPRODUCT('Calc_Mix'!$D$35:$W$35,'Matriz_Habilidades'!$D135:$W135)/'Calc_Mix'!$X$35+ROW()*0.000001))</f>
        <v/>
      </c>
      <c r="AM135" s="34">
        <f>IF(OR($B135="",$C135&lt;&gt;"Ativo",$D135&lt;&gt;'Calc_Mix'!$C$36,'Calc_Mix'!$X$36=0,COUNTIFS(Esc_Turno,'Calc_Mix'!$C$36,Esc_Circ,$B135)+COUNTIFS(Esc_Turno,'Calc_Mix'!$C$36,Esc_Instr,$B135)&gt;0),"",IF(SUMPRODUCT('Calc_Mix'!$D$36:$W$36,'Matriz_Habilidades'!$D135:$W135)=0,"",SUMPRODUCT('Calc_Mix'!$D$36:$W$36,'Matriz_Habilidades'!$D135:$W135)/'Calc_Mix'!$X$36+ROW()*0.000001))</f>
        <v/>
      </c>
      <c r="AN135" s="34">
        <f>IF(OR($B135="",$C135&lt;&gt;"Ativo",$D135&lt;&gt;'Calc_Mix'!$C$37,'Calc_Mix'!$X$37=0,COUNTIFS(Esc_Turno,'Calc_Mix'!$C$37,Esc_Circ,$B135)+COUNTIFS(Esc_Turno,'Calc_Mix'!$C$37,Esc_Instr,$B135)&gt;0),"",IF(SUMPRODUCT('Calc_Mix'!$D$37:$W$37,'Matriz_Habilidades'!$D135:$W135)=0,"",SUMPRODUCT('Calc_Mix'!$D$37:$W$37,'Matriz_Habilidades'!$D135:$W135)/'Calc_Mix'!$X$37+ROW()*0.000001))</f>
        <v/>
      </c>
    </row>
    <row r="136">
      <c r="A136" s="27">
        <f>IF('Matriz_Habilidades'!A136="","",'Matriz_Habilidades'!A136)</f>
        <v/>
      </c>
      <c r="B136" s="28">
        <f>IF('Matriz_Habilidades'!B136="","",'Matriz_Habilidades'!B136)</f>
        <v/>
      </c>
      <c r="C136" s="27">
        <f>IF($A136="","",IFERROR(INDEX(Equipe_Status,MATCH($B136,Equipe_Nome,0)),"?"))</f>
        <v/>
      </c>
      <c r="D136" s="27">
        <f>IF($A136="","",IFERROR(INDEX(Equipe_Turno,MATCH($B136,Equipe_Nome,0)),"?"))</f>
        <v/>
      </c>
      <c r="E136" s="34">
        <f>IF(OR($B136="",$C136&lt;&gt;"Ativo",$D136&lt;&gt;'Calc_Mix'!$C$2,'Calc_Mix'!$X$2=0,COUNTIFS(Esc_Turno,'Calc_Mix'!$C$2,Esc_Circ,$B136)+COUNTIFS(Esc_Turno,'Calc_Mix'!$C$2,Esc_Instr,$B136)&gt;0),"",IF(SUMPRODUCT('Calc_Mix'!$D$2:$W$2,'Matriz_Habilidades'!$D136:$W136)=0,"",SUMPRODUCT('Calc_Mix'!$D$2:$W$2,'Matriz_Habilidades'!$D136:$W136)/'Calc_Mix'!$X$2+ROW()*0.000001))</f>
        <v/>
      </c>
      <c r="F136" s="34">
        <f>IF(OR($B136="",$C136&lt;&gt;"Ativo",$D136&lt;&gt;'Calc_Mix'!$C$3,'Calc_Mix'!$X$3=0,COUNTIFS(Esc_Turno,'Calc_Mix'!$C$3,Esc_Circ,$B136)+COUNTIFS(Esc_Turno,'Calc_Mix'!$C$3,Esc_Instr,$B136)&gt;0),"",IF(SUMPRODUCT('Calc_Mix'!$D$3:$W$3,'Matriz_Habilidades'!$D136:$W136)=0,"",SUMPRODUCT('Calc_Mix'!$D$3:$W$3,'Matriz_Habilidades'!$D136:$W136)/'Calc_Mix'!$X$3+ROW()*0.000001))</f>
        <v/>
      </c>
      <c r="G136" s="34">
        <f>IF(OR($B136="",$C136&lt;&gt;"Ativo",$D136&lt;&gt;'Calc_Mix'!$C$4,'Calc_Mix'!$X$4=0,COUNTIFS(Esc_Turno,'Calc_Mix'!$C$4,Esc_Circ,$B136)+COUNTIFS(Esc_Turno,'Calc_Mix'!$C$4,Esc_Instr,$B136)&gt;0),"",IF(SUMPRODUCT('Calc_Mix'!$D$4:$W$4,'Matriz_Habilidades'!$D136:$W136)=0,"",SUMPRODUCT('Calc_Mix'!$D$4:$W$4,'Matriz_Habilidades'!$D136:$W136)/'Calc_Mix'!$X$4+ROW()*0.000001))</f>
        <v/>
      </c>
      <c r="H136" s="34">
        <f>IF(OR($B136="",$C136&lt;&gt;"Ativo",$D136&lt;&gt;'Calc_Mix'!$C$5,'Calc_Mix'!$X$5=0,COUNTIFS(Esc_Turno,'Calc_Mix'!$C$5,Esc_Circ,$B136)+COUNTIFS(Esc_Turno,'Calc_Mix'!$C$5,Esc_Instr,$B136)&gt;0),"",IF(SUMPRODUCT('Calc_Mix'!$D$5:$W$5,'Matriz_Habilidades'!$D136:$W136)=0,"",SUMPRODUCT('Calc_Mix'!$D$5:$W$5,'Matriz_Habilidades'!$D136:$W136)/'Calc_Mix'!$X$5+ROW()*0.000001))</f>
        <v/>
      </c>
      <c r="I136" s="34">
        <f>IF(OR($B136="",$C136&lt;&gt;"Ativo",$D136&lt;&gt;'Calc_Mix'!$C$6,'Calc_Mix'!$X$6=0,COUNTIFS(Esc_Turno,'Calc_Mix'!$C$6,Esc_Circ,$B136)+COUNTIFS(Esc_Turno,'Calc_Mix'!$C$6,Esc_Instr,$B136)&gt;0),"",IF(SUMPRODUCT('Calc_Mix'!$D$6:$W$6,'Matriz_Habilidades'!$D136:$W136)=0,"",SUMPRODUCT('Calc_Mix'!$D$6:$W$6,'Matriz_Habilidades'!$D136:$W136)/'Calc_Mix'!$X$6+ROW()*0.000001))</f>
        <v/>
      </c>
      <c r="J136" s="34">
        <f>IF(OR($B136="",$C136&lt;&gt;"Ativo",$D136&lt;&gt;'Calc_Mix'!$C$7,'Calc_Mix'!$X$7=0,COUNTIFS(Esc_Turno,'Calc_Mix'!$C$7,Esc_Circ,$B136)+COUNTIFS(Esc_Turno,'Calc_Mix'!$C$7,Esc_Instr,$B136)&gt;0),"",IF(SUMPRODUCT('Calc_Mix'!$D$7:$W$7,'Matriz_Habilidades'!$D136:$W136)=0,"",SUMPRODUCT('Calc_Mix'!$D$7:$W$7,'Matriz_Habilidades'!$D136:$W136)/'Calc_Mix'!$X$7+ROW()*0.000001))</f>
        <v/>
      </c>
      <c r="K136" s="34">
        <f>IF(OR($B136="",$C136&lt;&gt;"Ativo",$D136&lt;&gt;'Calc_Mix'!$C$8,'Calc_Mix'!$X$8=0,COUNTIFS(Esc_Turno,'Calc_Mix'!$C$8,Esc_Circ,$B136)+COUNTIFS(Esc_Turno,'Calc_Mix'!$C$8,Esc_Instr,$B136)&gt;0),"",IF(SUMPRODUCT('Calc_Mix'!$D$8:$W$8,'Matriz_Habilidades'!$D136:$W136)=0,"",SUMPRODUCT('Calc_Mix'!$D$8:$W$8,'Matriz_Habilidades'!$D136:$W136)/'Calc_Mix'!$X$8+ROW()*0.000001))</f>
        <v/>
      </c>
      <c r="L136" s="34">
        <f>IF(OR($B136="",$C136&lt;&gt;"Ativo",$D136&lt;&gt;'Calc_Mix'!$C$9,'Calc_Mix'!$X$9=0,COUNTIFS(Esc_Turno,'Calc_Mix'!$C$9,Esc_Circ,$B136)+COUNTIFS(Esc_Turno,'Calc_Mix'!$C$9,Esc_Instr,$B136)&gt;0),"",IF(SUMPRODUCT('Calc_Mix'!$D$9:$W$9,'Matriz_Habilidades'!$D136:$W136)=0,"",SUMPRODUCT('Calc_Mix'!$D$9:$W$9,'Matriz_Habilidades'!$D136:$W136)/'Calc_Mix'!$X$9+ROW()*0.000001))</f>
        <v/>
      </c>
      <c r="M136" s="34">
        <f>IF(OR($B136="",$C136&lt;&gt;"Ativo",$D136&lt;&gt;'Calc_Mix'!$C$10,'Calc_Mix'!$X$10=0,COUNTIFS(Esc_Turno,'Calc_Mix'!$C$10,Esc_Circ,$B136)+COUNTIFS(Esc_Turno,'Calc_Mix'!$C$10,Esc_Instr,$B136)&gt;0),"",IF(SUMPRODUCT('Calc_Mix'!$D$10:$W$10,'Matriz_Habilidades'!$D136:$W136)=0,"",SUMPRODUCT('Calc_Mix'!$D$10:$W$10,'Matriz_Habilidades'!$D136:$W136)/'Calc_Mix'!$X$10+ROW()*0.000001))</f>
        <v/>
      </c>
      <c r="N136" s="34">
        <f>IF(OR($B136="",$C136&lt;&gt;"Ativo",$D136&lt;&gt;'Calc_Mix'!$C$11,'Calc_Mix'!$X$11=0,COUNTIFS(Esc_Turno,'Calc_Mix'!$C$11,Esc_Circ,$B136)+COUNTIFS(Esc_Turno,'Calc_Mix'!$C$11,Esc_Instr,$B136)&gt;0),"",IF(SUMPRODUCT('Calc_Mix'!$D$11:$W$11,'Matriz_Habilidades'!$D136:$W136)=0,"",SUMPRODUCT('Calc_Mix'!$D$11:$W$11,'Matriz_Habilidades'!$D136:$W136)/'Calc_Mix'!$X$11+ROW()*0.000001))</f>
        <v/>
      </c>
      <c r="O136" s="34">
        <f>IF(OR($B136="",$C136&lt;&gt;"Ativo",$D136&lt;&gt;'Calc_Mix'!$C$12,'Calc_Mix'!$X$12=0,COUNTIFS(Esc_Turno,'Calc_Mix'!$C$12,Esc_Circ,$B136)+COUNTIFS(Esc_Turno,'Calc_Mix'!$C$12,Esc_Instr,$B136)&gt;0),"",IF(SUMPRODUCT('Calc_Mix'!$D$12:$W$12,'Matriz_Habilidades'!$D136:$W136)=0,"",SUMPRODUCT('Calc_Mix'!$D$12:$W$12,'Matriz_Habilidades'!$D136:$W136)/'Calc_Mix'!$X$12+ROW()*0.000001))</f>
        <v/>
      </c>
      <c r="P136" s="34">
        <f>IF(OR($B136="",$C136&lt;&gt;"Ativo",$D136&lt;&gt;'Calc_Mix'!$C$13,'Calc_Mix'!$X$13=0,COUNTIFS(Esc_Turno,'Calc_Mix'!$C$13,Esc_Circ,$B136)+COUNTIFS(Esc_Turno,'Calc_Mix'!$C$13,Esc_Instr,$B136)&gt;0),"",IF(SUMPRODUCT('Calc_Mix'!$D$13:$W$13,'Matriz_Habilidades'!$D136:$W136)=0,"",SUMPRODUCT('Calc_Mix'!$D$13:$W$13,'Matriz_Habilidades'!$D136:$W136)/'Calc_Mix'!$X$13+ROW()*0.000001))</f>
        <v/>
      </c>
      <c r="Q136" s="34">
        <f>IF(OR($B136="",$C136&lt;&gt;"Ativo",$D136&lt;&gt;'Calc_Mix'!$C$14,'Calc_Mix'!$X$14=0,COUNTIFS(Esc_Turno,'Calc_Mix'!$C$14,Esc_Circ,$B136)+COUNTIFS(Esc_Turno,'Calc_Mix'!$C$14,Esc_Instr,$B136)&gt;0),"",IF(SUMPRODUCT('Calc_Mix'!$D$14:$W$14,'Matriz_Habilidades'!$D136:$W136)=0,"",SUMPRODUCT('Calc_Mix'!$D$14:$W$14,'Matriz_Habilidades'!$D136:$W136)/'Calc_Mix'!$X$14+ROW()*0.000001))</f>
        <v/>
      </c>
      <c r="R136" s="34">
        <f>IF(OR($B136="",$C136&lt;&gt;"Ativo",$D136&lt;&gt;'Calc_Mix'!$C$15,'Calc_Mix'!$X$15=0,COUNTIFS(Esc_Turno,'Calc_Mix'!$C$15,Esc_Circ,$B136)+COUNTIFS(Esc_Turno,'Calc_Mix'!$C$15,Esc_Instr,$B136)&gt;0),"",IF(SUMPRODUCT('Calc_Mix'!$D$15:$W$15,'Matriz_Habilidades'!$D136:$W136)=0,"",SUMPRODUCT('Calc_Mix'!$D$15:$W$15,'Matriz_Habilidades'!$D136:$W136)/'Calc_Mix'!$X$15+ROW()*0.000001))</f>
        <v/>
      </c>
      <c r="S136" s="34">
        <f>IF(OR($B136="",$C136&lt;&gt;"Ativo",$D136&lt;&gt;'Calc_Mix'!$C$16,'Calc_Mix'!$X$16=0,COUNTIFS(Esc_Turno,'Calc_Mix'!$C$16,Esc_Circ,$B136)+COUNTIFS(Esc_Turno,'Calc_Mix'!$C$16,Esc_Instr,$B136)&gt;0),"",IF(SUMPRODUCT('Calc_Mix'!$D$16:$W$16,'Matriz_Habilidades'!$D136:$W136)=0,"",SUMPRODUCT('Calc_Mix'!$D$16:$W$16,'Matriz_Habilidades'!$D136:$W136)/'Calc_Mix'!$X$16+ROW()*0.000001))</f>
        <v/>
      </c>
      <c r="T136" s="34">
        <f>IF(OR($B136="",$C136&lt;&gt;"Ativo",$D136&lt;&gt;'Calc_Mix'!$C$17,'Calc_Mix'!$X$17=0,COUNTIFS(Esc_Turno,'Calc_Mix'!$C$17,Esc_Circ,$B136)+COUNTIFS(Esc_Turno,'Calc_Mix'!$C$17,Esc_Instr,$B136)&gt;0),"",IF(SUMPRODUCT('Calc_Mix'!$D$17:$W$17,'Matriz_Habilidades'!$D136:$W136)=0,"",SUMPRODUCT('Calc_Mix'!$D$17:$W$17,'Matriz_Habilidades'!$D136:$W136)/'Calc_Mix'!$X$17+ROW()*0.000001))</f>
        <v/>
      </c>
      <c r="U136" s="34">
        <f>IF(OR($B136="",$C136&lt;&gt;"Ativo",$D136&lt;&gt;'Calc_Mix'!$C$18,'Calc_Mix'!$X$18=0,COUNTIFS(Esc_Turno,'Calc_Mix'!$C$18,Esc_Circ,$B136)+COUNTIFS(Esc_Turno,'Calc_Mix'!$C$18,Esc_Instr,$B136)&gt;0),"",IF(SUMPRODUCT('Calc_Mix'!$D$18:$W$18,'Matriz_Habilidades'!$D136:$W136)=0,"",SUMPRODUCT('Calc_Mix'!$D$18:$W$18,'Matriz_Habilidades'!$D136:$W136)/'Calc_Mix'!$X$18+ROW()*0.000001))</f>
        <v/>
      </c>
      <c r="V136" s="34">
        <f>IF(OR($B136="",$C136&lt;&gt;"Ativo",$D136&lt;&gt;'Calc_Mix'!$C$19,'Calc_Mix'!$X$19=0,COUNTIFS(Esc_Turno,'Calc_Mix'!$C$19,Esc_Circ,$B136)+COUNTIFS(Esc_Turno,'Calc_Mix'!$C$19,Esc_Instr,$B136)&gt;0),"",IF(SUMPRODUCT('Calc_Mix'!$D$19:$W$19,'Matriz_Habilidades'!$D136:$W136)=0,"",SUMPRODUCT('Calc_Mix'!$D$19:$W$19,'Matriz_Habilidades'!$D136:$W136)/'Calc_Mix'!$X$19+ROW()*0.000001))</f>
        <v/>
      </c>
      <c r="W136" s="34">
        <f>IF(OR($B136="",$C136&lt;&gt;"Ativo",$D136&lt;&gt;'Calc_Mix'!$C$20,'Calc_Mix'!$X$20=0,COUNTIFS(Esc_Turno,'Calc_Mix'!$C$20,Esc_Circ,$B136)+COUNTIFS(Esc_Turno,'Calc_Mix'!$C$20,Esc_Instr,$B136)&gt;0),"",IF(SUMPRODUCT('Calc_Mix'!$D$20:$W$20,'Matriz_Habilidades'!$D136:$W136)=0,"",SUMPRODUCT('Calc_Mix'!$D$20:$W$20,'Matriz_Habilidades'!$D136:$W136)/'Calc_Mix'!$X$20+ROW()*0.000001))</f>
        <v/>
      </c>
      <c r="X136" s="34">
        <f>IF(OR($B136="",$C136&lt;&gt;"Ativo",$D136&lt;&gt;'Calc_Mix'!$C$21,'Calc_Mix'!$X$21=0,COUNTIFS(Esc_Turno,'Calc_Mix'!$C$21,Esc_Circ,$B136)+COUNTIFS(Esc_Turno,'Calc_Mix'!$C$21,Esc_Instr,$B136)&gt;0),"",IF(SUMPRODUCT('Calc_Mix'!$D$21:$W$21,'Matriz_Habilidades'!$D136:$W136)=0,"",SUMPRODUCT('Calc_Mix'!$D$21:$W$21,'Matriz_Habilidades'!$D136:$W136)/'Calc_Mix'!$X$21+ROW()*0.000001))</f>
        <v/>
      </c>
      <c r="Y136" s="34">
        <f>IF(OR($B136="",$C136&lt;&gt;"Ativo",$D136&lt;&gt;'Calc_Mix'!$C$22,'Calc_Mix'!$X$22=0,COUNTIFS(Esc_Turno,'Calc_Mix'!$C$22,Esc_Circ,$B136)+COUNTIFS(Esc_Turno,'Calc_Mix'!$C$22,Esc_Instr,$B136)&gt;0),"",IF(SUMPRODUCT('Calc_Mix'!$D$22:$W$22,'Matriz_Habilidades'!$D136:$W136)=0,"",SUMPRODUCT('Calc_Mix'!$D$22:$W$22,'Matriz_Habilidades'!$D136:$W136)/'Calc_Mix'!$X$22+ROW()*0.000001))</f>
        <v/>
      </c>
      <c r="Z136" s="34">
        <f>IF(OR($B136="",$C136&lt;&gt;"Ativo",$D136&lt;&gt;'Calc_Mix'!$C$23,'Calc_Mix'!$X$23=0,COUNTIFS(Esc_Turno,'Calc_Mix'!$C$23,Esc_Circ,$B136)+COUNTIFS(Esc_Turno,'Calc_Mix'!$C$23,Esc_Instr,$B136)&gt;0),"",IF(SUMPRODUCT('Calc_Mix'!$D$23:$W$23,'Matriz_Habilidades'!$D136:$W136)=0,"",SUMPRODUCT('Calc_Mix'!$D$23:$W$23,'Matriz_Habilidades'!$D136:$W136)/'Calc_Mix'!$X$23+ROW()*0.000001))</f>
        <v/>
      </c>
      <c r="AA136" s="34">
        <f>IF(OR($B136="",$C136&lt;&gt;"Ativo",$D136&lt;&gt;'Calc_Mix'!$C$24,'Calc_Mix'!$X$24=0,COUNTIFS(Esc_Turno,'Calc_Mix'!$C$24,Esc_Circ,$B136)+COUNTIFS(Esc_Turno,'Calc_Mix'!$C$24,Esc_Instr,$B136)&gt;0),"",IF(SUMPRODUCT('Calc_Mix'!$D$24:$W$24,'Matriz_Habilidades'!$D136:$W136)=0,"",SUMPRODUCT('Calc_Mix'!$D$24:$W$24,'Matriz_Habilidades'!$D136:$W136)/'Calc_Mix'!$X$24+ROW()*0.000001))</f>
        <v/>
      </c>
      <c r="AB136" s="34">
        <f>IF(OR($B136="",$C136&lt;&gt;"Ativo",$D136&lt;&gt;'Calc_Mix'!$C$25,'Calc_Mix'!$X$25=0,COUNTIFS(Esc_Turno,'Calc_Mix'!$C$25,Esc_Circ,$B136)+COUNTIFS(Esc_Turno,'Calc_Mix'!$C$25,Esc_Instr,$B136)&gt;0),"",IF(SUMPRODUCT('Calc_Mix'!$D$25:$W$25,'Matriz_Habilidades'!$D136:$W136)=0,"",SUMPRODUCT('Calc_Mix'!$D$25:$W$25,'Matriz_Habilidades'!$D136:$W136)/'Calc_Mix'!$X$25+ROW()*0.000001))</f>
        <v/>
      </c>
      <c r="AC136" s="34">
        <f>IF(OR($B136="",$C136&lt;&gt;"Ativo",$D136&lt;&gt;'Calc_Mix'!$C$26,'Calc_Mix'!$X$26=0,COUNTIFS(Esc_Turno,'Calc_Mix'!$C$26,Esc_Circ,$B136)+COUNTIFS(Esc_Turno,'Calc_Mix'!$C$26,Esc_Instr,$B136)&gt;0),"",IF(SUMPRODUCT('Calc_Mix'!$D$26:$W$26,'Matriz_Habilidades'!$D136:$W136)=0,"",SUMPRODUCT('Calc_Mix'!$D$26:$W$26,'Matriz_Habilidades'!$D136:$W136)/'Calc_Mix'!$X$26+ROW()*0.000001))</f>
        <v/>
      </c>
      <c r="AD136" s="34">
        <f>IF(OR($B136="",$C136&lt;&gt;"Ativo",$D136&lt;&gt;'Calc_Mix'!$C$27,'Calc_Mix'!$X$27=0,COUNTIFS(Esc_Turno,'Calc_Mix'!$C$27,Esc_Circ,$B136)+COUNTIFS(Esc_Turno,'Calc_Mix'!$C$27,Esc_Instr,$B136)&gt;0),"",IF(SUMPRODUCT('Calc_Mix'!$D$27:$W$27,'Matriz_Habilidades'!$D136:$W136)=0,"",SUMPRODUCT('Calc_Mix'!$D$27:$W$27,'Matriz_Habilidades'!$D136:$W136)/'Calc_Mix'!$X$27+ROW()*0.000001))</f>
        <v/>
      </c>
      <c r="AE136" s="34">
        <f>IF(OR($B136="",$C136&lt;&gt;"Ativo",$D136&lt;&gt;'Calc_Mix'!$C$28,'Calc_Mix'!$X$28=0,COUNTIFS(Esc_Turno,'Calc_Mix'!$C$28,Esc_Circ,$B136)+COUNTIFS(Esc_Turno,'Calc_Mix'!$C$28,Esc_Instr,$B136)&gt;0),"",IF(SUMPRODUCT('Calc_Mix'!$D$28:$W$28,'Matriz_Habilidades'!$D136:$W136)=0,"",SUMPRODUCT('Calc_Mix'!$D$28:$W$28,'Matriz_Habilidades'!$D136:$W136)/'Calc_Mix'!$X$28+ROW()*0.000001))</f>
        <v/>
      </c>
      <c r="AF136" s="34">
        <f>IF(OR($B136="",$C136&lt;&gt;"Ativo",$D136&lt;&gt;'Calc_Mix'!$C$29,'Calc_Mix'!$X$29=0,COUNTIFS(Esc_Turno,'Calc_Mix'!$C$29,Esc_Circ,$B136)+COUNTIFS(Esc_Turno,'Calc_Mix'!$C$29,Esc_Instr,$B136)&gt;0),"",IF(SUMPRODUCT('Calc_Mix'!$D$29:$W$29,'Matriz_Habilidades'!$D136:$W136)=0,"",SUMPRODUCT('Calc_Mix'!$D$29:$W$29,'Matriz_Habilidades'!$D136:$W136)/'Calc_Mix'!$X$29+ROW()*0.000001))</f>
        <v/>
      </c>
      <c r="AG136" s="34">
        <f>IF(OR($B136="",$C136&lt;&gt;"Ativo",$D136&lt;&gt;'Calc_Mix'!$C$30,'Calc_Mix'!$X$30=0,COUNTIFS(Esc_Turno,'Calc_Mix'!$C$30,Esc_Circ,$B136)+COUNTIFS(Esc_Turno,'Calc_Mix'!$C$30,Esc_Instr,$B136)&gt;0),"",IF(SUMPRODUCT('Calc_Mix'!$D$30:$W$30,'Matriz_Habilidades'!$D136:$W136)=0,"",SUMPRODUCT('Calc_Mix'!$D$30:$W$30,'Matriz_Habilidades'!$D136:$W136)/'Calc_Mix'!$X$30+ROW()*0.000001))</f>
        <v/>
      </c>
      <c r="AH136" s="34">
        <f>IF(OR($B136="",$C136&lt;&gt;"Ativo",$D136&lt;&gt;'Calc_Mix'!$C$31,'Calc_Mix'!$X$31=0,COUNTIFS(Esc_Turno,'Calc_Mix'!$C$31,Esc_Circ,$B136)+COUNTIFS(Esc_Turno,'Calc_Mix'!$C$31,Esc_Instr,$B136)&gt;0),"",IF(SUMPRODUCT('Calc_Mix'!$D$31:$W$31,'Matriz_Habilidades'!$D136:$W136)=0,"",SUMPRODUCT('Calc_Mix'!$D$31:$W$31,'Matriz_Habilidades'!$D136:$W136)/'Calc_Mix'!$X$31+ROW()*0.000001))</f>
        <v/>
      </c>
      <c r="AI136" s="34">
        <f>IF(OR($B136="",$C136&lt;&gt;"Ativo",$D136&lt;&gt;'Calc_Mix'!$C$32,'Calc_Mix'!$X$32=0,COUNTIFS(Esc_Turno,'Calc_Mix'!$C$32,Esc_Circ,$B136)+COUNTIFS(Esc_Turno,'Calc_Mix'!$C$32,Esc_Instr,$B136)&gt;0),"",IF(SUMPRODUCT('Calc_Mix'!$D$32:$W$32,'Matriz_Habilidades'!$D136:$W136)=0,"",SUMPRODUCT('Calc_Mix'!$D$32:$W$32,'Matriz_Habilidades'!$D136:$W136)/'Calc_Mix'!$X$32+ROW()*0.000001))</f>
        <v/>
      </c>
      <c r="AJ136" s="34">
        <f>IF(OR($B136="",$C136&lt;&gt;"Ativo",$D136&lt;&gt;'Calc_Mix'!$C$33,'Calc_Mix'!$X$33=0,COUNTIFS(Esc_Turno,'Calc_Mix'!$C$33,Esc_Circ,$B136)+COUNTIFS(Esc_Turno,'Calc_Mix'!$C$33,Esc_Instr,$B136)&gt;0),"",IF(SUMPRODUCT('Calc_Mix'!$D$33:$W$33,'Matriz_Habilidades'!$D136:$W136)=0,"",SUMPRODUCT('Calc_Mix'!$D$33:$W$33,'Matriz_Habilidades'!$D136:$W136)/'Calc_Mix'!$X$33+ROW()*0.000001))</f>
        <v/>
      </c>
      <c r="AK136" s="34">
        <f>IF(OR($B136="",$C136&lt;&gt;"Ativo",$D136&lt;&gt;'Calc_Mix'!$C$34,'Calc_Mix'!$X$34=0,COUNTIFS(Esc_Turno,'Calc_Mix'!$C$34,Esc_Circ,$B136)+COUNTIFS(Esc_Turno,'Calc_Mix'!$C$34,Esc_Instr,$B136)&gt;0),"",IF(SUMPRODUCT('Calc_Mix'!$D$34:$W$34,'Matriz_Habilidades'!$D136:$W136)=0,"",SUMPRODUCT('Calc_Mix'!$D$34:$W$34,'Matriz_Habilidades'!$D136:$W136)/'Calc_Mix'!$X$34+ROW()*0.000001))</f>
        <v/>
      </c>
      <c r="AL136" s="34">
        <f>IF(OR($B136="",$C136&lt;&gt;"Ativo",$D136&lt;&gt;'Calc_Mix'!$C$35,'Calc_Mix'!$X$35=0,COUNTIFS(Esc_Turno,'Calc_Mix'!$C$35,Esc_Circ,$B136)+COUNTIFS(Esc_Turno,'Calc_Mix'!$C$35,Esc_Instr,$B136)&gt;0),"",IF(SUMPRODUCT('Calc_Mix'!$D$35:$W$35,'Matriz_Habilidades'!$D136:$W136)=0,"",SUMPRODUCT('Calc_Mix'!$D$35:$W$35,'Matriz_Habilidades'!$D136:$W136)/'Calc_Mix'!$X$35+ROW()*0.000001))</f>
        <v/>
      </c>
      <c r="AM136" s="34">
        <f>IF(OR($B136="",$C136&lt;&gt;"Ativo",$D136&lt;&gt;'Calc_Mix'!$C$36,'Calc_Mix'!$X$36=0,COUNTIFS(Esc_Turno,'Calc_Mix'!$C$36,Esc_Circ,$B136)+COUNTIFS(Esc_Turno,'Calc_Mix'!$C$36,Esc_Instr,$B136)&gt;0),"",IF(SUMPRODUCT('Calc_Mix'!$D$36:$W$36,'Matriz_Habilidades'!$D136:$W136)=0,"",SUMPRODUCT('Calc_Mix'!$D$36:$W$36,'Matriz_Habilidades'!$D136:$W136)/'Calc_Mix'!$X$36+ROW()*0.000001))</f>
        <v/>
      </c>
      <c r="AN136" s="34">
        <f>IF(OR($B136="",$C136&lt;&gt;"Ativo",$D136&lt;&gt;'Calc_Mix'!$C$37,'Calc_Mix'!$X$37=0,COUNTIFS(Esc_Turno,'Calc_Mix'!$C$37,Esc_Circ,$B136)+COUNTIFS(Esc_Turno,'Calc_Mix'!$C$37,Esc_Instr,$B136)&gt;0),"",IF(SUMPRODUCT('Calc_Mix'!$D$37:$W$37,'Matriz_Habilidades'!$D136:$W136)=0,"",SUMPRODUCT('Calc_Mix'!$D$37:$W$37,'Matriz_Habilidades'!$D136:$W136)/'Calc_Mix'!$X$37+ROW()*0.000001))</f>
        <v/>
      </c>
    </row>
    <row r="137">
      <c r="A137" s="27">
        <f>IF('Matriz_Habilidades'!A137="","",'Matriz_Habilidades'!A137)</f>
        <v/>
      </c>
      <c r="B137" s="28">
        <f>IF('Matriz_Habilidades'!B137="","",'Matriz_Habilidades'!B137)</f>
        <v/>
      </c>
      <c r="C137" s="27">
        <f>IF($A137="","",IFERROR(INDEX(Equipe_Status,MATCH($B137,Equipe_Nome,0)),"?"))</f>
        <v/>
      </c>
      <c r="D137" s="27">
        <f>IF($A137="","",IFERROR(INDEX(Equipe_Turno,MATCH($B137,Equipe_Nome,0)),"?"))</f>
        <v/>
      </c>
      <c r="E137" s="34">
        <f>IF(OR($B137="",$C137&lt;&gt;"Ativo",$D137&lt;&gt;'Calc_Mix'!$C$2,'Calc_Mix'!$X$2=0,COUNTIFS(Esc_Turno,'Calc_Mix'!$C$2,Esc_Circ,$B137)+COUNTIFS(Esc_Turno,'Calc_Mix'!$C$2,Esc_Instr,$B137)&gt;0),"",IF(SUMPRODUCT('Calc_Mix'!$D$2:$W$2,'Matriz_Habilidades'!$D137:$W137)=0,"",SUMPRODUCT('Calc_Mix'!$D$2:$W$2,'Matriz_Habilidades'!$D137:$W137)/'Calc_Mix'!$X$2+ROW()*0.000001))</f>
        <v/>
      </c>
      <c r="F137" s="34">
        <f>IF(OR($B137="",$C137&lt;&gt;"Ativo",$D137&lt;&gt;'Calc_Mix'!$C$3,'Calc_Mix'!$X$3=0,COUNTIFS(Esc_Turno,'Calc_Mix'!$C$3,Esc_Circ,$B137)+COUNTIFS(Esc_Turno,'Calc_Mix'!$C$3,Esc_Instr,$B137)&gt;0),"",IF(SUMPRODUCT('Calc_Mix'!$D$3:$W$3,'Matriz_Habilidades'!$D137:$W137)=0,"",SUMPRODUCT('Calc_Mix'!$D$3:$W$3,'Matriz_Habilidades'!$D137:$W137)/'Calc_Mix'!$X$3+ROW()*0.000001))</f>
        <v/>
      </c>
      <c r="G137" s="34">
        <f>IF(OR($B137="",$C137&lt;&gt;"Ativo",$D137&lt;&gt;'Calc_Mix'!$C$4,'Calc_Mix'!$X$4=0,COUNTIFS(Esc_Turno,'Calc_Mix'!$C$4,Esc_Circ,$B137)+COUNTIFS(Esc_Turno,'Calc_Mix'!$C$4,Esc_Instr,$B137)&gt;0),"",IF(SUMPRODUCT('Calc_Mix'!$D$4:$W$4,'Matriz_Habilidades'!$D137:$W137)=0,"",SUMPRODUCT('Calc_Mix'!$D$4:$W$4,'Matriz_Habilidades'!$D137:$W137)/'Calc_Mix'!$X$4+ROW()*0.000001))</f>
        <v/>
      </c>
      <c r="H137" s="34">
        <f>IF(OR($B137="",$C137&lt;&gt;"Ativo",$D137&lt;&gt;'Calc_Mix'!$C$5,'Calc_Mix'!$X$5=0,COUNTIFS(Esc_Turno,'Calc_Mix'!$C$5,Esc_Circ,$B137)+COUNTIFS(Esc_Turno,'Calc_Mix'!$C$5,Esc_Instr,$B137)&gt;0),"",IF(SUMPRODUCT('Calc_Mix'!$D$5:$W$5,'Matriz_Habilidades'!$D137:$W137)=0,"",SUMPRODUCT('Calc_Mix'!$D$5:$W$5,'Matriz_Habilidades'!$D137:$W137)/'Calc_Mix'!$X$5+ROW()*0.000001))</f>
        <v/>
      </c>
      <c r="I137" s="34">
        <f>IF(OR($B137="",$C137&lt;&gt;"Ativo",$D137&lt;&gt;'Calc_Mix'!$C$6,'Calc_Mix'!$X$6=0,COUNTIFS(Esc_Turno,'Calc_Mix'!$C$6,Esc_Circ,$B137)+COUNTIFS(Esc_Turno,'Calc_Mix'!$C$6,Esc_Instr,$B137)&gt;0),"",IF(SUMPRODUCT('Calc_Mix'!$D$6:$W$6,'Matriz_Habilidades'!$D137:$W137)=0,"",SUMPRODUCT('Calc_Mix'!$D$6:$W$6,'Matriz_Habilidades'!$D137:$W137)/'Calc_Mix'!$X$6+ROW()*0.000001))</f>
        <v/>
      </c>
      <c r="J137" s="34">
        <f>IF(OR($B137="",$C137&lt;&gt;"Ativo",$D137&lt;&gt;'Calc_Mix'!$C$7,'Calc_Mix'!$X$7=0,COUNTIFS(Esc_Turno,'Calc_Mix'!$C$7,Esc_Circ,$B137)+COUNTIFS(Esc_Turno,'Calc_Mix'!$C$7,Esc_Instr,$B137)&gt;0),"",IF(SUMPRODUCT('Calc_Mix'!$D$7:$W$7,'Matriz_Habilidades'!$D137:$W137)=0,"",SUMPRODUCT('Calc_Mix'!$D$7:$W$7,'Matriz_Habilidades'!$D137:$W137)/'Calc_Mix'!$X$7+ROW()*0.000001))</f>
        <v/>
      </c>
      <c r="K137" s="34">
        <f>IF(OR($B137="",$C137&lt;&gt;"Ativo",$D137&lt;&gt;'Calc_Mix'!$C$8,'Calc_Mix'!$X$8=0,COUNTIFS(Esc_Turno,'Calc_Mix'!$C$8,Esc_Circ,$B137)+COUNTIFS(Esc_Turno,'Calc_Mix'!$C$8,Esc_Instr,$B137)&gt;0),"",IF(SUMPRODUCT('Calc_Mix'!$D$8:$W$8,'Matriz_Habilidades'!$D137:$W137)=0,"",SUMPRODUCT('Calc_Mix'!$D$8:$W$8,'Matriz_Habilidades'!$D137:$W137)/'Calc_Mix'!$X$8+ROW()*0.000001))</f>
        <v/>
      </c>
      <c r="L137" s="34">
        <f>IF(OR($B137="",$C137&lt;&gt;"Ativo",$D137&lt;&gt;'Calc_Mix'!$C$9,'Calc_Mix'!$X$9=0,COUNTIFS(Esc_Turno,'Calc_Mix'!$C$9,Esc_Circ,$B137)+COUNTIFS(Esc_Turno,'Calc_Mix'!$C$9,Esc_Instr,$B137)&gt;0),"",IF(SUMPRODUCT('Calc_Mix'!$D$9:$W$9,'Matriz_Habilidades'!$D137:$W137)=0,"",SUMPRODUCT('Calc_Mix'!$D$9:$W$9,'Matriz_Habilidades'!$D137:$W137)/'Calc_Mix'!$X$9+ROW()*0.000001))</f>
        <v/>
      </c>
      <c r="M137" s="34">
        <f>IF(OR($B137="",$C137&lt;&gt;"Ativo",$D137&lt;&gt;'Calc_Mix'!$C$10,'Calc_Mix'!$X$10=0,COUNTIFS(Esc_Turno,'Calc_Mix'!$C$10,Esc_Circ,$B137)+COUNTIFS(Esc_Turno,'Calc_Mix'!$C$10,Esc_Instr,$B137)&gt;0),"",IF(SUMPRODUCT('Calc_Mix'!$D$10:$W$10,'Matriz_Habilidades'!$D137:$W137)=0,"",SUMPRODUCT('Calc_Mix'!$D$10:$W$10,'Matriz_Habilidades'!$D137:$W137)/'Calc_Mix'!$X$10+ROW()*0.000001))</f>
        <v/>
      </c>
      <c r="N137" s="34">
        <f>IF(OR($B137="",$C137&lt;&gt;"Ativo",$D137&lt;&gt;'Calc_Mix'!$C$11,'Calc_Mix'!$X$11=0,COUNTIFS(Esc_Turno,'Calc_Mix'!$C$11,Esc_Circ,$B137)+COUNTIFS(Esc_Turno,'Calc_Mix'!$C$11,Esc_Instr,$B137)&gt;0),"",IF(SUMPRODUCT('Calc_Mix'!$D$11:$W$11,'Matriz_Habilidades'!$D137:$W137)=0,"",SUMPRODUCT('Calc_Mix'!$D$11:$W$11,'Matriz_Habilidades'!$D137:$W137)/'Calc_Mix'!$X$11+ROW()*0.000001))</f>
        <v/>
      </c>
      <c r="O137" s="34">
        <f>IF(OR($B137="",$C137&lt;&gt;"Ativo",$D137&lt;&gt;'Calc_Mix'!$C$12,'Calc_Mix'!$X$12=0,COUNTIFS(Esc_Turno,'Calc_Mix'!$C$12,Esc_Circ,$B137)+COUNTIFS(Esc_Turno,'Calc_Mix'!$C$12,Esc_Instr,$B137)&gt;0),"",IF(SUMPRODUCT('Calc_Mix'!$D$12:$W$12,'Matriz_Habilidades'!$D137:$W137)=0,"",SUMPRODUCT('Calc_Mix'!$D$12:$W$12,'Matriz_Habilidades'!$D137:$W137)/'Calc_Mix'!$X$12+ROW()*0.000001))</f>
        <v/>
      </c>
      <c r="P137" s="34">
        <f>IF(OR($B137="",$C137&lt;&gt;"Ativo",$D137&lt;&gt;'Calc_Mix'!$C$13,'Calc_Mix'!$X$13=0,COUNTIFS(Esc_Turno,'Calc_Mix'!$C$13,Esc_Circ,$B137)+COUNTIFS(Esc_Turno,'Calc_Mix'!$C$13,Esc_Instr,$B137)&gt;0),"",IF(SUMPRODUCT('Calc_Mix'!$D$13:$W$13,'Matriz_Habilidades'!$D137:$W137)=0,"",SUMPRODUCT('Calc_Mix'!$D$13:$W$13,'Matriz_Habilidades'!$D137:$W137)/'Calc_Mix'!$X$13+ROW()*0.000001))</f>
        <v/>
      </c>
      <c r="Q137" s="34">
        <f>IF(OR($B137="",$C137&lt;&gt;"Ativo",$D137&lt;&gt;'Calc_Mix'!$C$14,'Calc_Mix'!$X$14=0,COUNTIFS(Esc_Turno,'Calc_Mix'!$C$14,Esc_Circ,$B137)+COUNTIFS(Esc_Turno,'Calc_Mix'!$C$14,Esc_Instr,$B137)&gt;0),"",IF(SUMPRODUCT('Calc_Mix'!$D$14:$W$14,'Matriz_Habilidades'!$D137:$W137)=0,"",SUMPRODUCT('Calc_Mix'!$D$14:$W$14,'Matriz_Habilidades'!$D137:$W137)/'Calc_Mix'!$X$14+ROW()*0.000001))</f>
        <v/>
      </c>
      <c r="R137" s="34">
        <f>IF(OR($B137="",$C137&lt;&gt;"Ativo",$D137&lt;&gt;'Calc_Mix'!$C$15,'Calc_Mix'!$X$15=0,COUNTIFS(Esc_Turno,'Calc_Mix'!$C$15,Esc_Circ,$B137)+COUNTIFS(Esc_Turno,'Calc_Mix'!$C$15,Esc_Instr,$B137)&gt;0),"",IF(SUMPRODUCT('Calc_Mix'!$D$15:$W$15,'Matriz_Habilidades'!$D137:$W137)=0,"",SUMPRODUCT('Calc_Mix'!$D$15:$W$15,'Matriz_Habilidades'!$D137:$W137)/'Calc_Mix'!$X$15+ROW()*0.000001))</f>
        <v/>
      </c>
      <c r="S137" s="34">
        <f>IF(OR($B137="",$C137&lt;&gt;"Ativo",$D137&lt;&gt;'Calc_Mix'!$C$16,'Calc_Mix'!$X$16=0,COUNTIFS(Esc_Turno,'Calc_Mix'!$C$16,Esc_Circ,$B137)+COUNTIFS(Esc_Turno,'Calc_Mix'!$C$16,Esc_Instr,$B137)&gt;0),"",IF(SUMPRODUCT('Calc_Mix'!$D$16:$W$16,'Matriz_Habilidades'!$D137:$W137)=0,"",SUMPRODUCT('Calc_Mix'!$D$16:$W$16,'Matriz_Habilidades'!$D137:$W137)/'Calc_Mix'!$X$16+ROW()*0.000001))</f>
        <v/>
      </c>
      <c r="T137" s="34">
        <f>IF(OR($B137="",$C137&lt;&gt;"Ativo",$D137&lt;&gt;'Calc_Mix'!$C$17,'Calc_Mix'!$X$17=0,COUNTIFS(Esc_Turno,'Calc_Mix'!$C$17,Esc_Circ,$B137)+COUNTIFS(Esc_Turno,'Calc_Mix'!$C$17,Esc_Instr,$B137)&gt;0),"",IF(SUMPRODUCT('Calc_Mix'!$D$17:$W$17,'Matriz_Habilidades'!$D137:$W137)=0,"",SUMPRODUCT('Calc_Mix'!$D$17:$W$17,'Matriz_Habilidades'!$D137:$W137)/'Calc_Mix'!$X$17+ROW()*0.000001))</f>
        <v/>
      </c>
      <c r="U137" s="34">
        <f>IF(OR($B137="",$C137&lt;&gt;"Ativo",$D137&lt;&gt;'Calc_Mix'!$C$18,'Calc_Mix'!$X$18=0,COUNTIFS(Esc_Turno,'Calc_Mix'!$C$18,Esc_Circ,$B137)+COUNTIFS(Esc_Turno,'Calc_Mix'!$C$18,Esc_Instr,$B137)&gt;0),"",IF(SUMPRODUCT('Calc_Mix'!$D$18:$W$18,'Matriz_Habilidades'!$D137:$W137)=0,"",SUMPRODUCT('Calc_Mix'!$D$18:$W$18,'Matriz_Habilidades'!$D137:$W137)/'Calc_Mix'!$X$18+ROW()*0.000001))</f>
        <v/>
      </c>
      <c r="V137" s="34">
        <f>IF(OR($B137="",$C137&lt;&gt;"Ativo",$D137&lt;&gt;'Calc_Mix'!$C$19,'Calc_Mix'!$X$19=0,COUNTIFS(Esc_Turno,'Calc_Mix'!$C$19,Esc_Circ,$B137)+COUNTIFS(Esc_Turno,'Calc_Mix'!$C$19,Esc_Instr,$B137)&gt;0),"",IF(SUMPRODUCT('Calc_Mix'!$D$19:$W$19,'Matriz_Habilidades'!$D137:$W137)=0,"",SUMPRODUCT('Calc_Mix'!$D$19:$W$19,'Matriz_Habilidades'!$D137:$W137)/'Calc_Mix'!$X$19+ROW()*0.000001))</f>
        <v/>
      </c>
      <c r="W137" s="34">
        <f>IF(OR($B137="",$C137&lt;&gt;"Ativo",$D137&lt;&gt;'Calc_Mix'!$C$20,'Calc_Mix'!$X$20=0,COUNTIFS(Esc_Turno,'Calc_Mix'!$C$20,Esc_Circ,$B137)+COUNTIFS(Esc_Turno,'Calc_Mix'!$C$20,Esc_Instr,$B137)&gt;0),"",IF(SUMPRODUCT('Calc_Mix'!$D$20:$W$20,'Matriz_Habilidades'!$D137:$W137)=0,"",SUMPRODUCT('Calc_Mix'!$D$20:$W$20,'Matriz_Habilidades'!$D137:$W137)/'Calc_Mix'!$X$20+ROW()*0.000001))</f>
        <v/>
      </c>
      <c r="X137" s="34">
        <f>IF(OR($B137="",$C137&lt;&gt;"Ativo",$D137&lt;&gt;'Calc_Mix'!$C$21,'Calc_Mix'!$X$21=0,COUNTIFS(Esc_Turno,'Calc_Mix'!$C$21,Esc_Circ,$B137)+COUNTIFS(Esc_Turno,'Calc_Mix'!$C$21,Esc_Instr,$B137)&gt;0),"",IF(SUMPRODUCT('Calc_Mix'!$D$21:$W$21,'Matriz_Habilidades'!$D137:$W137)=0,"",SUMPRODUCT('Calc_Mix'!$D$21:$W$21,'Matriz_Habilidades'!$D137:$W137)/'Calc_Mix'!$X$21+ROW()*0.000001))</f>
        <v/>
      </c>
      <c r="Y137" s="34">
        <f>IF(OR($B137="",$C137&lt;&gt;"Ativo",$D137&lt;&gt;'Calc_Mix'!$C$22,'Calc_Mix'!$X$22=0,COUNTIFS(Esc_Turno,'Calc_Mix'!$C$22,Esc_Circ,$B137)+COUNTIFS(Esc_Turno,'Calc_Mix'!$C$22,Esc_Instr,$B137)&gt;0),"",IF(SUMPRODUCT('Calc_Mix'!$D$22:$W$22,'Matriz_Habilidades'!$D137:$W137)=0,"",SUMPRODUCT('Calc_Mix'!$D$22:$W$22,'Matriz_Habilidades'!$D137:$W137)/'Calc_Mix'!$X$22+ROW()*0.000001))</f>
        <v/>
      </c>
      <c r="Z137" s="34">
        <f>IF(OR($B137="",$C137&lt;&gt;"Ativo",$D137&lt;&gt;'Calc_Mix'!$C$23,'Calc_Mix'!$X$23=0,COUNTIFS(Esc_Turno,'Calc_Mix'!$C$23,Esc_Circ,$B137)+COUNTIFS(Esc_Turno,'Calc_Mix'!$C$23,Esc_Instr,$B137)&gt;0),"",IF(SUMPRODUCT('Calc_Mix'!$D$23:$W$23,'Matriz_Habilidades'!$D137:$W137)=0,"",SUMPRODUCT('Calc_Mix'!$D$23:$W$23,'Matriz_Habilidades'!$D137:$W137)/'Calc_Mix'!$X$23+ROW()*0.000001))</f>
        <v/>
      </c>
      <c r="AA137" s="34">
        <f>IF(OR($B137="",$C137&lt;&gt;"Ativo",$D137&lt;&gt;'Calc_Mix'!$C$24,'Calc_Mix'!$X$24=0,COUNTIFS(Esc_Turno,'Calc_Mix'!$C$24,Esc_Circ,$B137)+COUNTIFS(Esc_Turno,'Calc_Mix'!$C$24,Esc_Instr,$B137)&gt;0),"",IF(SUMPRODUCT('Calc_Mix'!$D$24:$W$24,'Matriz_Habilidades'!$D137:$W137)=0,"",SUMPRODUCT('Calc_Mix'!$D$24:$W$24,'Matriz_Habilidades'!$D137:$W137)/'Calc_Mix'!$X$24+ROW()*0.000001))</f>
        <v/>
      </c>
      <c r="AB137" s="34">
        <f>IF(OR($B137="",$C137&lt;&gt;"Ativo",$D137&lt;&gt;'Calc_Mix'!$C$25,'Calc_Mix'!$X$25=0,COUNTIFS(Esc_Turno,'Calc_Mix'!$C$25,Esc_Circ,$B137)+COUNTIFS(Esc_Turno,'Calc_Mix'!$C$25,Esc_Instr,$B137)&gt;0),"",IF(SUMPRODUCT('Calc_Mix'!$D$25:$W$25,'Matriz_Habilidades'!$D137:$W137)=0,"",SUMPRODUCT('Calc_Mix'!$D$25:$W$25,'Matriz_Habilidades'!$D137:$W137)/'Calc_Mix'!$X$25+ROW()*0.000001))</f>
        <v/>
      </c>
      <c r="AC137" s="34">
        <f>IF(OR($B137="",$C137&lt;&gt;"Ativo",$D137&lt;&gt;'Calc_Mix'!$C$26,'Calc_Mix'!$X$26=0,COUNTIFS(Esc_Turno,'Calc_Mix'!$C$26,Esc_Circ,$B137)+COUNTIFS(Esc_Turno,'Calc_Mix'!$C$26,Esc_Instr,$B137)&gt;0),"",IF(SUMPRODUCT('Calc_Mix'!$D$26:$W$26,'Matriz_Habilidades'!$D137:$W137)=0,"",SUMPRODUCT('Calc_Mix'!$D$26:$W$26,'Matriz_Habilidades'!$D137:$W137)/'Calc_Mix'!$X$26+ROW()*0.000001))</f>
        <v/>
      </c>
      <c r="AD137" s="34">
        <f>IF(OR($B137="",$C137&lt;&gt;"Ativo",$D137&lt;&gt;'Calc_Mix'!$C$27,'Calc_Mix'!$X$27=0,COUNTIFS(Esc_Turno,'Calc_Mix'!$C$27,Esc_Circ,$B137)+COUNTIFS(Esc_Turno,'Calc_Mix'!$C$27,Esc_Instr,$B137)&gt;0),"",IF(SUMPRODUCT('Calc_Mix'!$D$27:$W$27,'Matriz_Habilidades'!$D137:$W137)=0,"",SUMPRODUCT('Calc_Mix'!$D$27:$W$27,'Matriz_Habilidades'!$D137:$W137)/'Calc_Mix'!$X$27+ROW()*0.000001))</f>
        <v/>
      </c>
      <c r="AE137" s="34">
        <f>IF(OR($B137="",$C137&lt;&gt;"Ativo",$D137&lt;&gt;'Calc_Mix'!$C$28,'Calc_Mix'!$X$28=0,COUNTIFS(Esc_Turno,'Calc_Mix'!$C$28,Esc_Circ,$B137)+COUNTIFS(Esc_Turno,'Calc_Mix'!$C$28,Esc_Instr,$B137)&gt;0),"",IF(SUMPRODUCT('Calc_Mix'!$D$28:$W$28,'Matriz_Habilidades'!$D137:$W137)=0,"",SUMPRODUCT('Calc_Mix'!$D$28:$W$28,'Matriz_Habilidades'!$D137:$W137)/'Calc_Mix'!$X$28+ROW()*0.000001))</f>
        <v/>
      </c>
      <c r="AF137" s="34">
        <f>IF(OR($B137="",$C137&lt;&gt;"Ativo",$D137&lt;&gt;'Calc_Mix'!$C$29,'Calc_Mix'!$X$29=0,COUNTIFS(Esc_Turno,'Calc_Mix'!$C$29,Esc_Circ,$B137)+COUNTIFS(Esc_Turno,'Calc_Mix'!$C$29,Esc_Instr,$B137)&gt;0),"",IF(SUMPRODUCT('Calc_Mix'!$D$29:$W$29,'Matriz_Habilidades'!$D137:$W137)=0,"",SUMPRODUCT('Calc_Mix'!$D$29:$W$29,'Matriz_Habilidades'!$D137:$W137)/'Calc_Mix'!$X$29+ROW()*0.000001))</f>
        <v/>
      </c>
      <c r="AG137" s="34">
        <f>IF(OR($B137="",$C137&lt;&gt;"Ativo",$D137&lt;&gt;'Calc_Mix'!$C$30,'Calc_Mix'!$X$30=0,COUNTIFS(Esc_Turno,'Calc_Mix'!$C$30,Esc_Circ,$B137)+COUNTIFS(Esc_Turno,'Calc_Mix'!$C$30,Esc_Instr,$B137)&gt;0),"",IF(SUMPRODUCT('Calc_Mix'!$D$30:$W$30,'Matriz_Habilidades'!$D137:$W137)=0,"",SUMPRODUCT('Calc_Mix'!$D$30:$W$30,'Matriz_Habilidades'!$D137:$W137)/'Calc_Mix'!$X$30+ROW()*0.000001))</f>
        <v/>
      </c>
      <c r="AH137" s="34">
        <f>IF(OR($B137="",$C137&lt;&gt;"Ativo",$D137&lt;&gt;'Calc_Mix'!$C$31,'Calc_Mix'!$X$31=0,COUNTIFS(Esc_Turno,'Calc_Mix'!$C$31,Esc_Circ,$B137)+COUNTIFS(Esc_Turno,'Calc_Mix'!$C$31,Esc_Instr,$B137)&gt;0),"",IF(SUMPRODUCT('Calc_Mix'!$D$31:$W$31,'Matriz_Habilidades'!$D137:$W137)=0,"",SUMPRODUCT('Calc_Mix'!$D$31:$W$31,'Matriz_Habilidades'!$D137:$W137)/'Calc_Mix'!$X$31+ROW()*0.000001))</f>
        <v/>
      </c>
      <c r="AI137" s="34">
        <f>IF(OR($B137="",$C137&lt;&gt;"Ativo",$D137&lt;&gt;'Calc_Mix'!$C$32,'Calc_Mix'!$X$32=0,COUNTIFS(Esc_Turno,'Calc_Mix'!$C$32,Esc_Circ,$B137)+COUNTIFS(Esc_Turno,'Calc_Mix'!$C$32,Esc_Instr,$B137)&gt;0),"",IF(SUMPRODUCT('Calc_Mix'!$D$32:$W$32,'Matriz_Habilidades'!$D137:$W137)=0,"",SUMPRODUCT('Calc_Mix'!$D$32:$W$32,'Matriz_Habilidades'!$D137:$W137)/'Calc_Mix'!$X$32+ROW()*0.000001))</f>
        <v/>
      </c>
      <c r="AJ137" s="34">
        <f>IF(OR($B137="",$C137&lt;&gt;"Ativo",$D137&lt;&gt;'Calc_Mix'!$C$33,'Calc_Mix'!$X$33=0,COUNTIFS(Esc_Turno,'Calc_Mix'!$C$33,Esc_Circ,$B137)+COUNTIFS(Esc_Turno,'Calc_Mix'!$C$33,Esc_Instr,$B137)&gt;0),"",IF(SUMPRODUCT('Calc_Mix'!$D$33:$W$33,'Matriz_Habilidades'!$D137:$W137)=0,"",SUMPRODUCT('Calc_Mix'!$D$33:$W$33,'Matriz_Habilidades'!$D137:$W137)/'Calc_Mix'!$X$33+ROW()*0.000001))</f>
        <v/>
      </c>
      <c r="AK137" s="34">
        <f>IF(OR($B137="",$C137&lt;&gt;"Ativo",$D137&lt;&gt;'Calc_Mix'!$C$34,'Calc_Mix'!$X$34=0,COUNTIFS(Esc_Turno,'Calc_Mix'!$C$34,Esc_Circ,$B137)+COUNTIFS(Esc_Turno,'Calc_Mix'!$C$34,Esc_Instr,$B137)&gt;0),"",IF(SUMPRODUCT('Calc_Mix'!$D$34:$W$34,'Matriz_Habilidades'!$D137:$W137)=0,"",SUMPRODUCT('Calc_Mix'!$D$34:$W$34,'Matriz_Habilidades'!$D137:$W137)/'Calc_Mix'!$X$34+ROW()*0.000001))</f>
        <v/>
      </c>
      <c r="AL137" s="34">
        <f>IF(OR($B137="",$C137&lt;&gt;"Ativo",$D137&lt;&gt;'Calc_Mix'!$C$35,'Calc_Mix'!$X$35=0,COUNTIFS(Esc_Turno,'Calc_Mix'!$C$35,Esc_Circ,$B137)+COUNTIFS(Esc_Turno,'Calc_Mix'!$C$35,Esc_Instr,$B137)&gt;0),"",IF(SUMPRODUCT('Calc_Mix'!$D$35:$W$35,'Matriz_Habilidades'!$D137:$W137)=0,"",SUMPRODUCT('Calc_Mix'!$D$35:$W$35,'Matriz_Habilidades'!$D137:$W137)/'Calc_Mix'!$X$35+ROW()*0.000001))</f>
        <v/>
      </c>
      <c r="AM137" s="34">
        <f>IF(OR($B137="",$C137&lt;&gt;"Ativo",$D137&lt;&gt;'Calc_Mix'!$C$36,'Calc_Mix'!$X$36=0,COUNTIFS(Esc_Turno,'Calc_Mix'!$C$36,Esc_Circ,$B137)+COUNTIFS(Esc_Turno,'Calc_Mix'!$C$36,Esc_Instr,$B137)&gt;0),"",IF(SUMPRODUCT('Calc_Mix'!$D$36:$W$36,'Matriz_Habilidades'!$D137:$W137)=0,"",SUMPRODUCT('Calc_Mix'!$D$36:$W$36,'Matriz_Habilidades'!$D137:$W137)/'Calc_Mix'!$X$36+ROW()*0.000001))</f>
        <v/>
      </c>
      <c r="AN137" s="34">
        <f>IF(OR($B137="",$C137&lt;&gt;"Ativo",$D137&lt;&gt;'Calc_Mix'!$C$37,'Calc_Mix'!$X$37=0,COUNTIFS(Esc_Turno,'Calc_Mix'!$C$37,Esc_Circ,$B137)+COUNTIFS(Esc_Turno,'Calc_Mix'!$C$37,Esc_Instr,$B137)&gt;0),"",IF(SUMPRODUCT('Calc_Mix'!$D$37:$W$37,'Matriz_Habilidades'!$D137:$W137)=0,"",SUMPRODUCT('Calc_Mix'!$D$37:$W$37,'Matriz_Habilidades'!$D137:$W137)/'Calc_Mix'!$X$37+ROW()*0.000001))</f>
        <v/>
      </c>
    </row>
    <row r="138">
      <c r="A138" s="27">
        <f>IF('Matriz_Habilidades'!A138="","",'Matriz_Habilidades'!A138)</f>
        <v/>
      </c>
      <c r="B138" s="28">
        <f>IF('Matriz_Habilidades'!B138="","",'Matriz_Habilidades'!B138)</f>
        <v/>
      </c>
      <c r="C138" s="27">
        <f>IF($A138="","",IFERROR(INDEX(Equipe_Status,MATCH($B138,Equipe_Nome,0)),"?"))</f>
        <v/>
      </c>
      <c r="D138" s="27">
        <f>IF($A138="","",IFERROR(INDEX(Equipe_Turno,MATCH($B138,Equipe_Nome,0)),"?"))</f>
        <v/>
      </c>
      <c r="E138" s="34">
        <f>IF(OR($B138="",$C138&lt;&gt;"Ativo",$D138&lt;&gt;'Calc_Mix'!$C$2,'Calc_Mix'!$X$2=0,COUNTIFS(Esc_Turno,'Calc_Mix'!$C$2,Esc_Circ,$B138)+COUNTIFS(Esc_Turno,'Calc_Mix'!$C$2,Esc_Instr,$B138)&gt;0),"",IF(SUMPRODUCT('Calc_Mix'!$D$2:$W$2,'Matriz_Habilidades'!$D138:$W138)=0,"",SUMPRODUCT('Calc_Mix'!$D$2:$W$2,'Matriz_Habilidades'!$D138:$W138)/'Calc_Mix'!$X$2+ROW()*0.000001))</f>
        <v/>
      </c>
      <c r="F138" s="34">
        <f>IF(OR($B138="",$C138&lt;&gt;"Ativo",$D138&lt;&gt;'Calc_Mix'!$C$3,'Calc_Mix'!$X$3=0,COUNTIFS(Esc_Turno,'Calc_Mix'!$C$3,Esc_Circ,$B138)+COUNTIFS(Esc_Turno,'Calc_Mix'!$C$3,Esc_Instr,$B138)&gt;0),"",IF(SUMPRODUCT('Calc_Mix'!$D$3:$W$3,'Matriz_Habilidades'!$D138:$W138)=0,"",SUMPRODUCT('Calc_Mix'!$D$3:$W$3,'Matriz_Habilidades'!$D138:$W138)/'Calc_Mix'!$X$3+ROW()*0.000001))</f>
        <v/>
      </c>
      <c r="G138" s="34">
        <f>IF(OR($B138="",$C138&lt;&gt;"Ativo",$D138&lt;&gt;'Calc_Mix'!$C$4,'Calc_Mix'!$X$4=0,COUNTIFS(Esc_Turno,'Calc_Mix'!$C$4,Esc_Circ,$B138)+COUNTIFS(Esc_Turno,'Calc_Mix'!$C$4,Esc_Instr,$B138)&gt;0),"",IF(SUMPRODUCT('Calc_Mix'!$D$4:$W$4,'Matriz_Habilidades'!$D138:$W138)=0,"",SUMPRODUCT('Calc_Mix'!$D$4:$W$4,'Matriz_Habilidades'!$D138:$W138)/'Calc_Mix'!$X$4+ROW()*0.000001))</f>
        <v/>
      </c>
      <c r="H138" s="34">
        <f>IF(OR($B138="",$C138&lt;&gt;"Ativo",$D138&lt;&gt;'Calc_Mix'!$C$5,'Calc_Mix'!$X$5=0,COUNTIFS(Esc_Turno,'Calc_Mix'!$C$5,Esc_Circ,$B138)+COUNTIFS(Esc_Turno,'Calc_Mix'!$C$5,Esc_Instr,$B138)&gt;0),"",IF(SUMPRODUCT('Calc_Mix'!$D$5:$W$5,'Matriz_Habilidades'!$D138:$W138)=0,"",SUMPRODUCT('Calc_Mix'!$D$5:$W$5,'Matriz_Habilidades'!$D138:$W138)/'Calc_Mix'!$X$5+ROW()*0.000001))</f>
        <v/>
      </c>
      <c r="I138" s="34">
        <f>IF(OR($B138="",$C138&lt;&gt;"Ativo",$D138&lt;&gt;'Calc_Mix'!$C$6,'Calc_Mix'!$X$6=0,COUNTIFS(Esc_Turno,'Calc_Mix'!$C$6,Esc_Circ,$B138)+COUNTIFS(Esc_Turno,'Calc_Mix'!$C$6,Esc_Instr,$B138)&gt;0),"",IF(SUMPRODUCT('Calc_Mix'!$D$6:$W$6,'Matriz_Habilidades'!$D138:$W138)=0,"",SUMPRODUCT('Calc_Mix'!$D$6:$W$6,'Matriz_Habilidades'!$D138:$W138)/'Calc_Mix'!$X$6+ROW()*0.000001))</f>
        <v/>
      </c>
      <c r="J138" s="34">
        <f>IF(OR($B138="",$C138&lt;&gt;"Ativo",$D138&lt;&gt;'Calc_Mix'!$C$7,'Calc_Mix'!$X$7=0,COUNTIFS(Esc_Turno,'Calc_Mix'!$C$7,Esc_Circ,$B138)+COUNTIFS(Esc_Turno,'Calc_Mix'!$C$7,Esc_Instr,$B138)&gt;0),"",IF(SUMPRODUCT('Calc_Mix'!$D$7:$W$7,'Matriz_Habilidades'!$D138:$W138)=0,"",SUMPRODUCT('Calc_Mix'!$D$7:$W$7,'Matriz_Habilidades'!$D138:$W138)/'Calc_Mix'!$X$7+ROW()*0.000001))</f>
        <v/>
      </c>
      <c r="K138" s="34">
        <f>IF(OR($B138="",$C138&lt;&gt;"Ativo",$D138&lt;&gt;'Calc_Mix'!$C$8,'Calc_Mix'!$X$8=0,COUNTIFS(Esc_Turno,'Calc_Mix'!$C$8,Esc_Circ,$B138)+COUNTIFS(Esc_Turno,'Calc_Mix'!$C$8,Esc_Instr,$B138)&gt;0),"",IF(SUMPRODUCT('Calc_Mix'!$D$8:$W$8,'Matriz_Habilidades'!$D138:$W138)=0,"",SUMPRODUCT('Calc_Mix'!$D$8:$W$8,'Matriz_Habilidades'!$D138:$W138)/'Calc_Mix'!$X$8+ROW()*0.000001))</f>
        <v/>
      </c>
      <c r="L138" s="34">
        <f>IF(OR($B138="",$C138&lt;&gt;"Ativo",$D138&lt;&gt;'Calc_Mix'!$C$9,'Calc_Mix'!$X$9=0,COUNTIFS(Esc_Turno,'Calc_Mix'!$C$9,Esc_Circ,$B138)+COUNTIFS(Esc_Turno,'Calc_Mix'!$C$9,Esc_Instr,$B138)&gt;0),"",IF(SUMPRODUCT('Calc_Mix'!$D$9:$W$9,'Matriz_Habilidades'!$D138:$W138)=0,"",SUMPRODUCT('Calc_Mix'!$D$9:$W$9,'Matriz_Habilidades'!$D138:$W138)/'Calc_Mix'!$X$9+ROW()*0.000001))</f>
        <v/>
      </c>
      <c r="M138" s="34">
        <f>IF(OR($B138="",$C138&lt;&gt;"Ativo",$D138&lt;&gt;'Calc_Mix'!$C$10,'Calc_Mix'!$X$10=0,COUNTIFS(Esc_Turno,'Calc_Mix'!$C$10,Esc_Circ,$B138)+COUNTIFS(Esc_Turno,'Calc_Mix'!$C$10,Esc_Instr,$B138)&gt;0),"",IF(SUMPRODUCT('Calc_Mix'!$D$10:$W$10,'Matriz_Habilidades'!$D138:$W138)=0,"",SUMPRODUCT('Calc_Mix'!$D$10:$W$10,'Matriz_Habilidades'!$D138:$W138)/'Calc_Mix'!$X$10+ROW()*0.000001))</f>
        <v/>
      </c>
      <c r="N138" s="34">
        <f>IF(OR($B138="",$C138&lt;&gt;"Ativo",$D138&lt;&gt;'Calc_Mix'!$C$11,'Calc_Mix'!$X$11=0,COUNTIFS(Esc_Turno,'Calc_Mix'!$C$11,Esc_Circ,$B138)+COUNTIFS(Esc_Turno,'Calc_Mix'!$C$11,Esc_Instr,$B138)&gt;0),"",IF(SUMPRODUCT('Calc_Mix'!$D$11:$W$11,'Matriz_Habilidades'!$D138:$W138)=0,"",SUMPRODUCT('Calc_Mix'!$D$11:$W$11,'Matriz_Habilidades'!$D138:$W138)/'Calc_Mix'!$X$11+ROW()*0.000001))</f>
        <v/>
      </c>
      <c r="O138" s="34">
        <f>IF(OR($B138="",$C138&lt;&gt;"Ativo",$D138&lt;&gt;'Calc_Mix'!$C$12,'Calc_Mix'!$X$12=0,COUNTIFS(Esc_Turno,'Calc_Mix'!$C$12,Esc_Circ,$B138)+COUNTIFS(Esc_Turno,'Calc_Mix'!$C$12,Esc_Instr,$B138)&gt;0),"",IF(SUMPRODUCT('Calc_Mix'!$D$12:$W$12,'Matriz_Habilidades'!$D138:$W138)=0,"",SUMPRODUCT('Calc_Mix'!$D$12:$W$12,'Matriz_Habilidades'!$D138:$W138)/'Calc_Mix'!$X$12+ROW()*0.000001))</f>
        <v/>
      </c>
      <c r="P138" s="34">
        <f>IF(OR($B138="",$C138&lt;&gt;"Ativo",$D138&lt;&gt;'Calc_Mix'!$C$13,'Calc_Mix'!$X$13=0,COUNTIFS(Esc_Turno,'Calc_Mix'!$C$13,Esc_Circ,$B138)+COUNTIFS(Esc_Turno,'Calc_Mix'!$C$13,Esc_Instr,$B138)&gt;0),"",IF(SUMPRODUCT('Calc_Mix'!$D$13:$W$13,'Matriz_Habilidades'!$D138:$W138)=0,"",SUMPRODUCT('Calc_Mix'!$D$13:$W$13,'Matriz_Habilidades'!$D138:$W138)/'Calc_Mix'!$X$13+ROW()*0.000001))</f>
        <v/>
      </c>
      <c r="Q138" s="34">
        <f>IF(OR($B138="",$C138&lt;&gt;"Ativo",$D138&lt;&gt;'Calc_Mix'!$C$14,'Calc_Mix'!$X$14=0,COUNTIFS(Esc_Turno,'Calc_Mix'!$C$14,Esc_Circ,$B138)+COUNTIFS(Esc_Turno,'Calc_Mix'!$C$14,Esc_Instr,$B138)&gt;0),"",IF(SUMPRODUCT('Calc_Mix'!$D$14:$W$14,'Matriz_Habilidades'!$D138:$W138)=0,"",SUMPRODUCT('Calc_Mix'!$D$14:$W$14,'Matriz_Habilidades'!$D138:$W138)/'Calc_Mix'!$X$14+ROW()*0.000001))</f>
        <v/>
      </c>
      <c r="R138" s="34">
        <f>IF(OR($B138="",$C138&lt;&gt;"Ativo",$D138&lt;&gt;'Calc_Mix'!$C$15,'Calc_Mix'!$X$15=0,COUNTIFS(Esc_Turno,'Calc_Mix'!$C$15,Esc_Circ,$B138)+COUNTIFS(Esc_Turno,'Calc_Mix'!$C$15,Esc_Instr,$B138)&gt;0),"",IF(SUMPRODUCT('Calc_Mix'!$D$15:$W$15,'Matriz_Habilidades'!$D138:$W138)=0,"",SUMPRODUCT('Calc_Mix'!$D$15:$W$15,'Matriz_Habilidades'!$D138:$W138)/'Calc_Mix'!$X$15+ROW()*0.000001))</f>
        <v/>
      </c>
      <c r="S138" s="34">
        <f>IF(OR($B138="",$C138&lt;&gt;"Ativo",$D138&lt;&gt;'Calc_Mix'!$C$16,'Calc_Mix'!$X$16=0,COUNTIFS(Esc_Turno,'Calc_Mix'!$C$16,Esc_Circ,$B138)+COUNTIFS(Esc_Turno,'Calc_Mix'!$C$16,Esc_Instr,$B138)&gt;0),"",IF(SUMPRODUCT('Calc_Mix'!$D$16:$W$16,'Matriz_Habilidades'!$D138:$W138)=0,"",SUMPRODUCT('Calc_Mix'!$D$16:$W$16,'Matriz_Habilidades'!$D138:$W138)/'Calc_Mix'!$X$16+ROW()*0.000001))</f>
        <v/>
      </c>
      <c r="T138" s="34">
        <f>IF(OR($B138="",$C138&lt;&gt;"Ativo",$D138&lt;&gt;'Calc_Mix'!$C$17,'Calc_Mix'!$X$17=0,COUNTIFS(Esc_Turno,'Calc_Mix'!$C$17,Esc_Circ,$B138)+COUNTIFS(Esc_Turno,'Calc_Mix'!$C$17,Esc_Instr,$B138)&gt;0),"",IF(SUMPRODUCT('Calc_Mix'!$D$17:$W$17,'Matriz_Habilidades'!$D138:$W138)=0,"",SUMPRODUCT('Calc_Mix'!$D$17:$W$17,'Matriz_Habilidades'!$D138:$W138)/'Calc_Mix'!$X$17+ROW()*0.000001))</f>
        <v/>
      </c>
      <c r="U138" s="34">
        <f>IF(OR($B138="",$C138&lt;&gt;"Ativo",$D138&lt;&gt;'Calc_Mix'!$C$18,'Calc_Mix'!$X$18=0,COUNTIFS(Esc_Turno,'Calc_Mix'!$C$18,Esc_Circ,$B138)+COUNTIFS(Esc_Turno,'Calc_Mix'!$C$18,Esc_Instr,$B138)&gt;0),"",IF(SUMPRODUCT('Calc_Mix'!$D$18:$W$18,'Matriz_Habilidades'!$D138:$W138)=0,"",SUMPRODUCT('Calc_Mix'!$D$18:$W$18,'Matriz_Habilidades'!$D138:$W138)/'Calc_Mix'!$X$18+ROW()*0.000001))</f>
        <v/>
      </c>
      <c r="V138" s="34">
        <f>IF(OR($B138="",$C138&lt;&gt;"Ativo",$D138&lt;&gt;'Calc_Mix'!$C$19,'Calc_Mix'!$X$19=0,COUNTIFS(Esc_Turno,'Calc_Mix'!$C$19,Esc_Circ,$B138)+COUNTIFS(Esc_Turno,'Calc_Mix'!$C$19,Esc_Instr,$B138)&gt;0),"",IF(SUMPRODUCT('Calc_Mix'!$D$19:$W$19,'Matriz_Habilidades'!$D138:$W138)=0,"",SUMPRODUCT('Calc_Mix'!$D$19:$W$19,'Matriz_Habilidades'!$D138:$W138)/'Calc_Mix'!$X$19+ROW()*0.000001))</f>
        <v/>
      </c>
      <c r="W138" s="34">
        <f>IF(OR($B138="",$C138&lt;&gt;"Ativo",$D138&lt;&gt;'Calc_Mix'!$C$20,'Calc_Mix'!$X$20=0,COUNTIFS(Esc_Turno,'Calc_Mix'!$C$20,Esc_Circ,$B138)+COUNTIFS(Esc_Turno,'Calc_Mix'!$C$20,Esc_Instr,$B138)&gt;0),"",IF(SUMPRODUCT('Calc_Mix'!$D$20:$W$20,'Matriz_Habilidades'!$D138:$W138)=0,"",SUMPRODUCT('Calc_Mix'!$D$20:$W$20,'Matriz_Habilidades'!$D138:$W138)/'Calc_Mix'!$X$20+ROW()*0.000001))</f>
        <v/>
      </c>
      <c r="X138" s="34">
        <f>IF(OR($B138="",$C138&lt;&gt;"Ativo",$D138&lt;&gt;'Calc_Mix'!$C$21,'Calc_Mix'!$X$21=0,COUNTIFS(Esc_Turno,'Calc_Mix'!$C$21,Esc_Circ,$B138)+COUNTIFS(Esc_Turno,'Calc_Mix'!$C$21,Esc_Instr,$B138)&gt;0),"",IF(SUMPRODUCT('Calc_Mix'!$D$21:$W$21,'Matriz_Habilidades'!$D138:$W138)=0,"",SUMPRODUCT('Calc_Mix'!$D$21:$W$21,'Matriz_Habilidades'!$D138:$W138)/'Calc_Mix'!$X$21+ROW()*0.000001))</f>
        <v/>
      </c>
      <c r="Y138" s="34">
        <f>IF(OR($B138="",$C138&lt;&gt;"Ativo",$D138&lt;&gt;'Calc_Mix'!$C$22,'Calc_Mix'!$X$22=0,COUNTIFS(Esc_Turno,'Calc_Mix'!$C$22,Esc_Circ,$B138)+COUNTIFS(Esc_Turno,'Calc_Mix'!$C$22,Esc_Instr,$B138)&gt;0),"",IF(SUMPRODUCT('Calc_Mix'!$D$22:$W$22,'Matriz_Habilidades'!$D138:$W138)=0,"",SUMPRODUCT('Calc_Mix'!$D$22:$W$22,'Matriz_Habilidades'!$D138:$W138)/'Calc_Mix'!$X$22+ROW()*0.000001))</f>
        <v/>
      </c>
      <c r="Z138" s="34">
        <f>IF(OR($B138="",$C138&lt;&gt;"Ativo",$D138&lt;&gt;'Calc_Mix'!$C$23,'Calc_Mix'!$X$23=0,COUNTIFS(Esc_Turno,'Calc_Mix'!$C$23,Esc_Circ,$B138)+COUNTIFS(Esc_Turno,'Calc_Mix'!$C$23,Esc_Instr,$B138)&gt;0),"",IF(SUMPRODUCT('Calc_Mix'!$D$23:$W$23,'Matriz_Habilidades'!$D138:$W138)=0,"",SUMPRODUCT('Calc_Mix'!$D$23:$W$23,'Matriz_Habilidades'!$D138:$W138)/'Calc_Mix'!$X$23+ROW()*0.000001))</f>
        <v/>
      </c>
      <c r="AA138" s="34">
        <f>IF(OR($B138="",$C138&lt;&gt;"Ativo",$D138&lt;&gt;'Calc_Mix'!$C$24,'Calc_Mix'!$X$24=0,COUNTIFS(Esc_Turno,'Calc_Mix'!$C$24,Esc_Circ,$B138)+COUNTIFS(Esc_Turno,'Calc_Mix'!$C$24,Esc_Instr,$B138)&gt;0),"",IF(SUMPRODUCT('Calc_Mix'!$D$24:$W$24,'Matriz_Habilidades'!$D138:$W138)=0,"",SUMPRODUCT('Calc_Mix'!$D$24:$W$24,'Matriz_Habilidades'!$D138:$W138)/'Calc_Mix'!$X$24+ROW()*0.000001))</f>
        <v/>
      </c>
      <c r="AB138" s="34">
        <f>IF(OR($B138="",$C138&lt;&gt;"Ativo",$D138&lt;&gt;'Calc_Mix'!$C$25,'Calc_Mix'!$X$25=0,COUNTIFS(Esc_Turno,'Calc_Mix'!$C$25,Esc_Circ,$B138)+COUNTIFS(Esc_Turno,'Calc_Mix'!$C$25,Esc_Instr,$B138)&gt;0),"",IF(SUMPRODUCT('Calc_Mix'!$D$25:$W$25,'Matriz_Habilidades'!$D138:$W138)=0,"",SUMPRODUCT('Calc_Mix'!$D$25:$W$25,'Matriz_Habilidades'!$D138:$W138)/'Calc_Mix'!$X$25+ROW()*0.000001))</f>
        <v/>
      </c>
      <c r="AC138" s="34">
        <f>IF(OR($B138="",$C138&lt;&gt;"Ativo",$D138&lt;&gt;'Calc_Mix'!$C$26,'Calc_Mix'!$X$26=0,COUNTIFS(Esc_Turno,'Calc_Mix'!$C$26,Esc_Circ,$B138)+COUNTIFS(Esc_Turno,'Calc_Mix'!$C$26,Esc_Instr,$B138)&gt;0),"",IF(SUMPRODUCT('Calc_Mix'!$D$26:$W$26,'Matriz_Habilidades'!$D138:$W138)=0,"",SUMPRODUCT('Calc_Mix'!$D$26:$W$26,'Matriz_Habilidades'!$D138:$W138)/'Calc_Mix'!$X$26+ROW()*0.000001))</f>
        <v/>
      </c>
      <c r="AD138" s="34">
        <f>IF(OR($B138="",$C138&lt;&gt;"Ativo",$D138&lt;&gt;'Calc_Mix'!$C$27,'Calc_Mix'!$X$27=0,COUNTIFS(Esc_Turno,'Calc_Mix'!$C$27,Esc_Circ,$B138)+COUNTIFS(Esc_Turno,'Calc_Mix'!$C$27,Esc_Instr,$B138)&gt;0),"",IF(SUMPRODUCT('Calc_Mix'!$D$27:$W$27,'Matriz_Habilidades'!$D138:$W138)=0,"",SUMPRODUCT('Calc_Mix'!$D$27:$W$27,'Matriz_Habilidades'!$D138:$W138)/'Calc_Mix'!$X$27+ROW()*0.000001))</f>
        <v/>
      </c>
      <c r="AE138" s="34">
        <f>IF(OR($B138="",$C138&lt;&gt;"Ativo",$D138&lt;&gt;'Calc_Mix'!$C$28,'Calc_Mix'!$X$28=0,COUNTIFS(Esc_Turno,'Calc_Mix'!$C$28,Esc_Circ,$B138)+COUNTIFS(Esc_Turno,'Calc_Mix'!$C$28,Esc_Instr,$B138)&gt;0),"",IF(SUMPRODUCT('Calc_Mix'!$D$28:$W$28,'Matriz_Habilidades'!$D138:$W138)=0,"",SUMPRODUCT('Calc_Mix'!$D$28:$W$28,'Matriz_Habilidades'!$D138:$W138)/'Calc_Mix'!$X$28+ROW()*0.000001))</f>
        <v/>
      </c>
      <c r="AF138" s="34">
        <f>IF(OR($B138="",$C138&lt;&gt;"Ativo",$D138&lt;&gt;'Calc_Mix'!$C$29,'Calc_Mix'!$X$29=0,COUNTIFS(Esc_Turno,'Calc_Mix'!$C$29,Esc_Circ,$B138)+COUNTIFS(Esc_Turno,'Calc_Mix'!$C$29,Esc_Instr,$B138)&gt;0),"",IF(SUMPRODUCT('Calc_Mix'!$D$29:$W$29,'Matriz_Habilidades'!$D138:$W138)=0,"",SUMPRODUCT('Calc_Mix'!$D$29:$W$29,'Matriz_Habilidades'!$D138:$W138)/'Calc_Mix'!$X$29+ROW()*0.000001))</f>
        <v/>
      </c>
      <c r="AG138" s="34">
        <f>IF(OR($B138="",$C138&lt;&gt;"Ativo",$D138&lt;&gt;'Calc_Mix'!$C$30,'Calc_Mix'!$X$30=0,COUNTIFS(Esc_Turno,'Calc_Mix'!$C$30,Esc_Circ,$B138)+COUNTIFS(Esc_Turno,'Calc_Mix'!$C$30,Esc_Instr,$B138)&gt;0),"",IF(SUMPRODUCT('Calc_Mix'!$D$30:$W$30,'Matriz_Habilidades'!$D138:$W138)=0,"",SUMPRODUCT('Calc_Mix'!$D$30:$W$30,'Matriz_Habilidades'!$D138:$W138)/'Calc_Mix'!$X$30+ROW()*0.000001))</f>
        <v/>
      </c>
      <c r="AH138" s="34">
        <f>IF(OR($B138="",$C138&lt;&gt;"Ativo",$D138&lt;&gt;'Calc_Mix'!$C$31,'Calc_Mix'!$X$31=0,COUNTIFS(Esc_Turno,'Calc_Mix'!$C$31,Esc_Circ,$B138)+COUNTIFS(Esc_Turno,'Calc_Mix'!$C$31,Esc_Instr,$B138)&gt;0),"",IF(SUMPRODUCT('Calc_Mix'!$D$31:$W$31,'Matriz_Habilidades'!$D138:$W138)=0,"",SUMPRODUCT('Calc_Mix'!$D$31:$W$31,'Matriz_Habilidades'!$D138:$W138)/'Calc_Mix'!$X$31+ROW()*0.000001))</f>
        <v/>
      </c>
      <c r="AI138" s="34">
        <f>IF(OR($B138="",$C138&lt;&gt;"Ativo",$D138&lt;&gt;'Calc_Mix'!$C$32,'Calc_Mix'!$X$32=0,COUNTIFS(Esc_Turno,'Calc_Mix'!$C$32,Esc_Circ,$B138)+COUNTIFS(Esc_Turno,'Calc_Mix'!$C$32,Esc_Instr,$B138)&gt;0),"",IF(SUMPRODUCT('Calc_Mix'!$D$32:$W$32,'Matriz_Habilidades'!$D138:$W138)=0,"",SUMPRODUCT('Calc_Mix'!$D$32:$W$32,'Matriz_Habilidades'!$D138:$W138)/'Calc_Mix'!$X$32+ROW()*0.000001))</f>
        <v/>
      </c>
      <c r="AJ138" s="34">
        <f>IF(OR($B138="",$C138&lt;&gt;"Ativo",$D138&lt;&gt;'Calc_Mix'!$C$33,'Calc_Mix'!$X$33=0,COUNTIFS(Esc_Turno,'Calc_Mix'!$C$33,Esc_Circ,$B138)+COUNTIFS(Esc_Turno,'Calc_Mix'!$C$33,Esc_Instr,$B138)&gt;0),"",IF(SUMPRODUCT('Calc_Mix'!$D$33:$W$33,'Matriz_Habilidades'!$D138:$W138)=0,"",SUMPRODUCT('Calc_Mix'!$D$33:$W$33,'Matriz_Habilidades'!$D138:$W138)/'Calc_Mix'!$X$33+ROW()*0.000001))</f>
        <v/>
      </c>
      <c r="AK138" s="34">
        <f>IF(OR($B138="",$C138&lt;&gt;"Ativo",$D138&lt;&gt;'Calc_Mix'!$C$34,'Calc_Mix'!$X$34=0,COUNTIFS(Esc_Turno,'Calc_Mix'!$C$34,Esc_Circ,$B138)+COUNTIFS(Esc_Turno,'Calc_Mix'!$C$34,Esc_Instr,$B138)&gt;0),"",IF(SUMPRODUCT('Calc_Mix'!$D$34:$W$34,'Matriz_Habilidades'!$D138:$W138)=0,"",SUMPRODUCT('Calc_Mix'!$D$34:$W$34,'Matriz_Habilidades'!$D138:$W138)/'Calc_Mix'!$X$34+ROW()*0.000001))</f>
        <v/>
      </c>
      <c r="AL138" s="34">
        <f>IF(OR($B138="",$C138&lt;&gt;"Ativo",$D138&lt;&gt;'Calc_Mix'!$C$35,'Calc_Mix'!$X$35=0,COUNTIFS(Esc_Turno,'Calc_Mix'!$C$35,Esc_Circ,$B138)+COUNTIFS(Esc_Turno,'Calc_Mix'!$C$35,Esc_Instr,$B138)&gt;0),"",IF(SUMPRODUCT('Calc_Mix'!$D$35:$W$35,'Matriz_Habilidades'!$D138:$W138)=0,"",SUMPRODUCT('Calc_Mix'!$D$35:$W$35,'Matriz_Habilidades'!$D138:$W138)/'Calc_Mix'!$X$35+ROW()*0.000001))</f>
        <v/>
      </c>
      <c r="AM138" s="34">
        <f>IF(OR($B138="",$C138&lt;&gt;"Ativo",$D138&lt;&gt;'Calc_Mix'!$C$36,'Calc_Mix'!$X$36=0,COUNTIFS(Esc_Turno,'Calc_Mix'!$C$36,Esc_Circ,$B138)+COUNTIFS(Esc_Turno,'Calc_Mix'!$C$36,Esc_Instr,$B138)&gt;0),"",IF(SUMPRODUCT('Calc_Mix'!$D$36:$W$36,'Matriz_Habilidades'!$D138:$W138)=0,"",SUMPRODUCT('Calc_Mix'!$D$36:$W$36,'Matriz_Habilidades'!$D138:$W138)/'Calc_Mix'!$X$36+ROW()*0.000001))</f>
        <v/>
      </c>
      <c r="AN138" s="34">
        <f>IF(OR($B138="",$C138&lt;&gt;"Ativo",$D138&lt;&gt;'Calc_Mix'!$C$37,'Calc_Mix'!$X$37=0,COUNTIFS(Esc_Turno,'Calc_Mix'!$C$37,Esc_Circ,$B138)+COUNTIFS(Esc_Turno,'Calc_Mix'!$C$37,Esc_Instr,$B138)&gt;0),"",IF(SUMPRODUCT('Calc_Mix'!$D$37:$W$37,'Matriz_Habilidades'!$D138:$W138)=0,"",SUMPRODUCT('Calc_Mix'!$D$37:$W$37,'Matriz_Habilidades'!$D138:$W138)/'Calc_Mix'!$X$37+ROW()*0.000001))</f>
        <v/>
      </c>
    </row>
    <row r="139">
      <c r="A139" s="27">
        <f>IF('Matriz_Habilidades'!A139="","",'Matriz_Habilidades'!A139)</f>
        <v/>
      </c>
      <c r="B139" s="28">
        <f>IF('Matriz_Habilidades'!B139="","",'Matriz_Habilidades'!B139)</f>
        <v/>
      </c>
      <c r="C139" s="27">
        <f>IF($A139="","",IFERROR(INDEX(Equipe_Status,MATCH($B139,Equipe_Nome,0)),"?"))</f>
        <v/>
      </c>
      <c r="D139" s="27">
        <f>IF($A139="","",IFERROR(INDEX(Equipe_Turno,MATCH($B139,Equipe_Nome,0)),"?"))</f>
        <v/>
      </c>
      <c r="E139" s="34">
        <f>IF(OR($B139="",$C139&lt;&gt;"Ativo",$D139&lt;&gt;'Calc_Mix'!$C$2,'Calc_Mix'!$X$2=0,COUNTIFS(Esc_Turno,'Calc_Mix'!$C$2,Esc_Circ,$B139)+COUNTIFS(Esc_Turno,'Calc_Mix'!$C$2,Esc_Instr,$B139)&gt;0),"",IF(SUMPRODUCT('Calc_Mix'!$D$2:$W$2,'Matriz_Habilidades'!$D139:$W139)=0,"",SUMPRODUCT('Calc_Mix'!$D$2:$W$2,'Matriz_Habilidades'!$D139:$W139)/'Calc_Mix'!$X$2+ROW()*0.000001))</f>
        <v/>
      </c>
      <c r="F139" s="34">
        <f>IF(OR($B139="",$C139&lt;&gt;"Ativo",$D139&lt;&gt;'Calc_Mix'!$C$3,'Calc_Mix'!$X$3=0,COUNTIFS(Esc_Turno,'Calc_Mix'!$C$3,Esc_Circ,$B139)+COUNTIFS(Esc_Turno,'Calc_Mix'!$C$3,Esc_Instr,$B139)&gt;0),"",IF(SUMPRODUCT('Calc_Mix'!$D$3:$W$3,'Matriz_Habilidades'!$D139:$W139)=0,"",SUMPRODUCT('Calc_Mix'!$D$3:$W$3,'Matriz_Habilidades'!$D139:$W139)/'Calc_Mix'!$X$3+ROW()*0.000001))</f>
        <v/>
      </c>
      <c r="G139" s="34">
        <f>IF(OR($B139="",$C139&lt;&gt;"Ativo",$D139&lt;&gt;'Calc_Mix'!$C$4,'Calc_Mix'!$X$4=0,COUNTIFS(Esc_Turno,'Calc_Mix'!$C$4,Esc_Circ,$B139)+COUNTIFS(Esc_Turno,'Calc_Mix'!$C$4,Esc_Instr,$B139)&gt;0),"",IF(SUMPRODUCT('Calc_Mix'!$D$4:$W$4,'Matriz_Habilidades'!$D139:$W139)=0,"",SUMPRODUCT('Calc_Mix'!$D$4:$W$4,'Matriz_Habilidades'!$D139:$W139)/'Calc_Mix'!$X$4+ROW()*0.000001))</f>
        <v/>
      </c>
      <c r="H139" s="34">
        <f>IF(OR($B139="",$C139&lt;&gt;"Ativo",$D139&lt;&gt;'Calc_Mix'!$C$5,'Calc_Mix'!$X$5=0,COUNTIFS(Esc_Turno,'Calc_Mix'!$C$5,Esc_Circ,$B139)+COUNTIFS(Esc_Turno,'Calc_Mix'!$C$5,Esc_Instr,$B139)&gt;0),"",IF(SUMPRODUCT('Calc_Mix'!$D$5:$W$5,'Matriz_Habilidades'!$D139:$W139)=0,"",SUMPRODUCT('Calc_Mix'!$D$5:$W$5,'Matriz_Habilidades'!$D139:$W139)/'Calc_Mix'!$X$5+ROW()*0.000001))</f>
        <v/>
      </c>
      <c r="I139" s="34">
        <f>IF(OR($B139="",$C139&lt;&gt;"Ativo",$D139&lt;&gt;'Calc_Mix'!$C$6,'Calc_Mix'!$X$6=0,COUNTIFS(Esc_Turno,'Calc_Mix'!$C$6,Esc_Circ,$B139)+COUNTIFS(Esc_Turno,'Calc_Mix'!$C$6,Esc_Instr,$B139)&gt;0),"",IF(SUMPRODUCT('Calc_Mix'!$D$6:$W$6,'Matriz_Habilidades'!$D139:$W139)=0,"",SUMPRODUCT('Calc_Mix'!$D$6:$W$6,'Matriz_Habilidades'!$D139:$W139)/'Calc_Mix'!$X$6+ROW()*0.000001))</f>
        <v/>
      </c>
      <c r="J139" s="34">
        <f>IF(OR($B139="",$C139&lt;&gt;"Ativo",$D139&lt;&gt;'Calc_Mix'!$C$7,'Calc_Mix'!$X$7=0,COUNTIFS(Esc_Turno,'Calc_Mix'!$C$7,Esc_Circ,$B139)+COUNTIFS(Esc_Turno,'Calc_Mix'!$C$7,Esc_Instr,$B139)&gt;0),"",IF(SUMPRODUCT('Calc_Mix'!$D$7:$W$7,'Matriz_Habilidades'!$D139:$W139)=0,"",SUMPRODUCT('Calc_Mix'!$D$7:$W$7,'Matriz_Habilidades'!$D139:$W139)/'Calc_Mix'!$X$7+ROW()*0.000001))</f>
        <v/>
      </c>
      <c r="K139" s="34">
        <f>IF(OR($B139="",$C139&lt;&gt;"Ativo",$D139&lt;&gt;'Calc_Mix'!$C$8,'Calc_Mix'!$X$8=0,COUNTIFS(Esc_Turno,'Calc_Mix'!$C$8,Esc_Circ,$B139)+COUNTIFS(Esc_Turno,'Calc_Mix'!$C$8,Esc_Instr,$B139)&gt;0),"",IF(SUMPRODUCT('Calc_Mix'!$D$8:$W$8,'Matriz_Habilidades'!$D139:$W139)=0,"",SUMPRODUCT('Calc_Mix'!$D$8:$W$8,'Matriz_Habilidades'!$D139:$W139)/'Calc_Mix'!$X$8+ROW()*0.000001))</f>
        <v/>
      </c>
      <c r="L139" s="34">
        <f>IF(OR($B139="",$C139&lt;&gt;"Ativo",$D139&lt;&gt;'Calc_Mix'!$C$9,'Calc_Mix'!$X$9=0,COUNTIFS(Esc_Turno,'Calc_Mix'!$C$9,Esc_Circ,$B139)+COUNTIFS(Esc_Turno,'Calc_Mix'!$C$9,Esc_Instr,$B139)&gt;0),"",IF(SUMPRODUCT('Calc_Mix'!$D$9:$W$9,'Matriz_Habilidades'!$D139:$W139)=0,"",SUMPRODUCT('Calc_Mix'!$D$9:$W$9,'Matriz_Habilidades'!$D139:$W139)/'Calc_Mix'!$X$9+ROW()*0.000001))</f>
        <v/>
      </c>
      <c r="M139" s="34">
        <f>IF(OR($B139="",$C139&lt;&gt;"Ativo",$D139&lt;&gt;'Calc_Mix'!$C$10,'Calc_Mix'!$X$10=0,COUNTIFS(Esc_Turno,'Calc_Mix'!$C$10,Esc_Circ,$B139)+COUNTIFS(Esc_Turno,'Calc_Mix'!$C$10,Esc_Instr,$B139)&gt;0),"",IF(SUMPRODUCT('Calc_Mix'!$D$10:$W$10,'Matriz_Habilidades'!$D139:$W139)=0,"",SUMPRODUCT('Calc_Mix'!$D$10:$W$10,'Matriz_Habilidades'!$D139:$W139)/'Calc_Mix'!$X$10+ROW()*0.000001))</f>
        <v/>
      </c>
      <c r="N139" s="34">
        <f>IF(OR($B139="",$C139&lt;&gt;"Ativo",$D139&lt;&gt;'Calc_Mix'!$C$11,'Calc_Mix'!$X$11=0,COUNTIFS(Esc_Turno,'Calc_Mix'!$C$11,Esc_Circ,$B139)+COUNTIFS(Esc_Turno,'Calc_Mix'!$C$11,Esc_Instr,$B139)&gt;0),"",IF(SUMPRODUCT('Calc_Mix'!$D$11:$W$11,'Matriz_Habilidades'!$D139:$W139)=0,"",SUMPRODUCT('Calc_Mix'!$D$11:$W$11,'Matriz_Habilidades'!$D139:$W139)/'Calc_Mix'!$X$11+ROW()*0.000001))</f>
        <v/>
      </c>
      <c r="O139" s="34">
        <f>IF(OR($B139="",$C139&lt;&gt;"Ativo",$D139&lt;&gt;'Calc_Mix'!$C$12,'Calc_Mix'!$X$12=0,COUNTIFS(Esc_Turno,'Calc_Mix'!$C$12,Esc_Circ,$B139)+COUNTIFS(Esc_Turno,'Calc_Mix'!$C$12,Esc_Instr,$B139)&gt;0),"",IF(SUMPRODUCT('Calc_Mix'!$D$12:$W$12,'Matriz_Habilidades'!$D139:$W139)=0,"",SUMPRODUCT('Calc_Mix'!$D$12:$W$12,'Matriz_Habilidades'!$D139:$W139)/'Calc_Mix'!$X$12+ROW()*0.000001))</f>
        <v/>
      </c>
      <c r="P139" s="34">
        <f>IF(OR($B139="",$C139&lt;&gt;"Ativo",$D139&lt;&gt;'Calc_Mix'!$C$13,'Calc_Mix'!$X$13=0,COUNTIFS(Esc_Turno,'Calc_Mix'!$C$13,Esc_Circ,$B139)+COUNTIFS(Esc_Turno,'Calc_Mix'!$C$13,Esc_Instr,$B139)&gt;0),"",IF(SUMPRODUCT('Calc_Mix'!$D$13:$W$13,'Matriz_Habilidades'!$D139:$W139)=0,"",SUMPRODUCT('Calc_Mix'!$D$13:$W$13,'Matriz_Habilidades'!$D139:$W139)/'Calc_Mix'!$X$13+ROW()*0.000001))</f>
        <v/>
      </c>
      <c r="Q139" s="34">
        <f>IF(OR($B139="",$C139&lt;&gt;"Ativo",$D139&lt;&gt;'Calc_Mix'!$C$14,'Calc_Mix'!$X$14=0,COUNTIFS(Esc_Turno,'Calc_Mix'!$C$14,Esc_Circ,$B139)+COUNTIFS(Esc_Turno,'Calc_Mix'!$C$14,Esc_Instr,$B139)&gt;0),"",IF(SUMPRODUCT('Calc_Mix'!$D$14:$W$14,'Matriz_Habilidades'!$D139:$W139)=0,"",SUMPRODUCT('Calc_Mix'!$D$14:$W$14,'Matriz_Habilidades'!$D139:$W139)/'Calc_Mix'!$X$14+ROW()*0.000001))</f>
        <v/>
      </c>
      <c r="R139" s="34">
        <f>IF(OR($B139="",$C139&lt;&gt;"Ativo",$D139&lt;&gt;'Calc_Mix'!$C$15,'Calc_Mix'!$X$15=0,COUNTIFS(Esc_Turno,'Calc_Mix'!$C$15,Esc_Circ,$B139)+COUNTIFS(Esc_Turno,'Calc_Mix'!$C$15,Esc_Instr,$B139)&gt;0),"",IF(SUMPRODUCT('Calc_Mix'!$D$15:$W$15,'Matriz_Habilidades'!$D139:$W139)=0,"",SUMPRODUCT('Calc_Mix'!$D$15:$W$15,'Matriz_Habilidades'!$D139:$W139)/'Calc_Mix'!$X$15+ROW()*0.000001))</f>
        <v/>
      </c>
      <c r="S139" s="34">
        <f>IF(OR($B139="",$C139&lt;&gt;"Ativo",$D139&lt;&gt;'Calc_Mix'!$C$16,'Calc_Mix'!$X$16=0,COUNTIFS(Esc_Turno,'Calc_Mix'!$C$16,Esc_Circ,$B139)+COUNTIFS(Esc_Turno,'Calc_Mix'!$C$16,Esc_Instr,$B139)&gt;0),"",IF(SUMPRODUCT('Calc_Mix'!$D$16:$W$16,'Matriz_Habilidades'!$D139:$W139)=0,"",SUMPRODUCT('Calc_Mix'!$D$16:$W$16,'Matriz_Habilidades'!$D139:$W139)/'Calc_Mix'!$X$16+ROW()*0.000001))</f>
        <v/>
      </c>
      <c r="T139" s="34">
        <f>IF(OR($B139="",$C139&lt;&gt;"Ativo",$D139&lt;&gt;'Calc_Mix'!$C$17,'Calc_Mix'!$X$17=0,COUNTIFS(Esc_Turno,'Calc_Mix'!$C$17,Esc_Circ,$B139)+COUNTIFS(Esc_Turno,'Calc_Mix'!$C$17,Esc_Instr,$B139)&gt;0),"",IF(SUMPRODUCT('Calc_Mix'!$D$17:$W$17,'Matriz_Habilidades'!$D139:$W139)=0,"",SUMPRODUCT('Calc_Mix'!$D$17:$W$17,'Matriz_Habilidades'!$D139:$W139)/'Calc_Mix'!$X$17+ROW()*0.000001))</f>
        <v/>
      </c>
      <c r="U139" s="34">
        <f>IF(OR($B139="",$C139&lt;&gt;"Ativo",$D139&lt;&gt;'Calc_Mix'!$C$18,'Calc_Mix'!$X$18=0,COUNTIFS(Esc_Turno,'Calc_Mix'!$C$18,Esc_Circ,$B139)+COUNTIFS(Esc_Turno,'Calc_Mix'!$C$18,Esc_Instr,$B139)&gt;0),"",IF(SUMPRODUCT('Calc_Mix'!$D$18:$W$18,'Matriz_Habilidades'!$D139:$W139)=0,"",SUMPRODUCT('Calc_Mix'!$D$18:$W$18,'Matriz_Habilidades'!$D139:$W139)/'Calc_Mix'!$X$18+ROW()*0.000001))</f>
        <v/>
      </c>
      <c r="V139" s="34">
        <f>IF(OR($B139="",$C139&lt;&gt;"Ativo",$D139&lt;&gt;'Calc_Mix'!$C$19,'Calc_Mix'!$X$19=0,COUNTIFS(Esc_Turno,'Calc_Mix'!$C$19,Esc_Circ,$B139)+COUNTIFS(Esc_Turno,'Calc_Mix'!$C$19,Esc_Instr,$B139)&gt;0),"",IF(SUMPRODUCT('Calc_Mix'!$D$19:$W$19,'Matriz_Habilidades'!$D139:$W139)=0,"",SUMPRODUCT('Calc_Mix'!$D$19:$W$19,'Matriz_Habilidades'!$D139:$W139)/'Calc_Mix'!$X$19+ROW()*0.000001))</f>
        <v/>
      </c>
      <c r="W139" s="34">
        <f>IF(OR($B139="",$C139&lt;&gt;"Ativo",$D139&lt;&gt;'Calc_Mix'!$C$20,'Calc_Mix'!$X$20=0,COUNTIFS(Esc_Turno,'Calc_Mix'!$C$20,Esc_Circ,$B139)+COUNTIFS(Esc_Turno,'Calc_Mix'!$C$20,Esc_Instr,$B139)&gt;0),"",IF(SUMPRODUCT('Calc_Mix'!$D$20:$W$20,'Matriz_Habilidades'!$D139:$W139)=0,"",SUMPRODUCT('Calc_Mix'!$D$20:$W$20,'Matriz_Habilidades'!$D139:$W139)/'Calc_Mix'!$X$20+ROW()*0.000001))</f>
        <v/>
      </c>
      <c r="X139" s="34">
        <f>IF(OR($B139="",$C139&lt;&gt;"Ativo",$D139&lt;&gt;'Calc_Mix'!$C$21,'Calc_Mix'!$X$21=0,COUNTIFS(Esc_Turno,'Calc_Mix'!$C$21,Esc_Circ,$B139)+COUNTIFS(Esc_Turno,'Calc_Mix'!$C$21,Esc_Instr,$B139)&gt;0),"",IF(SUMPRODUCT('Calc_Mix'!$D$21:$W$21,'Matriz_Habilidades'!$D139:$W139)=0,"",SUMPRODUCT('Calc_Mix'!$D$21:$W$21,'Matriz_Habilidades'!$D139:$W139)/'Calc_Mix'!$X$21+ROW()*0.000001))</f>
        <v/>
      </c>
      <c r="Y139" s="34">
        <f>IF(OR($B139="",$C139&lt;&gt;"Ativo",$D139&lt;&gt;'Calc_Mix'!$C$22,'Calc_Mix'!$X$22=0,COUNTIFS(Esc_Turno,'Calc_Mix'!$C$22,Esc_Circ,$B139)+COUNTIFS(Esc_Turno,'Calc_Mix'!$C$22,Esc_Instr,$B139)&gt;0),"",IF(SUMPRODUCT('Calc_Mix'!$D$22:$W$22,'Matriz_Habilidades'!$D139:$W139)=0,"",SUMPRODUCT('Calc_Mix'!$D$22:$W$22,'Matriz_Habilidades'!$D139:$W139)/'Calc_Mix'!$X$22+ROW()*0.000001))</f>
        <v/>
      </c>
      <c r="Z139" s="34">
        <f>IF(OR($B139="",$C139&lt;&gt;"Ativo",$D139&lt;&gt;'Calc_Mix'!$C$23,'Calc_Mix'!$X$23=0,COUNTIFS(Esc_Turno,'Calc_Mix'!$C$23,Esc_Circ,$B139)+COUNTIFS(Esc_Turno,'Calc_Mix'!$C$23,Esc_Instr,$B139)&gt;0),"",IF(SUMPRODUCT('Calc_Mix'!$D$23:$W$23,'Matriz_Habilidades'!$D139:$W139)=0,"",SUMPRODUCT('Calc_Mix'!$D$23:$W$23,'Matriz_Habilidades'!$D139:$W139)/'Calc_Mix'!$X$23+ROW()*0.000001))</f>
        <v/>
      </c>
      <c r="AA139" s="34">
        <f>IF(OR($B139="",$C139&lt;&gt;"Ativo",$D139&lt;&gt;'Calc_Mix'!$C$24,'Calc_Mix'!$X$24=0,COUNTIFS(Esc_Turno,'Calc_Mix'!$C$24,Esc_Circ,$B139)+COUNTIFS(Esc_Turno,'Calc_Mix'!$C$24,Esc_Instr,$B139)&gt;0),"",IF(SUMPRODUCT('Calc_Mix'!$D$24:$W$24,'Matriz_Habilidades'!$D139:$W139)=0,"",SUMPRODUCT('Calc_Mix'!$D$24:$W$24,'Matriz_Habilidades'!$D139:$W139)/'Calc_Mix'!$X$24+ROW()*0.000001))</f>
        <v/>
      </c>
      <c r="AB139" s="34">
        <f>IF(OR($B139="",$C139&lt;&gt;"Ativo",$D139&lt;&gt;'Calc_Mix'!$C$25,'Calc_Mix'!$X$25=0,COUNTIFS(Esc_Turno,'Calc_Mix'!$C$25,Esc_Circ,$B139)+COUNTIFS(Esc_Turno,'Calc_Mix'!$C$25,Esc_Instr,$B139)&gt;0),"",IF(SUMPRODUCT('Calc_Mix'!$D$25:$W$25,'Matriz_Habilidades'!$D139:$W139)=0,"",SUMPRODUCT('Calc_Mix'!$D$25:$W$25,'Matriz_Habilidades'!$D139:$W139)/'Calc_Mix'!$X$25+ROW()*0.000001))</f>
        <v/>
      </c>
      <c r="AC139" s="34">
        <f>IF(OR($B139="",$C139&lt;&gt;"Ativo",$D139&lt;&gt;'Calc_Mix'!$C$26,'Calc_Mix'!$X$26=0,COUNTIFS(Esc_Turno,'Calc_Mix'!$C$26,Esc_Circ,$B139)+COUNTIFS(Esc_Turno,'Calc_Mix'!$C$26,Esc_Instr,$B139)&gt;0),"",IF(SUMPRODUCT('Calc_Mix'!$D$26:$W$26,'Matriz_Habilidades'!$D139:$W139)=0,"",SUMPRODUCT('Calc_Mix'!$D$26:$W$26,'Matriz_Habilidades'!$D139:$W139)/'Calc_Mix'!$X$26+ROW()*0.000001))</f>
        <v/>
      </c>
      <c r="AD139" s="34">
        <f>IF(OR($B139="",$C139&lt;&gt;"Ativo",$D139&lt;&gt;'Calc_Mix'!$C$27,'Calc_Mix'!$X$27=0,COUNTIFS(Esc_Turno,'Calc_Mix'!$C$27,Esc_Circ,$B139)+COUNTIFS(Esc_Turno,'Calc_Mix'!$C$27,Esc_Instr,$B139)&gt;0),"",IF(SUMPRODUCT('Calc_Mix'!$D$27:$W$27,'Matriz_Habilidades'!$D139:$W139)=0,"",SUMPRODUCT('Calc_Mix'!$D$27:$W$27,'Matriz_Habilidades'!$D139:$W139)/'Calc_Mix'!$X$27+ROW()*0.000001))</f>
        <v/>
      </c>
      <c r="AE139" s="34">
        <f>IF(OR($B139="",$C139&lt;&gt;"Ativo",$D139&lt;&gt;'Calc_Mix'!$C$28,'Calc_Mix'!$X$28=0,COUNTIFS(Esc_Turno,'Calc_Mix'!$C$28,Esc_Circ,$B139)+COUNTIFS(Esc_Turno,'Calc_Mix'!$C$28,Esc_Instr,$B139)&gt;0),"",IF(SUMPRODUCT('Calc_Mix'!$D$28:$W$28,'Matriz_Habilidades'!$D139:$W139)=0,"",SUMPRODUCT('Calc_Mix'!$D$28:$W$28,'Matriz_Habilidades'!$D139:$W139)/'Calc_Mix'!$X$28+ROW()*0.000001))</f>
        <v/>
      </c>
      <c r="AF139" s="34">
        <f>IF(OR($B139="",$C139&lt;&gt;"Ativo",$D139&lt;&gt;'Calc_Mix'!$C$29,'Calc_Mix'!$X$29=0,COUNTIFS(Esc_Turno,'Calc_Mix'!$C$29,Esc_Circ,$B139)+COUNTIFS(Esc_Turno,'Calc_Mix'!$C$29,Esc_Instr,$B139)&gt;0),"",IF(SUMPRODUCT('Calc_Mix'!$D$29:$W$29,'Matriz_Habilidades'!$D139:$W139)=0,"",SUMPRODUCT('Calc_Mix'!$D$29:$W$29,'Matriz_Habilidades'!$D139:$W139)/'Calc_Mix'!$X$29+ROW()*0.000001))</f>
        <v/>
      </c>
      <c r="AG139" s="34">
        <f>IF(OR($B139="",$C139&lt;&gt;"Ativo",$D139&lt;&gt;'Calc_Mix'!$C$30,'Calc_Mix'!$X$30=0,COUNTIFS(Esc_Turno,'Calc_Mix'!$C$30,Esc_Circ,$B139)+COUNTIFS(Esc_Turno,'Calc_Mix'!$C$30,Esc_Instr,$B139)&gt;0),"",IF(SUMPRODUCT('Calc_Mix'!$D$30:$W$30,'Matriz_Habilidades'!$D139:$W139)=0,"",SUMPRODUCT('Calc_Mix'!$D$30:$W$30,'Matriz_Habilidades'!$D139:$W139)/'Calc_Mix'!$X$30+ROW()*0.000001))</f>
        <v/>
      </c>
      <c r="AH139" s="34">
        <f>IF(OR($B139="",$C139&lt;&gt;"Ativo",$D139&lt;&gt;'Calc_Mix'!$C$31,'Calc_Mix'!$X$31=0,COUNTIFS(Esc_Turno,'Calc_Mix'!$C$31,Esc_Circ,$B139)+COUNTIFS(Esc_Turno,'Calc_Mix'!$C$31,Esc_Instr,$B139)&gt;0),"",IF(SUMPRODUCT('Calc_Mix'!$D$31:$W$31,'Matriz_Habilidades'!$D139:$W139)=0,"",SUMPRODUCT('Calc_Mix'!$D$31:$W$31,'Matriz_Habilidades'!$D139:$W139)/'Calc_Mix'!$X$31+ROW()*0.000001))</f>
        <v/>
      </c>
      <c r="AI139" s="34">
        <f>IF(OR($B139="",$C139&lt;&gt;"Ativo",$D139&lt;&gt;'Calc_Mix'!$C$32,'Calc_Mix'!$X$32=0,COUNTIFS(Esc_Turno,'Calc_Mix'!$C$32,Esc_Circ,$B139)+COUNTIFS(Esc_Turno,'Calc_Mix'!$C$32,Esc_Instr,$B139)&gt;0),"",IF(SUMPRODUCT('Calc_Mix'!$D$32:$W$32,'Matriz_Habilidades'!$D139:$W139)=0,"",SUMPRODUCT('Calc_Mix'!$D$32:$W$32,'Matriz_Habilidades'!$D139:$W139)/'Calc_Mix'!$X$32+ROW()*0.000001))</f>
        <v/>
      </c>
      <c r="AJ139" s="34">
        <f>IF(OR($B139="",$C139&lt;&gt;"Ativo",$D139&lt;&gt;'Calc_Mix'!$C$33,'Calc_Mix'!$X$33=0,COUNTIFS(Esc_Turno,'Calc_Mix'!$C$33,Esc_Circ,$B139)+COUNTIFS(Esc_Turno,'Calc_Mix'!$C$33,Esc_Instr,$B139)&gt;0),"",IF(SUMPRODUCT('Calc_Mix'!$D$33:$W$33,'Matriz_Habilidades'!$D139:$W139)=0,"",SUMPRODUCT('Calc_Mix'!$D$33:$W$33,'Matriz_Habilidades'!$D139:$W139)/'Calc_Mix'!$X$33+ROW()*0.000001))</f>
        <v/>
      </c>
      <c r="AK139" s="34">
        <f>IF(OR($B139="",$C139&lt;&gt;"Ativo",$D139&lt;&gt;'Calc_Mix'!$C$34,'Calc_Mix'!$X$34=0,COUNTIFS(Esc_Turno,'Calc_Mix'!$C$34,Esc_Circ,$B139)+COUNTIFS(Esc_Turno,'Calc_Mix'!$C$34,Esc_Instr,$B139)&gt;0),"",IF(SUMPRODUCT('Calc_Mix'!$D$34:$W$34,'Matriz_Habilidades'!$D139:$W139)=0,"",SUMPRODUCT('Calc_Mix'!$D$34:$W$34,'Matriz_Habilidades'!$D139:$W139)/'Calc_Mix'!$X$34+ROW()*0.000001))</f>
        <v/>
      </c>
      <c r="AL139" s="34">
        <f>IF(OR($B139="",$C139&lt;&gt;"Ativo",$D139&lt;&gt;'Calc_Mix'!$C$35,'Calc_Mix'!$X$35=0,COUNTIFS(Esc_Turno,'Calc_Mix'!$C$35,Esc_Circ,$B139)+COUNTIFS(Esc_Turno,'Calc_Mix'!$C$35,Esc_Instr,$B139)&gt;0),"",IF(SUMPRODUCT('Calc_Mix'!$D$35:$W$35,'Matriz_Habilidades'!$D139:$W139)=0,"",SUMPRODUCT('Calc_Mix'!$D$35:$W$35,'Matriz_Habilidades'!$D139:$W139)/'Calc_Mix'!$X$35+ROW()*0.000001))</f>
        <v/>
      </c>
      <c r="AM139" s="34">
        <f>IF(OR($B139="",$C139&lt;&gt;"Ativo",$D139&lt;&gt;'Calc_Mix'!$C$36,'Calc_Mix'!$X$36=0,COUNTIFS(Esc_Turno,'Calc_Mix'!$C$36,Esc_Circ,$B139)+COUNTIFS(Esc_Turno,'Calc_Mix'!$C$36,Esc_Instr,$B139)&gt;0),"",IF(SUMPRODUCT('Calc_Mix'!$D$36:$W$36,'Matriz_Habilidades'!$D139:$W139)=0,"",SUMPRODUCT('Calc_Mix'!$D$36:$W$36,'Matriz_Habilidades'!$D139:$W139)/'Calc_Mix'!$X$36+ROW()*0.000001))</f>
        <v/>
      </c>
      <c r="AN139" s="34">
        <f>IF(OR($B139="",$C139&lt;&gt;"Ativo",$D139&lt;&gt;'Calc_Mix'!$C$37,'Calc_Mix'!$X$37=0,COUNTIFS(Esc_Turno,'Calc_Mix'!$C$37,Esc_Circ,$B139)+COUNTIFS(Esc_Turno,'Calc_Mix'!$C$37,Esc_Instr,$B139)&gt;0),"",IF(SUMPRODUCT('Calc_Mix'!$D$37:$W$37,'Matriz_Habilidades'!$D139:$W139)=0,"",SUMPRODUCT('Calc_Mix'!$D$37:$W$37,'Matriz_Habilidades'!$D139:$W139)/'Calc_Mix'!$X$37+ROW()*0.000001))</f>
        <v/>
      </c>
    </row>
    <row r="140">
      <c r="A140" s="27">
        <f>IF('Matriz_Habilidades'!A140="","",'Matriz_Habilidades'!A140)</f>
        <v/>
      </c>
      <c r="B140" s="28">
        <f>IF('Matriz_Habilidades'!B140="","",'Matriz_Habilidades'!B140)</f>
        <v/>
      </c>
      <c r="C140" s="27">
        <f>IF($A140="","",IFERROR(INDEX(Equipe_Status,MATCH($B140,Equipe_Nome,0)),"?"))</f>
        <v/>
      </c>
      <c r="D140" s="27">
        <f>IF($A140="","",IFERROR(INDEX(Equipe_Turno,MATCH($B140,Equipe_Nome,0)),"?"))</f>
        <v/>
      </c>
      <c r="E140" s="34">
        <f>IF(OR($B140="",$C140&lt;&gt;"Ativo",$D140&lt;&gt;'Calc_Mix'!$C$2,'Calc_Mix'!$X$2=0,COUNTIFS(Esc_Turno,'Calc_Mix'!$C$2,Esc_Circ,$B140)+COUNTIFS(Esc_Turno,'Calc_Mix'!$C$2,Esc_Instr,$B140)&gt;0),"",IF(SUMPRODUCT('Calc_Mix'!$D$2:$W$2,'Matriz_Habilidades'!$D140:$W140)=0,"",SUMPRODUCT('Calc_Mix'!$D$2:$W$2,'Matriz_Habilidades'!$D140:$W140)/'Calc_Mix'!$X$2+ROW()*0.000001))</f>
        <v/>
      </c>
      <c r="F140" s="34">
        <f>IF(OR($B140="",$C140&lt;&gt;"Ativo",$D140&lt;&gt;'Calc_Mix'!$C$3,'Calc_Mix'!$X$3=0,COUNTIFS(Esc_Turno,'Calc_Mix'!$C$3,Esc_Circ,$B140)+COUNTIFS(Esc_Turno,'Calc_Mix'!$C$3,Esc_Instr,$B140)&gt;0),"",IF(SUMPRODUCT('Calc_Mix'!$D$3:$W$3,'Matriz_Habilidades'!$D140:$W140)=0,"",SUMPRODUCT('Calc_Mix'!$D$3:$W$3,'Matriz_Habilidades'!$D140:$W140)/'Calc_Mix'!$X$3+ROW()*0.000001))</f>
        <v/>
      </c>
      <c r="G140" s="34">
        <f>IF(OR($B140="",$C140&lt;&gt;"Ativo",$D140&lt;&gt;'Calc_Mix'!$C$4,'Calc_Mix'!$X$4=0,COUNTIFS(Esc_Turno,'Calc_Mix'!$C$4,Esc_Circ,$B140)+COUNTIFS(Esc_Turno,'Calc_Mix'!$C$4,Esc_Instr,$B140)&gt;0),"",IF(SUMPRODUCT('Calc_Mix'!$D$4:$W$4,'Matriz_Habilidades'!$D140:$W140)=0,"",SUMPRODUCT('Calc_Mix'!$D$4:$W$4,'Matriz_Habilidades'!$D140:$W140)/'Calc_Mix'!$X$4+ROW()*0.000001))</f>
        <v/>
      </c>
      <c r="H140" s="34">
        <f>IF(OR($B140="",$C140&lt;&gt;"Ativo",$D140&lt;&gt;'Calc_Mix'!$C$5,'Calc_Mix'!$X$5=0,COUNTIFS(Esc_Turno,'Calc_Mix'!$C$5,Esc_Circ,$B140)+COUNTIFS(Esc_Turno,'Calc_Mix'!$C$5,Esc_Instr,$B140)&gt;0),"",IF(SUMPRODUCT('Calc_Mix'!$D$5:$W$5,'Matriz_Habilidades'!$D140:$W140)=0,"",SUMPRODUCT('Calc_Mix'!$D$5:$W$5,'Matriz_Habilidades'!$D140:$W140)/'Calc_Mix'!$X$5+ROW()*0.000001))</f>
        <v/>
      </c>
      <c r="I140" s="34">
        <f>IF(OR($B140="",$C140&lt;&gt;"Ativo",$D140&lt;&gt;'Calc_Mix'!$C$6,'Calc_Mix'!$X$6=0,COUNTIFS(Esc_Turno,'Calc_Mix'!$C$6,Esc_Circ,$B140)+COUNTIFS(Esc_Turno,'Calc_Mix'!$C$6,Esc_Instr,$B140)&gt;0),"",IF(SUMPRODUCT('Calc_Mix'!$D$6:$W$6,'Matriz_Habilidades'!$D140:$W140)=0,"",SUMPRODUCT('Calc_Mix'!$D$6:$W$6,'Matriz_Habilidades'!$D140:$W140)/'Calc_Mix'!$X$6+ROW()*0.000001))</f>
        <v/>
      </c>
      <c r="J140" s="34">
        <f>IF(OR($B140="",$C140&lt;&gt;"Ativo",$D140&lt;&gt;'Calc_Mix'!$C$7,'Calc_Mix'!$X$7=0,COUNTIFS(Esc_Turno,'Calc_Mix'!$C$7,Esc_Circ,$B140)+COUNTIFS(Esc_Turno,'Calc_Mix'!$C$7,Esc_Instr,$B140)&gt;0),"",IF(SUMPRODUCT('Calc_Mix'!$D$7:$W$7,'Matriz_Habilidades'!$D140:$W140)=0,"",SUMPRODUCT('Calc_Mix'!$D$7:$W$7,'Matriz_Habilidades'!$D140:$W140)/'Calc_Mix'!$X$7+ROW()*0.000001))</f>
        <v/>
      </c>
      <c r="K140" s="34">
        <f>IF(OR($B140="",$C140&lt;&gt;"Ativo",$D140&lt;&gt;'Calc_Mix'!$C$8,'Calc_Mix'!$X$8=0,COUNTIFS(Esc_Turno,'Calc_Mix'!$C$8,Esc_Circ,$B140)+COUNTIFS(Esc_Turno,'Calc_Mix'!$C$8,Esc_Instr,$B140)&gt;0),"",IF(SUMPRODUCT('Calc_Mix'!$D$8:$W$8,'Matriz_Habilidades'!$D140:$W140)=0,"",SUMPRODUCT('Calc_Mix'!$D$8:$W$8,'Matriz_Habilidades'!$D140:$W140)/'Calc_Mix'!$X$8+ROW()*0.000001))</f>
        <v/>
      </c>
      <c r="L140" s="34">
        <f>IF(OR($B140="",$C140&lt;&gt;"Ativo",$D140&lt;&gt;'Calc_Mix'!$C$9,'Calc_Mix'!$X$9=0,COUNTIFS(Esc_Turno,'Calc_Mix'!$C$9,Esc_Circ,$B140)+COUNTIFS(Esc_Turno,'Calc_Mix'!$C$9,Esc_Instr,$B140)&gt;0),"",IF(SUMPRODUCT('Calc_Mix'!$D$9:$W$9,'Matriz_Habilidades'!$D140:$W140)=0,"",SUMPRODUCT('Calc_Mix'!$D$9:$W$9,'Matriz_Habilidades'!$D140:$W140)/'Calc_Mix'!$X$9+ROW()*0.000001))</f>
        <v/>
      </c>
      <c r="M140" s="34">
        <f>IF(OR($B140="",$C140&lt;&gt;"Ativo",$D140&lt;&gt;'Calc_Mix'!$C$10,'Calc_Mix'!$X$10=0,COUNTIFS(Esc_Turno,'Calc_Mix'!$C$10,Esc_Circ,$B140)+COUNTIFS(Esc_Turno,'Calc_Mix'!$C$10,Esc_Instr,$B140)&gt;0),"",IF(SUMPRODUCT('Calc_Mix'!$D$10:$W$10,'Matriz_Habilidades'!$D140:$W140)=0,"",SUMPRODUCT('Calc_Mix'!$D$10:$W$10,'Matriz_Habilidades'!$D140:$W140)/'Calc_Mix'!$X$10+ROW()*0.000001))</f>
        <v/>
      </c>
      <c r="N140" s="34">
        <f>IF(OR($B140="",$C140&lt;&gt;"Ativo",$D140&lt;&gt;'Calc_Mix'!$C$11,'Calc_Mix'!$X$11=0,COUNTIFS(Esc_Turno,'Calc_Mix'!$C$11,Esc_Circ,$B140)+COUNTIFS(Esc_Turno,'Calc_Mix'!$C$11,Esc_Instr,$B140)&gt;0),"",IF(SUMPRODUCT('Calc_Mix'!$D$11:$W$11,'Matriz_Habilidades'!$D140:$W140)=0,"",SUMPRODUCT('Calc_Mix'!$D$11:$W$11,'Matriz_Habilidades'!$D140:$W140)/'Calc_Mix'!$X$11+ROW()*0.000001))</f>
        <v/>
      </c>
      <c r="O140" s="34">
        <f>IF(OR($B140="",$C140&lt;&gt;"Ativo",$D140&lt;&gt;'Calc_Mix'!$C$12,'Calc_Mix'!$X$12=0,COUNTIFS(Esc_Turno,'Calc_Mix'!$C$12,Esc_Circ,$B140)+COUNTIFS(Esc_Turno,'Calc_Mix'!$C$12,Esc_Instr,$B140)&gt;0),"",IF(SUMPRODUCT('Calc_Mix'!$D$12:$W$12,'Matriz_Habilidades'!$D140:$W140)=0,"",SUMPRODUCT('Calc_Mix'!$D$12:$W$12,'Matriz_Habilidades'!$D140:$W140)/'Calc_Mix'!$X$12+ROW()*0.000001))</f>
        <v/>
      </c>
      <c r="P140" s="34">
        <f>IF(OR($B140="",$C140&lt;&gt;"Ativo",$D140&lt;&gt;'Calc_Mix'!$C$13,'Calc_Mix'!$X$13=0,COUNTIFS(Esc_Turno,'Calc_Mix'!$C$13,Esc_Circ,$B140)+COUNTIFS(Esc_Turno,'Calc_Mix'!$C$13,Esc_Instr,$B140)&gt;0),"",IF(SUMPRODUCT('Calc_Mix'!$D$13:$W$13,'Matriz_Habilidades'!$D140:$W140)=0,"",SUMPRODUCT('Calc_Mix'!$D$13:$W$13,'Matriz_Habilidades'!$D140:$W140)/'Calc_Mix'!$X$13+ROW()*0.000001))</f>
        <v/>
      </c>
      <c r="Q140" s="34">
        <f>IF(OR($B140="",$C140&lt;&gt;"Ativo",$D140&lt;&gt;'Calc_Mix'!$C$14,'Calc_Mix'!$X$14=0,COUNTIFS(Esc_Turno,'Calc_Mix'!$C$14,Esc_Circ,$B140)+COUNTIFS(Esc_Turno,'Calc_Mix'!$C$14,Esc_Instr,$B140)&gt;0),"",IF(SUMPRODUCT('Calc_Mix'!$D$14:$W$14,'Matriz_Habilidades'!$D140:$W140)=0,"",SUMPRODUCT('Calc_Mix'!$D$14:$W$14,'Matriz_Habilidades'!$D140:$W140)/'Calc_Mix'!$X$14+ROW()*0.000001))</f>
        <v/>
      </c>
      <c r="R140" s="34">
        <f>IF(OR($B140="",$C140&lt;&gt;"Ativo",$D140&lt;&gt;'Calc_Mix'!$C$15,'Calc_Mix'!$X$15=0,COUNTIFS(Esc_Turno,'Calc_Mix'!$C$15,Esc_Circ,$B140)+COUNTIFS(Esc_Turno,'Calc_Mix'!$C$15,Esc_Instr,$B140)&gt;0),"",IF(SUMPRODUCT('Calc_Mix'!$D$15:$W$15,'Matriz_Habilidades'!$D140:$W140)=0,"",SUMPRODUCT('Calc_Mix'!$D$15:$W$15,'Matriz_Habilidades'!$D140:$W140)/'Calc_Mix'!$X$15+ROW()*0.000001))</f>
        <v/>
      </c>
      <c r="S140" s="34">
        <f>IF(OR($B140="",$C140&lt;&gt;"Ativo",$D140&lt;&gt;'Calc_Mix'!$C$16,'Calc_Mix'!$X$16=0,COUNTIFS(Esc_Turno,'Calc_Mix'!$C$16,Esc_Circ,$B140)+COUNTIFS(Esc_Turno,'Calc_Mix'!$C$16,Esc_Instr,$B140)&gt;0),"",IF(SUMPRODUCT('Calc_Mix'!$D$16:$W$16,'Matriz_Habilidades'!$D140:$W140)=0,"",SUMPRODUCT('Calc_Mix'!$D$16:$W$16,'Matriz_Habilidades'!$D140:$W140)/'Calc_Mix'!$X$16+ROW()*0.000001))</f>
        <v/>
      </c>
      <c r="T140" s="34">
        <f>IF(OR($B140="",$C140&lt;&gt;"Ativo",$D140&lt;&gt;'Calc_Mix'!$C$17,'Calc_Mix'!$X$17=0,COUNTIFS(Esc_Turno,'Calc_Mix'!$C$17,Esc_Circ,$B140)+COUNTIFS(Esc_Turno,'Calc_Mix'!$C$17,Esc_Instr,$B140)&gt;0),"",IF(SUMPRODUCT('Calc_Mix'!$D$17:$W$17,'Matriz_Habilidades'!$D140:$W140)=0,"",SUMPRODUCT('Calc_Mix'!$D$17:$W$17,'Matriz_Habilidades'!$D140:$W140)/'Calc_Mix'!$X$17+ROW()*0.000001))</f>
        <v/>
      </c>
      <c r="U140" s="34">
        <f>IF(OR($B140="",$C140&lt;&gt;"Ativo",$D140&lt;&gt;'Calc_Mix'!$C$18,'Calc_Mix'!$X$18=0,COUNTIFS(Esc_Turno,'Calc_Mix'!$C$18,Esc_Circ,$B140)+COUNTIFS(Esc_Turno,'Calc_Mix'!$C$18,Esc_Instr,$B140)&gt;0),"",IF(SUMPRODUCT('Calc_Mix'!$D$18:$W$18,'Matriz_Habilidades'!$D140:$W140)=0,"",SUMPRODUCT('Calc_Mix'!$D$18:$W$18,'Matriz_Habilidades'!$D140:$W140)/'Calc_Mix'!$X$18+ROW()*0.000001))</f>
        <v/>
      </c>
      <c r="V140" s="34">
        <f>IF(OR($B140="",$C140&lt;&gt;"Ativo",$D140&lt;&gt;'Calc_Mix'!$C$19,'Calc_Mix'!$X$19=0,COUNTIFS(Esc_Turno,'Calc_Mix'!$C$19,Esc_Circ,$B140)+COUNTIFS(Esc_Turno,'Calc_Mix'!$C$19,Esc_Instr,$B140)&gt;0),"",IF(SUMPRODUCT('Calc_Mix'!$D$19:$W$19,'Matriz_Habilidades'!$D140:$W140)=0,"",SUMPRODUCT('Calc_Mix'!$D$19:$W$19,'Matriz_Habilidades'!$D140:$W140)/'Calc_Mix'!$X$19+ROW()*0.000001))</f>
        <v/>
      </c>
      <c r="W140" s="34">
        <f>IF(OR($B140="",$C140&lt;&gt;"Ativo",$D140&lt;&gt;'Calc_Mix'!$C$20,'Calc_Mix'!$X$20=0,COUNTIFS(Esc_Turno,'Calc_Mix'!$C$20,Esc_Circ,$B140)+COUNTIFS(Esc_Turno,'Calc_Mix'!$C$20,Esc_Instr,$B140)&gt;0),"",IF(SUMPRODUCT('Calc_Mix'!$D$20:$W$20,'Matriz_Habilidades'!$D140:$W140)=0,"",SUMPRODUCT('Calc_Mix'!$D$20:$W$20,'Matriz_Habilidades'!$D140:$W140)/'Calc_Mix'!$X$20+ROW()*0.000001))</f>
        <v/>
      </c>
      <c r="X140" s="34">
        <f>IF(OR($B140="",$C140&lt;&gt;"Ativo",$D140&lt;&gt;'Calc_Mix'!$C$21,'Calc_Mix'!$X$21=0,COUNTIFS(Esc_Turno,'Calc_Mix'!$C$21,Esc_Circ,$B140)+COUNTIFS(Esc_Turno,'Calc_Mix'!$C$21,Esc_Instr,$B140)&gt;0),"",IF(SUMPRODUCT('Calc_Mix'!$D$21:$W$21,'Matriz_Habilidades'!$D140:$W140)=0,"",SUMPRODUCT('Calc_Mix'!$D$21:$W$21,'Matriz_Habilidades'!$D140:$W140)/'Calc_Mix'!$X$21+ROW()*0.000001))</f>
        <v/>
      </c>
      <c r="Y140" s="34">
        <f>IF(OR($B140="",$C140&lt;&gt;"Ativo",$D140&lt;&gt;'Calc_Mix'!$C$22,'Calc_Mix'!$X$22=0,COUNTIFS(Esc_Turno,'Calc_Mix'!$C$22,Esc_Circ,$B140)+COUNTIFS(Esc_Turno,'Calc_Mix'!$C$22,Esc_Instr,$B140)&gt;0),"",IF(SUMPRODUCT('Calc_Mix'!$D$22:$W$22,'Matriz_Habilidades'!$D140:$W140)=0,"",SUMPRODUCT('Calc_Mix'!$D$22:$W$22,'Matriz_Habilidades'!$D140:$W140)/'Calc_Mix'!$X$22+ROW()*0.000001))</f>
        <v/>
      </c>
      <c r="Z140" s="34">
        <f>IF(OR($B140="",$C140&lt;&gt;"Ativo",$D140&lt;&gt;'Calc_Mix'!$C$23,'Calc_Mix'!$X$23=0,COUNTIFS(Esc_Turno,'Calc_Mix'!$C$23,Esc_Circ,$B140)+COUNTIFS(Esc_Turno,'Calc_Mix'!$C$23,Esc_Instr,$B140)&gt;0),"",IF(SUMPRODUCT('Calc_Mix'!$D$23:$W$23,'Matriz_Habilidades'!$D140:$W140)=0,"",SUMPRODUCT('Calc_Mix'!$D$23:$W$23,'Matriz_Habilidades'!$D140:$W140)/'Calc_Mix'!$X$23+ROW()*0.000001))</f>
        <v/>
      </c>
      <c r="AA140" s="34">
        <f>IF(OR($B140="",$C140&lt;&gt;"Ativo",$D140&lt;&gt;'Calc_Mix'!$C$24,'Calc_Mix'!$X$24=0,COUNTIFS(Esc_Turno,'Calc_Mix'!$C$24,Esc_Circ,$B140)+COUNTIFS(Esc_Turno,'Calc_Mix'!$C$24,Esc_Instr,$B140)&gt;0),"",IF(SUMPRODUCT('Calc_Mix'!$D$24:$W$24,'Matriz_Habilidades'!$D140:$W140)=0,"",SUMPRODUCT('Calc_Mix'!$D$24:$W$24,'Matriz_Habilidades'!$D140:$W140)/'Calc_Mix'!$X$24+ROW()*0.000001))</f>
        <v/>
      </c>
      <c r="AB140" s="34">
        <f>IF(OR($B140="",$C140&lt;&gt;"Ativo",$D140&lt;&gt;'Calc_Mix'!$C$25,'Calc_Mix'!$X$25=0,COUNTIFS(Esc_Turno,'Calc_Mix'!$C$25,Esc_Circ,$B140)+COUNTIFS(Esc_Turno,'Calc_Mix'!$C$25,Esc_Instr,$B140)&gt;0),"",IF(SUMPRODUCT('Calc_Mix'!$D$25:$W$25,'Matriz_Habilidades'!$D140:$W140)=0,"",SUMPRODUCT('Calc_Mix'!$D$25:$W$25,'Matriz_Habilidades'!$D140:$W140)/'Calc_Mix'!$X$25+ROW()*0.000001))</f>
        <v/>
      </c>
      <c r="AC140" s="34">
        <f>IF(OR($B140="",$C140&lt;&gt;"Ativo",$D140&lt;&gt;'Calc_Mix'!$C$26,'Calc_Mix'!$X$26=0,COUNTIFS(Esc_Turno,'Calc_Mix'!$C$26,Esc_Circ,$B140)+COUNTIFS(Esc_Turno,'Calc_Mix'!$C$26,Esc_Instr,$B140)&gt;0),"",IF(SUMPRODUCT('Calc_Mix'!$D$26:$W$26,'Matriz_Habilidades'!$D140:$W140)=0,"",SUMPRODUCT('Calc_Mix'!$D$26:$W$26,'Matriz_Habilidades'!$D140:$W140)/'Calc_Mix'!$X$26+ROW()*0.000001))</f>
        <v/>
      </c>
      <c r="AD140" s="34">
        <f>IF(OR($B140="",$C140&lt;&gt;"Ativo",$D140&lt;&gt;'Calc_Mix'!$C$27,'Calc_Mix'!$X$27=0,COUNTIFS(Esc_Turno,'Calc_Mix'!$C$27,Esc_Circ,$B140)+COUNTIFS(Esc_Turno,'Calc_Mix'!$C$27,Esc_Instr,$B140)&gt;0),"",IF(SUMPRODUCT('Calc_Mix'!$D$27:$W$27,'Matriz_Habilidades'!$D140:$W140)=0,"",SUMPRODUCT('Calc_Mix'!$D$27:$W$27,'Matriz_Habilidades'!$D140:$W140)/'Calc_Mix'!$X$27+ROW()*0.000001))</f>
        <v/>
      </c>
      <c r="AE140" s="34">
        <f>IF(OR($B140="",$C140&lt;&gt;"Ativo",$D140&lt;&gt;'Calc_Mix'!$C$28,'Calc_Mix'!$X$28=0,COUNTIFS(Esc_Turno,'Calc_Mix'!$C$28,Esc_Circ,$B140)+COUNTIFS(Esc_Turno,'Calc_Mix'!$C$28,Esc_Instr,$B140)&gt;0),"",IF(SUMPRODUCT('Calc_Mix'!$D$28:$W$28,'Matriz_Habilidades'!$D140:$W140)=0,"",SUMPRODUCT('Calc_Mix'!$D$28:$W$28,'Matriz_Habilidades'!$D140:$W140)/'Calc_Mix'!$X$28+ROW()*0.000001))</f>
        <v/>
      </c>
      <c r="AF140" s="34">
        <f>IF(OR($B140="",$C140&lt;&gt;"Ativo",$D140&lt;&gt;'Calc_Mix'!$C$29,'Calc_Mix'!$X$29=0,COUNTIFS(Esc_Turno,'Calc_Mix'!$C$29,Esc_Circ,$B140)+COUNTIFS(Esc_Turno,'Calc_Mix'!$C$29,Esc_Instr,$B140)&gt;0),"",IF(SUMPRODUCT('Calc_Mix'!$D$29:$W$29,'Matriz_Habilidades'!$D140:$W140)=0,"",SUMPRODUCT('Calc_Mix'!$D$29:$W$29,'Matriz_Habilidades'!$D140:$W140)/'Calc_Mix'!$X$29+ROW()*0.000001))</f>
        <v/>
      </c>
      <c r="AG140" s="34">
        <f>IF(OR($B140="",$C140&lt;&gt;"Ativo",$D140&lt;&gt;'Calc_Mix'!$C$30,'Calc_Mix'!$X$30=0,COUNTIFS(Esc_Turno,'Calc_Mix'!$C$30,Esc_Circ,$B140)+COUNTIFS(Esc_Turno,'Calc_Mix'!$C$30,Esc_Instr,$B140)&gt;0),"",IF(SUMPRODUCT('Calc_Mix'!$D$30:$W$30,'Matriz_Habilidades'!$D140:$W140)=0,"",SUMPRODUCT('Calc_Mix'!$D$30:$W$30,'Matriz_Habilidades'!$D140:$W140)/'Calc_Mix'!$X$30+ROW()*0.000001))</f>
        <v/>
      </c>
      <c r="AH140" s="34">
        <f>IF(OR($B140="",$C140&lt;&gt;"Ativo",$D140&lt;&gt;'Calc_Mix'!$C$31,'Calc_Mix'!$X$31=0,COUNTIFS(Esc_Turno,'Calc_Mix'!$C$31,Esc_Circ,$B140)+COUNTIFS(Esc_Turno,'Calc_Mix'!$C$31,Esc_Instr,$B140)&gt;0),"",IF(SUMPRODUCT('Calc_Mix'!$D$31:$W$31,'Matriz_Habilidades'!$D140:$W140)=0,"",SUMPRODUCT('Calc_Mix'!$D$31:$W$31,'Matriz_Habilidades'!$D140:$W140)/'Calc_Mix'!$X$31+ROW()*0.000001))</f>
        <v/>
      </c>
      <c r="AI140" s="34">
        <f>IF(OR($B140="",$C140&lt;&gt;"Ativo",$D140&lt;&gt;'Calc_Mix'!$C$32,'Calc_Mix'!$X$32=0,COUNTIFS(Esc_Turno,'Calc_Mix'!$C$32,Esc_Circ,$B140)+COUNTIFS(Esc_Turno,'Calc_Mix'!$C$32,Esc_Instr,$B140)&gt;0),"",IF(SUMPRODUCT('Calc_Mix'!$D$32:$W$32,'Matriz_Habilidades'!$D140:$W140)=0,"",SUMPRODUCT('Calc_Mix'!$D$32:$W$32,'Matriz_Habilidades'!$D140:$W140)/'Calc_Mix'!$X$32+ROW()*0.000001))</f>
        <v/>
      </c>
      <c r="AJ140" s="34">
        <f>IF(OR($B140="",$C140&lt;&gt;"Ativo",$D140&lt;&gt;'Calc_Mix'!$C$33,'Calc_Mix'!$X$33=0,COUNTIFS(Esc_Turno,'Calc_Mix'!$C$33,Esc_Circ,$B140)+COUNTIFS(Esc_Turno,'Calc_Mix'!$C$33,Esc_Instr,$B140)&gt;0),"",IF(SUMPRODUCT('Calc_Mix'!$D$33:$W$33,'Matriz_Habilidades'!$D140:$W140)=0,"",SUMPRODUCT('Calc_Mix'!$D$33:$W$33,'Matriz_Habilidades'!$D140:$W140)/'Calc_Mix'!$X$33+ROW()*0.000001))</f>
        <v/>
      </c>
      <c r="AK140" s="34">
        <f>IF(OR($B140="",$C140&lt;&gt;"Ativo",$D140&lt;&gt;'Calc_Mix'!$C$34,'Calc_Mix'!$X$34=0,COUNTIFS(Esc_Turno,'Calc_Mix'!$C$34,Esc_Circ,$B140)+COUNTIFS(Esc_Turno,'Calc_Mix'!$C$34,Esc_Instr,$B140)&gt;0),"",IF(SUMPRODUCT('Calc_Mix'!$D$34:$W$34,'Matriz_Habilidades'!$D140:$W140)=0,"",SUMPRODUCT('Calc_Mix'!$D$34:$W$34,'Matriz_Habilidades'!$D140:$W140)/'Calc_Mix'!$X$34+ROW()*0.000001))</f>
        <v/>
      </c>
      <c r="AL140" s="34">
        <f>IF(OR($B140="",$C140&lt;&gt;"Ativo",$D140&lt;&gt;'Calc_Mix'!$C$35,'Calc_Mix'!$X$35=0,COUNTIFS(Esc_Turno,'Calc_Mix'!$C$35,Esc_Circ,$B140)+COUNTIFS(Esc_Turno,'Calc_Mix'!$C$35,Esc_Instr,$B140)&gt;0),"",IF(SUMPRODUCT('Calc_Mix'!$D$35:$W$35,'Matriz_Habilidades'!$D140:$W140)=0,"",SUMPRODUCT('Calc_Mix'!$D$35:$W$35,'Matriz_Habilidades'!$D140:$W140)/'Calc_Mix'!$X$35+ROW()*0.000001))</f>
        <v/>
      </c>
      <c r="AM140" s="34">
        <f>IF(OR($B140="",$C140&lt;&gt;"Ativo",$D140&lt;&gt;'Calc_Mix'!$C$36,'Calc_Mix'!$X$36=0,COUNTIFS(Esc_Turno,'Calc_Mix'!$C$36,Esc_Circ,$B140)+COUNTIFS(Esc_Turno,'Calc_Mix'!$C$36,Esc_Instr,$B140)&gt;0),"",IF(SUMPRODUCT('Calc_Mix'!$D$36:$W$36,'Matriz_Habilidades'!$D140:$W140)=0,"",SUMPRODUCT('Calc_Mix'!$D$36:$W$36,'Matriz_Habilidades'!$D140:$W140)/'Calc_Mix'!$X$36+ROW()*0.000001))</f>
        <v/>
      </c>
      <c r="AN140" s="34">
        <f>IF(OR($B140="",$C140&lt;&gt;"Ativo",$D140&lt;&gt;'Calc_Mix'!$C$37,'Calc_Mix'!$X$37=0,COUNTIFS(Esc_Turno,'Calc_Mix'!$C$37,Esc_Circ,$B140)+COUNTIFS(Esc_Turno,'Calc_Mix'!$C$37,Esc_Instr,$B140)&gt;0),"",IF(SUMPRODUCT('Calc_Mix'!$D$37:$W$37,'Matriz_Habilidades'!$D140:$W140)=0,"",SUMPRODUCT('Calc_Mix'!$D$37:$W$37,'Matriz_Habilidades'!$D140:$W140)/'Calc_Mix'!$X$37+ROW()*0.000001))</f>
        <v/>
      </c>
    </row>
    <row r="141">
      <c r="A141" s="27">
        <f>IF('Matriz_Habilidades'!A141="","",'Matriz_Habilidades'!A141)</f>
        <v/>
      </c>
      <c r="B141" s="28">
        <f>IF('Matriz_Habilidades'!B141="","",'Matriz_Habilidades'!B141)</f>
        <v/>
      </c>
      <c r="C141" s="27">
        <f>IF($A141="","",IFERROR(INDEX(Equipe_Status,MATCH($B141,Equipe_Nome,0)),"?"))</f>
        <v/>
      </c>
      <c r="D141" s="27">
        <f>IF($A141="","",IFERROR(INDEX(Equipe_Turno,MATCH($B141,Equipe_Nome,0)),"?"))</f>
        <v/>
      </c>
      <c r="E141" s="34">
        <f>IF(OR($B141="",$C141&lt;&gt;"Ativo",$D141&lt;&gt;'Calc_Mix'!$C$2,'Calc_Mix'!$X$2=0,COUNTIFS(Esc_Turno,'Calc_Mix'!$C$2,Esc_Circ,$B141)+COUNTIFS(Esc_Turno,'Calc_Mix'!$C$2,Esc_Instr,$B141)&gt;0),"",IF(SUMPRODUCT('Calc_Mix'!$D$2:$W$2,'Matriz_Habilidades'!$D141:$W141)=0,"",SUMPRODUCT('Calc_Mix'!$D$2:$W$2,'Matriz_Habilidades'!$D141:$W141)/'Calc_Mix'!$X$2+ROW()*0.000001))</f>
        <v/>
      </c>
      <c r="F141" s="34">
        <f>IF(OR($B141="",$C141&lt;&gt;"Ativo",$D141&lt;&gt;'Calc_Mix'!$C$3,'Calc_Mix'!$X$3=0,COUNTIFS(Esc_Turno,'Calc_Mix'!$C$3,Esc_Circ,$B141)+COUNTIFS(Esc_Turno,'Calc_Mix'!$C$3,Esc_Instr,$B141)&gt;0),"",IF(SUMPRODUCT('Calc_Mix'!$D$3:$W$3,'Matriz_Habilidades'!$D141:$W141)=0,"",SUMPRODUCT('Calc_Mix'!$D$3:$W$3,'Matriz_Habilidades'!$D141:$W141)/'Calc_Mix'!$X$3+ROW()*0.000001))</f>
        <v/>
      </c>
      <c r="G141" s="34">
        <f>IF(OR($B141="",$C141&lt;&gt;"Ativo",$D141&lt;&gt;'Calc_Mix'!$C$4,'Calc_Mix'!$X$4=0,COUNTIFS(Esc_Turno,'Calc_Mix'!$C$4,Esc_Circ,$B141)+COUNTIFS(Esc_Turno,'Calc_Mix'!$C$4,Esc_Instr,$B141)&gt;0),"",IF(SUMPRODUCT('Calc_Mix'!$D$4:$W$4,'Matriz_Habilidades'!$D141:$W141)=0,"",SUMPRODUCT('Calc_Mix'!$D$4:$W$4,'Matriz_Habilidades'!$D141:$W141)/'Calc_Mix'!$X$4+ROW()*0.000001))</f>
        <v/>
      </c>
      <c r="H141" s="34">
        <f>IF(OR($B141="",$C141&lt;&gt;"Ativo",$D141&lt;&gt;'Calc_Mix'!$C$5,'Calc_Mix'!$X$5=0,COUNTIFS(Esc_Turno,'Calc_Mix'!$C$5,Esc_Circ,$B141)+COUNTIFS(Esc_Turno,'Calc_Mix'!$C$5,Esc_Instr,$B141)&gt;0),"",IF(SUMPRODUCT('Calc_Mix'!$D$5:$W$5,'Matriz_Habilidades'!$D141:$W141)=0,"",SUMPRODUCT('Calc_Mix'!$D$5:$W$5,'Matriz_Habilidades'!$D141:$W141)/'Calc_Mix'!$X$5+ROW()*0.000001))</f>
        <v/>
      </c>
      <c r="I141" s="34">
        <f>IF(OR($B141="",$C141&lt;&gt;"Ativo",$D141&lt;&gt;'Calc_Mix'!$C$6,'Calc_Mix'!$X$6=0,COUNTIFS(Esc_Turno,'Calc_Mix'!$C$6,Esc_Circ,$B141)+COUNTIFS(Esc_Turno,'Calc_Mix'!$C$6,Esc_Instr,$B141)&gt;0),"",IF(SUMPRODUCT('Calc_Mix'!$D$6:$W$6,'Matriz_Habilidades'!$D141:$W141)=0,"",SUMPRODUCT('Calc_Mix'!$D$6:$W$6,'Matriz_Habilidades'!$D141:$W141)/'Calc_Mix'!$X$6+ROW()*0.000001))</f>
        <v/>
      </c>
      <c r="J141" s="34">
        <f>IF(OR($B141="",$C141&lt;&gt;"Ativo",$D141&lt;&gt;'Calc_Mix'!$C$7,'Calc_Mix'!$X$7=0,COUNTIFS(Esc_Turno,'Calc_Mix'!$C$7,Esc_Circ,$B141)+COUNTIFS(Esc_Turno,'Calc_Mix'!$C$7,Esc_Instr,$B141)&gt;0),"",IF(SUMPRODUCT('Calc_Mix'!$D$7:$W$7,'Matriz_Habilidades'!$D141:$W141)=0,"",SUMPRODUCT('Calc_Mix'!$D$7:$W$7,'Matriz_Habilidades'!$D141:$W141)/'Calc_Mix'!$X$7+ROW()*0.000001))</f>
        <v/>
      </c>
      <c r="K141" s="34">
        <f>IF(OR($B141="",$C141&lt;&gt;"Ativo",$D141&lt;&gt;'Calc_Mix'!$C$8,'Calc_Mix'!$X$8=0,COUNTIFS(Esc_Turno,'Calc_Mix'!$C$8,Esc_Circ,$B141)+COUNTIFS(Esc_Turno,'Calc_Mix'!$C$8,Esc_Instr,$B141)&gt;0),"",IF(SUMPRODUCT('Calc_Mix'!$D$8:$W$8,'Matriz_Habilidades'!$D141:$W141)=0,"",SUMPRODUCT('Calc_Mix'!$D$8:$W$8,'Matriz_Habilidades'!$D141:$W141)/'Calc_Mix'!$X$8+ROW()*0.000001))</f>
        <v/>
      </c>
      <c r="L141" s="34">
        <f>IF(OR($B141="",$C141&lt;&gt;"Ativo",$D141&lt;&gt;'Calc_Mix'!$C$9,'Calc_Mix'!$X$9=0,COUNTIFS(Esc_Turno,'Calc_Mix'!$C$9,Esc_Circ,$B141)+COUNTIFS(Esc_Turno,'Calc_Mix'!$C$9,Esc_Instr,$B141)&gt;0),"",IF(SUMPRODUCT('Calc_Mix'!$D$9:$W$9,'Matriz_Habilidades'!$D141:$W141)=0,"",SUMPRODUCT('Calc_Mix'!$D$9:$W$9,'Matriz_Habilidades'!$D141:$W141)/'Calc_Mix'!$X$9+ROW()*0.000001))</f>
        <v/>
      </c>
      <c r="M141" s="34">
        <f>IF(OR($B141="",$C141&lt;&gt;"Ativo",$D141&lt;&gt;'Calc_Mix'!$C$10,'Calc_Mix'!$X$10=0,COUNTIFS(Esc_Turno,'Calc_Mix'!$C$10,Esc_Circ,$B141)+COUNTIFS(Esc_Turno,'Calc_Mix'!$C$10,Esc_Instr,$B141)&gt;0),"",IF(SUMPRODUCT('Calc_Mix'!$D$10:$W$10,'Matriz_Habilidades'!$D141:$W141)=0,"",SUMPRODUCT('Calc_Mix'!$D$10:$W$10,'Matriz_Habilidades'!$D141:$W141)/'Calc_Mix'!$X$10+ROW()*0.000001))</f>
        <v/>
      </c>
      <c r="N141" s="34">
        <f>IF(OR($B141="",$C141&lt;&gt;"Ativo",$D141&lt;&gt;'Calc_Mix'!$C$11,'Calc_Mix'!$X$11=0,COUNTIFS(Esc_Turno,'Calc_Mix'!$C$11,Esc_Circ,$B141)+COUNTIFS(Esc_Turno,'Calc_Mix'!$C$11,Esc_Instr,$B141)&gt;0),"",IF(SUMPRODUCT('Calc_Mix'!$D$11:$W$11,'Matriz_Habilidades'!$D141:$W141)=0,"",SUMPRODUCT('Calc_Mix'!$D$11:$W$11,'Matriz_Habilidades'!$D141:$W141)/'Calc_Mix'!$X$11+ROW()*0.000001))</f>
        <v/>
      </c>
      <c r="O141" s="34">
        <f>IF(OR($B141="",$C141&lt;&gt;"Ativo",$D141&lt;&gt;'Calc_Mix'!$C$12,'Calc_Mix'!$X$12=0,COUNTIFS(Esc_Turno,'Calc_Mix'!$C$12,Esc_Circ,$B141)+COUNTIFS(Esc_Turno,'Calc_Mix'!$C$12,Esc_Instr,$B141)&gt;0),"",IF(SUMPRODUCT('Calc_Mix'!$D$12:$W$12,'Matriz_Habilidades'!$D141:$W141)=0,"",SUMPRODUCT('Calc_Mix'!$D$12:$W$12,'Matriz_Habilidades'!$D141:$W141)/'Calc_Mix'!$X$12+ROW()*0.000001))</f>
        <v/>
      </c>
      <c r="P141" s="34">
        <f>IF(OR($B141="",$C141&lt;&gt;"Ativo",$D141&lt;&gt;'Calc_Mix'!$C$13,'Calc_Mix'!$X$13=0,COUNTIFS(Esc_Turno,'Calc_Mix'!$C$13,Esc_Circ,$B141)+COUNTIFS(Esc_Turno,'Calc_Mix'!$C$13,Esc_Instr,$B141)&gt;0),"",IF(SUMPRODUCT('Calc_Mix'!$D$13:$W$13,'Matriz_Habilidades'!$D141:$W141)=0,"",SUMPRODUCT('Calc_Mix'!$D$13:$W$13,'Matriz_Habilidades'!$D141:$W141)/'Calc_Mix'!$X$13+ROW()*0.000001))</f>
        <v/>
      </c>
      <c r="Q141" s="34">
        <f>IF(OR($B141="",$C141&lt;&gt;"Ativo",$D141&lt;&gt;'Calc_Mix'!$C$14,'Calc_Mix'!$X$14=0,COUNTIFS(Esc_Turno,'Calc_Mix'!$C$14,Esc_Circ,$B141)+COUNTIFS(Esc_Turno,'Calc_Mix'!$C$14,Esc_Instr,$B141)&gt;0),"",IF(SUMPRODUCT('Calc_Mix'!$D$14:$W$14,'Matriz_Habilidades'!$D141:$W141)=0,"",SUMPRODUCT('Calc_Mix'!$D$14:$W$14,'Matriz_Habilidades'!$D141:$W141)/'Calc_Mix'!$X$14+ROW()*0.000001))</f>
        <v/>
      </c>
      <c r="R141" s="34">
        <f>IF(OR($B141="",$C141&lt;&gt;"Ativo",$D141&lt;&gt;'Calc_Mix'!$C$15,'Calc_Mix'!$X$15=0,COUNTIFS(Esc_Turno,'Calc_Mix'!$C$15,Esc_Circ,$B141)+COUNTIFS(Esc_Turno,'Calc_Mix'!$C$15,Esc_Instr,$B141)&gt;0),"",IF(SUMPRODUCT('Calc_Mix'!$D$15:$W$15,'Matriz_Habilidades'!$D141:$W141)=0,"",SUMPRODUCT('Calc_Mix'!$D$15:$W$15,'Matriz_Habilidades'!$D141:$W141)/'Calc_Mix'!$X$15+ROW()*0.000001))</f>
        <v/>
      </c>
      <c r="S141" s="34">
        <f>IF(OR($B141="",$C141&lt;&gt;"Ativo",$D141&lt;&gt;'Calc_Mix'!$C$16,'Calc_Mix'!$X$16=0,COUNTIFS(Esc_Turno,'Calc_Mix'!$C$16,Esc_Circ,$B141)+COUNTIFS(Esc_Turno,'Calc_Mix'!$C$16,Esc_Instr,$B141)&gt;0),"",IF(SUMPRODUCT('Calc_Mix'!$D$16:$W$16,'Matriz_Habilidades'!$D141:$W141)=0,"",SUMPRODUCT('Calc_Mix'!$D$16:$W$16,'Matriz_Habilidades'!$D141:$W141)/'Calc_Mix'!$X$16+ROW()*0.000001))</f>
        <v/>
      </c>
      <c r="T141" s="34">
        <f>IF(OR($B141="",$C141&lt;&gt;"Ativo",$D141&lt;&gt;'Calc_Mix'!$C$17,'Calc_Mix'!$X$17=0,COUNTIFS(Esc_Turno,'Calc_Mix'!$C$17,Esc_Circ,$B141)+COUNTIFS(Esc_Turno,'Calc_Mix'!$C$17,Esc_Instr,$B141)&gt;0),"",IF(SUMPRODUCT('Calc_Mix'!$D$17:$W$17,'Matriz_Habilidades'!$D141:$W141)=0,"",SUMPRODUCT('Calc_Mix'!$D$17:$W$17,'Matriz_Habilidades'!$D141:$W141)/'Calc_Mix'!$X$17+ROW()*0.000001))</f>
        <v/>
      </c>
      <c r="U141" s="34">
        <f>IF(OR($B141="",$C141&lt;&gt;"Ativo",$D141&lt;&gt;'Calc_Mix'!$C$18,'Calc_Mix'!$X$18=0,COUNTIFS(Esc_Turno,'Calc_Mix'!$C$18,Esc_Circ,$B141)+COUNTIFS(Esc_Turno,'Calc_Mix'!$C$18,Esc_Instr,$B141)&gt;0),"",IF(SUMPRODUCT('Calc_Mix'!$D$18:$W$18,'Matriz_Habilidades'!$D141:$W141)=0,"",SUMPRODUCT('Calc_Mix'!$D$18:$W$18,'Matriz_Habilidades'!$D141:$W141)/'Calc_Mix'!$X$18+ROW()*0.000001))</f>
        <v/>
      </c>
      <c r="V141" s="34">
        <f>IF(OR($B141="",$C141&lt;&gt;"Ativo",$D141&lt;&gt;'Calc_Mix'!$C$19,'Calc_Mix'!$X$19=0,COUNTIFS(Esc_Turno,'Calc_Mix'!$C$19,Esc_Circ,$B141)+COUNTIFS(Esc_Turno,'Calc_Mix'!$C$19,Esc_Instr,$B141)&gt;0),"",IF(SUMPRODUCT('Calc_Mix'!$D$19:$W$19,'Matriz_Habilidades'!$D141:$W141)=0,"",SUMPRODUCT('Calc_Mix'!$D$19:$W$19,'Matriz_Habilidades'!$D141:$W141)/'Calc_Mix'!$X$19+ROW()*0.000001))</f>
        <v/>
      </c>
      <c r="W141" s="34">
        <f>IF(OR($B141="",$C141&lt;&gt;"Ativo",$D141&lt;&gt;'Calc_Mix'!$C$20,'Calc_Mix'!$X$20=0,COUNTIFS(Esc_Turno,'Calc_Mix'!$C$20,Esc_Circ,$B141)+COUNTIFS(Esc_Turno,'Calc_Mix'!$C$20,Esc_Instr,$B141)&gt;0),"",IF(SUMPRODUCT('Calc_Mix'!$D$20:$W$20,'Matriz_Habilidades'!$D141:$W141)=0,"",SUMPRODUCT('Calc_Mix'!$D$20:$W$20,'Matriz_Habilidades'!$D141:$W141)/'Calc_Mix'!$X$20+ROW()*0.000001))</f>
        <v/>
      </c>
      <c r="X141" s="34">
        <f>IF(OR($B141="",$C141&lt;&gt;"Ativo",$D141&lt;&gt;'Calc_Mix'!$C$21,'Calc_Mix'!$X$21=0,COUNTIFS(Esc_Turno,'Calc_Mix'!$C$21,Esc_Circ,$B141)+COUNTIFS(Esc_Turno,'Calc_Mix'!$C$21,Esc_Instr,$B141)&gt;0),"",IF(SUMPRODUCT('Calc_Mix'!$D$21:$W$21,'Matriz_Habilidades'!$D141:$W141)=0,"",SUMPRODUCT('Calc_Mix'!$D$21:$W$21,'Matriz_Habilidades'!$D141:$W141)/'Calc_Mix'!$X$21+ROW()*0.000001))</f>
        <v/>
      </c>
      <c r="Y141" s="34">
        <f>IF(OR($B141="",$C141&lt;&gt;"Ativo",$D141&lt;&gt;'Calc_Mix'!$C$22,'Calc_Mix'!$X$22=0,COUNTIFS(Esc_Turno,'Calc_Mix'!$C$22,Esc_Circ,$B141)+COUNTIFS(Esc_Turno,'Calc_Mix'!$C$22,Esc_Instr,$B141)&gt;0),"",IF(SUMPRODUCT('Calc_Mix'!$D$22:$W$22,'Matriz_Habilidades'!$D141:$W141)=0,"",SUMPRODUCT('Calc_Mix'!$D$22:$W$22,'Matriz_Habilidades'!$D141:$W141)/'Calc_Mix'!$X$22+ROW()*0.000001))</f>
        <v/>
      </c>
      <c r="Z141" s="34">
        <f>IF(OR($B141="",$C141&lt;&gt;"Ativo",$D141&lt;&gt;'Calc_Mix'!$C$23,'Calc_Mix'!$X$23=0,COUNTIFS(Esc_Turno,'Calc_Mix'!$C$23,Esc_Circ,$B141)+COUNTIFS(Esc_Turno,'Calc_Mix'!$C$23,Esc_Instr,$B141)&gt;0),"",IF(SUMPRODUCT('Calc_Mix'!$D$23:$W$23,'Matriz_Habilidades'!$D141:$W141)=0,"",SUMPRODUCT('Calc_Mix'!$D$23:$W$23,'Matriz_Habilidades'!$D141:$W141)/'Calc_Mix'!$X$23+ROW()*0.000001))</f>
        <v/>
      </c>
      <c r="AA141" s="34">
        <f>IF(OR($B141="",$C141&lt;&gt;"Ativo",$D141&lt;&gt;'Calc_Mix'!$C$24,'Calc_Mix'!$X$24=0,COUNTIFS(Esc_Turno,'Calc_Mix'!$C$24,Esc_Circ,$B141)+COUNTIFS(Esc_Turno,'Calc_Mix'!$C$24,Esc_Instr,$B141)&gt;0),"",IF(SUMPRODUCT('Calc_Mix'!$D$24:$W$24,'Matriz_Habilidades'!$D141:$W141)=0,"",SUMPRODUCT('Calc_Mix'!$D$24:$W$24,'Matriz_Habilidades'!$D141:$W141)/'Calc_Mix'!$X$24+ROW()*0.000001))</f>
        <v/>
      </c>
      <c r="AB141" s="34">
        <f>IF(OR($B141="",$C141&lt;&gt;"Ativo",$D141&lt;&gt;'Calc_Mix'!$C$25,'Calc_Mix'!$X$25=0,COUNTIFS(Esc_Turno,'Calc_Mix'!$C$25,Esc_Circ,$B141)+COUNTIFS(Esc_Turno,'Calc_Mix'!$C$25,Esc_Instr,$B141)&gt;0),"",IF(SUMPRODUCT('Calc_Mix'!$D$25:$W$25,'Matriz_Habilidades'!$D141:$W141)=0,"",SUMPRODUCT('Calc_Mix'!$D$25:$W$25,'Matriz_Habilidades'!$D141:$W141)/'Calc_Mix'!$X$25+ROW()*0.000001))</f>
        <v/>
      </c>
      <c r="AC141" s="34">
        <f>IF(OR($B141="",$C141&lt;&gt;"Ativo",$D141&lt;&gt;'Calc_Mix'!$C$26,'Calc_Mix'!$X$26=0,COUNTIFS(Esc_Turno,'Calc_Mix'!$C$26,Esc_Circ,$B141)+COUNTIFS(Esc_Turno,'Calc_Mix'!$C$26,Esc_Instr,$B141)&gt;0),"",IF(SUMPRODUCT('Calc_Mix'!$D$26:$W$26,'Matriz_Habilidades'!$D141:$W141)=0,"",SUMPRODUCT('Calc_Mix'!$D$26:$W$26,'Matriz_Habilidades'!$D141:$W141)/'Calc_Mix'!$X$26+ROW()*0.000001))</f>
        <v/>
      </c>
      <c r="AD141" s="34">
        <f>IF(OR($B141="",$C141&lt;&gt;"Ativo",$D141&lt;&gt;'Calc_Mix'!$C$27,'Calc_Mix'!$X$27=0,COUNTIFS(Esc_Turno,'Calc_Mix'!$C$27,Esc_Circ,$B141)+COUNTIFS(Esc_Turno,'Calc_Mix'!$C$27,Esc_Instr,$B141)&gt;0),"",IF(SUMPRODUCT('Calc_Mix'!$D$27:$W$27,'Matriz_Habilidades'!$D141:$W141)=0,"",SUMPRODUCT('Calc_Mix'!$D$27:$W$27,'Matriz_Habilidades'!$D141:$W141)/'Calc_Mix'!$X$27+ROW()*0.000001))</f>
        <v/>
      </c>
      <c r="AE141" s="34">
        <f>IF(OR($B141="",$C141&lt;&gt;"Ativo",$D141&lt;&gt;'Calc_Mix'!$C$28,'Calc_Mix'!$X$28=0,COUNTIFS(Esc_Turno,'Calc_Mix'!$C$28,Esc_Circ,$B141)+COUNTIFS(Esc_Turno,'Calc_Mix'!$C$28,Esc_Instr,$B141)&gt;0),"",IF(SUMPRODUCT('Calc_Mix'!$D$28:$W$28,'Matriz_Habilidades'!$D141:$W141)=0,"",SUMPRODUCT('Calc_Mix'!$D$28:$W$28,'Matriz_Habilidades'!$D141:$W141)/'Calc_Mix'!$X$28+ROW()*0.000001))</f>
        <v/>
      </c>
      <c r="AF141" s="34">
        <f>IF(OR($B141="",$C141&lt;&gt;"Ativo",$D141&lt;&gt;'Calc_Mix'!$C$29,'Calc_Mix'!$X$29=0,COUNTIFS(Esc_Turno,'Calc_Mix'!$C$29,Esc_Circ,$B141)+COUNTIFS(Esc_Turno,'Calc_Mix'!$C$29,Esc_Instr,$B141)&gt;0),"",IF(SUMPRODUCT('Calc_Mix'!$D$29:$W$29,'Matriz_Habilidades'!$D141:$W141)=0,"",SUMPRODUCT('Calc_Mix'!$D$29:$W$29,'Matriz_Habilidades'!$D141:$W141)/'Calc_Mix'!$X$29+ROW()*0.000001))</f>
        <v/>
      </c>
      <c r="AG141" s="34">
        <f>IF(OR($B141="",$C141&lt;&gt;"Ativo",$D141&lt;&gt;'Calc_Mix'!$C$30,'Calc_Mix'!$X$30=0,COUNTIFS(Esc_Turno,'Calc_Mix'!$C$30,Esc_Circ,$B141)+COUNTIFS(Esc_Turno,'Calc_Mix'!$C$30,Esc_Instr,$B141)&gt;0),"",IF(SUMPRODUCT('Calc_Mix'!$D$30:$W$30,'Matriz_Habilidades'!$D141:$W141)=0,"",SUMPRODUCT('Calc_Mix'!$D$30:$W$30,'Matriz_Habilidades'!$D141:$W141)/'Calc_Mix'!$X$30+ROW()*0.000001))</f>
        <v/>
      </c>
      <c r="AH141" s="34">
        <f>IF(OR($B141="",$C141&lt;&gt;"Ativo",$D141&lt;&gt;'Calc_Mix'!$C$31,'Calc_Mix'!$X$31=0,COUNTIFS(Esc_Turno,'Calc_Mix'!$C$31,Esc_Circ,$B141)+COUNTIFS(Esc_Turno,'Calc_Mix'!$C$31,Esc_Instr,$B141)&gt;0),"",IF(SUMPRODUCT('Calc_Mix'!$D$31:$W$31,'Matriz_Habilidades'!$D141:$W141)=0,"",SUMPRODUCT('Calc_Mix'!$D$31:$W$31,'Matriz_Habilidades'!$D141:$W141)/'Calc_Mix'!$X$31+ROW()*0.000001))</f>
        <v/>
      </c>
      <c r="AI141" s="34">
        <f>IF(OR($B141="",$C141&lt;&gt;"Ativo",$D141&lt;&gt;'Calc_Mix'!$C$32,'Calc_Mix'!$X$32=0,COUNTIFS(Esc_Turno,'Calc_Mix'!$C$32,Esc_Circ,$B141)+COUNTIFS(Esc_Turno,'Calc_Mix'!$C$32,Esc_Instr,$B141)&gt;0),"",IF(SUMPRODUCT('Calc_Mix'!$D$32:$W$32,'Matriz_Habilidades'!$D141:$W141)=0,"",SUMPRODUCT('Calc_Mix'!$D$32:$W$32,'Matriz_Habilidades'!$D141:$W141)/'Calc_Mix'!$X$32+ROW()*0.000001))</f>
        <v/>
      </c>
      <c r="AJ141" s="34">
        <f>IF(OR($B141="",$C141&lt;&gt;"Ativo",$D141&lt;&gt;'Calc_Mix'!$C$33,'Calc_Mix'!$X$33=0,COUNTIFS(Esc_Turno,'Calc_Mix'!$C$33,Esc_Circ,$B141)+COUNTIFS(Esc_Turno,'Calc_Mix'!$C$33,Esc_Instr,$B141)&gt;0),"",IF(SUMPRODUCT('Calc_Mix'!$D$33:$W$33,'Matriz_Habilidades'!$D141:$W141)=0,"",SUMPRODUCT('Calc_Mix'!$D$33:$W$33,'Matriz_Habilidades'!$D141:$W141)/'Calc_Mix'!$X$33+ROW()*0.000001))</f>
        <v/>
      </c>
      <c r="AK141" s="34">
        <f>IF(OR($B141="",$C141&lt;&gt;"Ativo",$D141&lt;&gt;'Calc_Mix'!$C$34,'Calc_Mix'!$X$34=0,COUNTIFS(Esc_Turno,'Calc_Mix'!$C$34,Esc_Circ,$B141)+COUNTIFS(Esc_Turno,'Calc_Mix'!$C$34,Esc_Instr,$B141)&gt;0),"",IF(SUMPRODUCT('Calc_Mix'!$D$34:$W$34,'Matriz_Habilidades'!$D141:$W141)=0,"",SUMPRODUCT('Calc_Mix'!$D$34:$W$34,'Matriz_Habilidades'!$D141:$W141)/'Calc_Mix'!$X$34+ROW()*0.000001))</f>
        <v/>
      </c>
      <c r="AL141" s="34">
        <f>IF(OR($B141="",$C141&lt;&gt;"Ativo",$D141&lt;&gt;'Calc_Mix'!$C$35,'Calc_Mix'!$X$35=0,COUNTIFS(Esc_Turno,'Calc_Mix'!$C$35,Esc_Circ,$B141)+COUNTIFS(Esc_Turno,'Calc_Mix'!$C$35,Esc_Instr,$B141)&gt;0),"",IF(SUMPRODUCT('Calc_Mix'!$D$35:$W$35,'Matriz_Habilidades'!$D141:$W141)=0,"",SUMPRODUCT('Calc_Mix'!$D$35:$W$35,'Matriz_Habilidades'!$D141:$W141)/'Calc_Mix'!$X$35+ROW()*0.000001))</f>
        <v/>
      </c>
      <c r="AM141" s="34">
        <f>IF(OR($B141="",$C141&lt;&gt;"Ativo",$D141&lt;&gt;'Calc_Mix'!$C$36,'Calc_Mix'!$X$36=0,COUNTIFS(Esc_Turno,'Calc_Mix'!$C$36,Esc_Circ,$B141)+COUNTIFS(Esc_Turno,'Calc_Mix'!$C$36,Esc_Instr,$B141)&gt;0),"",IF(SUMPRODUCT('Calc_Mix'!$D$36:$W$36,'Matriz_Habilidades'!$D141:$W141)=0,"",SUMPRODUCT('Calc_Mix'!$D$36:$W$36,'Matriz_Habilidades'!$D141:$W141)/'Calc_Mix'!$X$36+ROW()*0.000001))</f>
        <v/>
      </c>
      <c r="AN141" s="34">
        <f>IF(OR($B141="",$C141&lt;&gt;"Ativo",$D141&lt;&gt;'Calc_Mix'!$C$37,'Calc_Mix'!$X$37=0,COUNTIFS(Esc_Turno,'Calc_Mix'!$C$37,Esc_Circ,$B141)+COUNTIFS(Esc_Turno,'Calc_Mix'!$C$37,Esc_Instr,$B141)&gt;0),"",IF(SUMPRODUCT('Calc_Mix'!$D$37:$W$37,'Matriz_Habilidades'!$D141:$W141)=0,"",SUMPRODUCT('Calc_Mix'!$D$37:$W$37,'Matriz_Habilidades'!$D141:$W141)/'Calc_Mix'!$X$37+ROW()*0.000001))</f>
        <v/>
      </c>
    </row>
    <row r="142">
      <c r="A142" s="27">
        <f>IF('Matriz_Habilidades'!A142="","",'Matriz_Habilidades'!A142)</f>
        <v/>
      </c>
      <c r="B142" s="28">
        <f>IF('Matriz_Habilidades'!B142="","",'Matriz_Habilidades'!B142)</f>
        <v/>
      </c>
      <c r="C142" s="27">
        <f>IF($A142="","",IFERROR(INDEX(Equipe_Status,MATCH($B142,Equipe_Nome,0)),"?"))</f>
        <v/>
      </c>
      <c r="D142" s="27">
        <f>IF($A142="","",IFERROR(INDEX(Equipe_Turno,MATCH($B142,Equipe_Nome,0)),"?"))</f>
        <v/>
      </c>
      <c r="E142" s="34">
        <f>IF(OR($B142="",$C142&lt;&gt;"Ativo",$D142&lt;&gt;'Calc_Mix'!$C$2,'Calc_Mix'!$X$2=0,COUNTIFS(Esc_Turno,'Calc_Mix'!$C$2,Esc_Circ,$B142)+COUNTIFS(Esc_Turno,'Calc_Mix'!$C$2,Esc_Instr,$B142)&gt;0),"",IF(SUMPRODUCT('Calc_Mix'!$D$2:$W$2,'Matriz_Habilidades'!$D142:$W142)=0,"",SUMPRODUCT('Calc_Mix'!$D$2:$W$2,'Matriz_Habilidades'!$D142:$W142)/'Calc_Mix'!$X$2+ROW()*0.000001))</f>
        <v/>
      </c>
      <c r="F142" s="34">
        <f>IF(OR($B142="",$C142&lt;&gt;"Ativo",$D142&lt;&gt;'Calc_Mix'!$C$3,'Calc_Mix'!$X$3=0,COUNTIFS(Esc_Turno,'Calc_Mix'!$C$3,Esc_Circ,$B142)+COUNTIFS(Esc_Turno,'Calc_Mix'!$C$3,Esc_Instr,$B142)&gt;0),"",IF(SUMPRODUCT('Calc_Mix'!$D$3:$W$3,'Matriz_Habilidades'!$D142:$W142)=0,"",SUMPRODUCT('Calc_Mix'!$D$3:$W$3,'Matriz_Habilidades'!$D142:$W142)/'Calc_Mix'!$X$3+ROW()*0.000001))</f>
        <v/>
      </c>
      <c r="G142" s="34">
        <f>IF(OR($B142="",$C142&lt;&gt;"Ativo",$D142&lt;&gt;'Calc_Mix'!$C$4,'Calc_Mix'!$X$4=0,COUNTIFS(Esc_Turno,'Calc_Mix'!$C$4,Esc_Circ,$B142)+COUNTIFS(Esc_Turno,'Calc_Mix'!$C$4,Esc_Instr,$B142)&gt;0),"",IF(SUMPRODUCT('Calc_Mix'!$D$4:$W$4,'Matriz_Habilidades'!$D142:$W142)=0,"",SUMPRODUCT('Calc_Mix'!$D$4:$W$4,'Matriz_Habilidades'!$D142:$W142)/'Calc_Mix'!$X$4+ROW()*0.000001))</f>
        <v/>
      </c>
      <c r="H142" s="34">
        <f>IF(OR($B142="",$C142&lt;&gt;"Ativo",$D142&lt;&gt;'Calc_Mix'!$C$5,'Calc_Mix'!$X$5=0,COUNTIFS(Esc_Turno,'Calc_Mix'!$C$5,Esc_Circ,$B142)+COUNTIFS(Esc_Turno,'Calc_Mix'!$C$5,Esc_Instr,$B142)&gt;0),"",IF(SUMPRODUCT('Calc_Mix'!$D$5:$W$5,'Matriz_Habilidades'!$D142:$W142)=0,"",SUMPRODUCT('Calc_Mix'!$D$5:$W$5,'Matriz_Habilidades'!$D142:$W142)/'Calc_Mix'!$X$5+ROW()*0.000001))</f>
        <v/>
      </c>
      <c r="I142" s="34">
        <f>IF(OR($B142="",$C142&lt;&gt;"Ativo",$D142&lt;&gt;'Calc_Mix'!$C$6,'Calc_Mix'!$X$6=0,COUNTIFS(Esc_Turno,'Calc_Mix'!$C$6,Esc_Circ,$B142)+COUNTIFS(Esc_Turno,'Calc_Mix'!$C$6,Esc_Instr,$B142)&gt;0),"",IF(SUMPRODUCT('Calc_Mix'!$D$6:$W$6,'Matriz_Habilidades'!$D142:$W142)=0,"",SUMPRODUCT('Calc_Mix'!$D$6:$W$6,'Matriz_Habilidades'!$D142:$W142)/'Calc_Mix'!$X$6+ROW()*0.000001))</f>
        <v/>
      </c>
      <c r="J142" s="34">
        <f>IF(OR($B142="",$C142&lt;&gt;"Ativo",$D142&lt;&gt;'Calc_Mix'!$C$7,'Calc_Mix'!$X$7=0,COUNTIFS(Esc_Turno,'Calc_Mix'!$C$7,Esc_Circ,$B142)+COUNTIFS(Esc_Turno,'Calc_Mix'!$C$7,Esc_Instr,$B142)&gt;0),"",IF(SUMPRODUCT('Calc_Mix'!$D$7:$W$7,'Matriz_Habilidades'!$D142:$W142)=0,"",SUMPRODUCT('Calc_Mix'!$D$7:$W$7,'Matriz_Habilidades'!$D142:$W142)/'Calc_Mix'!$X$7+ROW()*0.000001))</f>
        <v/>
      </c>
      <c r="K142" s="34">
        <f>IF(OR($B142="",$C142&lt;&gt;"Ativo",$D142&lt;&gt;'Calc_Mix'!$C$8,'Calc_Mix'!$X$8=0,COUNTIFS(Esc_Turno,'Calc_Mix'!$C$8,Esc_Circ,$B142)+COUNTIFS(Esc_Turno,'Calc_Mix'!$C$8,Esc_Instr,$B142)&gt;0),"",IF(SUMPRODUCT('Calc_Mix'!$D$8:$W$8,'Matriz_Habilidades'!$D142:$W142)=0,"",SUMPRODUCT('Calc_Mix'!$D$8:$W$8,'Matriz_Habilidades'!$D142:$W142)/'Calc_Mix'!$X$8+ROW()*0.000001))</f>
        <v/>
      </c>
      <c r="L142" s="34">
        <f>IF(OR($B142="",$C142&lt;&gt;"Ativo",$D142&lt;&gt;'Calc_Mix'!$C$9,'Calc_Mix'!$X$9=0,COUNTIFS(Esc_Turno,'Calc_Mix'!$C$9,Esc_Circ,$B142)+COUNTIFS(Esc_Turno,'Calc_Mix'!$C$9,Esc_Instr,$B142)&gt;0),"",IF(SUMPRODUCT('Calc_Mix'!$D$9:$W$9,'Matriz_Habilidades'!$D142:$W142)=0,"",SUMPRODUCT('Calc_Mix'!$D$9:$W$9,'Matriz_Habilidades'!$D142:$W142)/'Calc_Mix'!$X$9+ROW()*0.000001))</f>
        <v/>
      </c>
      <c r="M142" s="34">
        <f>IF(OR($B142="",$C142&lt;&gt;"Ativo",$D142&lt;&gt;'Calc_Mix'!$C$10,'Calc_Mix'!$X$10=0,COUNTIFS(Esc_Turno,'Calc_Mix'!$C$10,Esc_Circ,$B142)+COUNTIFS(Esc_Turno,'Calc_Mix'!$C$10,Esc_Instr,$B142)&gt;0),"",IF(SUMPRODUCT('Calc_Mix'!$D$10:$W$10,'Matriz_Habilidades'!$D142:$W142)=0,"",SUMPRODUCT('Calc_Mix'!$D$10:$W$10,'Matriz_Habilidades'!$D142:$W142)/'Calc_Mix'!$X$10+ROW()*0.000001))</f>
        <v/>
      </c>
      <c r="N142" s="34">
        <f>IF(OR($B142="",$C142&lt;&gt;"Ativo",$D142&lt;&gt;'Calc_Mix'!$C$11,'Calc_Mix'!$X$11=0,COUNTIFS(Esc_Turno,'Calc_Mix'!$C$11,Esc_Circ,$B142)+COUNTIFS(Esc_Turno,'Calc_Mix'!$C$11,Esc_Instr,$B142)&gt;0),"",IF(SUMPRODUCT('Calc_Mix'!$D$11:$W$11,'Matriz_Habilidades'!$D142:$W142)=0,"",SUMPRODUCT('Calc_Mix'!$D$11:$W$11,'Matriz_Habilidades'!$D142:$W142)/'Calc_Mix'!$X$11+ROW()*0.000001))</f>
        <v/>
      </c>
      <c r="O142" s="34">
        <f>IF(OR($B142="",$C142&lt;&gt;"Ativo",$D142&lt;&gt;'Calc_Mix'!$C$12,'Calc_Mix'!$X$12=0,COUNTIFS(Esc_Turno,'Calc_Mix'!$C$12,Esc_Circ,$B142)+COUNTIFS(Esc_Turno,'Calc_Mix'!$C$12,Esc_Instr,$B142)&gt;0),"",IF(SUMPRODUCT('Calc_Mix'!$D$12:$W$12,'Matriz_Habilidades'!$D142:$W142)=0,"",SUMPRODUCT('Calc_Mix'!$D$12:$W$12,'Matriz_Habilidades'!$D142:$W142)/'Calc_Mix'!$X$12+ROW()*0.000001))</f>
        <v/>
      </c>
      <c r="P142" s="34">
        <f>IF(OR($B142="",$C142&lt;&gt;"Ativo",$D142&lt;&gt;'Calc_Mix'!$C$13,'Calc_Mix'!$X$13=0,COUNTIFS(Esc_Turno,'Calc_Mix'!$C$13,Esc_Circ,$B142)+COUNTIFS(Esc_Turno,'Calc_Mix'!$C$13,Esc_Instr,$B142)&gt;0),"",IF(SUMPRODUCT('Calc_Mix'!$D$13:$W$13,'Matriz_Habilidades'!$D142:$W142)=0,"",SUMPRODUCT('Calc_Mix'!$D$13:$W$13,'Matriz_Habilidades'!$D142:$W142)/'Calc_Mix'!$X$13+ROW()*0.000001))</f>
        <v/>
      </c>
      <c r="Q142" s="34">
        <f>IF(OR($B142="",$C142&lt;&gt;"Ativo",$D142&lt;&gt;'Calc_Mix'!$C$14,'Calc_Mix'!$X$14=0,COUNTIFS(Esc_Turno,'Calc_Mix'!$C$14,Esc_Circ,$B142)+COUNTIFS(Esc_Turno,'Calc_Mix'!$C$14,Esc_Instr,$B142)&gt;0),"",IF(SUMPRODUCT('Calc_Mix'!$D$14:$W$14,'Matriz_Habilidades'!$D142:$W142)=0,"",SUMPRODUCT('Calc_Mix'!$D$14:$W$14,'Matriz_Habilidades'!$D142:$W142)/'Calc_Mix'!$X$14+ROW()*0.000001))</f>
        <v/>
      </c>
      <c r="R142" s="34">
        <f>IF(OR($B142="",$C142&lt;&gt;"Ativo",$D142&lt;&gt;'Calc_Mix'!$C$15,'Calc_Mix'!$X$15=0,COUNTIFS(Esc_Turno,'Calc_Mix'!$C$15,Esc_Circ,$B142)+COUNTIFS(Esc_Turno,'Calc_Mix'!$C$15,Esc_Instr,$B142)&gt;0),"",IF(SUMPRODUCT('Calc_Mix'!$D$15:$W$15,'Matriz_Habilidades'!$D142:$W142)=0,"",SUMPRODUCT('Calc_Mix'!$D$15:$W$15,'Matriz_Habilidades'!$D142:$W142)/'Calc_Mix'!$X$15+ROW()*0.000001))</f>
        <v/>
      </c>
      <c r="S142" s="34">
        <f>IF(OR($B142="",$C142&lt;&gt;"Ativo",$D142&lt;&gt;'Calc_Mix'!$C$16,'Calc_Mix'!$X$16=0,COUNTIFS(Esc_Turno,'Calc_Mix'!$C$16,Esc_Circ,$B142)+COUNTIFS(Esc_Turno,'Calc_Mix'!$C$16,Esc_Instr,$B142)&gt;0),"",IF(SUMPRODUCT('Calc_Mix'!$D$16:$W$16,'Matriz_Habilidades'!$D142:$W142)=0,"",SUMPRODUCT('Calc_Mix'!$D$16:$W$16,'Matriz_Habilidades'!$D142:$W142)/'Calc_Mix'!$X$16+ROW()*0.000001))</f>
        <v/>
      </c>
      <c r="T142" s="34">
        <f>IF(OR($B142="",$C142&lt;&gt;"Ativo",$D142&lt;&gt;'Calc_Mix'!$C$17,'Calc_Mix'!$X$17=0,COUNTIFS(Esc_Turno,'Calc_Mix'!$C$17,Esc_Circ,$B142)+COUNTIFS(Esc_Turno,'Calc_Mix'!$C$17,Esc_Instr,$B142)&gt;0),"",IF(SUMPRODUCT('Calc_Mix'!$D$17:$W$17,'Matriz_Habilidades'!$D142:$W142)=0,"",SUMPRODUCT('Calc_Mix'!$D$17:$W$17,'Matriz_Habilidades'!$D142:$W142)/'Calc_Mix'!$X$17+ROW()*0.000001))</f>
        <v/>
      </c>
      <c r="U142" s="34">
        <f>IF(OR($B142="",$C142&lt;&gt;"Ativo",$D142&lt;&gt;'Calc_Mix'!$C$18,'Calc_Mix'!$X$18=0,COUNTIFS(Esc_Turno,'Calc_Mix'!$C$18,Esc_Circ,$B142)+COUNTIFS(Esc_Turno,'Calc_Mix'!$C$18,Esc_Instr,$B142)&gt;0),"",IF(SUMPRODUCT('Calc_Mix'!$D$18:$W$18,'Matriz_Habilidades'!$D142:$W142)=0,"",SUMPRODUCT('Calc_Mix'!$D$18:$W$18,'Matriz_Habilidades'!$D142:$W142)/'Calc_Mix'!$X$18+ROW()*0.000001))</f>
        <v/>
      </c>
      <c r="V142" s="34">
        <f>IF(OR($B142="",$C142&lt;&gt;"Ativo",$D142&lt;&gt;'Calc_Mix'!$C$19,'Calc_Mix'!$X$19=0,COUNTIFS(Esc_Turno,'Calc_Mix'!$C$19,Esc_Circ,$B142)+COUNTIFS(Esc_Turno,'Calc_Mix'!$C$19,Esc_Instr,$B142)&gt;0),"",IF(SUMPRODUCT('Calc_Mix'!$D$19:$W$19,'Matriz_Habilidades'!$D142:$W142)=0,"",SUMPRODUCT('Calc_Mix'!$D$19:$W$19,'Matriz_Habilidades'!$D142:$W142)/'Calc_Mix'!$X$19+ROW()*0.000001))</f>
        <v/>
      </c>
      <c r="W142" s="34">
        <f>IF(OR($B142="",$C142&lt;&gt;"Ativo",$D142&lt;&gt;'Calc_Mix'!$C$20,'Calc_Mix'!$X$20=0,COUNTIFS(Esc_Turno,'Calc_Mix'!$C$20,Esc_Circ,$B142)+COUNTIFS(Esc_Turno,'Calc_Mix'!$C$20,Esc_Instr,$B142)&gt;0),"",IF(SUMPRODUCT('Calc_Mix'!$D$20:$W$20,'Matriz_Habilidades'!$D142:$W142)=0,"",SUMPRODUCT('Calc_Mix'!$D$20:$W$20,'Matriz_Habilidades'!$D142:$W142)/'Calc_Mix'!$X$20+ROW()*0.000001))</f>
        <v/>
      </c>
      <c r="X142" s="34">
        <f>IF(OR($B142="",$C142&lt;&gt;"Ativo",$D142&lt;&gt;'Calc_Mix'!$C$21,'Calc_Mix'!$X$21=0,COUNTIFS(Esc_Turno,'Calc_Mix'!$C$21,Esc_Circ,$B142)+COUNTIFS(Esc_Turno,'Calc_Mix'!$C$21,Esc_Instr,$B142)&gt;0),"",IF(SUMPRODUCT('Calc_Mix'!$D$21:$W$21,'Matriz_Habilidades'!$D142:$W142)=0,"",SUMPRODUCT('Calc_Mix'!$D$21:$W$21,'Matriz_Habilidades'!$D142:$W142)/'Calc_Mix'!$X$21+ROW()*0.000001))</f>
        <v/>
      </c>
      <c r="Y142" s="34">
        <f>IF(OR($B142="",$C142&lt;&gt;"Ativo",$D142&lt;&gt;'Calc_Mix'!$C$22,'Calc_Mix'!$X$22=0,COUNTIFS(Esc_Turno,'Calc_Mix'!$C$22,Esc_Circ,$B142)+COUNTIFS(Esc_Turno,'Calc_Mix'!$C$22,Esc_Instr,$B142)&gt;0),"",IF(SUMPRODUCT('Calc_Mix'!$D$22:$W$22,'Matriz_Habilidades'!$D142:$W142)=0,"",SUMPRODUCT('Calc_Mix'!$D$22:$W$22,'Matriz_Habilidades'!$D142:$W142)/'Calc_Mix'!$X$22+ROW()*0.000001))</f>
        <v/>
      </c>
      <c r="Z142" s="34">
        <f>IF(OR($B142="",$C142&lt;&gt;"Ativo",$D142&lt;&gt;'Calc_Mix'!$C$23,'Calc_Mix'!$X$23=0,COUNTIFS(Esc_Turno,'Calc_Mix'!$C$23,Esc_Circ,$B142)+COUNTIFS(Esc_Turno,'Calc_Mix'!$C$23,Esc_Instr,$B142)&gt;0),"",IF(SUMPRODUCT('Calc_Mix'!$D$23:$W$23,'Matriz_Habilidades'!$D142:$W142)=0,"",SUMPRODUCT('Calc_Mix'!$D$23:$W$23,'Matriz_Habilidades'!$D142:$W142)/'Calc_Mix'!$X$23+ROW()*0.000001))</f>
        <v/>
      </c>
      <c r="AA142" s="34">
        <f>IF(OR($B142="",$C142&lt;&gt;"Ativo",$D142&lt;&gt;'Calc_Mix'!$C$24,'Calc_Mix'!$X$24=0,COUNTIFS(Esc_Turno,'Calc_Mix'!$C$24,Esc_Circ,$B142)+COUNTIFS(Esc_Turno,'Calc_Mix'!$C$24,Esc_Instr,$B142)&gt;0),"",IF(SUMPRODUCT('Calc_Mix'!$D$24:$W$24,'Matriz_Habilidades'!$D142:$W142)=0,"",SUMPRODUCT('Calc_Mix'!$D$24:$W$24,'Matriz_Habilidades'!$D142:$W142)/'Calc_Mix'!$X$24+ROW()*0.000001))</f>
        <v/>
      </c>
      <c r="AB142" s="34">
        <f>IF(OR($B142="",$C142&lt;&gt;"Ativo",$D142&lt;&gt;'Calc_Mix'!$C$25,'Calc_Mix'!$X$25=0,COUNTIFS(Esc_Turno,'Calc_Mix'!$C$25,Esc_Circ,$B142)+COUNTIFS(Esc_Turno,'Calc_Mix'!$C$25,Esc_Instr,$B142)&gt;0),"",IF(SUMPRODUCT('Calc_Mix'!$D$25:$W$25,'Matriz_Habilidades'!$D142:$W142)=0,"",SUMPRODUCT('Calc_Mix'!$D$25:$W$25,'Matriz_Habilidades'!$D142:$W142)/'Calc_Mix'!$X$25+ROW()*0.000001))</f>
        <v/>
      </c>
      <c r="AC142" s="34">
        <f>IF(OR($B142="",$C142&lt;&gt;"Ativo",$D142&lt;&gt;'Calc_Mix'!$C$26,'Calc_Mix'!$X$26=0,COUNTIFS(Esc_Turno,'Calc_Mix'!$C$26,Esc_Circ,$B142)+COUNTIFS(Esc_Turno,'Calc_Mix'!$C$26,Esc_Instr,$B142)&gt;0),"",IF(SUMPRODUCT('Calc_Mix'!$D$26:$W$26,'Matriz_Habilidades'!$D142:$W142)=0,"",SUMPRODUCT('Calc_Mix'!$D$26:$W$26,'Matriz_Habilidades'!$D142:$W142)/'Calc_Mix'!$X$26+ROW()*0.000001))</f>
        <v/>
      </c>
      <c r="AD142" s="34">
        <f>IF(OR($B142="",$C142&lt;&gt;"Ativo",$D142&lt;&gt;'Calc_Mix'!$C$27,'Calc_Mix'!$X$27=0,COUNTIFS(Esc_Turno,'Calc_Mix'!$C$27,Esc_Circ,$B142)+COUNTIFS(Esc_Turno,'Calc_Mix'!$C$27,Esc_Instr,$B142)&gt;0),"",IF(SUMPRODUCT('Calc_Mix'!$D$27:$W$27,'Matriz_Habilidades'!$D142:$W142)=0,"",SUMPRODUCT('Calc_Mix'!$D$27:$W$27,'Matriz_Habilidades'!$D142:$W142)/'Calc_Mix'!$X$27+ROW()*0.000001))</f>
        <v/>
      </c>
      <c r="AE142" s="34">
        <f>IF(OR($B142="",$C142&lt;&gt;"Ativo",$D142&lt;&gt;'Calc_Mix'!$C$28,'Calc_Mix'!$X$28=0,COUNTIFS(Esc_Turno,'Calc_Mix'!$C$28,Esc_Circ,$B142)+COUNTIFS(Esc_Turno,'Calc_Mix'!$C$28,Esc_Instr,$B142)&gt;0),"",IF(SUMPRODUCT('Calc_Mix'!$D$28:$W$28,'Matriz_Habilidades'!$D142:$W142)=0,"",SUMPRODUCT('Calc_Mix'!$D$28:$W$28,'Matriz_Habilidades'!$D142:$W142)/'Calc_Mix'!$X$28+ROW()*0.000001))</f>
        <v/>
      </c>
      <c r="AF142" s="34">
        <f>IF(OR($B142="",$C142&lt;&gt;"Ativo",$D142&lt;&gt;'Calc_Mix'!$C$29,'Calc_Mix'!$X$29=0,COUNTIFS(Esc_Turno,'Calc_Mix'!$C$29,Esc_Circ,$B142)+COUNTIFS(Esc_Turno,'Calc_Mix'!$C$29,Esc_Instr,$B142)&gt;0),"",IF(SUMPRODUCT('Calc_Mix'!$D$29:$W$29,'Matriz_Habilidades'!$D142:$W142)=0,"",SUMPRODUCT('Calc_Mix'!$D$29:$W$29,'Matriz_Habilidades'!$D142:$W142)/'Calc_Mix'!$X$29+ROW()*0.000001))</f>
        <v/>
      </c>
      <c r="AG142" s="34">
        <f>IF(OR($B142="",$C142&lt;&gt;"Ativo",$D142&lt;&gt;'Calc_Mix'!$C$30,'Calc_Mix'!$X$30=0,COUNTIFS(Esc_Turno,'Calc_Mix'!$C$30,Esc_Circ,$B142)+COUNTIFS(Esc_Turno,'Calc_Mix'!$C$30,Esc_Instr,$B142)&gt;0),"",IF(SUMPRODUCT('Calc_Mix'!$D$30:$W$30,'Matriz_Habilidades'!$D142:$W142)=0,"",SUMPRODUCT('Calc_Mix'!$D$30:$W$30,'Matriz_Habilidades'!$D142:$W142)/'Calc_Mix'!$X$30+ROW()*0.000001))</f>
        <v/>
      </c>
      <c r="AH142" s="34">
        <f>IF(OR($B142="",$C142&lt;&gt;"Ativo",$D142&lt;&gt;'Calc_Mix'!$C$31,'Calc_Mix'!$X$31=0,COUNTIFS(Esc_Turno,'Calc_Mix'!$C$31,Esc_Circ,$B142)+COUNTIFS(Esc_Turno,'Calc_Mix'!$C$31,Esc_Instr,$B142)&gt;0),"",IF(SUMPRODUCT('Calc_Mix'!$D$31:$W$31,'Matriz_Habilidades'!$D142:$W142)=0,"",SUMPRODUCT('Calc_Mix'!$D$31:$W$31,'Matriz_Habilidades'!$D142:$W142)/'Calc_Mix'!$X$31+ROW()*0.000001))</f>
        <v/>
      </c>
      <c r="AI142" s="34">
        <f>IF(OR($B142="",$C142&lt;&gt;"Ativo",$D142&lt;&gt;'Calc_Mix'!$C$32,'Calc_Mix'!$X$32=0,COUNTIFS(Esc_Turno,'Calc_Mix'!$C$32,Esc_Circ,$B142)+COUNTIFS(Esc_Turno,'Calc_Mix'!$C$32,Esc_Instr,$B142)&gt;0),"",IF(SUMPRODUCT('Calc_Mix'!$D$32:$W$32,'Matriz_Habilidades'!$D142:$W142)=0,"",SUMPRODUCT('Calc_Mix'!$D$32:$W$32,'Matriz_Habilidades'!$D142:$W142)/'Calc_Mix'!$X$32+ROW()*0.000001))</f>
        <v/>
      </c>
      <c r="AJ142" s="34">
        <f>IF(OR($B142="",$C142&lt;&gt;"Ativo",$D142&lt;&gt;'Calc_Mix'!$C$33,'Calc_Mix'!$X$33=0,COUNTIFS(Esc_Turno,'Calc_Mix'!$C$33,Esc_Circ,$B142)+COUNTIFS(Esc_Turno,'Calc_Mix'!$C$33,Esc_Instr,$B142)&gt;0),"",IF(SUMPRODUCT('Calc_Mix'!$D$33:$W$33,'Matriz_Habilidades'!$D142:$W142)=0,"",SUMPRODUCT('Calc_Mix'!$D$33:$W$33,'Matriz_Habilidades'!$D142:$W142)/'Calc_Mix'!$X$33+ROW()*0.000001))</f>
        <v/>
      </c>
      <c r="AK142" s="34">
        <f>IF(OR($B142="",$C142&lt;&gt;"Ativo",$D142&lt;&gt;'Calc_Mix'!$C$34,'Calc_Mix'!$X$34=0,COUNTIFS(Esc_Turno,'Calc_Mix'!$C$34,Esc_Circ,$B142)+COUNTIFS(Esc_Turno,'Calc_Mix'!$C$34,Esc_Instr,$B142)&gt;0),"",IF(SUMPRODUCT('Calc_Mix'!$D$34:$W$34,'Matriz_Habilidades'!$D142:$W142)=0,"",SUMPRODUCT('Calc_Mix'!$D$34:$W$34,'Matriz_Habilidades'!$D142:$W142)/'Calc_Mix'!$X$34+ROW()*0.000001))</f>
        <v/>
      </c>
      <c r="AL142" s="34">
        <f>IF(OR($B142="",$C142&lt;&gt;"Ativo",$D142&lt;&gt;'Calc_Mix'!$C$35,'Calc_Mix'!$X$35=0,COUNTIFS(Esc_Turno,'Calc_Mix'!$C$35,Esc_Circ,$B142)+COUNTIFS(Esc_Turno,'Calc_Mix'!$C$35,Esc_Instr,$B142)&gt;0),"",IF(SUMPRODUCT('Calc_Mix'!$D$35:$W$35,'Matriz_Habilidades'!$D142:$W142)=0,"",SUMPRODUCT('Calc_Mix'!$D$35:$W$35,'Matriz_Habilidades'!$D142:$W142)/'Calc_Mix'!$X$35+ROW()*0.000001))</f>
        <v/>
      </c>
      <c r="AM142" s="34">
        <f>IF(OR($B142="",$C142&lt;&gt;"Ativo",$D142&lt;&gt;'Calc_Mix'!$C$36,'Calc_Mix'!$X$36=0,COUNTIFS(Esc_Turno,'Calc_Mix'!$C$36,Esc_Circ,$B142)+COUNTIFS(Esc_Turno,'Calc_Mix'!$C$36,Esc_Instr,$B142)&gt;0),"",IF(SUMPRODUCT('Calc_Mix'!$D$36:$W$36,'Matriz_Habilidades'!$D142:$W142)=0,"",SUMPRODUCT('Calc_Mix'!$D$36:$W$36,'Matriz_Habilidades'!$D142:$W142)/'Calc_Mix'!$X$36+ROW()*0.000001))</f>
        <v/>
      </c>
      <c r="AN142" s="34">
        <f>IF(OR($B142="",$C142&lt;&gt;"Ativo",$D142&lt;&gt;'Calc_Mix'!$C$37,'Calc_Mix'!$X$37=0,COUNTIFS(Esc_Turno,'Calc_Mix'!$C$37,Esc_Circ,$B142)+COUNTIFS(Esc_Turno,'Calc_Mix'!$C$37,Esc_Instr,$B142)&gt;0),"",IF(SUMPRODUCT('Calc_Mix'!$D$37:$W$37,'Matriz_Habilidades'!$D142:$W142)=0,"",SUMPRODUCT('Calc_Mix'!$D$37:$W$37,'Matriz_Habilidades'!$D142:$W142)/'Calc_Mix'!$X$37+ROW()*0.000001))</f>
        <v/>
      </c>
    </row>
    <row r="143">
      <c r="A143" s="27">
        <f>IF('Matriz_Habilidades'!A143="","",'Matriz_Habilidades'!A143)</f>
        <v/>
      </c>
      <c r="B143" s="28">
        <f>IF('Matriz_Habilidades'!B143="","",'Matriz_Habilidades'!B143)</f>
        <v/>
      </c>
      <c r="C143" s="27">
        <f>IF($A143="","",IFERROR(INDEX(Equipe_Status,MATCH($B143,Equipe_Nome,0)),"?"))</f>
        <v/>
      </c>
      <c r="D143" s="27">
        <f>IF($A143="","",IFERROR(INDEX(Equipe_Turno,MATCH($B143,Equipe_Nome,0)),"?"))</f>
        <v/>
      </c>
      <c r="E143" s="34">
        <f>IF(OR($B143="",$C143&lt;&gt;"Ativo",$D143&lt;&gt;'Calc_Mix'!$C$2,'Calc_Mix'!$X$2=0,COUNTIFS(Esc_Turno,'Calc_Mix'!$C$2,Esc_Circ,$B143)+COUNTIFS(Esc_Turno,'Calc_Mix'!$C$2,Esc_Instr,$B143)&gt;0),"",IF(SUMPRODUCT('Calc_Mix'!$D$2:$W$2,'Matriz_Habilidades'!$D143:$W143)=0,"",SUMPRODUCT('Calc_Mix'!$D$2:$W$2,'Matriz_Habilidades'!$D143:$W143)/'Calc_Mix'!$X$2+ROW()*0.000001))</f>
        <v/>
      </c>
      <c r="F143" s="34">
        <f>IF(OR($B143="",$C143&lt;&gt;"Ativo",$D143&lt;&gt;'Calc_Mix'!$C$3,'Calc_Mix'!$X$3=0,COUNTIFS(Esc_Turno,'Calc_Mix'!$C$3,Esc_Circ,$B143)+COUNTIFS(Esc_Turno,'Calc_Mix'!$C$3,Esc_Instr,$B143)&gt;0),"",IF(SUMPRODUCT('Calc_Mix'!$D$3:$W$3,'Matriz_Habilidades'!$D143:$W143)=0,"",SUMPRODUCT('Calc_Mix'!$D$3:$W$3,'Matriz_Habilidades'!$D143:$W143)/'Calc_Mix'!$X$3+ROW()*0.000001))</f>
        <v/>
      </c>
      <c r="G143" s="34">
        <f>IF(OR($B143="",$C143&lt;&gt;"Ativo",$D143&lt;&gt;'Calc_Mix'!$C$4,'Calc_Mix'!$X$4=0,COUNTIFS(Esc_Turno,'Calc_Mix'!$C$4,Esc_Circ,$B143)+COUNTIFS(Esc_Turno,'Calc_Mix'!$C$4,Esc_Instr,$B143)&gt;0),"",IF(SUMPRODUCT('Calc_Mix'!$D$4:$W$4,'Matriz_Habilidades'!$D143:$W143)=0,"",SUMPRODUCT('Calc_Mix'!$D$4:$W$4,'Matriz_Habilidades'!$D143:$W143)/'Calc_Mix'!$X$4+ROW()*0.000001))</f>
        <v/>
      </c>
      <c r="H143" s="34">
        <f>IF(OR($B143="",$C143&lt;&gt;"Ativo",$D143&lt;&gt;'Calc_Mix'!$C$5,'Calc_Mix'!$X$5=0,COUNTIFS(Esc_Turno,'Calc_Mix'!$C$5,Esc_Circ,$B143)+COUNTIFS(Esc_Turno,'Calc_Mix'!$C$5,Esc_Instr,$B143)&gt;0),"",IF(SUMPRODUCT('Calc_Mix'!$D$5:$W$5,'Matriz_Habilidades'!$D143:$W143)=0,"",SUMPRODUCT('Calc_Mix'!$D$5:$W$5,'Matriz_Habilidades'!$D143:$W143)/'Calc_Mix'!$X$5+ROW()*0.000001))</f>
        <v/>
      </c>
      <c r="I143" s="34">
        <f>IF(OR($B143="",$C143&lt;&gt;"Ativo",$D143&lt;&gt;'Calc_Mix'!$C$6,'Calc_Mix'!$X$6=0,COUNTIFS(Esc_Turno,'Calc_Mix'!$C$6,Esc_Circ,$B143)+COUNTIFS(Esc_Turno,'Calc_Mix'!$C$6,Esc_Instr,$B143)&gt;0),"",IF(SUMPRODUCT('Calc_Mix'!$D$6:$W$6,'Matriz_Habilidades'!$D143:$W143)=0,"",SUMPRODUCT('Calc_Mix'!$D$6:$W$6,'Matriz_Habilidades'!$D143:$W143)/'Calc_Mix'!$X$6+ROW()*0.000001))</f>
        <v/>
      </c>
      <c r="J143" s="34">
        <f>IF(OR($B143="",$C143&lt;&gt;"Ativo",$D143&lt;&gt;'Calc_Mix'!$C$7,'Calc_Mix'!$X$7=0,COUNTIFS(Esc_Turno,'Calc_Mix'!$C$7,Esc_Circ,$B143)+COUNTIFS(Esc_Turno,'Calc_Mix'!$C$7,Esc_Instr,$B143)&gt;0),"",IF(SUMPRODUCT('Calc_Mix'!$D$7:$W$7,'Matriz_Habilidades'!$D143:$W143)=0,"",SUMPRODUCT('Calc_Mix'!$D$7:$W$7,'Matriz_Habilidades'!$D143:$W143)/'Calc_Mix'!$X$7+ROW()*0.000001))</f>
        <v/>
      </c>
      <c r="K143" s="34">
        <f>IF(OR($B143="",$C143&lt;&gt;"Ativo",$D143&lt;&gt;'Calc_Mix'!$C$8,'Calc_Mix'!$X$8=0,COUNTIFS(Esc_Turno,'Calc_Mix'!$C$8,Esc_Circ,$B143)+COUNTIFS(Esc_Turno,'Calc_Mix'!$C$8,Esc_Instr,$B143)&gt;0),"",IF(SUMPRODUCT('Calc_Mix'!$D$8:$W$8,'Matriz_Habilidades'!$D143:$W143)=0,"",SUMPRODUCT('Calc_Mix'!$D$8:$W$8,'Matriz_Habilidades'!$D143:$W143)/'Calc_Mix'!$X$8+ROW()*0.000001))</f>
        <v/>
      </c>
      <c r="L143" s="34">
        <f>IF(OR($B143="",$C143&lt;&gt;"Ativo",$D143&lt;&gt;'Calc_Mix'!$C$9,'Calc_Mix'!$X$9=0,COUNTIFS(Esc_Turno,'Calc_Mix'!$C$9,Esc_Circ,$B143)+COUNTIFS(Esc_Turno,'Calc_Mix'!$C$9,Esc_Instr,$B143)&gt;0),"",IF(SUMPRODUCT('Calc_Mix'!$D$9:$W$9,'Matriz_Habilidades'!$D143:$W143)=0,"",SUMPRODUCT('Calc_Mix'!$D$9:$W$9,'Matriz_Habilidades'!$D143:$W143)/'Calc_Mix'!$X$9+ROW()*0.000001))</f>
        <v/>
      </c>
      <c r="M143" s="34">
        <f>IF(OR($B143="",$C143&lt;&gt;"Ativo",$D143&lt;&gt;'Calc_Mix'!$C$10,'Calc_Mix'!$X$10=0,COUNTIFS(Esc_Turno,'Calc_Mix'!$C$10,Esc_Circ,$B143)+COUNTIFS(Esc_Turno,'Calc_Mix'!$C$10,Esc_Instr,$B143)&gt;0),"",IF(SUMPRODUCT('Calc_Mix'!$D$10:$W$10,'Matriz_Habilidades'!$D143:$W143)=0,"",SUMPRODUCT('Calc_Mix'!$D$10:$W$10,'Matriz_Habilidades'!$D143:$W143)/'Calc_Mix'!$X$10+ROW()*0.000001))</f>
        <v/>
      </c>
      <c r="N143" s="34">
        <f>IF(OR($B143="",$C143&lt;&gt;"Ativo",$D143&lt;&gt;'Calc_Mix'!$C$11,'Calc_Mix'!$X$11=0,COUNTIFS(Esc_Turno,'Calc_Mix'!$C$11,Esc_Circ,$B143)+COUNTIFS(Esc_Turno,'Calc_Mix'!$C$11,Esc_Instr,$B143)&gt;0),"",IF(SUMPRODUCT('Calc_Mix'!$D$11:$W$11,'Matriz_Habilidades'!$D143:$W143)=0,"",SUMPRODUCT('Calc_Mix'!$D$11:$W$11,'Matriz_Habilidades'!$D143:$W143)/'Calc_Mix'!$X$11+ROW()*0.000001))</f>
        <v/>
      </c>
      <c r="O143" s="34">
        <f>IF(OR($B143="",$C143&lt;&gt;"Ativo",$D143&lt;&gt;'Calc_Mix'!$C$12,'Calc_Mix'!$X$12=0,COUNTIFS(Esc_Turno,'Calc_Mix'!$C$12,Esc_Circ,$B143)+COUNTIFS(Esc_Turno,'Calc_Mix'!$C$12,Esc_Instr,$B143)&gt;0),"",IF(SUMPRODUCT('Calc_Mix'!$D$12:$W$12,'Matriz_Habilidades'!$D143:$W143)=0,"",SUMPRODUCT('Calc_Mix'!$D$12:$W$12,'Matriz_Habilidades'!$D143:$W143)/'Calc_Mix'!$X$12+ROW()*0.000001))</f>
        <v/>
      </c>
      <c r="P143" s="34">
        <f>IF(OR($B143="",$C143&lt;&gt;"Ativo",$D143&lt;&gt;'Calc_Mix'!$C$13,'Calc_Mix'!$X$13=0,COUNTIFS(Esc_Turno,'Calc_Mix'!$C$13,Esc_Circ,$B143)+COUNTIFS(Esc_Turno,'Calc_Mix'!$C$13,Esc_Instr,$B143)&gt;0),"",IF(SUMPRODUCT('Calc_Mix'!$D$13:$W$13,'Matriz_Habilidades'!$D143:$W143)=0,"",SUMPRODUCT('Calc_Mix'!$D$13:$W$13,'Matriz_Habilidades'!$D143:$W143)/'Calc_Mix'!$X$13+ROW()*0.000001))</f>
        <v/>
      </c>
      <c r="Q143" s="34">
        <f>IF(OR($B143="",$C143&lt;&gt;"Ativo",$D143&lt;&gt;'Calc_Mix'!$C$14,'Calc_Mix'!$X$14=0,COUNTIFS(Esc_Turno,'Calc_Mix'!$C$14,Esc_Circ,$B143)+COUNTIFS(Esc_Turno,'Calc_Mix'!$C$14,Esc_Instr,$B143)&gt;0),"",IF(SUMPRODUCT('Calc_Mix'!$D$14:$W$14,'Matriz_Habilidades'!$D143:$W143)=0,"",SUMPRODUCT('Calc_Mix'!$D$14:$W$14,'Matriz_Habilidades'!$D143:$W143)/'Calc_Mix'!$X$14+ROW()*0.000001))</f>
        <v/>
      </c>
      <c r="R143" s="34">
        <f>IF(OR($B143="",$C143&lt;&gt;"Ativo",$D143&lt;&gt;'Calc_Mix'!$C$15,'Calc_Mix'!$X$15=0,COUNTIFS(Esc_Turno,'Calc_Mix'!$C$15,Esc_Circ,$B143)+COUNTIFS(Esc_Turno,'Calc_Mix'!$C$15,Esc_Instr,$B143)&gt;0),"",IF(SUMPRODUCT('Calc_Mix'!$D$15:$W$15,'Matriz_Habilidades'!$D143:$W143)=0,"",SUMPRODUCT('Calc_Mix'!$D$15:$W$15,'Matriz_Habilidades'!$D143:$W143)/'Calc_Mix'!$X$15+ROW()*0.000001))</f>
        <v/>
      </c>
      <c r="S143" s="34">
        <f>IF(OR($B143="",$C143&lt;&gt;"Ativo",$D143&lt;&gt;'Calc_Mix'!$C$16,'Calc_Mix'!$X$16=0,COUNTIFS(Esc_Turno,'Calc_Mix'!$C$16,Esc_Circ,$B143)+COUNTIFS(Esc_Turno,'Calc_Mix'!$C$16,Esc_Instr,$B143)&gt;0),"",IF(SUMPRODUCT('Calc_Mix'!$D$16:$W$16,'Matriz_Habilidades'!$D143:$W143)=0,"",SUMPRODUCT('Calc_Mix'!$D$16:$W$16,'Matriz_Habilidades'!$D143:$W143)/'Calc_Mix'!$X$16+ROW()*0.000001))</f>
        <v/>
      </c>
      <c r="T143" s="34">
        <f>IF(OR($B143="",$C143&lt;&gt;"Ativo",$D143&lt;&gt;'Calc_Mix'!$C$17,'Calc_Mix'!$X$17=0,COUNTIFS(Esc_Turno,'Calc_Mix'!$C$17,Esc_Circ,$B143)+COUNTIFS(Esc_Turno,'Calc_Mix'!$C$17,Esc_Instr,$B143)&gt;0),"",IF(SUMPRODUCT('Calc_Mix'!$D$17:$W$17,'Matriz_Habilidades'!$D143:$W143)=0,"",SUMPRODUCT('Calc_Mix'!$D$17:$W$17,'Matriz_Habilidades'!$D143:$W143)/'Calc_Mix'!$X$17+ROW()*0.000001))</f>
        <v/>
      </c>
      <c r="U143" s="34">
        <f>IF(OR($B143="",$C143&lt;&gt;"Ativo",$D143&lt;&gt;'Calc_Mix'!$C$18,'Calc_Mix'!$X$18=0,COUNTIFS(Esc_Turno,'Calc_Mix'!$C$18,Esc_Circ,$B143)+COUNTIFS(Esc_Turno,'Calc_Mix'!$C$18,Esc_Instr,$B143)&gt;0),"",IF(SUMPRODUCT('Calc_Mix'!$D$18:$W$18,'Matriz_Habilidades'!$D143:$W143)=0,"",SUMPRODUCT('Calc_Mix'!$D$18:$W$18,'Matriz_Habilidades'!$D143:$W143)/'Calc_Mix'!$X$18+ROW()*0.000001))</f>
        <v/>
      </c>
      <c r="V143" s="34">
        <f>IF(OR($B143="",$C143&lt;&gt;"Ativo",$D143&lt;&gt;'Calc_Mix'!$C$19,'Calc_Mix'!$X$19=0,COUNTIFS(Esc_Turno,'Calc_Mix'!$C$19,Esc_Circ,$B143)+COUNTIFS(Esc_Turno,'Calc_Mix'!$C$19,Esc_Instr,$B143)&gt;0),"",IF(SUMPRODUCT('Calc_Mix'!$D$19:$W$19,'Matriz_Habilidades'!$D143:$W143)=0,"",SUMPRODUCT('Calc_Mix'!$D$19:$W$19,'Matriz_Habilidades'!$D143:$W143)/'Calc_Mix'!$X$19+ROW()*0.000001))</f>
        <v/>
      </c>
      <c r="W143" s="34">
        <f>IF(OR($B143="",$C143&lt;&gt;"Ativo",$D143&lt;&gt;'Calc_Mix'!$C$20,'Calc_Mix'!$X$20=0,COUNTIFS(Esc_Turno,'Calc_Mix'!$C$20,Esc_Circ,$B143)+COUNTIFS(Esc_Turno,'Calc_Mix'!$C$20,Esc_Instr,$B143)&gt;0),"",IF(SUMPRODUCT('Calc_Mix'!$D$20:$W$20,'Matriz_Habilidades'!$D143:$W143)=0,"",SUMPRODUCT('Calc_Mix'!$D$20:$W$20,'Matriz_Habilidades'!$D143:$W143)/'Calc_Mix'!$X$20+ROW()*0.000001))</f>
        <v/>
      </c>
      <c r="X143" s="34">
        <f>IF(OR($B143="",$C143&lt;&gt;"Ativo",$D143&lt;&gt;'Calc_Mix'!$C$21,'Calc_Mix'!$X$21=0,COUNTIFS(Esc_Turno,'Calc_Mix'!$C$21,Esc_Circ,$B143)+COUNTIFS(Esc_Turno,'Calc_Mix'!$C$21,Esc_Instr,$B143)&gt;0),"",IF(SUMPRODUCT('Calc_Mix'!$D$21:$W$21,'Matriz_Habilidades'!$D143:$W143)=0,"",SUMPRODUCT('Calc_Mix'!$D$21:$W$21,'Matriz_Habilidades'!$D143:$W143)/'Calc_Mix'!$X$21+ROW()*0.000001))</f>
        <v/>
      </c>
      <c r="Y143" s="34">
        <f>IF(OR($B143="",$C143&lt;&gt;"Ativo",$D143&lt;&gt;'Calc_Mix'!$C$22,'Calc_Mix'!$X$22=0,COUNTIFS(Esc_Turno,'Calc_Mix'!$C$22,Esc_Circ,$B143)+COUNTIFS(Esc_Turno,'Calc_Mix'!$C$22,Esc_Instr,$B143)&gt;0),"",IF(SUMPRODUCT('Calc_Mix'!$D$22:$W$22,'Matriz_Habilidades'!$D143:$W143)=0,"",SUMPRODUCT('Calc_Mix'!$D$22:$W$22,'Matriz_Habilidades'!$D143:$W143)/'Calc_Mix'!$X$22+ROW()*0.000001))</f>
        <v/>
      </c>
      <c r="Z143" s="34">
        <f>IF(OR($B143="",$C143&lt;&gt;"Ativo",$D143&lt;&gt;'Calc_Mix'!$C$23,'Calc_Mix'!$X$23=0,COUNTIFS(Esc_Turno,'Calc_Mix'!$C$23,Esc_Circ,$B143)+COUNTIFS(Esc_Turno,'Calc_Mix'!$C$23,Esc_Instr,$B143)&gt;0),"",IF(SUMPRODUCT('Calc_Mix'!$D$23:$W$23,'Matriz_Habilidades'!$D143:$W143)=0,"",SUMPRODUCT('Calc_Mix'!$D$23:$W$23,'Matriz_Habilidades'!$D143:$W143)/'Calc_Mix'!$X$23+ROW()*0.000001))</f>
        <v/>
      </c>
      <c r="AA143" s="34">
        <f>IF(OR($B143="",$C143&lt;&gt;"Ativo",$D143&lt;&gt;'Calc_Mix'!$C$24,'Calc_Mix'!$X$24=0,COUNTIFS(Esc_Turno,'Calc_Mix'!$C$24,Esc_Circ,$B143)+COUNTIFS(Esc_Turno,'Calc_Mix'!$C$24,Esc_Instr,$B143)&gt;0),"",IF(SUMPRODUCT('Calc_Mix'!$D$24:$W$24,'Matriz_Habilidades'!$D143:$W143)=0,"",SUMPRODUCT('Calc_Mix'!$D$24:$W$24,'Matriz_Habilidades'!$D143:$W143)/'Calc_Mix'!$X$24+ROW()*0.000001))</f>
        <v/>
      </c>
      <c r="AB143" s="34">
        <f>IF(OR($B143="",$C143&lt;&gt;"Ativo",$D143&lt;&gt;'Calc_Mix'!$C$25,'Calc_Mix'!$X$25=0,COUNTIFS(Esc_Turno,'Calc_Mix'!$C$25,Esc_Circ,$B143)+COUNTIFS(Esc_Turno,'Calc_Mix'!$C$25,Esc_Instr,$B143)&gt;0),"",IF(SUMPRODUCT('Calc_Mix'!$D$25:$W$25,'Matriz_Habilidades'!$D143:$W143)=0,"",SUMPRODUCT('Calc_Mix'!$D$25:$W$25,'Matriz_Habilidades'!$D143:$W143)/'Calc_Mix'!$X$25+ROW()*0.000001))</f>
        <v/>
      </c>
      <c r="AC143" s="34">
        <f>IF(OR($B143="",$C143&lt;&gt;"Ativo",$D143&lt;&gt;'Calc_Mix'!$C$26,'Calc_Mix'!$X$26=0,COUNTIFS(Esc_Turno,'Calc_Mix'!$C$26,Esc_Circ,$B143)+COUNTIFS(Esc_Turno,'Calc_Mix'!$C$26,Esc_Instr,$B143)&gt;0),"",IF(SUMPRODUCT('Calc_Mix'!$D$26:$W$26,'Matriz_Habilidades'!$D143:$W143)=0,"",SUMPRODUCT('Calc_Mix'!$D$26:$W$26,'Matriz_Habilidades'!$D143:$W143)/'Calc_Mix'!$X$26+ROW()*0.000001))</f>
        <v/>
      </c>
      <c r="AD143" s="34">
        <f>IF(OR($B143="",$C143&lt;&gt;"Ativo",$D143&lt;&gt;'Calc_Mix'!$C$27,'Calc_Mix'!$X$27=0,COUNTIFS(Esc_Turno,'Calc_Mix'!$C$27,Esc_Circ,$B143)+COUNTIFS(Esc_Turno,'Calc_Mix'!$C$27,Esc_Instr,$B143)&gt;0),"",IF(SUMPRODUCT('Calc_Mix'!$D$27:$W$27,'Matriz_Habilidades'!$D143:$W143)=0,"",SUMPRODUCT('Calc_Mix'!$D$27:$W$27,'Matriz_Habilidades'!$D143:$W143)/'Calc_Mix'!$X$27+ROW()*0.000001))</f>
        <v/>
      </c>
      <c r="AE143" s="34">
        <f>IF(OR($B143="",$C143&lt;&gt;"Ativo",$D143&lt;&gt;'Calc_Mix'!$C$28,'Calc_Mix'!$X$28=0,COUNTIFS(Esc_Turno,'Calc_Mix'!$C$28,Esc_Circ,$B143)+COUNTIFS(Esc_Turno,'Calc_Mix'!$C$28,Esc_Instr,$B143)&gt;0),"",IF(SUMPRODUCT('Calc_Mix'!$D$28:$W$28,'Matriz_Habilidades'!$D143:$W143)=0,"",SUMPRODUCT('Calc_Mix'!$D$28:$W$28,'Matriz_Habilidades'!$D143:$W143)/'Calc_Mix'!$X$28+ROW()*0.000001))</f>
        <v/>
      </c>
      <c r="AF143" s="34">
        <f>IF(OR($B143="",$C143&lt;&gt;"Ativo",$D143&lt;&gt;'Calc_Mix'!$C$29,'Calc_Mix'!$X$29=0,COUNTIFS(Esc_Turno,'Calc_Mix'!$C$29,Esc_Circ,$B143)+COUNTIFS(Esc_Turno,'Calc_Mix'!$C$29,Esc_Instr,$B143)&gt;0),"",IF(SUMPRODUCT('Calc_Mix'!$D$29:$W$29,'Matriz_Habilidades'!$D143:$W143)=0,"",SUMPRODUCT('Calc_Mix'!$D$29:$W$29,'Matriz_Habilidades'!$D143:$W143)/'Calc_Mix'!$X$29+ROW()*0.000001))</f>
        <v/>
      </c>
      <c r="AG143" s="34">
        <f>IF(OR($B143="",$C143&lt;&gt;"Ativo",$D143&lt;&gt;'Calc_Mix'!$C$30,'Calc_Mix'!$X$30=0,COUNTIFS(Esc_Turno,'Calc_Mix'!$C$30,Esc_Circ,$B143)+COUNTIFS(Esc_Turno,'Calc_Mix'!$C$30,Esc_Instr,$B143)&gt;0),"",IF(SUMPRODUCT('Calc_Mix'!$D$30:$W$30,'Matriz_Habilidades'!$D143:$W143)=0,"",SUMPRODUCT('Calc_Mix'!$D$30:$W$30,'Matriz_Habilidades'!$D143:$W143)/'Calc_Mix'!$X$30+ROW()*0.000001))</f>
        <v/>
      </c>
      <c r="AH143" s="34">
        <f>IF(OR($B143="",$C143&lt;&gt;"Ativo",$D143&lt;&gt;'Calc_Mix'!$C$31,'Calc_Mix'!$X$31=0,COUNTIFS(Esc_Turno,'Calc_Mix'!$C$31,Esc_Circ,$B143)+COUNTIFS(Esc_Turno,'Calc_Mix'!$C$31,Esc_Instr,$B143)&gt;0),"",IF(SUMPRODUCT('Calc_Mix'!$D$31:$W$31,'Matriz_Habilidades'!$D143:$W143)=0,"",SUMPRODUCT('Calc_Mix'!$D$31:$W$31,'Matriz_Habilidades'!$D143:$W143)/'Calc_Mix'!$X$31+ROW()*0.000001))</f>
        <v/>
      </c>
      <c r="AI143" s="34">
        <f>IF(OR($B143="",$C143&lt;&gt;"Ativo",$D143&lt;&gt;'Calc_Mix'!$C$32,'Calc_Mix'!$X$32=0,COUNTIFS(Esc_Turno,'Calc_Mix'!$C$32,Esc_Circ,$B143)+COUNTIFS(Esc_Turno,'Calc_Mix'!$C$32,Esc_Instr,$B143)&gt;0),"",IF(SUMPRODUCT('Calc_Mix'!$D$32:$W$32,'Matriz_Habilidades'!$D143:$W143)=0,"",SUMPRODUCT('Calc_Mix'!$D$32:$W$32,'Matriz_Habilidades'!$D143:$W143)/'Calc_Mix'!$X$32+ROW()*0.000001))</f>
        <v/>
      </c>
      <c r="AJ143" s="34">
        <f>IF(OR($B143="",$C143&lt;&gt;"Ativo",$D143&lt;&gt;'Calc_Mix'!$C$33,'Calc_Mix'!$X$33=0,COUNTIFS(Esc_Turno,'Calc_Mix'!$C$33,Esc_Circ,$B143)+COUNTIFS(Esc_Turno,'Calc_Mix'!$C$33,Esc_Instr,$B143)&gt;0),"",IF(SUMPRODUCT('Calc_Mix'!$D$33:$W$33,'Matriz_Habilidades'!$D143:$W143)=0,"",SUMPRODUCT('Calc_Mix'!$D$33:$W$33,'Matriz_Habilidades'!$D143:$W143)/'Calc_Mix'!$X$33+ROW()*0.000001))</f>
        <v/>
      </c>
      <c r="AK143" s="34">
        <f>IF(OR($B143="",$C143&lt;&gt;"Ativo",$D143&lt;&gt;'Calc_Mix'!$C$34,'Calc_Mix'!$X$34=0,COUNTIFS(Esc_Turno,'Calc_Mix'!$C$34,Esc_Circ,$B143)+COUNTIFS(Esc_Turno,'Calc_Mix'!$C$34,Esc_Instr,$B143)&gt;0),"",IF(SUMPRODUCT('Calc_Mix'!$D$34:$W$34,'Matriz_Habilidades'!$D143:$W143)=0,"",SUMPRODUCT('Calc_Mix'!$D$34:$W$34,'Matriz_Habilidades'!$D143:$W143)/'Calc_Mix'!$X$34+ROW()*0.000001))</f>
        <v/>
      </c>
      <c r="AL143" s="34">
        <f>IF(OR($B143="",$C143&lt;&gt;"Ativo",$D143&lt;&gt;'Calc_Mix'!$C$35,'Calc_Mix'!$X$35=0,COUNTIFS(Esc_Turno,'Calc_Mix'!$C$35,Esc_Circ,$B143)+COUNTIFS(Esc_Turno,'Calc_Mix'!$C$35,Esc_Instr,$B143)&gt;0),"",IF(SUMPRODUCT('Calc_Mix'!$D$35:$W$35,'Matriz_Habilidades'!$D143:$W143)=0,"",SUMPRODUCT('Calc_Mix'!$D$35:$W$35,'Matriz_Habilidades'!$D143:$W143)/'Calc_Mix'!$X$35+ROW()*0.000001))</f>
        <v/>
      </c>
      <c r="AM143" s="34">
        <f>IF(OR($B143="",$C143&lt;&gt;"Ativo",$D143&lt;&gt;'Calc_Mix'!$C$36,'Calc_Mix'!$X$36=0,COUNTIFS(Esc_Turno,'Calc_Mix'!$C$36,Esc_Circ,$B143)+COUNTIFS(Esc_Turno,'Calc_Mix'!$C$36,Esc_Instr,$B143)&gt;0),"",IF(SUMPRODUCT('Calc_Mix'!$D$36:$W$36,'Matriz_Habilidades'!$D143:$W143)=0,"",SUMPRODUCT('Calc_Mix'!$D$36:$W$36,'Matriz_Habilidades'!$D143:$W143)/'Calc_Mix'!$X$36+ROW()*0.000001))</f>
        <v/>
      </c>
      <c r="AN143" s="34">
        <f>IF(OR($B143="",$C143&lt;&gt;"Ativo",$D143&lt;&gt;'Calc_Mix'!$C$37,'Calc_Mix'!$X$37=0,COUNTIFS(Esc_Turno,'Calc_Mix'!$C$37,Esc_Circ,$B143)+COUNTIFS(Esc_Turno,'Calc_Mix'!$C$37,Esc_Instr,$B143)&gt;0),"",IF(SUMPRODUCT('Calc_Mix'!$D$37:$W$37,'Matriz_Habilidades'!$D143:$W143)=0,"",SUMPRODUCT('Calc_Mix'!$D$37:$W$37,'Matriz_Habilidades'!$D143:$W143)/'Calc_Mix'!$X$37+ROW()*0.000001))</f>
        <v/>
      </c>
    </row>
    <row r="144">
      <c r="A144" s="27">
        <f>IF('Matriz_Habilidades'!A144="","",'Matriz_Habilidades'!A144)</f>
        <v/>
      </c>
      <c r="B144" s="28">
        <f>IF('Matriz_Habilidades'!B144="","",'Matriz_Habilidades'!B144)</f>
        <v/>
      </c>
      <c r="C144" s="27">
        <f>IF($A144="","",IFERROR(INDEX(Equipe_Status,MATCH($B144,Equipe_Nome,0)),"?"))</f>
        <v/>
      </c>
      <c r="D144" s="27">
        <f>IF($A144="","",IFERROR(INDEX(Equipe_Turno,MATCH($B144,Equipe_Nome,0)),"?"))</f>
        <v/>
      </c>
      <c r="E144" s="34">
        <f>IF(OR($B144="",$C144&lt;&gt;"Ativo",$D144&lt;&gt;'Calc_Mix'!$C$2,'Calc_Mix'!$X$2=0,COUNTIFS(Esc_Turno,'Calc_Mix'!$C$2,Esc_Circ,$B144)+COUNTIFS(Esc_Turno,'Calc_Mix'!$C$2,Esc_Instr,$B144)&gt;0),"",IF(SUMPRODUCT('Calc_Mix'!$D$2:$W$2,'Matriz_Habilidades'!$D144:$W144)=0,"",SUMPRODUCT('Calc_Mix'!$D$2:$W$2,'Matriz_Habilidades'!$D144:$W144)/'Calc_Mix'!$X$2+ROW()*0.000001))</f>
        <v/>
      </c>
      <c r="F144" s="34">
        <f>IF(OR($B144="",$C144&lt;&gt;"Ativo",$D144&lt;&gt;'Calc_Mix'!$C$3,'Calc_Mix'!$X$3=0,COUNTIFS(Esc_Turno,'Calc_Mix'!$C$3,Esc_Circ,$B144)+COUNTIFS(Esc_Turno,'Calc_Mix'!$C$3,Esc_Instr,$B144)&gt;0),"",IF(SUMPRODUCT('Calc_Mix'!$D$3:$W$3,'Matriz_Habilidades'!$D144:$W144)=0,"",SUMPRODUCT('Calc_Mix'!$D$3:$W$3,'Matriz_Habilidades'!$D144:$W144)/'Calc_Mix'!$X$3+ROW()*0.000001))</f>
        <v/>
      </c>
      <c r="G144" s="34">
        <f>IF(OR($B144="",$C144&lt;&gt;"Ativo",$D144&lt;&gt;'Calc_Mix'!$C$4,'Calc_Mix'!$X$4=0,COUNTIFS(Esc_Turno,'Calc_Mix'!$C$4,Esc_Circ,$B144)+COUNTIFS(Esc_Turno,'Calc_Mix'!$C$4,Esc_Instr,$B144)&gt;0),"",IF(SUMPRODUCT('Calc_Mix'!$D$4:$W$4,'Matriz_Habilidades'!$D144:$W144)=0,"",SUMPRODUCT('Calc_Mix'!$D$4:$W$4,'Matriz_Habilidades'!$D144:$W144)/'Calc_Mix'!$X$4+ROW()*0.000001))</f>
        <v/>
      </c>
      <c r="H144" s="34">
        <f>IF(OR($B144="",$C144&lt;&gt;"Ativo",$D144&lt;&gt;'Calc_Mix'!$C$5,'Calc_Mix'!$X$5=0,COUNTIFS(Esc_Turno,'Calc_Mix'!$C$5,Esc_Circ,$B144)+COUNTIFS(Esc_Turno,'Calc_Mix'!$C$5,Esc_Instr,$B144)&gt;0),"",IF(SUMPRODUCT('Calc_Mix'!$D$5:$W$5,'Matriz_Habilidades'!$D144:$W144)=0,"",SUMPRODUCT('Calc_Mix'!$D$5:$W$5,'Matriz_Habilidades'!$D144:$W144)/'Calc_Mix'!$X$5+ROW()*0.000001))</f>
        <v/>
      </c>
      <c r="I144" s="34">
        <f>IF(OR($B144="",$C144&lt;&gt;"Ativo",$D144&lt;&gt;'Calc_Mix'!$C$6,'Calc_Mix'!$X$6=0,COUNTIFS(Esc_Turno,'Calc_Mix'!$C$6,Esc_Circ,$B144)+COUNTIFS(Esc_Turno,'Calc_Mix'!$C$6,Esc_Instr,$B144)&gt;0),"",IF(SUMPRODUCT('Calc_Mix'!$D$6:$W$6,'Matriz_Habilidades'!$D144:$W144)=0,"",SUMPRODUCT('Calc_Mix'!$D$6:$W$6,'Matriz_Habilidades'!$D144:$W144)/'Calc_Mix'!$X$6+ROW()*0.000001))</f>
        <v/>
      </c>
      <c r="J144" s="34">
        <f>IF(OR($B144="",$C144&lt;&gt;"Ativo",$D144&lt;&gt;'Calc_Mix'!$C$7,'Calc_Mix'!$X$7=0,COUNTIFS(Esc_Turno,'Calc_Mix'!$C$7,Esc_Circ,$B144)+COUNTIFS(Esc_Turno,'Calc_Mix'!$C$7,Esc_Instr,$B144)&gt;0),"",IF(SUMPRODUCT('Calc_Mix'!$D$7:$W$7,'Matriz_Habilidades'!$D144:$W144)=0,"",SUMPRODUCT('Calc_Mix'!$D$7:$W$7,'Matriz_Habilidades'!$D144:$W144)/'Calc_Mix'!$X$7+ROW()*0.000001))</f>
        <v/>
      </c>
      <c r="K144" s="34">
        <f>IF(OR($B144="",$C144&lt;&gt;"Ativo",$D144&lt;&gt;'Calc_Mix'!$C$8,'Calc_Mix'!$X$8=0,COUNTIFS(Esc_Turno,'Calc_Mix'!$C$8,Esc_Circ,$B144)+COUNTIFS(Esc_Turno,'Calc_Mix'!$C$8,Esc_Instr,$B144)&gt;0),"",IF(SUMPRODUCT('Calc_Mix'!$D$8:$W$8,'Matriz_Habilidades'!$D144:$W144)=0,"",SUMPRODUCT('Calc_Mix'!$D$8:$W$8,'Matriz_Habilidades'!$D144:$W144)/'Calc_Mix'!$X$8+ROW()*0.000001))</f>
        <v/>
      </c>
      <c r="L144" s="34">
        <f>IF(OR($B144="",$C144&lt;&gt;"Ativo",$D144&lt;&gt;'Calc_Mix'!$C$9,'Calc_Mix'!$X$9=0,COUNTIFS(Esc_Turno,'Calc_Mix'!$C$9,Esc_Circ,$B144)+COUNTIFS(Esc_Turno,'Calc_Mix'!$C$9,Esc_Instr,$B144)&gt;0),"",IF(SUMPRODUCT('Calc_Mix'!$D$9:$W$9,'Matriz_Habilidades'!$D144:$W144)=0,"",SUMPRODUCT('Calc_Mix'!$D$9:$W$9,'Matriz_Habilidades'!$D144:$W144)/'Calc_Mix'!$X$9+ROW()*0.000001))</f>
        <v/>
      </c>
      <c r="M144" s="34">
        <f>IF(OR($B144="",$C144&lt;&gt;"Ativo",$D144&lt;&gt;'Calc_Mix'!$C$10,'Calc_Mix'!$X$10=0,COUNTIFS(Esc_Turno,'Calc_Mix'!$C$10,Esc_Circ,$B144)+COUNTIFS(Esc_Turno,'Calc_Mix'!$C$10,Esc_Instr,$B144)&gt;0),"",IF(SUMPRODUCT('Calc_Mix'!$D$10:$W$10,'Matriz_Habilidades'!$D144:$W144)=0,"",SUMPRODUCT('Calc_Mix'!$D$10:$W$10,'Matriz_Habilidades'!$D144:$W144)/'Calc_Mix'!$X$10+ROW()*0.000001))</f>
        <v/>
      </c>
      <c r="N144" s="34">
        <f>IF(OR($B144="",$C144&lt;&gt;"Ativo",$D144&lt;&gt;'Calc_Mix'!$C$11,'Calc_Mix'!$X$11=0,COUNTIFS(Esc_Turno,'Calc_Mix'!$C$11,Esc_Circ,$B144)+COUNTIFS(Esc_Turno,'Calc_Mix'!$C$11,Esc_Instr,$B144)&gt;0),"",IF(SUMPRODUCT('Calc_Mix'!$D$11:$W$11,'Matriz_Habilidades'!$D144:$W144)=0,"",SUMPRODUCT('Calc_Mix'!$D$11:$W$11,'Matriz_Habilidades'!$D144:$W144)/'Calc_Mix'!$X$11+ROW()*0.000001))</f>
        <v/>
      </c>
      <c r="O144" s="34">
        <f>IF(OR($B144="",$C144&lt;&gt;"Ativo",$D144&lt;&gt;'Calc_Mix'!$C$12,'Calc_Mix'!$X$12=0,COUNTIFS(Esc_Turno,'Calc_Mix'!$C$12,Esc_Circ,$B144)+COUNTIFS(Esc_Turno,'Calc_Mix'!$C$12,Esc_Instr,$B144)&gt;0),"",IF(SUMPRODUCT('Calc_Mix'!$D$12:$W$12,'Matriz_Habilidades'!$D144:$W144)=0,"",SUMPRODUCT('Calc_Mix'!$D$12:$W$12,'Matriz_Habilidades'!$D144:$W144)/'Calc_Mix'!$X$12+ROW()*0.000001))</f>
        <v/>
      </c>
      <c r="P144" s="34">
        <f>IF(OR($B144="",$C144&lt;&gt;"Ativo",$D144&lt;&gt;'Calc_Mix'!$C$13,'Calc_Mix'!$X$13=0,COUNTIFS(Esc_Turno,'Calc_Mix'!$C$13,Esc_Circ,$B144)+COUNTIFS(Esc_Turno,'Calc_Mix'!$C$13,Esc_Instr,$B144)&gt;0),"",IF(SUMPRODUCT('Calc_Mix'!$D$13:$W$13,'Matriz_Habilidades'!$D144:$W144)=0,"",SUMPRODUCT('Calc_Mix'!$D$13:$W$13,'Matriz_Habilidades'!$D144:$W144)/'Calc_Mix'!$X$13+ROW()*0.000001))</f>
        <v/>
      </c>
      <c r="Q144" s="34">
        <f>IF(OR($B144="",$C144&lt;&gt;"Ativo",$D144&lt;&gt;'Calc_Mix'!$C$14,'Calc_Mix'!$X$14=0,COUNTIFS(Esc_Turno,'Calc_Mix'!$C$14,Esc_Circ,$B144)+COUNTIFS(Esc_Turno,'Calc_Mix'!$C$14,Esc_Instr,$B144)&gt;0),"",IF(SUMPRODUCT('Calc_Mix'!$D$14:$W$14,'Matriz_Habilidades'!$D144:$W144)=0,"",SUMPRODUCT('Calc_Mix'!$D$14:$W$14,'Matriz_Habilidades'!$D144:$W144)/'Calc_Mix'!$X$14+ROW()*0.000001))</f>
        <v/>
      </c>
      <c r="R144" s="34">
        <f>IF(OR($B144="",$C144&lt;&gt;"Ativo",$D144&lt;&gt;'Calc_Mix'!$C$15,'Calc_Mix'!$X$15=0,COUNTIFS(Esc_Turno,'Calc_Mix'!$C$15,Esc_Circ,$B144)+COUNTIFS(Esc_Turno,'Calc_Mix'!$C$15,Esc_Instr,$B144)&gt;0),"",IF(SUMPRODUCT('Calc_Mix'!$D$15:$W$15,'Matriz_Habilidades'!$D144:$W144)=0,"",SUMPRODUCT('Calc_Mix'!$D$15:$W$15,'Matriz_Habilidades'!$D144:$W144)/'Calc_Mix'!$X$15+ROW()*0.000001))</f>
        <v/>
      </c>
      <c r="S144" s="34">
        <f>IF(OR($B144="",$C144&lt;&gt;"Ativo",$D144&lt;&gt;'Calc_Mix'!$C$16,'Calc_Mix'!$X$16=0,COUNTIFS(Esc_Turno,'Calc_Mix'!$C$16,Esc_Circ,$B144)+COUNTIFS(Esc_Turno,'Calc_Mix'!$C$16,Esc_Instr,$B144)&gt;0),"",IF(SUMPRODUCT('Calc_Mix'!$D$16:$W$16,'Matriz_Habilidades'!$D144:$W144)=0,"",SUMPRODUCT('Calc_Mix'!$D$16:$W$16,'Matriz_Habilidades'!$D144:$W144)/'Calc_Mix'!$X$16+ROW()*0.000001))</f>
        <v/>
      </c>
      <c r="T144" s="34">
        <f>IF(OR($B144="",$C144&lt;&gt;"Ativo",$D144&lt;&gt;'Calc_Mix'!$C$17,'Calc_Mix'!$X$17=0,COUNTIFS(Esc_Turno,'Calc_Mix'!$C$17,Esc_Circ,$B144)+COUNTIFS(Esc_Turno,'Calc_Mix'!$C$17,Esc_Instr,$B144)&gt;0),"",IF(SUMPRODUCT('Calc_Mix'!$D$17:$W$17,'Matriz_Habilidades'!$D144:$W144)=0,"",SUMPRODUCT('Calc_Mix'!$D$17:$W$17,'Matriz_Habilidades'!$D144:$W144)/'Calc_Mix'!$X$17+ROW()*0.000001))</f>
        <v/>
      </c>
      <c r="U144" s="34">
        <f>IF(OR($B144="",$C144&lt;&gt;"Ativo",$D144&lt;&gt;'Calc_Mix'!$C$18,'Calc_Mix'!$X$18=0,COUNTIFS(Esc_Turno,'Calc_Mix'!$C$18,Esc_Circ,$B144)+COUNTIFS(Esc_Turno,'Calc_Mix'!$C$18,Esc_Instr,$B144)&gt;0),"",IF(SUMPRODUCT('Calc_Mix'!$D$18:$W$18,'Matriz_Habilidades'!$D144:$W144)=0,"",SUMPRODUCT('Calc_Mix'!$D$18:$W$18,'Matriz_Habilidades'!$D144:$W144)/'Calc_Mix'!$X$18+ROW()*0.000001))</f>
        <v/>
      </c>
      <c r="V144" s="34">
        <f>IF(OR($B144="",$C144&lt;&gt;"Ativo",$D144&lt;&gt;'Calc_Mix'!$C$19,'Calc_Mix'!$X$19=0,COUNTIFS(Esc_Turno,'Calc_Mix'!$C$19,Esc_Circ,$B144)+COUNTIFS(Esc_Turno,'Calc_Mix'!$C$19,Esc_Instr,$B144)&gt;0),"",IF(SUMPRODUCT('Calc_Mix'!$D$19:$W$19,'Matriz_Habilidades'!$D144:$W144)=0,"",SUMPRODUCT('Calc_Mix'!$D$19:$W$19,'Matriz_Habilidades'!$D144:$W144)/'Calc_Mix'!$X$19+ROW()*0.000001))</f>
        <v/>
      </c>
      <c r="W144" s="34">
        <f>IF(OR($B144="",$C144&lt;&gt;"Ativo",$D144&lt;&gt;'Calc_Mix'!$C$20,'Calc_Mix'!$X$20=0,COUNTIFS(Esc_Turno,'Calc_Mix'!$C$20,Esc_Circ,$B144)+COUNTIFS(Esc_Turno,'Calc_Mix'!$C$20,Esc_Instr,$B144)&gt;0),"",IF(SUMPRODUCT('Calc_Mix'!$D$20:$W$20,'Matriz_Habilidades'!$D144:$W144)=0,"",SUMPRODUCT('Calc_Mix'!$D$20:$W$20,'Matriz_Habilidades'!$D144:$W144)/'Calc_Mix'!$X$20+ROW()*0.000001))</f>
        <v/>
      </c>
      <c r="X144" s="34">
        <f>IF(OR($B144="",$C144&lt;&gt;"Ativo",$D144&lt;&gt;'Calc_Mix'!$C$21,'Calc_Mix'!$X$21=0,COUNTIFS(Esc_Turno,'Calc_Mix'!$C$21,Esc_Circ,$B144)+COUNTIFS(Esc_Turno,'Calc_Mix'!$C$21,Esc_Instr,$B144)&gt;0),"",IF(SUMPRODUCT('Calc_Mix'!$D$21:$W$21,'Matriz_Habilidades'!$D144:$W144)=0,"",SUMPRODUCT('Calc_Mix'!$D$21:$W$21,'Matriz_Habilidades'!$D144:$W144)/'Calc_Mix'!$X$21+ROW()*0.000001))</f>
        <v/>
      </c>
      <c r="Y144" s="34">
        <f>IF(OR($B144="",$C144&lt;&gt;"Ativo",$D144&lt;&gt;'Calc_Mix'!$C$22,'Calc_Mix'!$X$22=0,COUNTIFS(Esc_Turno,'Calc_Mix'!$C$22,Esc_Circ,$B144)+COUNTIFS(Esc_Turno,'Calc_Mix'!$C$22,Esc_Instr,$B144)&gt;0),"",IF(SUMPRODUCT('Calc_Mix'!$D$22:$W$22,'Matriz_Habilidades'!$D144:$W144)=0,"",SUMPRODUCT('Calc_Mix'!$D$22:$W$22,'Matriz_Habilidades'!$D144:$W144)/'Calc_Mix'!$X$22+ROW()*0.000001))</f>
        <v/>
      </c>
      <c r="Z144" s="34">
        <f>IF(OR($B144="",$C144&lt;&gt;"Ativo",$D144&lt;&gt;'Calc_Mix'!$C$23,'Calc_Mix'!$X$23=0,COUNTIFS(Esc_Turno,'Calc_Mix'!$C$23,Esc_Circ,$B144)+COUNTIFS(Esc_Turno,'Calc_Mix'!$C$23,Esc_Instr,$B144)&gt;0),"",IF(SUMPRODUCT('Calc_Mix'!$D$23:$W$23,'Matriz_Habilidades'!$D144:$W144)=0,"",SUMPRODUCT('Calc_Mix'!$D$23:$W$23,'Matriz_Habilidades'!$D144:$W144)/'Calc_Mix'!$X$23+ROW()*0.000001))</f>
        <v/>
      </c>
      <c r="AA144" s="34">
        <f>IF(OR($B144="",$C144&lt;&gt;"Ativo",$D144&lt;&gt;'Calc_Mix'!$C$24,'Calc_Mix'!$X$24=0,COUNTIFS(Esc_Turno,'Calc_Mix'!$C$24,Esc_Circ,$B144)+COUNTIFS(Esc_Turno,'Calc_Mix'!$C$24,Esc_Instr,$B144)&gt;0),"",IF(SUMPRODUCT('Calc_Mix'!$D$24:$W$24,'Matriz_Habilidades'!$D144:$W144)=0,"",SUMPRODUCT('Calc_Mix'!$D$24:$W$24,'Matriz_Habilidades'!$D144:$W144)/'Calc_Mix'!$X$24+ROW()*0.000001))</f>
        <v/>
      </c>
      <c r="AB144" s="34">
        <f>IF(OR($B144="",$C144&lt;&gt;"Ativo",$D144&lt;&gt;'Calc_Mix'!$C$25,'Calc_Mix'!$X$25=0,COUNTIFS(Esc_Turno,'Calc_Mix'!$C$25,Esc_Circ,$B144)+COUNTIFS(Esc_Turno,'Calc_Mix'!$C$25,Esc_Instr,$B144)&gt;0),"",IF(SUMPRODUCT('Calc_Mix'!$D$25:$W$25,'Matriz_Habilidades'!$D144:$W144)=0,"",SUMPRODUCT('Calc_Mix'!$D$25:$W$25,'Matriz_Habilidades'!$D144:$W144)/'Calc_Mix'!$X$25+ROW()*0.000001))</f>
        <v/>
      </c>
      <c r="AC144" s="34">
        <f>IF(OR($B144="",$C144&lt;&gt;"Ativo",$D144&lt;&gt;'Calc_Mix'!$C$26,'Calc_Mix'!$X$26=0,COUNTIFS(Esc_Turno,'Calc_Mix'!$C$26,Esc_Circ,$B144)+COUNTIFS(Esc_Turno,'Calc_Mix'!$C$26,Esc_Instr,$B144)&gt;0),"",IF(SUMPRODUCT('Calc_Mix'!$D$26:$W$26,'Matriz_Habilidades'!$D144:$W144)=0,"",SUMPRODUCT('Calc_Mix'!$D$26:$W$26,'Matriz_Habilidades'!$D144:$W144)/'Calc_Mix'!$X$26+ROW()*0.000001))</f>
        <v/>
      </c>
      <c r="AD144" s="34">
        <f>IF(OR($B144="",$C144&lt;&gt;"Ativo",$D144&lt;&gt;'Calc_Mix'!$C$27,'Calc_Mix'!$X$27=0,COUNTIFS(Esc_Turno,'Calc_Mix'!$C$27,Esc_Circ,$B144)+COUNTIFS(Esc_Turno,'Calc_Mix'!$C$27,Esc_Instr,$B144)&gt;0),"",IF(SUMPRODUCT('Calc_Mix'!$D$27:$W$27,'Matriz_Habilidades'!$D144:$W144)=0,"",SUMPRODUCT('Calc_Mix'!$D$27:$W$27,'Matriz_Habilidades'!$D144:$W144)/'Calc_Mix'!$X$27+ROW()*0.000001))</f>
        <v/>
      </c>
      <c r="AE144" s="34">
        <f>IF(OR($B144="",$C144&lt;&gt;"Ativo",$D144&lt;&gt;'Calc_Mix'!$C$28,'Calc_Mix'!$X$28=0,COUNTIFS(Esc_Turno,'Calc_Mix'!$C$28,Esc_Circ,$B144)+COUNTIFS(Esc_Turno,'Calc_Mix'!$C$28,Esc_Instr,$B144)&gt;0),"",IF(SUMPRODUCT('Calc_Mix'!$D$28:$W$28,'Matriz_Habilidades'!$D144:$W144)=0,"",SUMPRODUCT('Calc_Mix'!$D$28:$W$28,'Matriz_Habilidades'!$D144:$W144)/'Calc_Mix'!$X$28+ROW()*0.000001))</f>
        <v/>
      </c>
      <c r="AF144" s="34">
        <f>IF(OR($B144="",$C144&lt;&gt;"Ativo",$D144&lt;&gt;'Calc_Mix'!$C$29,'Calc_Mix'!$X$29=0,COUNTIFS(Esc_Turno,'Calc_Mix'!$C$29,Esc_Circ,$B144)+COUNTIFS(Esc_Turno,'Calc_Mix'!$C$29,Esc_Instr,$B144)&gt;0),"",IF(SUMPRODUCT('Calc_Mix'!$D$29:$W$29,'Matriz_Habilidades'!$D144:$W144)=0,"",SUMPRODUCT('Calc_Mix'!$D$29:$W$29,'Matriz_Habilidades'!$D144:$W144)/'Calc_Mix'!$X$29+ROW()*0.000001))</f>
        <v/>
      </c>
      <c r="AG144" s="34">
        <f>IF(OR($B144="",$C144&lt;&gt;"Ativo",$D144&lt;&gt;'Calc_Mix'!$C$30,'Calc_Mix'!$X$30=0,COUNTIFS(Esc_Turno,'Calc_Mix'!$C$30,Esc_Circ,$B144)+COUNTIFS(Esc_Turno,'Calc_Mix'!$C$30,Esc_Instr,$B144)&gt;0),"",IF(SUMPRODUCT('Calc_Mix'!$D$30:$W$30,'Matriz_Habilidades'!$D144:$W144)=0,"",SUMPRODUCT('Calc_Mix'!$D$30:$W$30,'Matriz_Habilidades'!$D144:$W144)/'Calc_Mix'!$X$30+ROW()*0.000001))</f>
        <v/>
      </c>
      <c r="AH144" s="34">
        <f>IF(OR($B144="",$C144&lt;&gt;"Ativo",$D144&lt;&gt;'Calc_Mix'!$C$31,'Calc_Mix'!$X$31=0,COUNTIFS(Esc_Turno,'Calc_Mix'!$C$31,Esc_Circ,$B144)+COUNTIFS(Esc_Turno,'Calc_Mix'!$C$31,Esc_Instr,$B144)&gt;0),"",IF(SUMPRODUCT('Calc_Mix'!$D$31:$W$31,'Matriz_Habilidades'!$D144:$W144)=0,"",SUMPRODUCT('Calc_Mix'!$D$31:$W$31,'Matriz_Habilidades'!$D144:$W144)/'Calc_Mix'!$X$31+ROW()*0.000001))</f>
        <v/>
      </c>
      <c r="AI144" s="34">
        <f>IF(OR($B144="",$C144&lt;&gt;"Ativo",$D144&lt;&gt;'Calc_Mix'!$C$32,'Calc_Mix'!$X$32=0,COUNTIFS(Esc_Turno,'Calc_Mix'!$C$32,Esc_Circ,$B144)+COUNTIFS(Esc_Turno,'Calc_Mix'!$C$32,Esc_Instr,$B144)&gt;0),"",IF(SUMPRODUCT('Calc_Mix'!$D$32:$W$32,'Matriz_Habilidades'!$D144:$W144)=0,"",SUMPRODUCT('Calc_Mix'!$D$32:$W$32,'Matriz_Habilidades'!$D144:$W144)/'Calc_Mix'!$X$32+ROW()*0.000001))</f>
        <v/>
      </c>
      <c r="AJ144" s="34">
        <f>IF(OR($B144="",$C144&lt;&gt;"Ativo",$D144&lt;&gt;'Calc_Mix'!$C$33,'Calc_Mix'!$X$33=0,COUNTIFS(Esc_Turno,'Calc_Mix'!$C$33,Esc_Circ,$B144)+COUNTIFS(Esc_Turno,'Calc_Mix'!$C$33,Esc_Instr,$B144)&gt;0),"",IF(SUMPRODUCT('Calc_Mix'!$D$33:$W$33,'Matriz_Habilidades'!$D144:$W144)=0,"",SUMPRODUCT('Calc_Mix'!$D$33:$W$33,'Matriz_Habilidades'!$D144:$W144)/'Calc_Mix'!$X$33+ROW()*0.000001))</f>
        <v/>
      </c>
      <c r="AK144" s="34">
        <f>IF(OR($B144="",$C144&lt;&gt;"Ativo",$D144&lt;&gt;'Calc_Mix'!$C$34,'Calc_Mix'!$X$34=0,COUNTIFS(Esc_Turno,'Calc_Mix'!$C$34,Esc_Circ,$B144)+COUNTIFS(Esc_Turno,'Calc_Mix'!$C$34,Esc_Instr,$B144)&gt;0),"",IF(SUMPRODUCT('Calc_Mix'!$D$34:$W$34,'Matriz_Habilidades'!$D144:$W144)=0,"",SUMPRODUCT('Calc_Mix'!$D$34:$W$34,'Matriz_Habilidades'!$D144:$W144)/'Calc_Mix'!$X$34+ROW()*0.000001))</f>
        <v/>
      </c>
      <c r="AL144" s="34">
        <f>IF(OR($B144="",$C144&lt;&gt;"Ativo",$D144&lt;&gt;'Calc_Mix'!$C$35,'Calc_Mix'!$X$35=0,COUNTIFS(Esc_Turno,'Calc_Mix'!$C$35,Esc_Circ,$B144)+COUNTIFS(Esc_Turno,'Calc_Mix'!$C$35,Esc_Instr,$B144)&gt;0),"",IF(SUMPRODUCT('Calc_Mix'!$D$35:$W$35,'Matriz_Habilidades'!$D144:$W144)=0,"",SUMPRODUCT('Calc_Mix'!$D$35:$W$35,'Matriz_Habilidades'!$D144:$W144)/'Calc_Mix'!$X$35+ROW()*0.000001))</f>
        <v/>
      </c>
      <c r="AM144" s="34">
        <f>IF(OR($B144="",$C144&lt;&gt;"Ativo",$D144&lt;&gt;'Calc_Mix'!$C$36,'Calc_Mix'!$X$36=0,COUNTIFS(Esc_Turno,'Calc_Mix'!$C$36,Esc_Circ,$B144)+COUNTIFS(Esc_Turno,'Calc_Mix'!$C$36,Esc_Instr,$B144)&gt;0),"",IF(SUMPRODUCT('Calc_Mix'!$D$36:$W$36,'Matriz_Habilidades'!$D144:$W144)=0,"",SUMPRODUCT('Calc_Mix'!$D$36:$W$36,'Matriz_Habilidades'!$D144:$W144)/'Calc_Mix'!$X$36+ROW()*0.000001))</f>
        <v/>
      </c>
      <c r="AN144" s="34">
        <f>IF(OR($B144="",$C144&lt;&gt;"Ativo",$D144&lt;&gt;'Calc_Mix'!$C$37,'Calc_Mix'!$X$37=0,COUNTIFS(Esc_Turno,'Calc_Mix'!$C$37,Esc_Circ,$B144)+COUNTIFS(Esc_Turno,'Calc_Mix'!$C$37,Esc_Instr,$B144)&gt;0),"",IF(SUMPRODUCT('Calc_Mix'!$D$37:$W$37,'Matriz_Habilidades'!$D144:$W144)=0,"",SUMPRODUCT('Calc_Mix'!$D$37:$W$37,'Matriz_Habilidades'!$D144:$W144)/'Calc_Mix'!$X$37+ROW()*0.000001))</f>
        <v/>
      </c>
    </row>
    <row r="145">
      <c r="A145" s="27">
        <f>IF('Matriz_Habilidades'!A145="","",'Matriz_Habilidades'!A145)</f>
        <v/>
      </c>
      <c r="B145" s="28">
        <f>IF('Matriz_Habilidades'!B145="","",'Matriz_Habilidades'!B145)</f>
        <v/>
      </c>
      <c r="C145" s="27">
        <f>IF($A145="","",IFERROR(INDEX(Equipe_Status,MATCH($B145,Equipe_Nome,0)),"?"))</f>
        <v/>
      </c>
      <c r="D145" s="27">
        <f>IF($A145="","",IFERROR(INDEX(Equipe_Turno,MATCH($B145,Equipe_Nome,0)),"?"))</f>
        <v/>
      </c>
      <c r="E145" s="34">
        <f>IF(OR($B145="",$C145&lt;&gt;"Ativo",$D145&lt;&gt;'Calc_Mix'!$C$2,'Calc_Mix'!$X$2=0,COUNTIFS(Esc_Turno,'Calc_Mix'!$C$2,Esc_Circ,$B145)+COUNTIFS(Esc_Turno,'Calc_Mix'!$C$2,Esc_Instr,$B145)&gt;0),"",IF(SUMPRODUCT('Calc_Mix'!$D$2:$W$2,'Matriz_Habilidades'!$D145:$W145)=0,"",SUMPRODUCT('Calc_Mix'!$D$2:$W$2,'Matriz_Habilidades'!$D145:$W145)/'Calc_Mix'!$X$2+ROW()*0.000001))</f>
        <v/>
      </c>
      <c r="F145" s="34">
        <f>IF(OR($B145="",$C145&lt;&gt;"Ativo",$D145&lt;&gt;'Calc_Mix'!$C$3,'Calc_Mix'!$X$3=0,COUNTIFS(Esc_Turno,'Calc_Mix'!$C$3,Esc_Circ,$B145)+COUNTIFS(Esc_Turno,'Calc_Mix'!$C$3,Esc_Instr,$B145)&gt;0),"",IF(SUMPRODUCT('Calc_Mix'!$D$3:$W$3,'Matriz_Habilidades'!$D145:$W145)=0,"",SUMPRODUCT('Calc_Mix'!$D$3:$W$3,'Matriz_Habilidades'!$D145:$W145)/'Calc_Mix'!$X$3+ROW()*0.000001))</f>
        <v/>
      </c>
      <c r="G145" s="34">
        <f>IF(OR($B145="",$C145&lt;&gt;"Ativo",$D145&lt;&gt;'Calc_Mix'!$C$4,'Calc_Mix'!$X$4=0,COUNTIFS(Esc_Turno,'Calc_Mix'!$C$4,Esc_Circ,$B145)+COUNTIFS(Esc_Turno,'Calc_Mix'!$C$4,Esc_Instr,$B145)&gt;0),"",IF(SUMPRODUCT('Calc_Mix'!$D$4:$W$4,'Matriz_Habilidades'!$D145:$W145)=0,"",SUMPRODUCT('Calc_Mix'!$D$4:$W$4,'Matriz_Habilidades'!$D145:$W145)/'Calc_Mix'!$X$4+ROW()*0.000001))</f>
        <v/>
      </c>
      <c r="H145" s="34">
        <f>IF(OR($B145="",$C145&lt;&gt;"Ativo",$D145&lt;&gt;'Calc_Mix'!$C$5,'Calc_Mix'!$X$5=0,COUNTIFS(Esc_Turno,'Calc_Mix'!$C$5,Esc_Circ,$B145)+COUNTIFS(Esc_Turno,'Calc_Mix'!$C$5,Esc_Instr,$B145)&gt;0),"",IF(SUMPRODUCT('Calc_Mix'!$D$5:$W$5,'Matriz_Habilidades'!$D145:$W145)=0,"",SUMPRODUCT('Calc_Mix'!$D$5:$W$5,'Matriz_Habilidades'!$D145:$W145)/'Calc_Mix'!$X$5+ROW()*0.000001))</f>
        <v/>
      </c>
      <c r="I145" s="34">
        <f>IF(OR($B145="",$C145&lt;&gt;"Ativo",$D145&lt;&gt;'Calc_Mix'!$C$6,'Calc_Mix'!$X$6=0,COUNTIFS(Esc_Turno,'Calc_Mix'!$C$6,Esc_Circ,$B145)+COUNTIFS(Esc_Turno,'Calc_Mix'!$C$6,Esc_Instr,$B145)&gt;0),"",IF(SUMPRODUCT('Calc_Mix'!$D$6:$W$6,'Matriz_Habilidades'!$D145:$W145)=0,"",SUMPRODUCT('Calc_Mix'!$D$6:$W$6,'Matriz_Habilidades'!$D145:$W145)/'Calc_Mix'!$X$6+ROW()*0.000001))</f>
        <v/>
      </c>
      <c r="J145" s="34">
        <f>IF(OR($B145="",$C145&lt;&gt;"Ativo",$D145&lt;&gt;'Calc_Mix'!$C$7,'Calc_Mix'!$X$7=0,COUNTIFS(Esc_Turno,'Calc_Mix'!$C$7,Esc_Circ,$B145)+COUNTIFS(Esc_Turno,'Calc_Mix'!$C$7,Esc_Instr,$B145)&gt;0),"",IF(SUMPRODUCT('Calc_Mix'!$D$7:$W$7,'Matriz_Habilidades'!$D145:$W145)=0,"",SUMPRODUCT('Calc_Mix'!$D$7:$W$7,'Matriz_Habilidades'!$D145:$W145)/'Calc_Mix'!$X$7+ROW()*0.000001))</f>
        <v/>
      </c>
      <c r="K145" s="34">
        <f>IF(OR($B145="",$C145&lt;&gt;"Ativo",$D145&lt;&gt;'Calc_Mix'!$C$8,'Calc_Mix'!$X$8=0,COUNTIFS(Esc_Turno,'Calc_Mix'!$C$8,Esc_Circ,$B145)+COUNTIFS(Esc_Turno,'Calc_Mix'!$C$8,Esc_Instr,$B145)&gt;0),"",IF(SUMPRODUCT('Calc_Mix'!$D$8:$W$8,'Matriz_Habilidades'!$D145:$W145)=0,"",SUMPRODUCT('Calc_Mix'!$D$8:$W$8,'Matriz_Habilidades'!$D145:$W145)/'Calc_Mix'!$X$8+ROW()*0.000001))</f>
        <v/>
      </c>
      <c r="L145" s="34">
        <f>IF(OR($B145="",$C145&lt;&gt;"Ativo",$D145&lt;&gt;'Calc_Mix'!$C$9,'Calc_Mix'!$X$9=0,COUNTIFS(Esc_Turno,'Calc_Mix'!$C$9,Esc_Circ,$B145)+COUNTIFS(Esc_Turno,'Calc_Mix'!$C$9,Esc_Instr,$B145)&gt;0),"",IF(SUMPRODUCT('Calc_Mix'!$D$9:$W$9,'Matriz_Habilidades'!$D145:$W145)=0,"",SUMPRODUCT('Calc_Mix'!$D$9:$W$9,'Matriz_Habilidades'!$D145:$W145)/'Calc_Mix'!$X$9+ROW()*0.000001))</f>
        <v/>
      </c>
      <c r="M145" s="34">
        <f>IF(OR($B145="",$C145&lt;&gt;"Ativo",$D145&lt;&gt;'Calc_Mix'!$C$10,'Calc_Mix'!$X$10=0,COUNTIFS(Esc_Turno,'Calc_Mix'!$C$10,Esc_Circ,$B145)+COUNTIFS(Esc_Turno,'Calc_Mix'!$C$10,Esc_Instr,$B145)&gt;0),"",IF(SUMPRODUCT('Calc_Mix'!$D$10:$W$10,'Matriz_Habilidades'!$D145:$W145)=0,"",SUMPRODUCT('Calc_Mix'!$D$10:$W$10,'Matriz_Habilidades'!$D145:$W145)/'Calc_Mix'!$X$10+ROW()*0.000001))</f>
        <v/>
      </c>
      <c r="N145" s="34">
        <f>IF(OR($B145="",$C145&lt;&gt;"Ativo",$D145&lt;&gt;'Calc_Mix'!$C$11,'Calc_Mix'!$X$11=0,COUNTIFS(Esc_Turno,'Calc_Mix'!$C$11,Esc_Circ,$B145)+COUNTIFS(Esc_Turno,'Calc_Mix'!$C$11,Esc_Instr,$B145)&gt;0),"",IF(SUMPRODUCT('Calc_Mix'!$D$11:$W$11,'Matriz_Habilidades'!$D145:$W145)=0,"",SUMPRODUCT('Calc_Mix'!$D$11:$W$11,'Matriz_Habilidades'!$D145:$W145)/'Calc_Mix'!$X$11+ROW()*0.000001))</f>
        <v/>
      </c>
      <c r="O145" s="34">
        <f>IF(OR($B145="",$C145&lt;&gt;"Ativo",$D145&lt;&gt;'Calc_Mix'!$C$12,'Calc_Mix'!$X$12=0,COUNTIFS(Esc_Turno,'Calc_Mix'!$C$12,Esc_Circ,$B145)+COUNTIFS(Esc_Turno,'Calc_Mix'!$C$12,Esc_Instr,$B145)&gt;0),"",IF(SUMPRODUCT('Calc_Mix'!$D$12:$W$12,'Matriz_Habilidades'!$D145:$W145)=0,"",SUMPRODUCT('Calc_Mix'!$D$12:$W$12,'Matriz_Habilidades'!$D145:$W145)/'Calc_Mix'!$X$12+ROW()*0.000001))</f>
        <v/>
      </c>
      <c r="P145" s="34">
        <f>IF(OR($B145="",$C145&lt;&gt;"Ativo",$D145&lt;&gt;'Calc_Mix'!$C$13,'Calc_Mix'!$X$13=0,COUNTIFS(Esc_Turno,'Calc_Mix'!$C$13,Esc_Circ,$B145)+COUNTIFS(Esc_Turno,'Calc_Mix'!$C$13,Esc_Instr,$B145)&gt;0),"",IF(SUMPRODUCT('Calc_Mix'!$D$13:$W$13,'Matriz_Habilidades'!$D145:$W145)=0,"",SUMPRODUCT('Calc_Mix'!$D$13:$W$13,'Matriz_Habilidades'!$D145:$W145)/'Calc_Mix'!$X$13+ROW()*0.000001))</f>
        <v/>
      </c>
      <c r="Q145" s="34">
        <f>IF(OR($B145="",$C145&lt;&gt;"Ativo",$D145&lt;&gt;'Calc_Mix'!$C$14,'Calc_Mix'!$X$14=0,COUNTIFS(Esc_Turno,'Calc_Mix'!$C$14,Esc_Circ,$B145)+COUNTIFS(Esc_Turno,'Calc_Mix'!$C$14,Esc_Instr,$B145)&gt;0),"",IF(SUMPRODUCT('Calc_Mix'!$D$14:$W$14,'Matriz_Habilidades'!$D145:$W145)=0,"",SUMPRODUCT('Calc_Mix'!$D$14:$W$14,'Matriz_Habilidades'!$D145:$W145)/'Calc_Mix'!$X$14+ROW()*0.000001))</f>
        <v/>
      </c>
      <c r="R145" s="34">
        <f>IF(OR($B145="",$C145&lt;&gt;"Ativo",$D145&lt;&gt;'Calc_Mix'!$C$15,'Calc_Mix'!$X$15=0,COUNTIFS(Esc_Turno,'Calc_Mix'!$C$15,Esc_Circ,$B145)+COUNTIFS(Esc_Turno,'Calc_Mix'!$C$15,Esc_Instr,$B145)&gt;0),"",IF(SUMPRODUCT('Calc_Mix'!$D$15:$W$15,'Matriz_Habilidades'!$D145:$W145)=0,"",SUMPRODUCT('Calc_Mix'!$D$15:$W$15,'Matriz_Habilidades'!$D145:$W145)/'Calc_Mix'!$X$15+ROW()*0.000001))</f>
        <v/>
      </c>
      <c r="S145" s="34">
        <f>IF(OR($B145="",$C145&lt;&gt;"Ativo",$D145&lt;&gt;'Calc_Mix'!$C$16,'Calc_Mix'!$X$16=0,COUNTIFS(Esc_Turno,'Calc_Mix'!$C$16,Esc_Circ,$B145)+COUNTIFS(Esc_Turno,'Calc_Mix'!$C$16,Esc_Instr,$B145)&gt;0),"",IF(SUMPRODUCT('Calc_Mix'!$D$16:$W$16,'Matriz_Habilidades'!$D145:$W145)=0,"",SUMPRODUCT('Calc_Mix'!$D$16:$W$16,'Matriz_Habilidades'!$D145:$W145)/'Calc_Mix'!$X$16+ROW()*0.000001))</f>
        <v/>
      </c>
      <c r="T145" s="34">
        <f>IF(OR($B145="",$C145&lt;&gt;"Ativo",$D145&lt;&gt;'Calc_Mix'!$C$17,'Calc_Mix'!$X$17=0,COUNTIFS(Esc_Turno,'Calc_Mix'!$C$17,Esc_Circ,$B145)+COUNTIFS(Esc_Turno,'Calc_Mix'!$C$17,Esc_Instr,$B145)&gt;0),"",IF(SUMPRODUCT('Calc_Mix'!$D$17:$W$17,'Matriz_Habilidades'!$D145:$W145)=0,"",SUMPRODUCT('Calc_Mix'!$D$17:$W$17,'Matriz_Habilidades'!$D145:$W145)/'Calc_Mix'!$X$17+ROW()*0.000001))</f>
        <v/>
      </c>
      <c r="U145" s="34">
        <f>IF(OR($B145="",$C145&lt;&gt;"Ativo",$D145&lt;&gt;'Calc_Mix'!$C$18,'Calc_Mix'!$X$18=0,COUNTIFS(Esc_Turno,'Calc_Mix'!$C$18,Esc_Circ,$B145)+COUNTIFS(Esc_Turno,'Calc_Mix'!$C$18,Esc_Instr,$B145)&gt;0),"",IF(SUMPRODUCT('Calc_Mix'!$D$18:$W$18,'Matriz_Habilidades'!$D145:$W145)=0,"",SUMPRODUCT('Calc_Mix'!$D$18:$W$18,'Matriz_Habilidades'!$D145:$W145)/'Calc_Mix'!$X$18+ROW()*0.000001))</f>
        <v/>
      </c>
      <c r="V145" s="34">
        <f>IF(OR($B145="",$C145&lt;&gt;"Ativo",$D145&lt;&gt;'Calc_Mix'!$C$19,'Calc_Mix'!$X$19=0,COUNTIFS(Esc_Turno,'Calc_Mix'!$C$19,Esc_Circ,$B145)+COUNTIFS(Esc_Turno,'Calc_Mix'!$C$19,Esc_Instr,$B145)&gt;0),"",IF(SUMPRODUCT('Calc_Mix'!$D$19:$W$19,'Matriz_Habilidades'!$D145:$W145)=0,"",SUMPRODUCT('Calc_Mix'!$D$19:$W$19,'Matriz_Habilidades'!$D145:$W145)/'Calc_Mix'!$X$19+ROW()*0.000001))</f>
        <v/>
      </c>
      <c r="W145" s="34">
        <f>IF(OR($B145="",$C145&lt;&gt;"Ativo",$D145&lt;&gt;'Calc_Mix'!$C$20,'Calc_Mix'!$X$20=0,COUNTIFS(Esc_Turno,'Calc_Mix'!$C$20,Esc_Circ,$B145)+COUNTIFS(Esc_Turno,'Calc_Mix'!$C$20,Esc_Instr,$B145)&gt;0),"",IF(SUMPRODUCT('Calc_Mix'!$D$20:$W$20,'Matriz_Habilidades'!$D145:$W145)=0,"",SUMPRODUCT('Calc_Mix'!$D$20:$W$20,'Matriz_Habilidades'!$D145:$W145)/'Calc_Mix'!$X$20+ROW()*0.000001))</f>
        <v/>
      </c>
      <c r="X145" s="34">
        <f>IF(OR($B145="",$C145&lt;&gt;"Ativo",$D145&lt;&gt;'Calc_Mix'!$C$21,'Calc_Mix'!$X$21=0,COUNTIFS(Esc_Turno,'Calc_Mix'!$C$21,Esc_Circ,$B145)+COUNTIFS(Esc_Turno,'Calc_Mix'!$C$21,Esc_Instr,$B145)&gt;0),"",IF(SUMPRODUCT('Calc_Mix'!$D$21:$W$21,'Matriz_Habilidades'!$D145:$W145)=0,"",SUMPRODUCT('Calc_Mix'!$D$21:$W$21,'Matriz_Habilidades'!$D145:$W145)/'Calc_Mix'!$X$21+ROW()*0.000001))</f>
        <v/>
      </c>
      <c r="Y145" s="34">
        <f>IF(OR($B145="",$C145&lt;&gt;"Ativo",$D145&lt;&gt;'Calc_Mix'!$C$22,'Calc_Mix'!$X$22=0,COUNTIFS(Esc_Turno,'Calc_Mix'!$C$22,Esc_Circ,$B145)+COUNTIFS(Esc_Turno,'Calc_Mix'!$C$22,Esc_Instr,$B145)&gt;0),"",IF(SUMPRODUCT('Calc_Mix'!$D$22:$W$22,'Matriz_Habilidades'!$D145:$W145)=0,"",SUMPRODUCT('Calc_Mix'!$D$22:$W$22,'Matriz_Habilidades'!$D145:$W145)/'Calc_Mix'!$X$22+ROW()*0.000001))</f>
        <v/>
      </c>
      <c r="Z145" s="34">
        <f>IF(OR($B145="",$C145&lt;&gt;"Ativo",$D145&lt;&gt;'Calc_Mix'!$C$23,'Calc_Mix'!$X$23=0,COUNTIFS(Esc_Turno,'Calc_Mix'!$C$23,Esc_Circ,$B145)+COUNTIFS(Esc_Turno,'Calc_Mix'!$C$23,Esc_Instr,$B145)&gt;0),"",IF(SUMPRODUCT('Calc_Mix'!$D$23:$W$23,'Matriz_Habilidades'!$D145:$W145)=0,"",SUMPRODUCT('Calc_Mix'!$D$23:$W$23,'Matriz_Habilidades'!$D145:$W145)/'Calc_Mix'!$X$23+ROW()*0.000001))</f>
        <v/>
      </c>
      <c r="AA145" s="34">
        <f>IF(OR($B145="",$C145&lt;&gt;"Ativo",$D145&lt;&gt;'Calc_Mix'!$C$24,'Calc_Mix'!$X$24=0,COUNTIFS(Esc_Turno,'Calc_Mix'!$C$24,Esc_Circ,$B145)+COUNTIFS(Esc_Turno,'Calc_Mix'!$C$24,Esc_Instr,$B145)&gt;0),"",IF(SUMPRODUCT('Calc_Mix'!$D$24:$W$24,'Matriz_Habilidades'!$D145:$W145)=0,"",SUMPRODUCT('Calc_Mix'!$D$24:$W$24,'Matriz_Habilidades'!$D145:$W145)/'Calc_Mix'!$X$24+ROW()*0.000001))</f>
        <v/>
      </c>
      <c r="AB145" s="34">
        <f>IF(OR($B145="",$C145&lt;&gt;"Ativo",$D145&lt;&gt;'Calc_Mix'!$C$25,'Calc_Mix'!$X$25=0,COUNTIFS(Esc_Turno,'Calc_Mix'!$C$25,Esc_Circ,$B145)+COUNTIFS(Esc_Turno,'Calc_Mix'!$C$25,Esc_Instr,$B145)&gt;0),"",IF(SUMPRODUCT('Calc_Mix'!$D$25:$W$25,'Matriz_Habilidades'!$D145:$W145)=0,"",SUMPRODUCT('Calc_Mix'!$D$25:$W$25,'Matriz_Habilidades'!$D145:$W145)/'Calc_Mix'!$X$25+ROW()*0.000001))</f>
        <v/>
      </c>
      <c r="AC145" s="34">
        <f>IF(OR($B145="",$C145&lt;&gt;"Ativo",$D145&lt;&gt;'Calc_Mix'!$C$26,'Calc_Mix'!$X$26=0,COUNTIFS(Esc_Turno,'Calc_Mix'!$C$26,Esc_Circ,$B145)+COUNTIFS(Esc_Turno,'Calc_Mix'!$C$26,Esc_Instr,$B145)&gt;0),"",IF(SUMPRODUCT('Calc_Mix'!$D$26:$W$26,'Matriz_Habilidades'!$D145:$W145)=0,"",SUMPRODUCT('Calc_Mix'!$D$26:$W$26,'Matriz_Habilidades'!$D145:$W145)/'Calc_Mix'!$X$26+ROW()*0.000001))</f>
        <v/>
      </c>
      <c r="AD145" s="34">
        <f>IF(OR($B145="",$C145&lt;&gt;"Ativo",$D145&lt;&gt;'Calc_Mix'!$C$27,'Calc_Mix'!$X$27=0,COUNTIFS(Esc_Turno,'Calc_Mix'!$C$27,Esc_Circ,$B145)+COUNTIFS(Esc_Turno,'Calc_Mix'!$C$27,Esc_Instr,$B145)&gt;0),"",IF(SUMPRODUCT('Calc_Mix'!$D$27:$W$27,'Matriz_Habilidades'!$D145:$W145)=0,"",SUMPRODUCT('Calc_Mix'!$D$27:$W$27,'Matriz_Habilidades'!$D145:$W145)/'Calc_Mix'!$X$27+ROW()*0.000001))</f>
        <v/>
      </c>
      <c r="AE145" s="34">
        <f>IF(OR($B145="",$C145&lt;&gt;"Ativo",$D145&lt;&gt;'Calc_Mix'!$C$28,'Calc_Mix'!$X$28=0,COUNTIFS(Esc_Turno,'Calc_Mix'!$C$28,Esc_Circ,$B145)+COUNTIFS(Esc_Turno,'Calc_Mix'!$C$28,Esc_Instr,$B145)&gt;0),"",IF(SUMPRODUCT('Calc_Mix'!$D$28:$W$28,'Matriz_Habilidades'!$D145:$W145)=0,"",SUMPRODUCT('Calc_Mix'!$D$28:$W$28,'Matriz_Habilidades'!$D145:$W145)/'Calc_Mix'!$X$28+ROW()*0.000001))</f>
        <v/>
      </c>
      <c r="AF145" s="34">
        <f>IF(OR($B145="",$C145&lt;&gt;"Ativo",$D145&lt;&gt;'Calc_Mix'!$C$29,'Calc_Mix'!$X$29=0,COUNTIFS(Esc_Turno,'Calc_Mix'!$C$29,Esc_Circ,$B145)+COUNTIFS(Esc_Turno,'Calc_Mix'!$C$29,Esc_Instr,$B145)&gt;0),"",IF(SUMPRODUCT('Calc_Mix'!$D$29:$W$29,'Matriz_Habilidades'!$D145:$W145)=0,"",SUMPRODUCT('Calc_Mix'!$D$29:$W$29,'Matriz_Habilidades'!$D145:$W145)/'Calc_Mix'!$X$29+ROW()*0.000001))</f>
        <v/>
      </c>
      <c r="AG145" s="34">
        <f>IF(OR($B145="",$C145&lt;&gt;"Ativo",$D145&lt;&gt;'Calc_Mix'!$C$30,'Calc_Mix'!$X$30=0,COUNTIFS(Esc_Turno,'Calc_Mix'!$C$30,Esc_Circ,$B145)+COUNTIFS(Esc_Turno,'Calc_Mix'!$C$30,Esc_Instr,$B145)&gt;0),"",IF(SUMPRODUCT('Calc_Mix'!$D$30:$W$30,'Matriz_Habilidades'!$D145:$W145)=0,"",SUMPRODUCT('Calc_Mix'!$D$30:$W$30,'Matriz_Habilidades'!$D145:$W145)/'Calc_Mix'!$X$30+ROW()*0.000001))</f>
        <v/>
      </c>
      <c r="AH145" s="34">
        <f>IF(OR($B145="",$C145&lt;&gt;"Ativo",$D145&lt;&gt;'Calc_Mix'!$C$31,'Calc_Mix'!$X$31=0,COUNTIFS(Esc_Turno,'Calc_Mix'!$C$31,Esc_Circ,$B145)+COUNTIFS(Esc_Turno,'Calc_Mix'!$C$31,Esc_Instr,$B145)&gt;0),"",IF(SUMPRODUCT('Calc_Mix'!$D$31:$W$31,'Matriz_Habilidades'!$D145:$W145)=0,"",SUMPRODUCT('Calc_Mix'!$D$31:$W$31,'Matriz_Habilidades'!$D145:$W145)/'Calc_Mix'!$X$31+ROW()*0.000001))</f>
        <v/>
      </c>
      <c r="AI145" s="34">
        <f>IF(OR($B145="",$C145&lt;&gt;"Ativo",$D145&lt;&gt;'Calc_Mix'!$C$32,'Calc_Mix'!$X$32=0,COUNTIFS(Esc_Turno,'Calc_Mix'!$C$32,Esc_Circ,$B145)+COUNTIFS(Esc_Turno,'Calc_Mix'!$C$32,Esc_Instr,$B145)&gt;0),"",IF(SUMPRODUCT('Calc_Mix'!$D$32:$W$32,'Matriz_Habilidades'!$D145:$W145)=0,"",SUMPRODUCT('Calc_Mix'!$D$32:$W$32,'Matriz_Habilidades'!$D145:$W145)/'Calc_Mix'!$X$32+ROW()*0.000001))</f>
        <v/>
      </c>
      <c r="AJ145" s="34">
        <f>IF(OR($B145="",$C145&lt;&gt;"Ativo",$D145&lt;&gt;'Calc_Mix'!$C$33,'Calc_Mix'!$X$33=0,COUNTIFS(Esc_Turno,'Calc_Mix'!$C$33,Esc_Circ,$B145)+COUNTIFS(Esc_Turno,'Calc_Mix'!$C$33,Esc_Instr,$B145)&gt;0),"",IF(SUMPRODUCT('Calc_Mix'!$D$33:$W$33,'Matriz_Habilidades'!$D145:$W145)=0,"",SUMPRODUCT('Calc_Mix'!$D$33:$W$33,'Matriz_Habilidades'!$D145:$W145)/'Calc_Mix'!$X$33+ROW()*0.000001))</f>
        <v/>
      </c>
      <c r="AK145" s="34">
        <f>IF(OR($B145="",$C145&lt;&gt;"Ativo",$D145&lt;&gt;'Calc_Mix'!$C$34,'Calc_Mix'!$X$34=0,COUNTIFS(Esc_Turno,'Calc_Mix'!$C$34,Esc_Circ,$B145)+COUNTIFS(Esc_Turno,'Calc_Mix'!$C$34,Esc_Instr,$B145)&gt;0),"",IF(SUMPRODUCT('Calc_Mix'!$D$34:$W$34,'Matriz_Habilidades'!$D145:$W145)=0,"",SUMPRODUCT('Calc_Mix'!$D$34:$W$34,'Matriz_Habilidades'!$D145:$W145)/'Calc_Mix'!$X$34+ROW()*0.000001))</f>
        <v/>
      </c>
      <c r="AL145" s="34">
        <f>IF(OR($B145="",$C145&lt;&gt;"Ativo",$D145&lt;&gt;'Calc_Mix'!$C$35,'Calc_Mix'!$X$35=0,COUNTIFS(Esc_Turno,'Calc_Mix'!$C$35,Esc_Circ,$B145)+COUNTIFS(Esc_Turno,'Calc_Mix'!$C$35,Esc_Instr,$B145)&gt;0),"",IF(SUMPRODUCT('Calc_Mix'!$D$35:$W$35,'Matriz_Habilidades'!$D145:$W145)=0,"",SUMPRODUCT('Calc_Mix'!$D$35:$W$35,'Matriz_Habilidades'!$D145:$W145)/'Calc_Mix'!$X$35+ROW()*0.000001))</f>
        <v/>
      </c>
      <c r="AM145" s="34">
        <f>IF(OR($B145="",$C145&lt;&gt;"Ativo",$D145&lt;&gt;'Calc_Mix'!$C$36,'Calc_Mix'!$X$36=0,COUNTIFS(Esc_Turno,'Calc_Mix'!$C$36,Esc_Circ,$B145)+COUNTIFS(Esc_Turno,'Calc_Mix'!$C$36,Esc_Instr,$B145)&gt;0),"",IF(SUMPRODUCT('Calc_Mix'!$D$36:$W$36,'Matriz_Habilidades'!$D145:$W145)=0,"",SUMPRODUCT('Calc_Mix'!$D$36:$W$36,'Matriz_Habilidades'!$D145:$W145)/'Calc_Mix'!$X$36+ROW()*0.000001))</f>
        <v/>
      </c>
      <c r="AN145" s="34">
        <f>IF(OR($B145="",$C145&lt;&gt;"Ativo",$D145&lt;&gt;'Calc_Mix'!$C$37,'Calc_Mix'!$X$37=0,COUNTIFS(Esc_Turno,'Calc_Mix'!$C$37,Esc_Circ,$B145)+COUNTIFS(Esc_Turno,'Calc_Mix'!$C$37,Esc_Instr,$B145)&gt;0),"",IF(SUMPRODUCT('Calc_Mix'!$D$37:$W$37,'Matriz_Habilidades'!$D145:$W145)=0,"",SUMPRODUCT('Calc_Mix'!$D$37:$W$37,'Matriz_Habilidades'!$D145:$W145)/'Calc_Mix'!$X$37+ROW()*0.000001))</f>
        <v/>
      </c>
    </row>
    <row r="146">
      <c r="A146" s="27">
        <f>IF('Matriz_Habilidades'!A146="","",'Matriz_Habilidades'!A146)</f>
        <v/>
      </c>
      <c r="B146" s="28">
        <f>IF('Matriz_Habilidades'!B146="","",'Matriz_Habilidades'!B146)</f>
        <v/>
      </c>
      <c r="C146" s="27">
        <f>IF($A146="","",IFERROR(INDEX(Equipe_Status,MATCH($B146,Equipe_Nome,0)),"?"))</f>
        <v/>
      </c>
      <c r="D146" s="27">
        <f>IF($A146="","",IFERROR(INDEX(Equipe_Turno,MATCH($B146,Equipe_Nome,0)),"?"))</f>
        <v/>
      </c>
      <c r="E146" s="34">
        <f>IF(OR($B146="",$C146&lt;&gt;"Ativo",$D146&lt;&gt;'Calc_Mix'!$C$2,'Calc_Mix'!$X$2=0,COUNTIFS(Esc_Turno,'Calc_Mix'!$C$2,Esc_Circ,$B146)+COUNTIFS(Esc_Turno,'Calc_Mix'!$C$2,Esc_Instr,$B146)&gt;0),"",IF(SUMPRODUCT('Calc_Mix'!$D$2:$W$2,'Matriz_Habilidades'!$D146:$W146)=0,"",SUMPRODUCT('Calc_Mix'!$D$2:$W$2,'Matriz_Habilidades'!$D146:$W146)/'Calc_Mix'!$X$2+ROW()*0.000001))</f>
        <v/>
      </c>
      <c r="F146" s="34">
        <f>IF(OR($B146="",$C146&lt;&gt;"Ativo",$D146&lt;&gt;'Calc_Mix'!$C$3,'Calc_Mix'!$X$3=0,COUNTIFS(Esc_Turno,'Calc_Mix'!$C$3,Esc_Circ,$B146)+COUNTIFS(Esc_Turno,'Calc_Mix'!$C$3,Esc_Instr,$B146)&gt;0),"",IF(SUMPRODUCT('Calc_Mix'!$D$3:$W$3,'Matriz_Habilidades'!$D146:$W146)=0,"",SUMPRODUCT('Calc_Mix'!$D$3:$W$3,'Matriz_Habilidades'!$D146:$W146)/'Calc_Mix'!$X$3+ROW()*0.000001))</f>
        <v/>
      </c>
      <c r="G146" s="34">
        <f>IF(OR($B146="",$C146&lt;&gt;"Ativo",$D146&lt;&gt;'Calc_Mix'!$C$4,'Calc_Mix'!$X$4=0,COUNTIFS(Esc_Turno,'Calc_Mix'!$C$4,Esc_Circ,$B146)+COUNTIFS(Esc_Turno,'Calc_Mix'!$C$4,Esc_Instr,$B146)&gt;0),"",IF(SUMPRODUCT('Calc_Mix'!$D$4:$W$4,'Matriz_Habilidades'!$D146:$W146)=0,"",SUMPRODUCT('Calc_Mix'!$D$4:$W$4,'Matriz_Habilidades'!$D146:$W146)/'Calc_Mix'!$X$4+ROW()*0.000001))</f>
        <v/>
      </c>
      <c r="H146" s="34">
        <f>IF(OR($B146="",$C146&lt;&gt;"Ativo",$D146&lt;&gt;'Calc_Mix'!$C$5,'Calc_Mix'!$X$5=0,COUNTIFS(Esc_Turno,'Calc_Mix'!$C$5,Esc_Circ,$B146)+COUNTIFS(Esc_Turno,'Calc_Mix'!$C$5,Esc_Instr,$B146)&gt;0),"",IF(SUMPRODUCT('Calc_Mix'!$D$5:$W$5,'Matriz_Habilidades'!$D146:$W146)=0,"",SUMPRODUCT('Calc_Mix'!$D$5:$W$5,'Matriz_Habilidades'!$D146:$W146)/'Calc_Mix'!$X$5+ROW()*0.000001))</f>
        <v/>
      </c>
      <c r="I146" s="34">
        <f>IF(OR($B146="",$C146&lt;&gt;"Ativo",$D146&lt;&gt;'Calc_Mix'!$C$6,'Calc_Mix'!$X$6=0,COUNTIFS(Esc_Turno,'Calc_Mix'!$C$6,Esc_Circ,$B146)+COUNTIFS(Esc_Turno,'Calc_Mix'!$C$6,Esc_Instr,$B146)&gt;0),"",IF(SUMPRODUCT('Calc_Mix'!$D$6:$W$6,'Matriz_Habilidades'!$D146:$W146)=0,"",SUMPRODUCT('Calc_Mix'!$D$6:$W$6,'Matriz_Habilidades'!$D146:$W146)/'Calc_Mix'!$X$6+ROW()*0.000001))</f>
        <v/>
      </c>
      <c r="J146" s="34">
        <f>IF(OR($B146="",$C146&lt;&gt;"Ativo",$D146&lt;&gt;'Calc_Mix'!$C$7,'Calc_Mix'!$X$7=0,COUNTIFS(Esc_Turno,'Calc_Mix'!$C$7,Esc_Circ,$B146)+COUNTIFS(Esc_Turno,'Calc_Mix'!$C$7,Esc_Instr,$B146)&gt;0),"",IF(SUMPRODUCT('Calc_Mix'!$D$7:$W$7,'Matriz_Habilidades'!$D146:$W146)=0,"",SUMPRODUCT('Calc_Mix'!$D$7:$W$7,'Matriz_Habilidades'!$D146:$W146)/'Calc_Mix'!$X$7+ROW()*0.000001))</f>
        <v/>
      </c>
      <c r="K146" s="34">
        <f>IF(OR($B146="",$C146&lt;&gt;"Ativo",$D146&lt;&gt;'Calc_Mix'!$C$8,'Calc_Mix'!$X$8=0,COUNTIFS(Esc_Turno,'Calc_Mix'!$C$8,Esc_Circ,$B146)+COUNTIFS(Esc_Turno,'Calc_Mix'!$C$8,Esc_Instr,$B146)&gt;0),"",IF(SUMPRODUCT('Calc_Mix'!$D$8:$W$8,'Matriz_Habilidades'!$D146:$W146)=0,"",SUMPRODUCT('Calc_Mix'!$D$8:$W$8,'Matriz_Habilidades'!$D146:$W146)/'Calc_Mix'!$X$8+ROW()*0.000001))</f>
        <v/>
      </c>
      <c r="L146" s="34">
        <f>IF(OR($B146="",$C146&lt;&gt;"Ativo",$D146&lt;&gt;'Calc_Mix'!$C$9,'Calc_Mix'!$X$9=0,COUNTIFS(Esc_Turno,'Calc_Mix'!$C$9,Esc_Circ,$B146)+COUNTIFS(Esc_Turno,'Calc_Mix'!$C$9,Esc_Instr,$B146)&gt;0),"",IF(SUMPRODUCT('Calc_Mix'!$D$9:$W$9,'Matriz_Habilidades'!$D146:$W146)=0,"",SUMPRODUCT('Calc_Mix'!$D$9:$W$9,'Matriz_Habilidades'!$D146:$W146)/'Calc_Mix'!$X$9+ROW()*0.000001))</f>
        <v/>
      </c>
      <c r="M146" s="34">
        <f>IF(OR($B146="",$C146&lt;&gt;"Ativo",$D146&lt;&gt;'Calc_Mix'!$C$10,'Calc_Mix'!$X$10=0,COUNTIFS(Esc_Turno,'Calc_Mix'!$C$10,Esc_Circ,$B146)+COUNTIFS(Esc_Turno,'Calc_Mix'!$C$10,Esc_Instr,$B146)&gt;0),"",IF(SUMPRODUCT('Calc_Mix'!$D$10:$W$10,'Matriz_Habilidades'!$D146:$W146)=0,"",SUMPRODUCT('Calc_Mix'!$D$10:$W$10,'Matriz_Habilidades'!$D146:$W146)/'Calc_Mix'!$X$10+ROW()*0.000001))</f>
        <v/>
      </c>
      <c r="N146" s="34">
        <f>IF(OR($B146="",$C146&lt;&gt;"Ativo",$D146&lt;&gt;'Calc_Mix'!$C$11,'Calc_Mix'!$X$11=0,COUNTIFS(Esc_Turno,'Calc_Mix'!$C$11,Esc_Circ,$B146)+COUNTIFS(Esc_Turno,'Calc_Mix'!$C$11,Esc_Instr,$B146)&gt;0),"",IF(SUMPRODUCT('Calc_Mix'!$D$11:$W$11,'Matriz_Habilidades'!$D146:$W146)=0,"",SUMPRODUCT('Calc_Mix'!$D$11:$W$11,'Matriz_Habilidades'!$D146:$W146)/'Calc_Mix'!$X$11+ROW()*0.000001))</f>
        <v/>
      </c>
      <c r="O146" s="34">
        <f>IF(OR($B146="",$C146&lt;&gt;"Ativo",$D146&lt;&gt;'Calc_Mix'!$C$12,'Calc_Mix'!$X$12=0,COUNTIFS(Esc_Turno,'Calc_Mix'!$C$12,Esc_Circ,$B146)+COUNTIFS(Esc_Turno,'Calc_Mix'!$C$12,Esc_Instr,$B146)&gt;0),"",IF(SUMPRODUCT('Calc_Mix'!$D$12:$W$12,'Matriz_Habilidades'!$D146:$W146)=0,"",SUMPRODUCT('Calc_Mix'!$D$12:$W$12,'Matriz_Habilidades'!$D146:$W146)/'Calc_Mix'!$X$12+ROW()*0.000001))</f>
        <v/>
      </c>
      <c r="P146" s="34">
        <f>IF(OR($B146="",$C146&lt;&gt;"Ativo",$D146&lt;&gt;'Calc_Mix'!$C$13,'Calc_Mix'!$X$13=0,COUNTIFS(Esc_Turno,'Calc_Mix'!$C$13,Esc_Circ,$B146)+COUNTIFS(Esc_Turno,'Calc_Mix'!$C$13,Esc_Instr,$B146)&gt;0),"",IF(SUMPRODUCT('Calc_Mix'!$D$13:$W$13,'Matriz_Habilidades'!$D146:$W146)=0,"",SUMPRODUCT('Calc_Mix'!$D$13:$W$13,'Matriz_Habilidades'!$D146:$W146)/'Calc_Mix'!$X$13+ROW()*0.000001))</f>
        <v/>
      </c>
      <c r="Q146" s="34">
        <f>IF(OR($B146="",$C146&lt;&gt;"Ativo",$D146&lt;&gt;'Calc_Mix'!$C$14,'Calc_Mix'!$X$14=0,COUNTIFS(Esc_Turno,'Calc_Mix'!$C$14,Esc_Circ,$B146)+COUNTIFS(Esc_Turno,'Calc_Mix'!$C$14,Esc_Instr,$B146)&gt;0),"",IF(SUMPRODUCT('Calc_Mix'!$D$14:$W$14,'Matriz_Habilidades'!$D146:$W146)=0,"",SUMPRODUCT('Calc_Mix'!$D$14:$W$14,'Matriz_Habilidades'!$D146:$W146)/'Calc_Mix'!$X$14+ROW()*0.000001))</f>
        <v/>
      </c>
      <c r="R146" s="34">
        <f>IF(OR($B146="",$C146&lt;&gt;"Ativo",$D146&lt;&gt;'Calc_Mix'!$C$15,'Calc_Mix'!$X$15=0,COUNTIFS(Esc_Turno,'Calc_Mix'!$C$15,Esc_Circ,$B146)+COUNTIFS(Esc_Turno,'Calc_Mix'!$C$15,Esc_Instr,$B146)&gt;0),"",IF(SUMPRODUCT('Calc_Mix'!$D$15:$W$15,'Matriz_Habilidades'!$D146:$W146)=0,"",SUMPRODUCT('Calc_Mix'!$D$15:$W$15,'Matriz_Habilidades'!$D146:$W146)/'Calc_Mix'!$X$15+ROW()*0.000001))</f>
        <v/>
      </c>
      <c r="S146" s="34">
        <f>IF(OR($B146="",$C146&lt;&gt;"Ativo",$D146&lt;&gt;'Calc_Mix'!$C$16,'Calc_Mix'!$X$16=0,COUNTIFS(Esc_Turno,'Calc_Mix'!$C$16,Esc_Circ,$B146)+COUNTIFS(Esc_Turno,'Calc_Mix'!$C$16,Esc_Instr,$B146)&gt;0),"",IF(SUMPRODUCT('Calc_Mix'!$D$16:$W$16,'Matriz_Habilidades'!$D146:$W146)=0,"",SUMPRODUCT('Calc_Mix'!$D$16:$W$16,'Matriz_Habilidades'!$D146:$W146)/'Calc_Mix'!$X$16+ROW()*0.000001))</f>
        <v/>
      </c>
      <c r="T146" s="34">
        <f>IF(OR($B146="",$C146&lt;&gt;"Ativo",$D146&lt;&gt;'Calc_Mix'!$C$17,'Calc_Mix'!$X$17=0,COUNTIFS(Esc_Turno,'Calc_Mix'!$C$17,Esc_Circ,$B146)+COUNTIFS(Esc_Turno,'Calc_Mix'!$C$17,Esc_Instr,$B146)&gt;0),"",IF(SUMPRODUCT('Calc_Mix'!$D$17:$W$17,'Matriz_Habilidades'!$D146:$W146)=0,"",SUMPRODUCT('Calc_Mix'!$D$17:$W$17,'Matriz_Habilidades'!$D146:$W146)/'Calc_Mix'!$X$17+ROW()*0.000001))</f>
        <v/>
      </c>
      <c r="U146" s="34">
        <f>IF(OR($B146="",$C146&lt;&gt;"Ativo",$D146&lt;&gt;'Calc_Mix'!$C$18,'Calc_Mix'!$X$18=0,COUNTIFS(Esc_Turno,'Calc_Mix'!$C$18,Esc_Circ,$B146)+COUNTIFS(Esc_Turno,'Calc_Mix'!$C$18,Esc_Instr,$B146)&gt;0),"",IF(SUMPRODUCT('Calc_Mix'!$D$18:$W$18,'Matriz_Habilidades'!$D146:$W146)=0,"",SUMPRODUCT('Calc_Mix'!$D$18:$W$18,'Matriz_Habilidades'!$D146:$W146)/'Calc_Mix'!$X$18+ROW()*0.000001))</f>
        <v/>
      </c>
      <c r="V146" s="34">
        <f>IF(OR($B146="",$C146&lt;&gt;"Ativo",$D146&lt;&gt;'Calc_Mix'!$C$19,'Calc_Mix'!$X$19=0,COUNTIFS(Esc_Turno,'Calc_Mix'!$C$19,Esc_Circ,$B146)+COUNTIFS(Esc_Turno,'Calc_Mix'!$C$19,Esc_Instr,$B146)&gt;0),"",IF(SUMPRODUCT('Calc_Mix'!$D$19:$W$19,'Matriz_Habilidades'!$D146:$W146)=0,"",SUMPRODUCT('Calc_Mix'!$D$19:$W$19,'Matriz_Habilidades'!$D146:$W146)/'Calc_Mix'!$X$19+ROW()*0.000001))</f>
        <v/>
      </c>
      <c r="W146" s="34">
        <f>IF(OR($B146="",$C146&lt;&gt;"Ativo",$D146&lt;&gt;'Calc_Mix'!$C$20,'Calc_Mix'!$X$20=0,COUNTIFS(Esc_Turno,'Calc_Mix'!$C$20,Esc_Circ,$B146)+COUNTIFS(Esc_Turno,'Calc_Mix'!$C$20,Esc_Instr,$B146)&gt;0),"",IF(SUMPRODUCT('Calc_Mix'!$D$20:$W$20,'Matriz_Habilidades'!$D146:$W146)=0,"",SUMPRODUCT('Calc_Mix'!$D$20:$W$20,'Matriz_Habilidades'!$D146:$W146)/'Calc_Mix'!$X$20+ROW()*0.000001))</f>
        <v/>
      </c>
      <c r="X146" s="34">
        <f>IF(OR($B146="",$C146&lt;&gt;"Ativo",$D146&lt;&gt;'Calc_Mix'!$C$21,'Calc_Mix'!$X$21=0,COUNTIFS(Esc_Turno,'Calc_Mix'!$C$21,Esc_Circ,$B146)+COUNTIFS(Esc_Turno,'Calc_Mix'!$C$21,Esc_Instr,$B146)&gt;0),"",IF(SUMPRODUCT('Calc_Mix'!$D$21:$W$21,'Matriz_Habilidades'!$D146:$W146)=0,"",SUMPRODUCT('Calc_Mix'!$D$21:$W$21,'Matriz_Habilidades'!$D146:$W146)/'Calc_Mix'!$X$21+ROW()*0.000001))</f>
        <v/>
      </c>
      <c r="Y146" s="34">
        <f>IF(OR($B146="",$C146&lt;&gt;"Ativo",$D146&lt;&gt;'Calc_Mix'!$C$22,'Calc_Mix'!$X$22=0,COUNTIFS(Esc_Turno,'Calc_Mix'!$C$22,Esc_Circ,$B146)+COUNTIFS(Esc_Turno,'Calc_Mix'!$C$22,Esc_Instr,$B146)&gt;0),"",IF(SUMPRODUCT('Calc_Mix'!$D$22:$W$22,'Matriz_Habilidades'!$D146:$W146)=0,"",SUMPRODUCT('Calc_Mix'!$D$22:$W$22,'Matriz_Habilidades'!$D146:$W146)/'Calc_Mix'!$X$22+ROW()*0.000001))</f>
        <v/>
      </c>
      <c r="Z146" s="34">
        <f>IF(OR($B146="",$C146&lt;&gt;"Ativo",$D146&lt;&gt;'Calc_Mix'!$C$23,'Calc_Mix'!$X$23=0,COUNTIFS(Esc_Turno,'Calc_Mix'!$C$23,Esc_Circ,$B146)+COUNTIFS(Esc_Turno,'Calc_Mix'!$C$23,Esc_Instr,$B146)&gt;0),"",IF(SUMPRODUCT('Calc_Mix'!$D$23:$W$23,'Matriz_Habilidades'!$D146:$W146)=0,"",SUMPRODUCT('Calc_Mix'!$D$23:$W$23,'Matriz_Habilidades'!$D146:$W146)/'Calc_Mix'!$X$23+ROW()*0.000001))</f>
        <v/>
      </c>
      <c r="AA146" s="34">
        <f>IF(OR($B146="",$C146&lt;&gt;"Ativo",$D146&lt;&gt;'Calc_Mix'!$C$24,'Calc_Mix'!$X$24=0,COUNTIFS(Esc_Turno,'Calc_Mix'!$C$24,Esc_Circ,$B146)+COUNTIFS(Esc_Turno,'Calc_Mix'!$C$24,Esc_Instr,$B146)&gt;0),"",IF(SUMPRODUCT('Calc_Mix'!$D$24:$W$24,'Matriz_Habilidades'!$D146:$W146)=0,"",SUMPRODUCT('Calc_Mix'!$D$24:$W$24,'Matriz_Habilidades'!$D146:$W146)/'Calc_Mix'!$X$24+ROW()*0.000001))</f>
        <v/>
      </c>
      <c r="AB146" s="34">
        <f>IF(OR($B146="",$C146&lt;&gt;"Ativo",$D146&lt;&gt;'Calc_Mix'!$C$25,'Calc_Mix'!$X$25=0,COUNTIFS(Esc_Turno,'Calc_Mix'!$C$25,Esc_Circ,$B146)+COUNTIFS(Esc_Turno,'Calc_Mix'!$C$25,Esc_Instr,$B146)&gt;0),"",IF(SUMPRODUCT('Calc_Mix'!$D$25:$W$25,'Matriz_Habilidades'!$D146:$W146)=0,"",SUMPRODUCT('Calc_Mix'!$D$25:$W$25,'Matriz_Habilidades'!$D146:$W146)/'Calc_Mix'!$X$25+ROW()*0.000001))</f>
        <v/>
      </c>
      <c r="AC146" s="34">
        <f>IF(OR($B146="",$C146&lt;&gt;"Ativo",$D146&lt;&gt;'Calc_Mix'!$C$26,'Calc_Mix'!$X$26=0,COUNTIFS(Esc_Turno,'Calc_Mix'!$C$26,Esc_Circ,$B146)+COUNTIFS(Esc_Turno,'Calc_Mix'!$C$26,Esc_Instr,$B146)&gt;0),"",IF(SUMPRODUCT('Calc_Mix'!$D$26:$W$26,'Matriz_Habilidades'!$D146:$W146)=0,"",SUMPRODUCT('Calc_Mix'!$D$26:$W$26,'Matriz_Habilidades'!$D146:$W146)/'Calc_Mix'!$X$26+ROW()*0.000001))</f>
        <v/>
      </c>
      <c r="AD146" s="34">
        <f>IF(OR($B146="",$C146&lt;&gt;"Ativo",$D146&lt;&gt;'Calc_Mix'!$C$27,'Calc_Mix'!$X$27=0,COUNTIFS(Esc_Turno,'Calc_Mix'!$C$27,Esc_Circ,$B146)+COUNTIFS(Esc_Turno,'Calc_Mix'!$C$27,Esc_Instr,$B146)&gt;0),"",IF(SUMPRODUCT('Calc_Mix'!$D$27:$W$27,'Matriz_Habilidades'!$D146:$W146)=0,"",SUMPRODUCT('Calc_Mix'!$D$27:$W$27,'Matriz_Habilidades'!$D146:$W146)/'Calc_Mix'!$X$27+ROW()*0.000001))</f>
        <v/>
      </c>
      <c r="AE146" s="34">
        <f>IF(OR($B146="",$C146&lt;&gt;"Ativo",$D146&lt;&gt;'Calc_Mix'!$C$28,'Calc_Mix'!$X$28=0,COUNTIFS(Esc_Turno,'Calc_Mix'!$C$28,Esc_Circ,$B146)+COUNTIFS(Esc_Turno,'Calc_Mix'!$C$28,Esc_Instr,$B146)&gt;0),"",IF(SUMPRODUCT('Calc_Mix'!$D$28:$W$28,'Matriz_Habilidades'!$D146:$W146)=0,"",SUMPRODUCT('Calc_Mix'!$D$28:$W$28,'Matriz_Habilidades'!$D146:$W146)/'Calc_Mix'!$X$28+ROW()*0.000001))</f>
        <v/>
      </c>
      <c r="AF146" s="34">
        <f>IF(OR($B146="",$C146&lt;&gt;"Ativo",$D146&lt;&gt;'Calc_Mix'!$C$29,'Calc_Mix'!$X$29=0,COUNTIFS(Esc_Turno,'Calc_Mix'!$C$29,Esc_Circ,$B146)+COUNTIFS(Esc_Turno,'Calc_Mix'!$C$29,Esc_Instr,$B146)&gt;0),"",IF(SUMPRODUCT('Calc_Mix'!$D$29:$W$29,'Matriz_Habilidades'!$D146:$W146)=0,"",SUMPRODUCT('Calc_Mix'!$D$29:$W$29,'Matriz_Habilidades'!$D146:$W146)/'Calc_Mix'!$X$29+ROW()*0.000001))</f>
        <v/>
      </c>
      <c r="AG146" s="34">
        <f>IF(OR($B146="",$C146&lt;&gt;"Ativo",$D146&lt;&gt;'Calc_Mix'!$C$30,'Calc_Mix'!$X$30=0,COUNTIFS(Esc_Turno,'Calc_Mix'!$C$30,Esc_Circ,$B146)+COUNTIFS(Esc_Turno,'Calc_Mix'!$C$30,Esc_Instr,$B146)&gt;0),"",IF(SUMPRODUCT('Calc_Mix'!$D$30:$W$30,'Matriz_Habilidades'!$D146:$W146)=0,"",SUMPRODUCT('Calc_Mix'!$D$30:$W$30,'Matriz_Habilidades'!$D146:$W146)/'Calc_Mix'!$X$30+ROW()*0.000001))</f>
        <v/>
      </c>
      <c r="AH146" s="34">
        <f>IF(OR($B146="",$C146&lt;&gt;"Ativo",$D146&lt;&gt;'Calc_Mix'!$C$31,'Calc_Mix'!$X$31=0,COUNTIFS(Esc_Turno,'Calc_Mix'!$C$31,Esc_Circ,$B146)+COUNTIFS(Esc_Turno,'Calc_Mix'!$C$31,Esc_Instr,$B146)&gt;0),"",IF(SUMPRODUCT('Calc_Mix'!$D$31:$W$31,'Matriz_Habilidades'!$D146:$W146)=0,"",SUMPRODUCT('Calc_Mix'!$D$31:$W$31,'Matriz_Habilidades'!$D146:$W146)/'Calc_Mix'!$X$31+ROW()*0.000001))</f>
        <v/>
      </c>
      <c r="AI146" s="34">
        <f>IF(OR($B146="",$C146&lt;&gt;"Ativo",$D146&lt;&gt;'Calc_Mix'!$C$32,'Calc_Mix'!$X$32=0,COUNTIFS(Esc_Turno,'Calc_Mix'!$C$32,Esc_Circ,$B146)+COUNTIFS(Esc_Turno,'Calc_Mix'!$C$32,Esc_Instr,$B146)&gt;0),"",IF(SUMPRODUCT('Calc_Mix'!$D$32:$W$32,'Matriz_Habilidades'!$D146:$W146)=0,"",SUMPRODUCT('Calc_Mix'!$D$32:$W$32,'Matriz_Habilidades'!$D146:$W146)/'Calc_Mix'!$X$32+ROW()*0.000001))</f>
        <v/>
      </c>
      <c r="AJ146" s="34">
        <f>IF(OR($B146="",$C146&lt;&gt;"Ativo",$D146&lt;&gt;'Calc_Mix'!$C$33,'Calc_Mix'!$X$33=0,COUNTIFS(Esc_Turno,'Calc_Mix'!$C$33,Esc_Circ,$B146)+COUNTIFS(Esc_Turno,'Calc_Mix'!$C$33,Esc_Instr,$B146)&gt;0),"",IF(SUMPRODUCT('Calc_Mix'!$D$33:$W$33,'Matriz_Habilidades'!$D146:$W146)=0,"",SUMPRODUCT('Calc_Mix'!$D$33:$W$33,'Matriz_Habilidades'!$D146:$W146)/'Calc_Mix'!$X$33+ROW()*0.000001))</f>
        <v/>
      </c>
      <c r="AK146" s="34">
        <f>IF(OR($B146="",$C146&lt;&gt;"Ativo",$D146&lt;&gt;'Calc_Mix'!$C$34,'Calc_Mix'!$X$34=0,COUNTIFS(Esc_Turno,'Calc_Mix'!$C$34,Esc_Circ,$B146)+COUNTIFS(Esc_Turno,'Calc_Mix'!$C$34,Esc_Instr,$B146)&gt;0),"",IF(SUMPRODUCT('Calc_Mix'!$D$34:$W$34,'Matriz_Habilidades'!$D146:$W146)=0,"",SUMPRODUCT('Calc_Mix'!$D$34:$W$34,'Matriz_Habilidades'!$D146:$W146)/'Calc_Mix'!$X$34+ROW()*0.000001))</f>
        <v/>
      </c>
      <c r="AL146" s="34">
        <f>IF(OR($B146="",$C146&lt;&gt;"Ativo",$D146&lt;&gt;'Calc_Mix'!$C$35,'Calc_Mix'!$X$35=0,COUNTIFS(Esc_Turno,'Calc_Mix'!$C$35,Esc_Circ,$B146)+COUNTIFS(Esc_Turno,'Calc_Mix'!$C$35,Esc_Instr,$B146)&gt;0),"",IF(SUMPRODUCT('Calc_Mix'!$D$35:$W$35,'Matriz_Habilidades'!$D146:$W146)=0,"",SUMPRODUCT('Calc_Mix'!$D$35:$W$35,'Matriz_Habilidades'!$D146:$W146)/'Calc_Mix'!$X$35+ROW()*0.000001))</f>
        <v/>
      </c>
      <c r="AM146" s="34">
        <f>IF(OR($B146="",$C146&lt;&gt;"Ativo",$D146&lt;&gt;'Calc_Mix'!$C$36,'Calc_Mix'!$X$36=0,COUNTIFS(Esc_Turno,'Calc_Mix'!$C$36,Esc_Circ,$B146)+COUNTIFS(Esc_Turno,'Calc_Mix'!$C$36,Esc_Instr,$B146)&gt;0),"",IF(SUMPRODUCT('Calc_Mix'!$D$36:$W$36,'Matriz_Habilidades'!$D146:$W146)=0,"",SUMPRODUCT('Calc_Mix'!$D$36:$W$36,'Matriz_Habilidades'!$D146:$W146)/'Calc_Mix'!$X$36+ROW()*0.000001))</f>
        <v/>
      </c>
      <c r="AN146" s="34">
        <f>IF(OR($B146="",$C146&lt;&gt;"Ativo",$D146&lt;&gt;'Calc_Mix'!$C$37,'Calc_Mix'!$X$37=0,COUNTIFS(Esc_Turno,'Calc_Mix'!$C$37,Esc_Circ,$B146)+COUNTIFS(Esc_Turno,'Calc_Mix'!$C$37,Esc_Instr,$B146)&gt;0),"",IF(SUMPRODUCT('Calc_Mix'!$D$37:$W$37,'Matriz_Habilidades'!$D146:$W146)=0,"",SUMPRODUCT('Calc_Mix'!$D$37:$W$37,'Matriz_Habilidades'!$D146:$W146)/'Calc_Mix'!$X$37+ROW()*0.000001))</f>
        <v/>
      </c>
    </row>
    <row r="147">
      <c r="A147" s="27">
        <f>IF('Matriz_Habilidades'!A147="","",'Matriz_Habilidades'!A147)</f>
        <v/>
      </c>
      <c r="B147" s="28">
        <f>IF('Matriz_Habilidades'!B147="","",'Matriz_Habilidades'!B147)</f>
        <v/>
      </c>
      <c r="C147" s="27">
        <f>IF($A147="","",IFERROR(INDEX(Equipe_Status,MATCH($B147,Equipe_Nome,0)),"?"))</f>
        <v/>
      </c>
      <c r="D147" s="27">
        <f>IF($A147="","",IFERROR(INDEX(Equipe_Turno,MATCH($B147,Equipe_Nome,0)),"?"))</f>
        <v/>
      </c>
      <c r="E147" s="34">
        <f>IF(OR($B147="",$C147&lt;&gt;"Ativo",$D147&lt;&gt;'Calc_Mix'!$C$2,'Calc_Mix'!$X$2=0,COUNTIFS(Esc_Turno,'Calc_Mix'!$C$2,Esc_Circ,$B147)+COUNTIFS(Esc_Turno,'Calc_Mix'!$C$2,Esc_Instr,$B147)&gt;0),"",IF(SUMPRODUCT('Calc_Mix'!$D$2:$W$2,'Matriz_Habilidades'!$D147:$W147)=0,"",SUMPRODUCT('Calc_Mix'!$D$2:$W$2,'Matriz_Habilidades'!$D147:$W147)/'Calc_Mix'!$X$2+ROW()*0.000001))</f>
        <v/>
      </c>
      <c r="F147" s="34">
        <f>IF(OR($B147="",$C147&lt;&gt;"Ativo",$D147&lt;&gt;'Calc_Mix'!$C$3,'Calc_Mix'!$X$3=0,COUNTIFS(Esc_Turno,'Calc_Mix'!$C$3,Esc_Circ,$B147)+COUNTIFS(Esc_Turno,'Calc_Mix'!$C$3,Esc_Instr,$B147)&gt;0),"",IF(SUMPRODUCT('Calc_Mix'!$D$3:$W$3,'Matriz_Habilidades'!$D147:$W147)=0,"",SUMPRODUCT('Calc_Mix'!$D$3:$W$3,'Matriz_Habilidades'!$D147:$W147)/'Calc_Mix'!$X$3+ROW()*0.000001))</f>
        <v/>
      </c>
      <c r="G147" s="34">
        <f>IF(OR($B147="",$C147&lt;&gt;"Ativo",$D147&lt;&gt;'Calc_Mix'!$C$4,'Calc_Mix'!$X$4=0,COUNTIFS(Esc_Turno,'Calc_Mix'!$C$4,Esc_Circ,$B147)+COUNTIFS(Esc_Turno,'Calc_Mix'!$C$4,Esc_Instr,$B147)&gt;0),"",IF(SUMPRODUCT('Calc_Mix'!$D$4:$W$4,'Matriz_Habilidades'!$D147:$W147)=0,"",SUMPRODUCT('Calc_Mix'!$D$4:$W$4,'Matriz_Habilidades'!$D147:$W147)/'Calc_Mix'!$X$4+ROW()*0.000001))</f>
        <v/>
      </c>
      <c r="H147" s="34">
        <f>IF(OR($B147="",$C147&lt;&gt;"Ativo",$D147&lt;&gt;'Calc_Mix'!$C$5,'Calc_Mix'!$X$5=0,COUNTIFS(Esc_Turno,'Calc_Mix'!$C$5,Esc_Circ,$B147)+COUNTIFS(Esc_Turno,'Calc_Mix'!$C$5,Esc_Instr,$B147)&gt;0),"",IF(SUMPRODUCT('Calc_Mix'!$D$5:$W$5,'Matriz_Habilidades'!$D147:$W147)=0,"",SUMPRODUCT('Calc_Mix'!$D$5:$W$5,'Matriz_Habilidades'!$D147:$W147)/'Calc_Mix'!$X$5+ROW()*0.000001))</f>
        <v/>
      </c>
      <c r="I147" s="34">
        <f>IF(OR($B147="",$C147&lt;&gt;"Ativo",$D147&lt;&gt;'Calc_Mix'!$C$6,'Calc_Mix'!$X$6=0,COUNTIFS(Esc_Turno,'Calc_Mix'!$C$6,Esc_Circ,$B147)+COUNTIFS(Esc_Turno,'Calc_Mix'!$C$6,Esc_Instr,$B147)&gt;0),"",IF(SUMPRODUCT('Calc_Mix'!$D$6:$W$6,'Matriz_Habilidades'!$D147:$W147)=0,"",SUMPRODUCT('Calc_Mix'!$D$6:$W$6,'Matriz_Habilidades'!$D147:$W147)/'Calc_Mix'!$X$6+ROW()*0.000001))</f>
        <v/>
      </c>
      <c r="J147" s="34">
        <f>IF(OR($B147="",$C147&lt;&gt;"Ativo",$D147&lt;&gt;'Calc_Mix'!$C$7,'Calc_Mix'!$X$7=0,COUNTIFS(Esc_Turno,'Calc_Mix'!$C$7,Esc_Circ,$B147)+COUNTIFS(Esc_Turno,'Calc_Mix'!$C$7,Esc_Instr,$B147)&gt;0),"",IF(SUMPRODUCT('Calc_Mix'!$D$7:$W$7,'Matriz_Habilidades'!$D147:$W147)=0,"",SUMPRODUCT('Calc_Mix'!$D$7:$W$7,'Matriz_Habilidades'!$D147:$W147)/'Calc_Mix'!$X$7+ROW()*0.000001))</f>
        <v/>
      </c>
      <c r="K147" s="34">
        <f>IF(OR($B147="",$C147&lt;&gt;"Ativo",$D147&lt;&gt;'Calc_Mix'!$C$8,'Calc_Mix'!$X$8=0,COUNTIFS(Esc_Turno,'Calc_Mix'!$C$8,Esc_Circ,$B147)+COUNTIFS(Esc_Turno,'Calc_Mix'!$C$8,Esc_Instr,$B147)&gt;0),"",IF(SUMPRODUCT('Calc_Mix'!$D$8:$W$8,'Matriz_Habilidades'!$D147:$W147)=0,"",SUMPRODUCT('Calc_Mix'!$D$8:$W$8,'Matriz_Habilidades'!$D147:$W147)/'Calc_Mix'!$X$8+ROW()*0.000001))</f>
        <v/>
      </c>
      <c r="L147" s="34">
        <f>IF(OR($B147="",$C147&lt;&gt;"Ativo",$D147&lt;&gt;'Calc_Mix'!$C$9,'Calc_Mix'!$X$9=0,COUNTIFS(Esc_Turno,'Calc_Mix'!$C$9,Esc_Circ,$B147)+COUNTIFS(Esc_Turno,'Calc_Mix'!$C$9,Esc_Instr,$B147)&gt;0),"",IF(SUMPRODUCT('Calc_Mix'!$D$9:$W$9,'Matriz_Habilidades'!$D147:$W147)=0,"",SUMPRODUCT('Calc_Mix'!$D$9:$W$9,'Matriz_Habilidades'!$D147:$W147)/'Calc_Mix'!$X$9+ROW()*0.000001))</f>
        <v/>
      </c>
      <c r="M147" s="34">
        <f>IF(OR($B147="",$C147&lt;&gt;"Ativo",$D147&lt;&gt;'Calc_Mix'!$C$10,'Calc_Mix'!$X$10=0,COUNTIFS(Esc_Turno,'Calc_Mix'!$C$10,Esc_Circ,$B147)+COUNTIFS(Esc_Turno,'Calc_Mix'!$C$10,Esc_Instr,$B147)&gt;0),"",IF(SUMPRODUCT('Calc_Mix'!$D$10:$W$10,'Matriz_Habilidades'!$D147:$W147)=0,"",SUMPRODUCT('Calc_Mix'!$D$10:$W$10,'Matriz_Habilidades'!$D147:$W147)/'Calc_Mix'!$X$10+ROW()*0.000001))</f>
        <v/>
      </c>
      <c r="N147" s="34">
        <f>IF(OR($B147="",$C147&lt;&gt;"Ativo",$D147&lt;&gt;'Calc_Mix'!$C$11,'Calc_Mix'!$X$11=0,COUNTIFS(Esc_Turno,'Calc_Mix'!$C$11,Esc_Circ,$B147)+COUNTIFS(Esc_Turno,'Calc_Mix'!$C$11,Esc_Instr,$B147)&gt;0),"",IF(SUMPRODUCT('Calc_Mix'!$D$11:$W$11,'Matriz_Habilidades'!$D147:$W147)=0,"",SUMPRODUCT('Calc_Mix'!$D$11:$W$11,'Matriz_Habilidades'!$D147:$W147)/'Calc_Mix'!$X$11+ROW()*0.000001))</f>
        <v/>
      </c>
      <c r="O147" s="34">
        <f>IF(OR($B147="",$C147&lt;&gt;"Ativo",$D147&lt;&gt;'Calc_Mix'!$C$12,'Calc_Mix'!$X$12=0,COUNTIFS(Esc_Turno,'Calc_Mix'!$C$12,Esc_Circ,$B147)+COUNTIFS(Esc_Turno,'Calc_Mix'!$C$12,Esc_Instr,$B147)&gt;0),"",IF(SUMPRODUCT('Calc_Mix'!$D$12:$W$12,'Matriz_Habilidades'!$D147:$W147)=0,"",SUMPRODUCT('Calc_Mix'!$D$12:$W$12,'Matriz_Habilidades'!$D147:$W147)/'Calc_Mix'!$X$12+ROW()*0.000001))</f>
        <v/>
      </c>
      <c r="P147" s="34">
        <f>IF(OR($B147="",$C147&lt;&gt;"Ativo",$D147&lt;&gt;'Calc_Mix'!$C$13,'Calc_Mix'!$X$13=0,COUNTIFS(Esc_Turno,'Calc_Mix'!$C$13,Esc_Circ,$B147)+COUNTIFS(Esc_Turno,'Calc_Mix'!$C$13,Esc_Instr,$B147)&gt;0),"",IF(SUMPRODUCT('Calc_Mix'!$D$13:$W$13,'Matriz_Habilidades'!$D147:$W147)=0,"",SUMPRODUCT('Calc_Mix'!$D$13:$W$13,'Matriz_Habilidades'!$D147:$W147)/'Calc_Mix'!$X$13+ROW()*0.000001))</f>
        <v/>
      </c>
      <c r="Q147" s="34">
        <f>IF(OR($B147="",$C147&lt;&gt;"Ativo",$D147&lt;&gt;'Calc_Mix'!$C$14,'Calc_Mix'!$X$14=0,COUNTIFS(Esc_Turno,'Calc_Mix'!$C$14,Esc_Circ,$B147)+COUNTIFS(Esc_Turno,'Calc_Mix'!$C$14,Esc_Instr,$B147)&gt;0),"",IF(SUMPRODUCT('Calc_Mix'!$D$14:$W$14,'Matriz_Habilidades'!$D147:$W147)=0,"",SUMPRODUCT('Calc_Mix'!$D$14:$W$14,'Matriz_Habilidades'!$D147:$W147)/'Calc_Mix'!$X$14+ROW()*0.000001))</f>
        <v/>
      </c>
      <c r="R147" s="34">
        <f>IF(OR($B147="",$C147&lt;&gt;"Ativo",$D147&lt;&gt;'Calc_Mix'!$C$15,'Calc_Mix'!$X$15=0,COUNTIFS(Esc_Turno,'Calc_Mix'!$C$15,Esc_Circ,$B147)+COUNTIFS(Esc_Turno,'Calc_Mix'!$C$15,Esc_Instr,$B147)&gt;0),"",IF(SUMPRODUCT('Calc_Mix'!$D$15:$W$15,'Matriz_Habilidades'!$D147:$W147)=0,"",SUMPRODUCT('Calc_Mix'!$D$15:$W$15,'Matriz_Habilidades'!$D147:$W147)/'Calc_Mix'!$X$15+ROW()*0.000001))</f>
        <v/>
      </c>
      <c r="S147" s="34">
        <f>IF(OR($B147="",$C147&lt;&gt;"Ativo",$D147&lt;&gt;'Calc_Mix'!$C$16,'Calc_Mix'!$X$16=0,COUNTIFS(Esc_Turno,'Calc_Mix'!$C$16,Esc_Circ,$B147)+COUNTIFS(Esc_Turno,'Calc_Mix'!$C$16,Esc_Instr,$B147)&gt;0),"",IF(SUMPRODUCT('Calc_Mix'!$D$16:$W$16,'Matriz_Habilidades'!$D147:$W147)=0,"",SUMPRODUCT('Calc_Mix'!$D$16:$W$16,'Matriz_Habilidades'!$D147:$W147)/'Calc_Mix'!$X$16+ROW()*0.000001))</f>
        <v/>
      </c>
      <c r="T147" s="34">
        <f>IF(OR($B147="",$C147&lt;&gt;"Ativo",$D147&lt;&gt;'Calc_Mix'!$C$17,'Calc_Mix'!$X$17=0,COUNTIFS(Esc_Turno,'Calc_Mix'!$C$17,Esc_Circ,$B147)+COUNTIFS(Esc_Turno,'Calc_Mix'!$C$17,Esc_Instr,$B147)&gt;0),"",IF(SUMPRODUCT('Calc_Mix'!$D$17:$W$17,'Matriz_Habilidades'!$D147:$W147)=0,"",SUMPRODUCT('Calc_Mix'!$D$17:$W$17,'Matriz_Habilidades'!$D147:$W147)/'Calc_Mix'!$X$17+ROW()*0.000001))</f>
        <v/>
      </c>
      <c r="U147" s="34">
        <f>IF(OR($B147="",$C147&lt;&gt;"Ativo",$D147&lt;&gt;'Calc_Mix'!$C$18,'Calc_Mix'!$X$18=0,COUNTIFS(Esc_Turno,'Calc_Mix'!$C$18,Esc_Circ,$B147)+COUNTIFS(Esc_Turno,'Calc_Mix'!$C$18,Esc_Instr,$B147)&gt;0),"",IF(SUMPRODUCT('Calc_Mix'!$D$18:$W$18,'Matriz_Habilidades'!$D147:$W147)=0,"",SUMPRODUCT('Calc_Mix'!$D$18:$W$18,'Matriz_Habilidades'!$D147:$W147)/'Calc_Mix'!$X$18+ROW()*0.000001))</f>
        <v/>
      </c>
      <c r="V147" s="34">
        <f>IF(OR($B147="",$C147&lt;&gt;"Ativo",$D147&lt;&gt;'Calc_Mix'!$C$19,'Calc_Mix'!$X$19=0,COUNTIFS(Esc_Turno,'Calc_Mix'!$C$19,Esc_Circ,$B147)+COUNTIFS(Esc_Turno,'Calc_Mix'!$C$19,Esc_Instr,$B147)&gt;0),"",IF(SUMPRODUCT('Calc_Mix'!$D$19:$W$19,'Matriz_Habilidades'!$D147:$W147)=0,"",SUMPRODUCT('Calc_Mix'!$D$19:$W$19,'Matriz_Habilidades'!$D147:$W147)/'Calc_Mix'!$X$19+ROW()*0.000001))</f>
        <v/>
      </c>
      <c r="W147" s="34">
        <f>IF(OR($B147="",$C147&lt;&gt;"Ativo",$D147&lt;&gt;'Calc_Mix'!$C$20,'Calc_Mix'!$X$20=0,COUNTIFS(Esc_Turno,'Calc_Mix'!$C$20,Esc_Circ,$B147)+COUNTIFS(Esc_Turno,'Calc_Mix'!$C$20,Esc_Instr,$B147)&gt;0),"",IF(SUMPRODUCT('Calc_Mix'!$D$20:$W$20,'Matriz_Habilidades'!$D147:$W147)=0,"",SUMPRODUCT('Calc_Mix'!$D$20:$W$20,'Matriz_Habilidades'!$D147:$W147)/'Calc_Mix'!$X$20+ROW()*0.000001))</f>
        <v/>
      </c>
      <c r="X147" s="34">
        <f>IF(OR($B147="",$C147&lt;&gt;"Ativo",$D147&lt;&gt;'Calc_Mix'!$C$21,'Calc_Mix'!$X$21=0,COUNTIFS(Esc_Turno,'Calc_Mix'!$C$21,Esc_Circ,$B147)+COUNTIFS(Esc_Turno,'Calc_Mix'!$C$21,Esc_Instr,$B147)&gt;0),"",IF(SUMPRODUCT('Calc_Mix'!$D$21:$W$21,'Matriz_Habilidades'!$D147:$W147)=0,"",SUMPRODUCT('Calc_Mix'!$D$21:$W$21,'Matriz_Habilidades'!$D147:$W147)/'Calc_Mix'!$X$21+ROW()*0.000001))</f>
        <v/>
      </c>
      <c r="Y147" s="34">
        <f>IF(OR($B147="",$C147&lt;&gt;"Ativo",$D147&lt;&gt;'Calc_Mix'!$C$22,'Calc_Mix'!$X$22=0,COUNTIFS(Esc_Turno,'Calc_Mix'!$C$22,Esc_Circ,$B147)+COUNTIFS(Esc_Turno,'Calc_Mix'!$C$22,Esc_Instr,$B147)&gt;0),"",IF(SUMPRODUCT('Calc_Mix'!$D$22:$W$22,'Matriz_Habilidades'!$D147:$W147)=0,"",SUMPRODUCT('Calc_Mix'!$D$22:$W$22,'Matriz_Habilidades'!$D147:$W147)/'Calc_Mix'!$X$22+ROW()*0.000001))</f>
        <v/>
      </c>
      <c r="Z147" s="34">
        <f>IF(OR($B147="",$C147&lt;&gt;"Ativo",$D147&lt;&gt;'Calc_Mix'!$C$23,'Calc_Mix'!$X$23=0,COUNTIFS(Esc_Turno,'Calc_Mix'!$C$23,Esc_Circ,$B147)+COUNTIFS(Esc_Turno,'Calc_Mix'!$C$23,Esc_Instr,$B147)&gt;0),"",IF(SUMPRODUCT('Calc_Mix'!$D$23:$W$23,'Matriz_Habilidades'!$D147:$W147)=0,"",SUMPRODUCT('Calc_Mix'!$D$23:$W$23,'Matriz_Habilidades'!$D147:$W147)/'Calc_Mix'!$X$23+ROW()*0.000001))</f>
        <v/>
      </c>
      <c r="AA147" s="34">
        <f>IF(OR($B147="",$C147&lt;&gt;"Ativo",$D147&lt;&gt;'Calc_Mix'!$C$24,'Calc_Mix'!$X$24=0,COUNTIFS(Esc_Turno,'Calc_Mix'!$C$24,Esc_Circ,$B147)+COUNTIFS(Esc_Turno,'Calc_Mix'!$C$24,Esc_Instr,$B147)&gt;0),"",IF(SUMPRODUCT('Calc_Mix'!$D$24:$W$24,'Matriz_Habilidades'!$D147:$W147)=0,"",SUMPRODUCT('Calc_Mix'!$D$24:$W$24,'Matriz_Habilidades'!$D147:$W147)/'Calc_Mix'!$X$24+ROW()*0.000001))</f>
        <v/>
      </c>
      <c r="AB147" s="34">
        <f>IF(OR($B147="",$C147&lt;&gt;"Ativo",$D147&lt;&gt;'Calc_Mix'!$C$25,'Calc_Mix'!$X$25=0,COUNTIFS(Esc_Turno,'Calc_Mix'!$C$25,Esc_Circ,$B147)+COUNTIFS(Esc_Turno,'Calc_Mix'!$C$25,Esc_Instr,$B147)&gt;0),"",IF(SUMPRODUCT('Calc_Mix'!$D$25:$W$25,'Matriz_Habilidades'!$D147:$W147)=0,"",SUMPRODUCT('Calc_Mix'!$D$25:$W$25,'Matriz_Habilidades'!$D147:$W147)/'Calc_Mix'!$X$25+ROW()*0.000001))</f>
        <v/>
      </c>
      <c r="AC147" s="34">
        <f>IF(OR($B147="",$C147&lt;&gt;"Ativo",$D147&lt;&gt;'Calc_Mix'!$C$26,'Calc_Mix'!$X$26=0,COUNTIFS(Esc_Turno,'Calc_Mix'!$C$26,Esc_Circ,$B147)+COUNTIFS(Esc_Turno,'Calc_Mix'!$C$26,Esc_Instr,$B147)&gt;0),"",IF(SUMPRODUCT('Calc_Mix'!$D$26:$W$26,'Matriz_Habilidades'!$D147:$W147)=0,"",SUMPRODUCT('Calc_Mix'!$D$26:$W$26,'Matriz_Habilidades'!$D147:$W147)/'Calc_Mix'!$X$26+ROW()*0.000001))</f>
        <v/>
      </c>
      <c r="AD147" s="34">
        <f>IF(OR($B147="",$C147&lt;&gt;"Ativo",$D147&lt;&gt;'Calc_Mix'!$C$27,'Calc_Mix'!$X$27=0,COUNTIFS(Esc_Turno,'Calc_Mix'!$C$27,Esc_Circ,$B147)+COUNTIFS(Esc_Turno,'Calc_Mix'!$C$27,Esc_Instr,$B147)&gt;0),"",IF(SUMPRODUCT('Calc_Mix'!$D$27:$W$27,'Matriz_Habilidades'!$D147:$W147)=0,"",SUMPRODUCT('Calc_Mix'!$D$27:$W$27,'Matriz_Habilidades'!$D147:$W147)/'Calc_Mix'!$X$27+ROW()*0.000001))</f>
        <v/>
      </c>
      <c r="AE147" s="34">
        <f>IF(OR($B147="",$C147&lt;&gt;"Ativo",$D147&lt;&gt;'Calc_Mix'!$C$28,'Calc_Mix'!$X$28=0,COUNTIFS(Esc_Turno,'Calc_Mix'!$C$28,Esc_Circ,$B147)+COUNTIFS(Esc_Turno,'Calc_Mix'!$C$28,Esc_Instr,$B147)&gt;0),"",IF(SUMPRODUCT('Calc_Mix'!$D$28:$W$28,'Matriz_Habilidades'!$D147:$W147)=0,"",SUMPRODUCT('Calc_Mix'!$D$28:$W$28,'Matriz_Habilidades'!$D147:$W147)/'Calc_Mix'!$X$28+ROW()*0.000001))</f>
        <v/>
      </c>
      <c r="AF147" s="34">
        <f>IF(OR($B147="",$C147&lt;&gt;"Ativo",$D147&lt;&gt;'Calc_Mix'!$C$29,'Calc_Mix'!$X$29=0,COUNTIFS(Esc_Turno,'Calc_Mix'!$C$29,Esc_Circ,$B147)+COUNTIFS(Esc_Turno,'Calc_Mix'!$C$29,Esc_Instr,$B147)&gt;0),"",IF(SUMPRODUCT('Calc_Mix'!$D$29:$W$29,'Matriz_Habilidades'!$D147:$W147)=0,"",SUMPRODUCT('Calc_Mix'!$D$29:$W$29,'Matriz_Habilidades'!$D147:$W147)/'Calc_Mix'!$X$29+ROW()*0.000001))</f>
        <v/>
      </c>
      <c r="AG147" s="34">
        <f>IF(OR($B147="",$C147&lt;&gt;"Ativo",$D147&lt;&gt;'Calc_Mix'!$C$30,'Calc_Mix'!$X$30=0,COUNTIFS(Esc_Turno,'Calc_Mix'!$C$30,Esc_Circ,$B147)+COUNTIFS(Esc_Turno,'Calc_Mix'!$C$30,Esc_Instr,$B147)&gt;0),"",IF(SUMPRODUCT('Calc_Mix'!$D$30:$W$30,'Matriz_Habilidades'!$D147:$W147)=0,"",SUMPRODUCT('Calc_Mix'!$D$30:$W$30,'Matriz_Habilidades'!$D147:$W147)/'Calc_Mix'!$X$30+ROW()*0.000001))</f>
        <v/>
      </c>
      <c r="AH147" s="34">
        <f>IF(OR($B147="",$C147&lt;&gt;"Ativo",$D147&lt;&gt;'Calc_Mix'!$C$31,'Calc_Mix'!$X$31=0,COUNTIFS(Esc_Turno,'Calc_Mix'!$C$31,Esc_Circ,$B147)+COUNTIFS(Esc_Turno,'Calc_Mix'!$C$31,Esc_Instr,$B147)&gt;0),"",IF(SUMPRODUCT('Calc_Mix'!$D$31:$W$31,'Matriz_Habilidades'!$D147:$W147)=0,"",SUMPRODUCT('Calc_Mix'!$D$31:$W$31,'Matriz_Habilidades'!$D147:$W147)/'Calc_Mix'!$X$31+ROW()*0.000001))</f>
        <v/>
      </c>
      <c r="AI147" s="34">
        <f>IF(OR($B147="",$C147&lt;&gt;"Ativo",$D147&lt;&gt;'Calc_Mix'!$C$32,'Calc_Mix'!$X$32=0,COUNTIFS(Esc_Turno,'Calc_Mix'!$C$32,Esc_Circ,$B147)+COUNTIFS(Esc_Turno,'Calc_Mix'!$C$32,Esc_Instr,$B147)&gt;0),"",IF(SUMPRODUCT('Calc_Mix'!$D$32:$W$32,'Matriz_Habilidades'!$D147:$W147)=0,"",SUMPRODUCT('Calc_Mix'!$D$32:$W$32,'Matriz_Habilidades'!$D147:$W147)/'Calc_Mix'!$X$32+ROW()*0.000001))</f>
        <v/>
      </c>
      <c r="AJ147" s="34">
        <f>IF(OR($B147="",$C147&lt;&gt;"Ativo",$D147&lt;&gt;'Calc_Mix'!$C$33,'Calc_Mix'!$X$33=0,COUNTIFS(Esc_Turno,'Calc_Mix'!$C$33,Esc_Circ,$B147)+COUNTIFS(Esc_Turno,'Calc_Mix'!$C$33,Esc_Instr,$B147)&gt;0),"",IF(SUMPRODUCT('Calc_Mix'!$D$33:$W$33,'Matriz_Habilidades'!$D147:$W147)=0,"",SUMPRODUCT('Calc_Mix'!$D$33:$W$33,'Matriz_Habilidades'!$D147:$W147)/'Calc_Mix'!$X$33+ROW()*0.000001))</f>
        <v/>
      </c>
      <c r="AK147" s="34">
        <f>IF(OR($B147="",$C147&lt;&gt;"Ativo",$D147&lt;&gt;'Calc_Mix'!$C$34,'Calc_Mix'!$X$34=0,COUNTIFS(Esc_Turno,'Calc_Mix'!$C$34,Esc_Circ,$B147)+COUNTIFS(Esc_Turno,'Calc_Mix'!$C$34,Esc_Instr,$B147)&gt;0),"",IF(SUMPRODUCT('Calc_Mix'!$D$34:$W$34,'Matriz_Habilidades'!$D147:$W147)=0,"",SUMPRODUCT('Calc_Mix'!$D$34:$W$34,'Matriz_Habilidades'!$D147:$W147)/'Calc_Mix'!$X$34+ROW()*0.000001))</f>
        <v/>
      </c>
      <c r="AL147" s="34">
        <f>IF(OR($B147="",$C147&lt;&gt;"Ativo",$D147&lt;&gt;'Calc_Mix'!$C$35,'Calc_Mix'!$X$35=0,COUNTIFS(Esc_Turno,'Calc_Mix'!$C$35,Esc_Circ,$B147)+COUNTIFS(Esc_Turno,'Calc_Mix'!$C$35,Esc_Instr,$B147)&gt;0),"",IF(SUMPRODUCT('Calc_Mix'!$D$35:$W$35,'Matriz_Habilidades'!$D147:$W147)=0,"",SUMPRODUCT('Calc_Mix'!$D$35:$W$35,'Matriz_Habilidades'!$D147:$W147)/'Calc_Mix'!$X$35+ROW()*0.000001))</f>
        <v/>
      </c>
      <c r="AM147" s="34">
        <f>IF(OR($B147="",$C147&lt;&gt;"Ativo",$D147&lt;&gt;'Calc_Mix'!$C$36,'Calc_Mix'!$X$36=0,COUNTIFS(Esc_Turno,'Calc_Mix'!$C$36,Esc_Circ,$B147)+COUNTIFS(Esc_Turno,'Calc_Mix'!$C$36,Esc_Instr,$B147)&gt;0),"",IF(SUMPRODUCT('Calc_Mix'!$D$36:$W$36,'Matriz_Habilidades'!$D147:$W147)=0,"",SUMPRODUCT('Calc_Mix'!$D$36:$W$36,'Matriz_Habilidades'!$D147:$W147)/'Calc_Mix'!$X$36+ROW()*0.000001))</f>
        <v/>
      </c>
      <c r="AN147" s="34">
        <f>IF(OR($B147="",$C147&lt;&gt;"Ativo",$D147&lt;&gt;'Calc_Mix'!$C$37,'Calc_Mix'!$X$37=0,COUNTIFS(Esc_Turno,'Calc_Mix'!$C$37,Esc_Circ,$B147)+COUNTIFS(Esc_Turno,'Calc_Mix'!$C$37,Esc_Instr,$B147)&gt;0),"",IF(SUMPRODUCT('Calc_Mix'!$D$37:$W$37,'Matriz_Habilidades'!$D147:$W147)=0,"",SUMPRODUCT('Calc_Mix'!$D$37:$W$37,'Matriz_Habilidades'!$D147:$W147)/'Calc_Mix'!$X$37+ROW()*0.000001))</f>
        <v/>
      </c>
    </row>
    <row r="148">
      <c r="A148" s="27">
        <f>IF('Matriz_Habilidades'!A148="","",'Matriz_Habilidades'!A148)</f>
        <v/>
      </c>
      <c r="B148" s="28">
        <f>IF('Matriz_Habilidades'!B148="","",'Matriz_Habilidades'!B148)</f>
        <v/>
      </c>
      <c r="C148" s="27">
        <f>IF($A148="","",IFERROR(INDEX(Equipe_Status,MATCH($B148,Equipe_Nome,0)),"?"))</f>
        <v/>
      </c>
      <c r="D148" s="27">
        <f>IF($A148="","",IFERROR(INDEX(Equipe_Turno,MATCH($B148,Equipe_Nome,0)),"?"))</f>
        <v/>
      </c>
      <c r="E148" s="34">
        <f>IF(OR($B148="",$C148&lt;&gt;"Ativo",$D148&lt;&gt;'Calc_Mix'!$C$2,'Calc_Mix'!$X$2=0,COUNTIFS(Esc_Turno,'Calc_Mix'!$C$2,Esc_Circ,$B148)+COUNTIFS(Esc_Turno,'Calc_Mix'!$C$2,Esc_Instr,$B148)&gt;0),"",IF(SUMPRODUCT('Calc_Mix'!$D$2:$W$2,'Matriz_Habilidades'!$D148:$W148)=0,"",SUMPRODUCT('Calc_Mix'!$D$2:$W$2,'Matriz_Habilidades'!$D148:$W148)/'Calc_Mix'!$X$2+ROW()*0.000001))</f>
        <v/>
      </c>
      <c r="F148" s="34">
        <f>IF(OR($B148="",$C148&lt;&gt;"Ativo",$D148&lt;&gt;'Calc_Mix'!$C$3,'Calc_Mix'!$X$3=0,COUNTIFS(Esc_Turno,'Calc_Mix'!$C$3,Esc_Circ,$B148)+COUNTIFS(Esc_Turno,'Calc_Mix'!$C$3,Esc_Instr,$B148)&gt;0),"",IF(SUMPRODUCT('Calc_Mix'!$D$3:$W$3,'Matriz_Habilidades'!$D148:$W148)=0,"",SUMPRODUCT('Calc_Mix'!$D$3:$W$3,'Matriz_Habilidades'!$D148:$W148)/'Calc_Mix'!$X$3+ROW()*0.000001))</f>
        <v/>
      </c>
      <c r="G148" s="34">
        <f>IF(OR($B148="",$C148&lt;&gt;"Ativo",$D148&lt;&gt;'Calc_Mix'!$C$4,'Calc_Mix'!$X$4=0,COUNTIFS(Esc_Turno,'Calc_Mix'!$C$4,Esc_Circ,$B148)+COUNTIFS(Esc_Turno,'Calc_Mix'!$C$4,Esc_Instr,$B148)&gt;0),"",IF(SUMPRODUCT('Calc_Mix'!$D$4:$W$4,'Matriz_Habilidades'!$D148:$W148)=0,"",SUMPRODUCT('Calc_Mix'!$D$4:$W$4,'Matriz_Habilidades'!$D148:$W148)/'Calc_Mix'!$X$4+ROW()*0.000001))</f>
        <v/>
      </c>
      <c r="H148" s="34">
        <f>IF(OR($B148="",$C148&lt;&gt;"Ativo",$D148&lt;&gt;'Calc_Mix'!$C$5,'Calc_Mix'!$X$5=0,COUNTIFS(Esc_Turno,'Calc_Mix'!$C$5,Esc_Circ,$B148)+COUNTIFS(Esc_Turno,'Calc_Mix'!$C$5,Esc_Instr,$B148)&gt;0),"",IF(SUMPRODUCT('Calc_Mix'!$D$5:$W$5,'Matriz_Habilidades'!$D148:$W148)=0,"",SUMPRODUCT('Calc_Mix'!$D$5:$W$5,'Matriz_Habilidades'!$D148:$W148)/'Calc_Mix'!$X$5+ROW()*0.000001))</f>
        <v/>
      </c>
      <c r="I148" s="34">
        <f>IF(OR($B148="",$C148&lt;&gt;"Ativo",$D148&lt;&gt;'Calc_Mix'!$C$6,'Calc_Mix'!$X$6=0,COUNTIFS(Esc_Turno,'Calc_Mix'!$C$6,Esc_Circ,$B148)+COUNTIFS(Esc_Turno,'Calc_Mix'!$C$6,Esc_Instr,$B148)&gt;0),"",IF(SUMPRODUCT('Calc_Mix'!$D$6:$W$6,'Matriz_Habilidades'!$D148:$W148)=0,"",SUMPRODUCT('Calc_Mix'!$D$6:$W$6,'Matriz_Habilidades'!$D148:$W148)/'Calc_Mix'!$X$6+ROW()*0.000001))</f>
        <v/>
      </c>
      <c r="J148" s="34">
        <f>IF(OR($B148="",$C148&lt;&gt;"Ativo",$D148&lt;&gt;'Calc_Mix'!$C$7,'Calc_Mix'!$X$7=0,COUNTIFS(Esc_Turno,'Calc_Mix'!$C$7,Esc_Circ,$B148)+COUNTIFS(Esc_Turno,'Calc_Mix'!$C$7,Esc_Instr,$B148)&gt;0),"",IF(SUMPRODUCT('Calc_Mix'!$D$7:$W$7,'Matriz_Habilidades'!$D148:$W148)=0,"",SUMPRODUCT('Calc_Mix'!$D$7:$W$7,'Matriz_Habilidades'!$D148:$W148)/'Calc_Mix'!$X$7+ROW()*0.000001))</f>
        <v/>
      </c>
      <c r="K148" s="34">
        <f>IF(OR($B148="",$C148&lt;&gt;"Ativo",$D148&lt;&gt;'Calc_Mix'!$C$8,'Calc_Mix'!$X$8=0,COUNTIFS(Esc_Turno,'Calc_Mix'!$C$8,Esc_Circ,$B148)+COUNTIFS(Esc_Turno,'Calc_Mix'!$C$8,Esc_Instr,$B148)&gt;0),"",IF(SUMPRODUCT('Calc_Mix'!$D$8:$W$8,'Matriz_Habilidades'!$D148:$W148)=0,"",SUMPRODUCT('Calc_Mix'!$D$8:$W$8,'Matriz_Habilidades'!$D148:$W148)/'Calc_Mix'!$X$8+ROW()*0.000001))</f>
        <v/>
      </c>
      <c r="L148" s="34">
        <f>IF(OR($B148="",$C148&lt;&gt;"Ativo",$D148&lt;&gt;'Calc_Mix'!$C$9,'Calc_Mix'!$X$9=0,COUNTIFS(Esc_Turno,'Calc_Mix'!$C$9,Esc_Circ,$B148)+COUNTIFS(Esc_Turno,'Calc_Mix'!$C$9,Esc_Instr,$B148)&gt;0),"",IF(SUMPRODUCT('Calc_Mix'!$D$9:$W$9,'Matriz_Habilidades'!$D148:$W148)=0,"",SUMPRODUCT('Calc_Mix'!$D$9:$W$9,'Matriz_Habilidades'!$D148:$W148)/'Calc_Mix'!$X$9+ROW()*0.000001))</f>
        <v/>
      </c>
      <c r="M148" s="34">
        <f>IF(OR($B148="",$C148&lt;&gt;"Ativo",$D148&lt;&gt;'Calc_Mix'!$C$10,'Calc_Mix'!$X$10=0,COUNTIFS(Esc_Turno,'Calc_Mix'!$C$10,Esc_Circ,$B148)+COUNTIFS(Esc_Turno,'Calc_Mix'!$C$10,Esc_Instr,$B148)&gt;0),"",IF(SUMPRODUCT('Calc_Mix'!$D$10:$W$10,'Matriz_Habilidades'!$D148:$W148)=0,"",SUMPRODUCT('Calc_Mix'!$D$10:$W$10,'Matriz_Habilidades'!$D148:$W148)/'Calc_Mix'!$X$10+ROW()*0.000001))</f>
        <v/>
      </c>
      <c r="N148" s="34">
        <f>IF(OR($B148="",$C148&lt;&gt;"Ativo",$D148&lt;&gt;'Calc_Mix'!$C$11,'Calc_Mix'!$X$11=0,COUNTIFS(Esc_Turno,'Calc_Mix'!$C$11,Esc_Circ,$B148)+COUNTIFS(Esc_Turno,'Calc_Mix'!$C$11,Esc_Instr,$B148)&gt;0),"",IF(SUMPRODUCT('Calc_Mix'!$D$11:$W$11,'Matriz_Habilidades'!$D148:$W148)=0,"",SUMPRODUCT('Calc_Mix'!$D$11:$W$11,'Matriz_Habilidades'!$D148:$W148)/'Calc_Mix'!$X$11+ROW()*0.000001))</f>
        <v/>
      </c>
      <c r="O148" s="34">
        <f>IF(OR($B148="",$C148&lt;&gt;"Ativo",$D148&lt;&gt;'Calc_Mix'!$C$12,'Calc_Mix'!$X$12=0,COUNTIFS(Esc_Turno,'Calc_Mix'!$C$12,Esc_Circ,$B148)+COUNTIFS(Esc_Turno,'Calc_Mix'!$C$12,Esc_Instr,$B148)&gt;0),"",IF(SUMPRODUCT('Calc_Mix'!$D$12:$W$12,'Matriz_Habilidades'!$D148:$W148)=0,"",SUMPRODUCT('Calc_Mix'!$D$12:$W$12,'Matriz_Habilidades'!$D148:$W148)/'Calc_Mix'!$X$12+ROW()*0.000001))</f>
        <v/>
      </c>
      <c r="P148" s="34">
        <f>IF(OR($B148="",$C148&lt;&gt;"Ativo",$D148&lt;&gt;'Calc_Mix'!$C$13,'Calc_Mix'!$X$13=0,COUNTIFS(Esc_Turno,'Calc_Mix'!$C$13,Esc_Circ,$B148)+COUNTIFS(Esc_Turno,'Calc_Mix'!$C$13,Esc_Instr,$B148)&gt;0),"",IF(SUMPRODUCT('Calc_Mix'!$D$13:$W$13,'Matriz_Habilidades'!$D148:$W148)=0,"",SUMPRODUCT('Calc_Mix'!$D$13:$W$13,'Matriz_Habilidades'!$D148:$W148)/'Calc_Mix'!$X$13+ROW()*0.000001))</f>
        <v/>
      </c>
      <c r="Q148" s="34">
        <f>IF(OR($B148="",$C148&lt;&gt;"Ativo",$D148&lt;&gt;'Calc_Mix'!$C$14,'Calc_Mix'!$X$14=0,COUNTIFS(Esc_Turno,'Calc_Mix'!$C$14,Esc_Circ,$B148)+COUNTIFS(Esc_Turno,'Calc_Mix'!$C$14,Esc_Instr,$B148)&gt;0),"",IF(SUMPRODUCT('Calc_Mix'!$D$14:$W$14,'Matriz_Habilidades'!$D148:$W148)=0,"",SUMPRODUCT('Calc_Mix'!$D$14:$W$14,'Matriz_Habilidades'!$D148:$W148)/'Calc_Mix'!$X$14+ROW()*0.000001))</f>
        <v/>
      </c>
      <c r="R148" s="34">
        <f>IF(OR($B148="",$C148&lt;&gt;"Ativo",$D148&lt;&gt;'Calc_Mix'!$C$15,'Calc_Mix'!$X$15=0,COUNTIFS(Esc_Turno,'Calc_Mix'!$C$15,Esc_Circ,$B148)+COUNTIFS(Esc_Turno,'Calc_Mix'!$C$15,Esc_Instr,$B148)&gt;0),"",IF(SUMPRODUCT('Calc_Mix'!$D$15:$W$15,'Matriz_Habilidades'!$D148:$W148)=0,"",SUMPRODUCT('Calc_Mix'!$D$15:$W$15,'Matriz_Habilidades'!$D148:$W148)/'Calc_Mix'!$X$15+ROW()*0.000001))</f>
        <v/>
      </c>
      <c r="S148" s="34">
        <f>IF(OR($B148="",$C148&lt;&gt;"Ativo",$D148&lt;&gt;'Calc_Mix'!$C$16,'Calc_Mix'!$X$16=0,COUNTIFS(Esc_Turno,'Calc_Mix'!$C$16,Esc_Circ,$B148)+COUNTIFS(Esc_Turno,'Calc_Mix'!$C$16,Esc_Instr,$B148)&gt;0),"",IF(SUMPRODUCT('Calc_Mix'!$D$16:$W$16,'Matriz_Habilidades'!$D148:$W148)=0,"",SUMPRODUCT('Calc_Mix'!$D$16:$W$16,'Matriz_Habilidades'!$D148:$W148)/'Calc_Mix'!$X$16+ROW()*0.000001))</f>
        <v/>
      </c>
      <c r="T148" s="34">
        <f>IF(OR($B148="",$C148&lt;&gt;"Ativo",$D148&lt;&gt;'Calc_Mix'!$C$17,'Calc_Mix'!$X$17=0,COUNTIFS(Esc_Turno,'Calc_Mix'!$C$17,Esc_Circ,$B148)+COUNTIFS(Esc_Turno,'Calc_Mix'!$C$17,Esc_Instr,$B148)&gt;0),"",IF(SUMPRODUCT('Calc_Mix'!$D$17:$W$17,'Matriz_Habilidades'!$D148:$W148)=0,"",SUMPRODUCT('Calc_Mix'!$D$17:$W$17,'Matriz_Habilidades'!$D148:$W148)/'Calc_Mix'!$X$17+ROW()*0.000001))</f>
        <v/>
      </c>
      <c r="U148" s="34">
        <f>IF(OR($B148="",$C148&lt;&gt;"Ativo",$D148&lt;&gt;'Calc_Mix'!$C$18,'Calc_Mix'!$X$18=0,COUNTIFS(Esc_Turno,'Calc_Mix'!$C$18,Esc_Circ,$B148)+COUNTIFS(Esc_Turno,'Calc_Mix'!$C$18,Esc_Instr,$B148)&gt;0),"",IF(SUMPRODUCT('Calc_Mix'!$D$18:$W$18,'Matriz_Habilidades'!$D148:$W148)=0,"",SUMPRODUCT('Calc_Mix'!$D$18:$W$18,'Matriz_Habilidades'!$D148:$W148)/'Calc_Mix'!$X$18+ROW()*0.000001))</f>
        <v/>
      </c>
      <c r="V148" s="34">
        <f>IF(OR($B148="",$C148&lt;&gt;"Ativo",$D148&lt;&gt;'Calc_Mix'!$C$19,'Calc_Mix'!$X$19=0,COUNTIFS(Esc_Turno,'Calc_Mix'!$C$19,Esc_Circ,$B148)+COUNTIFS(Esc_Turno,'Calc_Mix'!$C$19,Esc_Instr,$B148)&gt;0),"",IF(SUMPRODUCT('Calc_Mix'!$D$19:$W$19,'Matriz_Habilidades'!$D148:$W148)=0,"",SUMPRODUCT('Calc_Mix'!$D$19:$W$19,'Matriz_Habilidades'!$D148:$W148)/'Calc_Mix'!$X$19+ROW()*0.000001))</f>
        <v/>
      </c>
      <c r="W148" s="34">
        <f>IF(OR($B148="",$C148&lt;&gt;"Ativo",$D148&lt;&gt;'Calc_Mix'!$C$20,'Calc_Mix'!$X$20=0,COUNTIFS(Esc_Turno,'Calc_Mix'!$C$20,Esc_Circ,$B148)+COUNTIFS(Esc_Turno,'Calc_Mix'!$C$20,Esc_Instr,$B148)&gt;0),"",IF(SUMPRODUCT('Calc_Mix'!$D$20:$W$20,'Matriz_Habilidades'!$D148:$W148)=0,"",SUMPRODUCT('Calc_Mix'!$D$20:$W$20,'Matriz_Habilidades'!$D148:$W148)/'Calc_Mix'!$X$20+ROW()*0.000001))</f>
        <v/>
      </c>
      <c r="X148" s="34">
        <f>IF(OR($B148="",$C148&lt;&gt;"Ativo",$D148&lt;&gt;'Calc_Mix'!$C$21,'Calc_Mix'!$X$21=0,COUNTIFS(Esc_Turno,'Calc_Mix'!$C$21,Esc_Circ,$B148)+COUNTIFS(Esc_Turno,'Calc_Mix'!$C$21,Esc_Instr,$B148)&gt;0),"",IF(SUMPRODUCT('Calc_Mix'!$D$21:$W$21,'Matriz_Habilidades'!$D148:$W148)=0,"",SUMPRODUCT('Calc_Mix'!$D$21:$W$21,'Matriz_Habilidades'!$D148:$W148)/'Calc_Mix'!$X$21+ROW()*0.000001))</f>
        <v/>
      </c>
      <c r="Y148" s="34">
        <f>IF(OR($B148="",$C148&lt;&gt;"Ativo",$D148&lt;&gt;'Calc_Mix'!$C$22,'Calc_Mix'!$X$22=0,COUNTIFS(Esc_Turno,'Calc_Mix'!$C$22,Esc_Circ,$B148)+COUNTIFS(Esc_Turno,'Calc_Mix'!$C$22,Esc_Instr,$B148)&gt;0),"",IF(SUMPRODUCT('Calc_Mix'!$D$22:$W$22,'Matriz_Habilidades'!$D148:$W148)=0,"",SUMPRODUCT('Calc_Mix'!$D$22:$W$22,'Matriz_Habilidades'!$D148:$W148)/'Calc_Mix'!$X$22+ROW()*0.000001))</f>
        <v/>
      </c>
      <c r="Z148" s="34">
        <f>IF(OR($B148="",$C148&lt;&gt;"Ativo",$D148&lt;&gt;'Calc_Mix'!$C$23,'Calc_Mix'!$X$23=0,COUNTIFS(Esc_Turno,'Calc_Mix'!$C$23,Esc_Circ,$B148)+COUNTIFS(Esc_Turno,'Calc_Mix'!$C$23,Esc_Instr,$B148)&gt;0),"",IF(SUMPRODUCT('Calc_Mix'!$D$23:$W$23,'Matriz_Habilidades'!$D148:$W148)=0,"",SUMPRODUCT('Calc_Mix'!$D$23:$W$23,'Matriz_Habilidades'!$D148:$W148)/'Calc_Mix'!$X$23+ROW()*0.000001))</f>
        <v/>
      </c>
      <c r="AA148" s="34">
        <f>IF(OR($B148="",$C148&lt;&gt;"Ativo",$D148&lt;&gt;'Calc_Mix'!$C$24,'Calc_Mix'!$X$24=0,COUNTIFS(Esc_Turno,'Calc_Mix'!$C$24,Esc_Circ,$B148)+COUNTIFS(Esc_Turno,'Calc_Mix'!$C$24,Esc_Instr,$B148)&gt;0),"",IF(SUMPRODUCT('Calc_Mix'!$D$24:$W$24,'Matriz_Habilidades'!$D148:$W148)=0,"",SUMPRODUCT('Calc_Mix'!$D$24:$W$24,'Matriz_Habilidades'!$D148:$W148)/'Calc_Mix'!$X$24+ROW()*0.000001))</f>
        <v/>
      </c>
      <c r="AB148" s="34">
        <f>IF(OR($B148="",$C148&lt;&gt;"Ativo",$D148&lt;&gt;'Calc_Mix'!$C$25,'Calc_Mix'!$X$25=0,COUNTIFS(Esc_Turno,'Calc_Mix'!$C$25,Esc_Circ,$B148)+COUNTIFS(Esc_Turno,'Calc_Mix'!$C$25,Esc_Instr,$B148)&gt;0),"",IF(SUMPRODUCT('Calc_Mix'!$D$25:$W$25,'Matriz_Habilidades'!$D148:$W148)=0,"",SUMPRODUCT('Calc_Mix'!$D$25:$W$25,'Matriz_Habilidades'!$D148:$W148)/'Calc_Mix'!$X$25+ROW()*0.000001))</f>
        <v/>
      </c>
      <c r="AC148" s="34">
        <f>IF(OR($B148="",$C148&lt;&gt;"Ativo",$D148&lt;&gt;'Calc_Mix'!$C$26,'Calc_Mix'!$X$26=0,COUNTIFS(Esc_Turno,'Calc_Mix'!$C$26,Esc_Circ,$B148)+COUNTIFS(Esc_Turno,'Calc_Mix'!$C$26,Esc_Instr,$B148)&gt;0),"",IF(SUMPRODUCT('Calc_Mix'!$D$26:$W$26,'Matriz_Habilidades'!$D148:$W148)=0,"",SUMPRODUCT('Calc_Mix'!$D$26:$W$26,'Matriz_Habilidades'!$D148:$W148)/'Calc_Mix'!$X$26+ROW()*0.000001))</f>
        <v/>
      </c>
      <c r="AD148" s="34">
        <f>IF(OR($B148="",$C148&lt;&gt;"Ativo",$D148&lt;&gt;'Calc_Mix'!$C$27,'Calc_Mix'!$X$27=0,COUNTIFS(Esc_Turno,'Calc_Mix'!$C$27,Esc_Circ,$B148)+COUNTIFS(Esc_Turno,'Calc_Mix'!$C$27,Esc_Instr,$B148)&gt;0),"",IF(SUMPRODUCT('Calc_Mix'!$D$27:$W$27,'Matriz_Habilidades'!$D148:$W148)=0,"",SUMPRODUCT('Calc_Mix'!$D$27:$W$27,'Matriz_Habilidades'!$D148:$W148)/'Calc_Mix'!$X$27+ROW()*0.000001))</f>
        <v/>
      </c>
      <c r="AE148" s="34">
        <f>IF(OR($B148="",$C148&lt;&gt;"Ativo",$D148&lt;&gt;'Calc_Mix'!$C$28,'Calc_Mix'!$X$28=0,COUNTIFS(Esc_Turno,'Calc_Mix'!$C$28,Esc_Circ,$B148)+COUNTIFS(Esc_Turno,'Calc_Mix'!$C$28,Esc_Instr,$B148)&gt;0),"",IF(SUMPRODUCT('Calc_Mix'!$D$28:$W$28,'Matriz_Habilidades'!$D148:$W148)=0,"",SUMPRODUCT('Calc_Mix'!$D$28:$W$28,'Matriz_Habilidades'!$D148:$W148)/'Calc_Mix'!$X$28+ROW()*0.000001))</f>
        <v/>
      </c>
      <c r="AF148" s="34">
        <f>IF(OR($B148="",$C148&lt;&gt;"Ativo",$D148&lt;&gt;'Calc_Mix'!$C$29,'Calc_Mix'!$X$29=0,COUNTIFS(Esc_Turno,'Calc_Mix'!$C$29,Esc_Circ,$B148)+COUNTIFS(Esc_Turno,'Calc_Mix'!$C$29,Esc_Instr,$B148)&gt;0),"",IF(SUMPRODUCT('Calc_Mix'!$D$29:$W$29,'Matriz_Habilidades'!$D148:$W148)=0,"",SUMPRODUCT('Calc_Mix'!$D$29:$W$29,'Matriz_Habilidades'!$D148:$W148)/'Calc_Mix'!$X$29+ROW()*0.000001))</f>
        <v/>
      </c>
      <c r="AG148" s="34">
        <f>IF(OR($B148="",$C148&lt;&gt;"Ativo",$D148&lt;&gt;'Calc_Mix'!$C$30,'Calc_Mix'!$X$30=0,COUNTIFS(Esc_Turno,'Calc_Mix'!$C$30,Esc_Circ,$B148)+COUNTIFS(Esc_Turno,'Calc_Mix'!$C$30,Esc_Instr,$B148)&gt;0),"",IF(SUMPRODUCT('Calc_Mix'!$D$30:$W$30,'Matriz_Habilidades'!$D148:$W148)=0,"",SUMPRODUCT('Calc_Mix'!$D$30:$W$30,'Matriz_Habilidades'!$D148:$W148)/'Calc_Mix'!$X$30+ROW()*0.000001))</f>
        <v/>
      </c>
      <c r="AH148" s="34">
        <f>IF(OR($B148="",$C148&lt;&gt;"Ativo",$D148&lt;&gt;'Calc_Mix'!$C$31,'Calc_Mix'!$X$31=0,COUNTIFS(Esc_Turno,'Calc_Mix'!$C$31,Esc_Circ,$B148)+COUNTIFS(Esc_Turno,'Calc_Mix'!$C$31,Esc_Instr,$B148)&gt;0),"",IF(SUMPRODUCT('Calc_Mix'!$D$31:$W$31,'Matriz_Habilidades'!$D148:$W148)=0,"",SUMPRODUCT('Calc_Mix'!$D$31:$W$31,'Matriz_Habilidades'!$D148:$W148)/'Calc_Mix'!$X$31+ROW()*0.000001))</f>
        <v/>
      </c>
      <c r="AI148" s="34">
        <f>IF(OR($B148="",$C148&lt;&gt;"Ativo",$D148&lt;&gt;'Calc_Mix'!$C$32,'Calc_Mix'!$X$32=0,COUNTIFS(Esc_Turno,'Calc_Mix'!$C$32,Esc_Circ,$B148)+COUNTIFS(Esc_Turno,'Calc_Mix'!$C$32,Esc_Instr,$B148)&gt;0),"",IF(SUMPRODUCT('Calc_Mix'!$D$32:$W$32,'Matriz_Habilidades'!$D148:$W148)=0,"",SUMPRODUCT('Calc_Mix'!$D$32:$W$32,'Matriz_Habilidades'!$D148:$W148)/'Calc_Mix'!$X$32+ROW()*0.000001))</f>
        <v/>
      </c>
      <c r="AJ148" s="34">
        <f>IF(OR($B148="",$C148&lt;&gt;"Ativo",$D148&lt;&gt;'Calc_Mix'!$C$33,'Calc_Mix'!$X$33=0,COUNTIFS(Esc_Turno,'Calc_Mix'!$C$33,Esc_Circ,$B148)+COUNTIFS(Esc_Turno,'Calc_Mix'!$C$33,Esc_Instr,$B148)&gt;0),"",IF(SUMPRODUCT('Calc_Mix'!$D$33:$W$33,'Matriz_Habilidades'!$D148:$W148)=0,"",SUMPRODUCT('Calc_Mix'!$D$33:$W$33,'Matriz_Habilidades'!$D148:$W148)/'Calc_Mix'!$X$33+ROW()*0.000001))</f>
        <v/>
      </c>
      <c r="AK148" s="34">
        <f>IF(OR($B148="",$C148&lt;&gt;"Ativo",$D148&lt;&gt;'Calc_Mix'!$C$34,'Calc_Mix'!$X$34=0,COUNTIFS(Esc_Turno,'Calc_Mix'!$C$34,Esc_Circ,$B148)+COUNTIFS(Esc_Turno,'Calc_Mix'!$C$34,Esc_Instr,$B148)&gt;0),"",IF(SUMPRODUCT('Calc_Mix'!$D$34:$W$34,'Matriz_Habilidades'!$D148:$W148)=0,"",SUMPRODUCT('Calc_Mix'!$D$34:$W$34,'Matriz_Habilidades'!$D148:$W148)/'Calc_Mix'!$X$34+ROW()*0.000001))</f>
        <v/>
      </c>
      <c r="AL148" s="34">
        <f>IF(OR($B148="",$C148&lt;&gt;"Ativo",$D148&lt;&gt;'Calc_Mix'!$C$35,'Calc_Mix'!$X$35=0,COUNTIFS(Esc_Turno,'Calc_Mix'!$C$35,Esc_Circ,$B148)+COUNTIFS(Esc_Turno,'Calc_Mix'!$C$35,Esc_Instr,$B148)&gt;0),"",IF(SUMPRODUCT('Calc_Mix'!$D$35:$W$35,'Matriz_Habilidades'!$D148:$W148)=0,"",SUMPRODUCT('Calc_Mix'!$D$35:$W$35,'Matriz_Habilidades'!$D148:$W148)/'Calc_Mix'!$X$35+ROW()*0.000001))</f>
        <v/>
      </c>
      <c r="AM148" s="34">
        <f>IF(OR($B148="",$C148&lt;&gt;"Ativo",$D148&lt;&gt;'Calc_Mix'!$C$36,'Calc_Mix'!$X$36=0,COUNTIFS(Esc_Turno,'Calc_Mix'!$C$36,Esc_Circ,$B148)+COUNTIFS(Esc_Turno,'Calc_Mix'!$C$36,Esc_Instr,$B148)&gt;0),"",IF(SUMPRODUCT('Calc_Mix'!$D$36:$W$36,'Matriz_Habilidades'!$D148:$W148)=0,"",SUMPRODUCT('Calc_Mix'!$D$36:$W$36,'Matriz_Habilidades'!$D148:$W148)/'Calc_Mix'!$X$36+ROW()*0.000001))</f>
        <v/>
      </c>
      <c r="AN148" s="34">
        <f>IF(OR($B148="",$C148&lt;&gt;"Ativo",$D148&lt;&gt;'Calc_Mix'!$C$37,'Calc_Mix'!$X$37=0,COUNTIFS(Esc_Turno,'Calc_Mix'!$C$37,Esc_Circ,$B148)+COUNTIFS(Esc_Turno,'Calc_Mix'!$C$37,Esc_Instr,$B148)&gt;0),"",IF(SUMPRODUCT('Calc_Mix'!$D$37:$W$37,'Matriz_Habilidades'!$D148:$W148)=0,"",SUMPRODUCT('Calc_Mix'!$D$37:$W$37,'Matriz_Habilidades'!$D148:$W148)/'Calc_Mix'!$X$37+ROW()*0.000001))</f>
        <v/>
      </c>
    </row>
    <row r="149">
      <c r="A149" s="27">
        <f>IF('Matriz_Habilidades'!A149="","",'Matriz_Habilidades'!A149)</f>
        <v/>
      </c>
      <c r="B149" s="28">
        <f>IF('Matriz_Habilidades'!B149="","",'Matriz_Habilidades'!B149)</f>
        <v/>
      </c>
      <c r="C149" s="27">
        <f>IF($A149="","",IFERROR(INDEX(Equipe_Status,MATCH($B149,Equipe_Nome,0)),"?"))</f>
        <v/>
      </c>
      <c r="D149" s="27">
        <f>IF($A149="","",IFERROR(INDEX(Equipe_Turno,MATCH($B149,Equipe_Nome,0)),"?"))</f>
        <v/>
      </c>
      <c r="E149" s="34">
        <f>IF(OR($B149="",$C149&lt;&gt;"Ativo",$D149&lt;&gt;'Calc_Mix'!$C$2,'Calc_Mix'!$X$2=0,COUNTIFS(Esc_Turno,'Calc_Mix'!$C$2,Esc_Circ,$B149)+COUNTIFS(Esc_Turno,'Calc_Mix'!$C$2,Esc_Instr,$B149)&gt;0),"",IF(SUMPRODUCT('Calc_Mix'!$D$2:$W$2,'Matriz_Habilidades'!$D149:$W149)=0,"",SUMPRODUCT('Calc_Mix'!$D$2:$W$2,'Matriz_Habilidades'!$D149:$W149)/'Calc_Mix'!$X$2+ROW()*0.000001))</f>
        <v/>
      </c>
      <c r="F149" s="34">
        <f>IF(OR($B149="",$C149&lt;&gt;"Ativo",$D149&lt;&gt;'Calc_Mix'!$C$3,'Calc_Mix'!$X$3=0,COUNTIFS(Esc_Turno,'Calc_Mix'!$C$3,Esc_Circ,$B149)+COUNTIFS(Esc_Turno,'Calc_Mix'!$C$3,Esc_Instr,$B149)&gt;0),"",IF(SUMPRODUCT('Calc_Mix'!$D$3:$W$3,'Matriz_Habilidades'!$D149:$W149)=0,"",SUMPRODUCT('Calc_Mix'!$D$3:$W$3,'Matriz_Habilidades'!$D149:$W149)/'Calc_Mix'!$X$3+ROW()*0.000001))</f>
        <v/>
      </c>
      <c r="G149" s="34">
        <f>IF(OR($B149="",$C149&lt;&gt;"Ativo",$D149&lt;&gt;'Calc_Mix'!$C$4,'Calc_Mix'!$X$4=0,COUNTIFS(Esc_Turno,'Calc_Mix'!$C$4,Esc_Circ,$B149)+COUNTIFS(Esc_Turno,'Calc_Mix'!$C$4,Esc_Instr,$B149)&gt;0),"",IF(SUMPRODUCT('Calc_Mix'!$D$4:$W$4,'Matriz_Habilidades'!$D149:$W149)=0,"",SUMPRODUCT('Calc_Mix'!$D$4:$W$4,'Matriz_Habilidades'!$D149:$W149)/'Calc_Mix'!$X$4+ROW()*0.000001))</f>
        <v/>
      </c>
      <c r="H149" s="34">
        <f>IF(OR($B149="",$C149&lt;&gt;"Ativo",$D149&lt;&gt;'Calc_Mix'!$C$5,'Calc_Mix'!$X$5=0,COUNTIFS(Esc_Turno,'Calc_Mix'!$C$5,Esc_Circ,$B149)+COUNTIFS(Esc_Turno,'Calc_Mix'!$C$5,Esc_Instr,$B149)&gt;0),"",IF(SUMPRODUCT('Calc_Mix'!$D$5:$W$5,'Matriz_Habilidades'!$D149:$W149)=0,"",SUMPRODUCT('Calc_Mix'!$D$5:$W$5,'Matriz_Habilidades'!$D149:$W149)/'Calc_Mix'!$X$5+ROW()*0.000001))</f>
        <v/>
      </c>
      <c r="I149" s="34">
        <f>IF(OR($B149="",$C149&lt;&gt;"Ativo",$D149&lt;&gt;'Calc_Mix'!$C$6,'Calc_Mix'!$X$6=0,COUNTIFS(Esc_Turno,'Calc_Mix'!$C$6,Esc_Circ,$B149)+COUNTIFS(Esc_Turno,'Calc_Mix'!$C$6,Esc_Instr,$B149)&gt;0),"",IF(SUMPRODUCT('Calc_Mix'!$D$6:$W$6,'Matriz_Habilidades'!$D149:$W149)=0,"",SUMPRODUCT('Calc_Mix'!$D$6:$W$6,'Matriz_Habilidades'!$D149:$W149)/'Calc_Mix'!$X$6+ROW()*0.000001))</f>
        <v/>
      </c>
      <c r="J149" s="34">
        <f>IF(OR($B149="",$C149&lt;&gt;"Ativo",$D149&lt;&gt;'Calc_Mix'!$C$7,'Calc_Mix'!$X$7=0,COUNTIFS(Esc_Turno,'Calc_Mix'!$C$7,Esc_Circ,$B149)+COUNTIFS(Esc_Turno,'Calc_Mix'!$C$7,Esc_Instr,$B149)&gt;0),"",IF(SUMPRODUCT('Calc_Mix'!$D$7:$W$7,'Matriz_Habilidades'!$D149:$W149)=0,"",SUMPRODUCT('Calc_Mix'!$D$7:$W$7,'Matriz_Habilidades'!$D149:$W149)/'Calc_Mix'!$X$7+ROW()*0.000001))</f>
        <v/>
      </c>
      <c r="K149" s="34">
        <f>IF(OR($B149="",$C149&lt;&gt;"Ativo",$D149&lt;&gt;'Calc_Mix'!$C$8,'Calc_Mix'!$X$8=0,COUNTIFS(Esc_Turno,'Calc_Mix'!$C$8,Esc_Circ,$B149)+COUNTIFS(Esc_Turno,'Calc_Mix'!$C$8,Esc_Instr,$B149)&gt;0),"",IF(SUMPRODUCT('Calc_Mix'!$D$8:$W$8,'Matriz_Habilidades'!$D149:$W149)=0,"",SUMPRODUCT('Calc_Mix'!$D$8:$W$8,'Matriz_Habilidades'!$D149:$W149)/'Calc_Mix'!$X$8+ROW()*0.000001))</f>
        <v/>
      </c>
      <c r="L149" s="34">
        <f>IF(OR($B149="",$C149&lt;&gt;"Ativo",$D149&lt;&gt;'Calc_Mix'!$C$9,'Calc_Mix'!$X$9=0,COUNTIFS(Esc_Turno,'Calc_Mix'!$C$9,Esc_Circ,$B149)+COUNTIFS(Esc_Turno,'Calc_Mix'!$C$9,Esc_Instr,$B149)&gt;0),"",IF(SUMPRODUCT('Calc_Mix'!$D$9:$W$9,'Matriz_Habilidades'!$D149:$W149)=0,"",SUMPRODUCT('Calc_Mix'!$D$9:$W$9,'Matriz_Habilidades'!$D149:$W149)/'Calc_Mix'!$X$9+ROW()*0.000001))</f>
        <v/>
      </c>
      <c r="M149" s="34">
        <f>IF(OR($B149="",$C149&lt;&gt;"Ativo",$D149&lt;&gt;'Calc_Mix'!$C$10,'Calc_Mix'!$X$10=0,COUNTIFS(Esc_Turno,'Calc_Mix'!$C$10,Esc_Circ,$B149)+COUNTIFS(Esc_Turno,'Calc_Mix'!$C$10,Esc_Instr,$B149)&gt;0),"",IF(SUMPRODUCT('Calc_Mix'!$D$10:$W$10,'Matriz_Habilidades'!$D149:$W149)=0,"",SUMPRODUCT('Calc_Mix'!$D$10:$W$10,'Matriz_Habilidades'!$D149:$W149)/'Calc_Mix'!$X$10+ROW()*0.000001))</f>
        <v/>
      </c>
      <c r="N149" s="34">
        <f>IF(OR($B149="",$C149&lt;&gt;"Ativo",$D149&lt;&gt;'Calc_Mix'!$C$11,'Calc_Mix'!$X$11=0,COUNTIFS(Esc_Turno,'Calc_Mix'!$C$11,Esc_Circ,$B149)+COUNTIFS(Esc_Turno,'Calc_Mix'!$C$11,Esc_Instr,$B149)&gt;0),"",IF(SUMPRODUCT('Calc_Mix'!$D$11:$W$11,'Matriz_Habilidades'!$D149:$W149)=0,"",SUMPRODUCT('Calc_Mix'!$D$11:$W$11,'Matriz_Habilidades'!$D149:$W149)/'Calc_Mix'!$X$11+ROW()*0.000001))</f>
        <v/>
      </c>
      <c r="O149" s="34">
        <f>IF(OR($B149="",$C149&lt;&gt;"Ativo",$D149&lt;&gt;'Calc_Mix'!$C$12,'Calc_Mix'!$X$12=0,COUNTIFS(Esc_Turno,'Calc_Mix'!$C$12,Esc_Circ,$B149)+COUNTIFS(Esc_Turno,'Calc_Mix'!$C$12,Esc_Instr,$B149)&gt;0),"",IF(SUMPRODUCT('Calc_Mix'!$D$12:$W$12,'Matriz_Habilidades'!$D149:$W149)=0,"",SUMPRODUCT('Calc_Mix'!$D$12:$W$12,'Matriz_Habilidades'!$D149:$W149)/'Calc_Mix'!$X$12+ROW()*0.000001))</f>
        <v/>
      </c>
      <c r="P149" s="34">
        <f>IF(OR($B149="",$C149&lt;&gt;"Ativo",$D149&lt;&gt;'Calc_Mix'!$C$13,'Calc_Mix'!$X$13=0,COUNTIFS(Esc_Turno,'Calc_Mix'!$C$13,Esc_Circ,$B149)+COUNTIFS(Esc_Turno,'Calc_Mix'!$C$13,Esc_Instr,$B149)&gt;0),"",IF(SUMPRODUCT('Calc_Mix'!$D$13:$W$13,'Matriz_Habilidades'!$D149:$W149)=0,"",SUMPRODUCT('Calc_Mix'!$D$13:$W$13,'Matriz_Habilidades'!$D149:$W149)/'Calc_Mix'!$X$13+ROW()*0.000001))</f>
        <v/>
      </c>
      <c r="Q149" s="34">
        <f>IF(OR($B149="",$C149&lt;&gt;"Ativo",$D149&lt;&gt;'Calc_Mix'!$C$14,'Calc_Mix'!$X$14=0,COUNTIFS(Esc_Turno,'Calc_Mix'!$C$14,Esc_Circ,$B149)+COUNTIFS(Esc_Turno,'Calc_Mix'!$C$14,Esc_Instr,$B149)&gt;0),"",IF(SUMPRODUCT('Calc_Mix'!$D$14:$W$14,'Matriz_Habilidades'!$D149:$W149)=0,"",SUMPRODUCT('Calc_Mix'!$D$14:$W$14,'Matriz_Habilidades'!$D149:$W149)/'Calc_Mix'!$X$14+ROW()*0.000001))</f>
        <v/>
      </c>
      <c r="R149" s="34">
        <f>IF(OR($B149="",$C149&lt;&gt;"Ativo",$D149&lt;&gt;'Calc_Mix'!$C$15,'Calc_Mix'!$X$15=0,COUNTIFS(Esc_Turno,'Calc_Mix'!$C$15,Esc_Circ,$B149)+COUNTIFS(Esc_Turno,'Calc_Mix'!$C$15,Esc_Instr,$B149)&gt;0),"",IF(SUMPRODUCT('Calc_Mix'!$D$15:$W$15,'Matriz_Habilidades'!$D149:$W149)=0,"",SUMPRODUCT('Calc_Mix'!$D$15:$W$15,'Matriz_Habilidades'!$D149:$W149)/'Calc_Mix'!$X$15+ROW()*0.000001))</f>
        <v/>
      </c>
      <c r="S149" s="34">
        <f>IF(OR($B149="",$C149&lt;&gt;"Ativo",$D149&lt;&gt;'Calc_Mix'!$C$16,'Calc_Mix'!$X$16=0,COUNTIFS(Esc_Turno,'Calc_Mix'!$C$16,Esc_Circ,$B149)+COUNTIFS(Esc_Turno,'Calc_Mix'!$C$16,Esc_Instr,$B149)&gt;0),"",IF(SUMPRODUCT('Calc_Mix'!$D$16:$W$16,'Matriz_Habilidades'!$D149:$W149)=0,"",SUMPRODUCT('Calc_Mix'!$D$16:$W$16,'Matriz_Habilidades'!$D149:$W149)/'Calc_Mix'!$X$16+ROW()*0.000001))</f>
        <v/>
      </c>
      <c r="T149" s="34">
        <f>IF(OR($B149="",$C149&lt;&gt;"Ativo",$D149&lt;&gt;'Calc_Mix'!$C$17,'Calc_Mix'!$X$17=0,COUNTIFS(Esc_Turno,'Calc_Mix'!$C$17,Esc_Circ,$B149)+COUNTIFS(Esc_Turno,'Calc_Mix'!$C$17,Esc_Instr,$B149)&gt;0),"",IF(SUMPRODUCT('Calc_Mix'!$D$17:$W$17,'Matriz_Habilidades'!$D149:$W149)=0,"",SUMPRODUCT('Calc_Mix'!$D$17:$W$17,'Matriz_Habilidades'!$D149:$W149)/'Calc_Mix'!$X$17+ROW()*0.000001))</f>
        <v/>
      </c>
      <c r="U149" s="34">
        <f>IF(OR($B149="",$C149&lt;&gt;"Ativo",$D149&lt;&gt;'Calc_Mix'!$C$18,'Calc_Mix'!$X$18=0,COUNTIFS(Esc_Turno,'Calc_Mix'!$C$18,Esc_Circ,$B149)+COUNTIFS(Esc_Turno,'Calc_Mix'!$C$18,Esc_Instr,$B149)&gt;0),"",IF(SUMPRODUCT('Calc_Mix'!$D$18:$W$18,'Matriz_Habilidades'!$D149:$W149)=0,"",SUMPRODUCT('Calc_Mix'!$D$18:$W$18,'Matriz_Habilidades'!$D149:$W149)/'Calc_Mix'!$X$18+ROW()*0.000001))</f>
        <v/>
      </c>
      <c r="V149" s="34">
        <f>IF(OR($B149="",$C149&lt;&gt;"Ativo",$D149&lt;&gt;'Calc_Mix'!$C$19,'Calc_Mix'!$X$19=0,COUNTIFS(Esc_Turno,'Calc_Mix'!$C$19,Esc_Circ,$B149)+COUNTIFS(Esc_Turno,'Calc_Mix'!$C$19,Esc_Instr,$B149)&gt;0),"",IF(SUMPRODUCT('Calc_Mix'!$D$19:$W$19,'Matriz_Habilidades'!$D149:$W149)=0,"",SUMPRODUCT('Calc_Mix'!$D$19:$W$19,'Matriz_Habilidades'!$D149:$W149)/'Calc_Mix'!$X$19+ROW()*0.000001))</f>
        <v/>
      </c>
      <c r="W149" s="34">
        <f>IF(OR($B149="",$C149&lt;&gt;"Ativo",$D149&lt;&gt;'Calc_Mix'!$C$20,'Calc_Mix'!$X$20=0,COUNTIFS(Esc_Turno,'Calc_Mix'!$C$20,Esc_Circ,$B149)+COUNTIFS(Esc_Turno,'Calc_Mix'!$C$20,Esc_Instr,$B149)&gt;0),"",IF(SUMPRODUCT('Calc_Mix'!$D$20:$W$20,'Matriz_Habilidades'!$D149:$W149)=0,"",SUMPRODUCT('Calc_Mix'!$D$20:$W$20,'Matriz_Habilidades'!$D149:$W149)/'Calc_Mix'!$X$20+ROW()*0.000001))</f>
        <v/>
      </c>
      <c r="X149" s="34">
        <f>IF(OR($B149="",$C149&lt;&gt;"Ativo",$D149&lt;&gt;'Calc_Mix'!$C$21,'Calc_Mix'!$X$21=0,COUNTIFS(Esc_Turno,'Calc_Mix'!$C$21,Esc_Circ,$B149)+COUNTIFS(Esc_Turno,'Calc_Mix'!$C$21,Esc_Instr,$B149)&gt;0),"",IF(SUMPRODUCT('Calc_Mix'!$D$21:$W$21,'Matriz_Habilidades'!$D149:$W149)=0,"",SUMPRODUCT('Calc_Mix'!$D$21:$W$21,'Matriz_Habilidades'!$D149:$W149)/'Calc_Mix'!$X$21+ROW()*0.000001))</f>
        <v/>
      </c>
      <c r="Y149" s="34">
        <f>IF(OR($B149="",$C149&lt;&gt;"Ativo",$D149&lt;&gt;'Calc_Mix'!$C$22,'Calc_Mix'!$X$22=0,COUNTIFS(Esc_Turno,'Calc_Mix'!$C$22,Esc_Circ,$B149)+COUNTIFS(Esc_Turno,'Calc_Mix'!$C$22,Esc_Instr,$B149)&gt;0),"",IF(SUMPRODUCT('Calc_Mix'!$D$22:$W$22,'Matriz_Habilidades'!$D149:$W149)=0,"",SUMPRODUCT('Calc_Mix'!$D$22:$W$22,'Matriz_Habilidades'!$D149:$W149)/'Calc_Mix'!$X$22+ROW()*0.000001))</f>
        <v/>
      </c>
      <c r="Z149" s="34">
        <f>IF(OR($B149="",$C149&lt;&gt;"Ativo",$D149&lt;&gt;'Calc_Mix'!$C$23,'Calc_Mix'!$X$23=0,COUNTIFS(Esc_Turno,'Calc_Mix'!$C$23,Esc_Circ,$B149)+COUNTIFS(Esc_Turno,'Calc_Mix'!$C$23,Esc_Instr,$B149)&gt;0),"",IF(SUMPRODUCT('Calc_Mix'!$D$23:$W$23,'Matriz_Habilidades'!$D149:$W149)=0,"",SUMPRODUCT('Calc_Mix'!$D$23:$W$23,'Matriz_Habilidades'!$D149:$W149)/'Calc_Mix'!$X$23+ROW()*0.000001))</f>
        <v/>
      </c>
      <c r="AA149" s="34">
        <f>IF(OR($B149="",$C149&lt;&gt;"Ativo",$D149&lt;&gt;'Calc_Mix'!$C$24,'Calc_Mix'!$X$24=0,COUNTIFS(Esc_Turno,'Calc_Mix'!$C$24,Esc_Circ,$B149)+COUNTIFS(Esc_Turno,'Calc_Mix'!$C$24,Esc_Instr,$B149)&gt;0),"",IF(SUMPRODUCT('Calc_Mix'!$D$24:$W$24,'Matriz_Habilidades'!$D149:$W149)=0,"",SUMPRODUCT('Calc_Mix'!$D$24:$W$24,'Matriz_Habilidades'!$D149:$W149)/'Calc_Mix'!$X$24+ROW()*0.000001))</f>
        <v/>
      </c>
      <c r="AB149" s="34">
        <f>IF(OR($B149="",$C149&lt;&gt;"Ativo",$D149&lt;&gt;'Calc_Mix'!$C$25,'Calc_Mix'!$X$25=0,COUNTIFS(Esc_Turno,'Calc_Mix'!$C$25,Esc_Circ,$B149)+COUNTIFS(Esc_Turno,'Calc_Mix'!$C$25,Esc_Instr,$B149)&gt;0),"",IF(SUMPRODUCT('Calc_Mix'!$D$25:$W$25,'Matriz_Habilidades'!$D149:$W149)=0,"",SUMPRODUCT('Calc_Mix'!$D$25:$W$25,'Matriz_Habilidades'!$D149:$W149)/'Calc_Mix'!$X$25+ROW()*0.000001))</f>
        <v/>
      </c>
      <c r="AC149" s="34">
        <f>IF(OR($B149="",$C149&lt;&gt;"Ativo",$D149&lt;&gt;'Calc_Mix'!$C$26,'Calc_Mix'!$X$26=0,COUNTIFS(Esc_Turno,'Calc_Mix'!$C$26,Esc_Circ,$B149)+COUNTIFS(Esc_Turno,'Calc_Mix'!$C$26,Esc_Instr,$B149)&gt;0),"",IF(SUMPRODUCT('Calc_Mix'!$D$26:$W$26,'Matriz_Habilidades'!$D149:$W149)=0,"",SUMPRODUCT('Calc_Mix'!$D$26:$W$26,'Matriz_Habilidades'!$D149:$W149)/'Calc_Mix'!$X$26+ROW()*0.000001))</f>
        <v/>
      </c>
      <c r="AD149" s="34">
        <f>IF(OR($B149="",$C149&lt;&gt;"Ativo",$D149&lt;&gt;'Calc_Mix'!$C$27,'Calc_Mix'!$X$27=0,COUNTIFS(Esc_Turno,'Calc_Mix'!$C$27,Esc_Circ,$B149)+COUNTIFS(Esc_Turno,'Calc_Mix'!$C$27,Esc_Instr,$B149)&gt;0),"",IF(SUMPRODUCT('Calc_Mix'!$D$27:$W$27,'Matriz_Habilidades'!$D149:$W149)=0,"",SUMPRODUCT('Calc_Mix'!$D$27:$W$27,'Matriz_Habilidades'!$D149:$W149)/'Calc_Mix'!$X$27+ROW()*0.000001))</f>
        <v/>
      </c>
      <c r="AE149" s="34">
        <f>IF(OR($B149="",$C149&lt;&gt;"Ativo",$D149&lt;&gt;'Calc_Mix'!$C$28,'Calc_Mix'!$X$28=0,COUNTIFS(Esc_Turno,'Calc_Mix'!$C$28,Esc_Circ,$B149)+COUNTIFS(Esc_Turno,'Calc_Mix'!$C$28,Esc_Instr,$B149)&gt;0),"",IF(SUMPRODUCT('Calc_Mix'!$D$28:$W$28,'Matriz_Habilidades'!$D149:$W149)=0,"",SUMPRODUCT('Calc_Mix'!$D$28:$W$28,'Matriz_Habilidades'!$D149:$W149)/'Calc_Mix'!$X$28+ROW()*0.000001))</f>
        <v/>
      </c>
      <c r="AF149" s="34">
        <f>IF(OR($B149="",$C149&lt;&gt;"Ativo",$D149&lt;&gt;'Calc_Mix'!$C$29,'Calc_Mix'!$X$29=0,COUNTIFS(Esc_Turno,'Calc_Mix'!$C$29,Esc_Circ,$B149)+COUNTIFS(Esc_Turno,'Calc_Mix'!$C$29,Esc_Instr,$B149)&gt;0),"",IF(SUMPRODUCT('Calc_Mix'!$D$29:$W$29,'Matriz_Habilidades'!$D149:$W149)=0,"",SUMPRODUCT('Calc_Mix'!$D$29:$W$29,'Matriz_Habilidades'!$D149:$W149)/'Calc_Mix'!$X$29+ROW()*0.000001))</f>
        <v/>
      </c>
      <c r="AG149" s="34">
        <f>IF(OR($B149="",$C149&lt;&gt;"Ativo",$D149&lt;&gt;'Calc_Mix'!$C$30,'Calc_Mix'!$X$30=0,COUNTIFS(Esc_Turno,'Calc_Mix'!$C$30,Esc_Circ,$B149)+COUNTIFS(Esc_Turno,'Calc_Mix'!$C$30,Esc_Instr,$B149)&gt;0),"",IF(SUMPRODUCT('Calc_Mix'!$D$30:$W$30,'Matriz_Habilidades'!$D149:$W149)=0,"",SUMPRODUCT('Calc_Mix'!$D$30:$W$30,'Matriz_Habilidades'!$D149:$W149)/'Calc_Mix'!$X$30+ROW()*0.000001))</f>
        <v/>
      </c>
      <c r="AH149" s="34">
        <f>IF(OR($B149="",$C149&lt;&gt;"Ativo",$D149&lt;&gt;'Calc_Mix'!$C$31,'Calc_Mix'!$X$31=0,COUNTIFS(Esc_Turno,'Calc_Mix'!$C$31,Esc_Circ,$B149)+COUNTIFS(Esc_Turno,'Calc_Mix'!$C$31,Esc_Instr,$B149)&gt;0),"",IF(SUMPRODUCT('Calc_Mix'!$D$31:$W$31,'Matriz_Habilidades'!$D149:$W149)=0,"",SUMPRODUCT('Calc_Mix'!$D$31:$W$31,'Matriz_Habilidades'!$D149:$W149)/'Calc_Mix'!$X$31+ROW()*0.000001))</f>
        <v/>
      </c>
      <c r="AI149" s="34">
        <f>IF(OR($B149="",$C149&lt;&gt;"Ativo",$D149&lt;&gt;'Calc_Mix'!$C$32,'Calc_Mix'!$X$32=0,COUNTIFS(Esc_Turno,'Calc_Mix'!$C$32,Esc_Circ,$B149)+COUNTIFS(Esc_Turno,'Calc_Mix'!$C$32,Esc_Instr,$B149)&gt;0),"",IF(SUMPRODUCT('Calc_Mix'!$D$32:$W$32,'Matriz_Habilidades'!$D149:$W149)=0,"",SUMPRODUCT('Calc_Mix'!$D$32:$W$32,'Matriz_Habilidades'!$D149:$W149)/'Calc_Mix'!$X$32+ROW()*0.000001))</f>
        <v/>
      </c>
      <c r="AJ149" s="34">
        <f>IF(OR($B149="",$C149&lt;&gt;"Ativo",$D149&lt;&gt;'Calc_Mix'!$C$33,'Calc_Mix'!$X$33=0,COUNTIFS(Esc_Turno,'Calc_Mix'!$C$33,Esc_Circ,$B149)+COUNTIFS(Esc_Turno,'Calc_Mix'!$C$33,Esc_Instr,$B149)&gt;0),"",IF(SUMPRODUCT('Calc_Mix'!$D$33:$W$33,'Matriz_Habilidades'!$D149:$W149)=0,"",SUMPRODUCT('Calc_Mix'!$D$33:$W$33,'Matriz_Habilidades'!$D149:$W149)/'Calc_Mix'!$X$33+ROW()*0.000001))</f>
        <v/>
      </c>
      <c r="AK149" s="34">
        <f>IF(OR($B149="",$C149&lt;&gt;"Ativo",$D149&lt;&gt;'Calc_Mix'!$C$34,'Calc_Mix'!$X$34=0,COUNTIFS(Esc_Turno,'Calc_Mix'!$C$34,Esc_Circ,$B149)+COUNTIFS(Esc_Turno,'Calc_Mix'!$C$34,Esc_Instr,$B149)&gt;0),"",IF(SUMPRODUCT('Calc_Mix'!$D$34:$W$34,'Matriz_Habilidades'!$D149:$W149)=0,"",SUMPRODUCT('Calc_Mix'!$D$34:$W$34,'Matriz_Habilidades'!$D149:$W149)/'Calc_Mix'!$X$34+ROW()*0.000001))</f>
        <v/>
      </c>
      <c r="AL149" s="34">
        <f>IF(OR($B149="",$C149&lt;&gt;"Ativo",$D149&lt;&gt;'Calc_Mix'!$C$35,'Calc_Mix'!$X$35=0,COUNTIFS(Esc_Turno,'Calc_Mix'!$C$35,Esc_Circ,$B149)+COUNTIFS(Esc_Turno,'Calc_Mix'!$C$35,Esc_Instr,$B149)&gt;0),"",IF(SUMPRODUCT('Calc_Mix'!$D$35:$W$35,'Matriz_Habilidades'!$D149:$W149)=0,"",SUMPRODUCT('Calc_Mix'!$D$35:$W$35,'Matriz_Habilidades'!$D149:$W149)/'Calc_Mix'!$X$35+ROW()*0.000001))</f>
        <v/>
      </c>
      <c r="AM149" s="34">
        <f>IF(OR($B149="",$C149&lt;&gt;"Ativo",$D149&lt;&gt;'Calc_Mix'!$C$36,'Calc_Mix'!$X$36=0,COUNTIFS(Esc_Turno,'Calc_Mix'!$C$36,Esc_Circ,$B149)+COUNTIFS(Esc_Turno,'Calc_Mix'!$C$36,Esc_Instr,$B149)&gt;0),"",IF(SUMPRODUCT('Calc_Mix'!$D$36:$W$36,'Matriz_Habilidades'!$D149:$W149)=0,"",SUMPRODUCT('Calc_Mix'!$D$36:$W$36,'Matriz_Habilidades'!$D149:$W149)/'Calc_Mix'!$X$36+ROW()*0.000001))</f>
        <v/>
      </c>
      <c r="AN149" s="34">
        <f>IF(OR($B149="",$C149&lt;&gt;"Ativo",$D149&lt;&gt;'Calc_Mix'!$C$37,'Calc_Mix'!$X$37=0,COUNTIFS(Esc_Turno,'Calc_Mix'!$C$37,Esc_Circ,$B149)+COUNTIFS(Esc_Turno,'Calc_Mix'!$C$37,Esc_Instr,$B149)&gt;0),"",IF(SUMPRODUCT('Calc_Mix'!$D$37:$W$37,'Matriz_Habilidades'!$D149:$W149)=0,"",SUMPRODUCT('Calc_Mix'!$D$37:$W$37,'Matriz_Habilidades'!$D149:$W149)/'Calc_Mix'!$X$37+ROW()*0.000001))</f>
        <v/>
      </c>
    </row>
    <row r="150">
      <c r="A150" s="27">
        <f>IF('Matriz_Habilidades'!A150="","",'Matriz_Habilidades'!A150)</f>
        <v/>
      </c>
      <c r="B150" s="28">
        <f>IF('Matriz_Habilidades'!B150="","",'Matriz_Habilidades'!B150)</f>
        <v/>
      </c>
      <c r="C150" s="27">
        <f>IF($A150="","",IFERROR(INDEX(Equipe_Status,MATCH($B150,Equipe_Nome,0)),"?"))</f>
        <v/>
      </c>
      <c r="D150" s="27">
        <f>IF($A150="","",IFERROR(INDEX(Equipe_Turno,MATCH($B150,Equipe_Nome,0)),"?"))</f>
        <v/>
      </c>
      <c r="E150" s="34">
        <f>IF(OR($B150="",$C150&lt;&gt;"Ativo",$D150&lt;&gt;'Calc_Mix'!$C$2,'Calc_Mix'!$X$2=0,COUNTIFS(Esc_Turno,'Calc_Mix'!$C$2,Esc_Circ,$B150)+COUNTIFS(Esc_Turno,'Calc_Mix'!$C$2,Esc_Instr,$B150)&gt;0),"",IF(SUMPRODUCT('Calc_Mix'!$D$2:$W$2,'Matriz_Habilidades'!$D150:$W150)=0,"",SUMPRODUCT('Calc_Mix'!$D$2:$W$2,'Matriz_Habilidades'!$D150:$W150)/'Calc_Mix'!$X$2+ROW()*0.000001))</f>
        <v/>
      </c>
      <c r="F150" s="34">
        <f>IF(OR($B150="",$C150&lt;&gt;"Ativo",$D150&lt;&gt;'Calc_Mix'!$C$3,'Calc_Mix'!$X$3=0,COUNTIFS(Esc_Turno,'Calc_Mix'!$C$3,Esc_Circ,$B150)+COUNTIFS(Esc_Turno,'Calc_Mix'!$C$3,Esc_Instr,$B150)&gt;0),"",IF(SUMPRODUCT('Calc_Mix'!$D$3:$W$3,'Matriz_Habilidades'!$D150:$W150)=0,"",SUMPRODUCT('Calc_Mix'!$D$3:$W$3,'Matriz_Habilidades'!$D150:$W150)/'Calc_Mix'!$X$3+ROW()*0.000001))</f>
        <v/>
      </c>
      <c r="G150" s="34">
        <f>IF(OR($B150="",$C150&lt;&gt;"Ativo",$D150&lt;&gt;'Calc_Mix'!$C$4,'Calc_Mix'!$X$4=0,COUNTIFS(Esc_Turno,'Calc_Mix'!$C$4,Esc_Circ,$B150)+COUNTIFS(Esc_Turno,'Calc_Mix'!$C$4,Esc_Instr,$B150)&gt;0),"",IF(SUMPRODUCT('Calc_Mix'!$D$4:$W$4,'Matriz_Habilidades'!$D150:$W150)=0,"",SUMPRODUCT('Calc_Mix'!$D$4:$W$4,'Matriz_Habilidades'!$D150:$W150)/'Calc_Mix'!$X$4+ROW()*0.000001))</f>
        <v/>
      </c>
      <c r="H150" s="34">
        <f>IF(OR($B150="",$C150&lt;&gt;"Ativo",$D150&lt;&gt;'Calc_Mix'!$C$5,'Calc_Mix'!$X$5=0,COUNTIFS(Esc_Turno,'Calc_Mix'!$C$5,Esc_Circ,$B150)+COUNTIFS(Esc_Turno,'Calc_Mix'!$C$5,Esc_Instr,$B150)&gt;0),"",IF(SUMPRODUCT('Calc_Mix'!$D$5:$W$5,'Matriz_Habilidades'!$D150:$W150)=0,"",SUMPRODUCT('Calc_Mix'!$D$5:$W$5,'Matriz_Habilidades'!$D150:$W150)/'Calc_Mix'!$X$5+ROW()*0.000001))</f>
        <v/>
      </c>
      <c r="I150" s="34">
        <f>IF(OR($B150="",$C150&lt;&gt;"Ativo",$D150&lt;&gt;'Calc_Mix'!$C$6,'Calc_Mix'!$X$6=0,COUNTIFS(Esc_Turno,'Calc_Mix'!$C$6,Esc_Circ,$B150)+COUNTIFS(Esc_Turno,'Calc_Mix'!$C$6,Esc_Instr,$B150)&gt;0),"",IF(SUMPRODUCT('Calc_Mix'!$D$6:$W$6,'Matriz_Habilidades'!$D150:$W150)=0,"",SUMPRODUCT('Calc_Mix'!$D$6:$W$6,'Matriz_Habilidades'!$D150:$W150)/'Calc_Mix'!$X$6+ROW()*0.000001))</f>
        <v/>
      </c>
      <c r="J150" s="34">
        <f>IF(OR($B150="",$C150&lt;&gt;"Ativo",$D150&lt;&gt;'Calc_Mix'!$C$7,'Calc_Mix'!$X$7=0,COUNTIFS(Esc_Turno,'Calc_Mix'!$C$7,Esc_Circ,$B150)+COUNTIFS(Esc_Turno,'Calc_Mix'!$C$7,Esc_Instr,$B150)&gt;0),"",IF(SUMPRODUCT('Calc_Mix'!$D$7:$W$7,'Matriz_Habilidades'!$D150:$W150)=0,"",SUMPRODUCT('Calc_Mix'!$D$7:$W$7,'Matriz_Habilidades'!$D150:$W150)/'Calc_Mix'!$X$7+ROW()*0.000001))</f>
        <v/>
      </c>
      <c r="K150" s="34">
        <f>IF(OR($B150="",$C150&lt;&gt;"Ativo",$D150&lt;&gt;'Calc_Mix'!$C$8,'Calc_Mix'!$X$8=0,COUNTIFS(Esc_Turno,'Calc_Mix'!$C$8,Esc_Circ,$B150)+COUNTIFS(Esc_Turno,'Calc_Mix'!$C$8,Esc_Instr,$B150)&gt;0),"",IF(SUMPRODUCT('Calc_Mix'!$D$8:$W$8,'Matriz_Habilidades'!$D150:$W150)=0,"",SUMPRODUCT('Calc_Mix'!$D$8:$W$8,'Matriz_Habilidades'!$D150:$W150)/'Calc_Mix'!$X$8+ROW()*0.000001))</f>
        <v/>
      </c>
      <c r="L150" s="34">
        <f>IF(OR($B150="",$C150&lt;&gt;"Ativo",$D150&lt;&gt;'Calc_Mix'!$C$9,'Calc_Mix'!$X$9=0,COUNTIFS(Esc_Turno,'Calc_Mix'!$C$9,Esc_Circ,$B150)+COUNTIFS(Esc_Turno,'Calc_Mix'!$C$9,Esc_Instr,$B150)&gt;0),"",IF(SUMPRODUCT('Calc_Mix'!$D$9:$W$9,'Matriz_Habilidades'!$D150:$W150)=0,"",SUMPRODUCT('Calc_Mix'!$D$9:$W$9,'Matriz_Habilidades'!$D150:$W150)/'Calc_Mix'!$X$9+ROW()*0.000001))</f>
        <v/>
      </c>
      <c r="M150" s="34">
        <f>IF(OR($B150="",$C150&lt;&gt;"Ativo",$D150&lt;&gt;'Calc_Mix'!$C$10,'Calc_Mix'!$X$10=0,COUNTIFS(Esc_Turno,'Calc_Mix'!$C$10,Esc_Circ,$B150)+COUNTIFS(Esc_Turno,'Calc_Mix'!$C$10,Esc_Instr,$B150)&gt;0),"",IF(SUMPRODUCT('Calc_Mix'!$D$10:$W$10,'Matriz_Habilidades'!$D150:$W150)=0,"",SUMPRODUCT('Calc_Mix'!$D$10:$W$10,'Matriz_Habilidades'!$D150:$W150)/'Calc_Mix'!$X$10+ROW()*0.000001))</f>
        <v/>
      </c>
      <c r="N150" s="34">
        <f>IF(OR($B150="",$C150&lt;&gt;"Ativo",$D150&lt;&gt;'Calc_Mix'!$C$11,'Calc_Mix'!$X$11=0,COUNTIFS(Esc_Turno,'Calc_Mix'!$C$11,Esc_Circ,$B150)+COUNTIFS(Esc_Turno,'Calc_Mix'!$C$11,Esc_Instr,$B150)&gt;0),"",IF(SUMPRODUCT('Calc_Mix'!$D$11:$W$11,'Matriz_Habilidades'!$D150:$W150)=0,"",SUMPRODUCT('Calc_Mix'!$D$11:$W$11,'Matriz_Habilidades'!$D150:$W150)/'Calc_Mix'!$X$11+ROW()*0.000001))</f>
        <v/>
      </c>
      <c r="O150" s="34">
        <f>IF(OR($B150="",$C150&lt;&gt;"Ativo",$D150&lt;&gt;'Calc_Mix'!$C$12,'Calc_Mix'!$X$12=0,COUNTIFS(Esc_Turno,'Calc_Mix'!$C$12,Esc_Circ,$B150)+COUNTIFS(Esc_Turno,'Calc_Mix'!$C$12,Esc_Instr,$B150)&gt;0),"",IF(SUMPRODUCT('Calc_Mix'!$D$12:$W$12,'Matriz_Habilidades'!$D150:$W150)=0,"",SUMPRODUCT('Calc_Mix'!$D$12:$W$12,'Matriz_Habilidades'!$D150:$W150)/'Calc_Mix'!$X$12+ROW()*0.000001))</f>
        <v/>
      </c>
      <c r="P150" s="34">
        <f>IF(OR($B150="",$C150&lt;&gt;"Ativo",$D150&lt;&gt;'Calc_Mix'!$C$13,'Calc_Mix'!$X$13=0,COUNTIFS(Esc_Turno,'Calc_Mix'!$C$13,Esc_Circ,$B150)+COUNTIFS(Esc_Turno,'Calc_Mix'!$C$13,Esc_Instr,$B150)&gt;0),"",IF(SUMPRODUCT('Calc_Mix'!$D$13:$W$13,'Matriz_Habilidades'!$D150:$W150)=0,"",SUMPRODUCT('Calc_Mix'!$D$13:$W$13,'Matriz_Habilidades'!$D150:$W150)/'Calc_Mix'!$X$13+ROW()*0.000001))</f>
        <v/>
      </c>
      <c r="Q150" s="34">
        <f>IF(OR($B150="",$C150&lt;&gt;"Ativo",$D150&lt;&gt;'Calc_Mix'!$C$14,'Calc_Mix'!$X$14=0,COUNTIFS(Esc_Turno,'Calc_Mix'!$C$14,Esc_Circ,$B150)+COUNTIFS(Esc_Turno,'Calc_Mix'!$C$14,Esc_Instr,$B150)&gt;0),"",IF(SUMPRODUCT('Calc_Mix'!$D$14:$W$14,'Matriz_Habilidades'!$D150:$W150)=0,"",SUMPRODUCT('Calc_Mix'!$D$14:$W$14,'Matriz_Habilidades'!$D150:$W150)/'Calc_Mix'!$X$14+ROW()*0.000001))</f>
        <v/>
      </c>
      <c r="R150" s="34">
        <f>IF(OR($B150="",$C150&lt;&gt;"Ativo",$D150&lt;&gt;'Calc_Mix'!$C$15,'Calc_Mix'!$X$15=0,COUNTIFS(Esc_Turno,'Calc_Mix'!$C$15,Esc_Circ,$B150)+COUNTIFS(Esc_Turno,'Calc_Mix'!$C$15,Esc_Instr,$B150)&gt;0),"",IF(SUMPRODUCT('Calc_Mix'!$D$15:$W$15,'Matriz_Habilidades'!$D150:$W150)=0,"",SUMPRODUCT('Calc_Mix'!$D$15:$W$15,'Matriz_Habilidades'!$D150:$W150)/'Calc_Mix'!$X$15+ROW()*0.000001))</f>
        <v/>
      </c>
      <c r="S150" s="34">
        <f>IF(OR($B150="",$C150&lt;&gt;"Ativo",$D150&lt;&gt;'Calc_Mix'!$C$16,'Calc_Mix'!$X$16=0,COUNTIFS(Esc_Turno,'Calc_Mix'!$C$16,Esc_Circ,$B150)+COUNTIFS(Esc_Turno,'Calc_Mix'!$C$16,Esc_Instr,$B150)&gt;0),"",IF(SUMPRODUCT('Calc_Mix'!$D$16:$W$16,'Matriz_Habilidades'!$D150:$W150)=0,"",SUMPRODUCT('Calc_Mix'!$D$16:$W$16,'Matriz_Habilidades'!$D150:$W150)/'Calc_Mix'!$X$16+ROW()*0.000001))</f>
        <v/>
      </c>
      <c r="T150" s="34">
        <f>IF(OR($B150="",$C150&lt;&gt;"Ativo",$D150&lt;&gt;'Calc_Mix'!$C$17,'Calc_Mix'!$X$17=0,COUNTIFS(Esc_Turno,'Calc_Mix'!$C$17,Esc_Circ,$B150)+COUNTIFS(Esc_Turno,'Calc_Mix'!$C$17,Esc_Instr,$B150)&gt;0),"",IF(SUMPRODUCT('Calc_Mix'!$D$17:$W$17,'Matriz_Habilidades'!$D150:$W150)=0,"",SUMPRODUCT('Calc_Mix'!$D$17:$W$17,'Matriz_Habilidades'!$D150:$W150)/'Calc_Mix'!$X$17+ROW()*0.000001))</f>
        <v/>
      </c>
      <c r="U150" s="34">
        <f>IF(OR($B150="",$C150&lt;&gt;"Ativo",$D150&lt;&gt;'Calc_Mix'!$C$18,'Calc_Mix'!$X$18=0,COUNTIFS(Esc_Turno,'Calc_Mix'!$C$18,Esc_Circ,$B150)+COUNTIFS(Esc_Turno,'Calc_Mix'!$C$18,Esc_Instr,$B150)&gt;0),"",IF(SUMPRODUCT('Calc_Mix'!$D$18:$W$18,'Matriz_Habilidades'!$D150:$W150)=0,"",SUMPRODUCT('Calc_Mix'!$D$18:$W$18,'Matriz_Habilidades'!$D150:$W150)/'Calc_Mix'!$X$18+ROW()*0.000001))</f>
        <v/>
      </c>
      <c r="V150" s="34">
        <f>IF(OR($B150="",$C150&lt;&gt;"Ativo",$D150&lt;&gt;'Calc_Mix'!$C$19,'Calc_Mix'!$X$19=0,COUNTIFS(Esc_Turno,'Calc_Mix'!$C$19,Esc_Circ,$B150)+COUNTIFS(Esc_Turno,'Calc_Mix'!$C$19,Esc_Instr,$B150)&gt;0),"",IF(SUMPRODUCT('Calc_Mix'!$D$19:$W$19,'Matriz_Habilidades'!$D150:$W150)=0,"",SUMPRODUCT('Calc_Mix'!$D$19:$W$19,'Matriz_Habilidades'!$D150:$W150)/'Calc_Mix'!$X$19+ROW()*0.000001))</f>
        <v/>
      </c>
      <c r="W150" s="34">
        <f>IF(OR($B150="",$C150&lt;&gt;"Ativo",$D150&lt;&gt;'Calc_Mix'!$C$20,'Calc_Mix'!$X$20=0,COUNTIFS(Esc_Turno,'Calc_Mix'!$C$20,Esc_Circ,$B150)+COUNTIFS(Esc_Turno,'Calc_Mix'!$C$20,Esc_Instr,$B150)&gt;0),"",IF(SUMPRODUCT('Calc_Mix'!$D$20:$W$20,'Matriz_Habilidades'!$D150:$W150)=0,"",SUMPRODUCT('Calc_Mix'!$D$20:$W$20,'Matriz_Habilidades'!$D150:$W150)/'Calc_Mix'!$X$20+ROW()*0.000001))</f>
        <v/>
      </c>
      <c r="X150" s="34">
        <f>IF(OR($B150="",$C150&lt;&gt;"Ativo",$D150&lt;&gt;'Calc_Mix'!$C$21,'Calc_Mix'!$X$21=0,COUNTIFS(Esc_Turno,'Calc_Mix'!$C$21,Esc_Circ,$B150)+COUNTIFS(Esc_Turno,'Calc_Mix'!$C$21,Esc_Instr,$B150)&gt;0),"",IF(SUMPRODUCT('Calc_Mix'!$D$21:$W$21,'Matriz_Habilidades'!$D150:$W150)=0,"",SUMPRODUCT('Calc_Mix'!$D$21:$W$21,'Matriz_Habilidades'!$D150:$W150)/'Calc_Mix'!$X$21+ROW()*0.000001))</f>
        <v/>
      </c>
      <c r="Y150" s="34">
        <f>IF(OR($B150="",$C150&lt;&gt;"Ativo",$D150&lt;&gt;'Calc_Mix'!$C$22,'Calc_Mix'!$X$22=0,COUNTIFS(Esc_Turno,'Calc_Mix'!$C$22,Esc_Circ,$B150)+COUNTIFS(Esc_Turno,'Calc_Mix'!$C$22,Esc_Instr,$B150)&gt;0),"",IF(SUMPRODUCT('Calc_Mix'!$D$22:$W$22,'Matriz_Habilidades'!$D150:$W150)=0,"",SUMPRODUCT('Calc_Mix'!$D$22:$W$22,'Matriz_Habilidades'!$D150:$W150)/'Calc_Mix'!$X$22+ROW()*0.000001))</f>
        <v/>
      </c>
      <c r="Z150" s="34">
        <f>IF(OR($B150="",$C150&lt;&gt;"Ativo",$D150&lt;&gt;'Calc_Mix'!$C$23,'Calc_Mix'!$X$23=0,COUNTIFS(Esc_Turno,'Calc_Mix'!$C$23,Esc_Circ,$B150)+COUNTIFS(Esc_Turno,'Calc_Mix'!$C$23,Esc_Instr,$B150)&gt;0),"",IF(SUMPRODUCT('Calc_Mix'!$D$23:$W$23,'Matriz_Habilidades'!$D150:$W150)=0,"",SUMPRODUCT('Calc_Mix'!$D$23:$W$23,'Matriz_Habilidades'!$D150:$W150)/'Calc_Mix'!$X$23+ROW()*0.000001))</f>
        <v/>
      </c>
      <c r="AA150" s="34">
        <f>IF(OR($B150="",$C150&lt;&gt;"Ativo",$D150&lt;&gt;'Calc_Mix'!$C$24,'Calc_Mix'!$X$24=0,COUNTIFS(Esc_Turno,'Calc_Mix'!$C$24,Esc_Circ,$B150)+COUNTIFS(Esc_Turno,'Calc_Mix'!$C$24,Esc_Instr,$B150)&gt;0),"",IF(SUMPRODUCT('Calc_Mix'!$D$24:$W$24,'Matriz_Habilidades'!$D150:$W150)=0,"",SUMPRODUCT('Calc_Mix'!$D$24:$W$24,'Matriz_Habilidades'!$D150:$W150)/'Calc_Mix'!$X$24+ROW()*0.000001))</f>
        <v/>
      </c>
      <c r="AB150" s="34">
        <f>IF(OR($B150="",$C150&lt;&gt;"Ativo",$D150&lt;&gt;'Calc_Mix'!$C$25,'Calc_Mix'!$X$25=0,COUNTIFS(Esc_Turno,'Calc_Mix'!$C$25,Esc_Circ,$B150)+COUNTIFS(Esc_Turno,'Calc_Mix'!$C$25,Esc_Instr,$B150)&gt;0),"",IF(SUMPRODUCT('Calc_Mix'!$D$25:$W$25,'Matriz_Habilidades'!$D150:$W150)=0,"",SUMPRODUCT('Calc_Mix'!$D$25:$W$25,'Matriz_Habilidades'!$D150:$W150)/'Calc_Mix'!$X$25+ROW()*0.000001))</f>
        <v/>
      </c>
      <c r="AC150" s="34">
        <f>IF(OR($B150="",$C150&lt;&gt;"Ativo",$D150&lt;&gt;'Calc_Mix'!$C$26,'Calc_Mix'!$X$26=0,COUNTIFS(Esc_Turno,'Calc_Mix'!$C$26,Esc_Circ,$B150)+COUNTIFS(Esc_Turno,'Calc_Mix'!$C$26,Esc_Instr,$B150)&gt;0),"",IF(SUMPRODUCT('Calc_Mix'!$D$26:$W$26,'Matriz_Habilidades'!$D150:$W150)=0,"",SUMPRODUCT('Calc_Mix'!$D$26:$W$26,'Matriz_Habilidades'!$D150:$W150)/'Calc_Mix'!$X$26+ROW()*0.000001))</f>
        <v/>
      </c>
      <c r="AD150" s="34">
        <f>IF(OR($B150="",$C150&lt;&gt;"Ativo",$D150&lt;&gt;'Calc_Mix'!$C$27,'Calc_Mix'!$X$27=0,COUNTIFS(Esc_Turno,'Calc_Mix'!$C$27,Esc_Circ,$B150)+COUNTIFS(Esc_Turno,'Calc_Mix'!$C$27,Esc_Instr,$B150)&gt;0),"",IF(SUMPRODUCT('Calc_Mix'!$D$27:$W$27,'Matriz_Habilidades'!$D150:$W150)=0,"",SUMPRODUCT('Calc_Mix'!$D$27:$W$27,'Matriz_Habilidades'!$D150:$W150)/'Calc_Mix'!$X$27+ROW()*0.000001))</f>
        <v/>
      </c>
      <c r="AE150" s="34">
        <f>IF(OR($B150="",$C150&lt;&gt;"Ativo",$D150&lt;&gt;'Calc_Mix'!$C$28,'Calc_Mix'!$X$28=0,COUNTIFS(Esc_Turno,'Calc_Mix'!$C$28,Esc_Circ,$B150)+COUNTIFS(Esc_Turno,'Calc_Mix'!$C$28,Esc_Instr,$B150)&gt;0),"",IF(SUMPRODUCT('Calc_Mix'!$D$28:$W$28,'Matriz_Habilidades'!$D150:$W150)=0,"",SUMPRODUCT('Calc_Mix'!$D$28:$W$28,'Matriz_Habilidades'!$D150:$W150)/'Calc_Mix'!$X$28+ROW()*0.000001))</f>
        <v/>
      </c>
      <c r="AF150" s="34">
        <f>IF(OR($B150="",$C150&lt;&gt;"Ativo",$D150&lt;&gt;'Calc_Mix'!$C$29,'Calc_Mix'!$X$29=0,COUNTIFS(Esc_Turno,'Calc_Mix'!$C$29,Esc_Circ,$B150)+COUNTIFS(Esc_Turno,'Calc_Mix'!$C$29,Esc_Instr,$B150)&gt;0),"",IF(SUMPRODUCT('Calc_Mix'!$D$29:$W$29,'Matriz_Habilidades'!$D150:$W150)=0,"",SUMPRODUCT('Calc_Mix'!$D$29:$W$29,'Matriz_Habilidades'!$D150:$W150)/'Calc_Mix'!$X$29+ROW()*0.000001))</f>
        <v/>
      </c>
      <c r="AG150" s="34">
        <f>IF(OR($B150="",$C150&lt;&gt;"Ativo",$D150&lt;&gt;'Calc_Mix'!$C$30,'Calc_Mix'!$X$30=0,COUNTIFS(Esc_Turno,'Calc_Mix'!$C$30,Esc_Circ,$B150)+COUNTIFS(Esc_Turno,'Calc_Mix'!$C$30,Esc_Instr,$B150)&gt;0),"",IF(SUMPRODUCT('Calc_Mix'!$D$30:$W$30,'Matriz_Habilidades'!$D150:$W150)=0,"",SUMPRODUCT('Calc_Mix'!$D$30:$W$30,'Matriz_Habilidades'!$D150:$W150)/'Calc_Mix'!$X$30+ROW()*0.000001))</f>
        <v/>
      </c>
      <c r="AH150" s="34">
        <f>IF(OR($B150="",$C150&lt;&gt;"Ativo",$D150&lt;&gt;'Calc_Mix'!$C$31,'Calc_Mix'!$X$31=0,COUNTIFS(Esc_Turno,'Calc_Mix'!$C$31,Esc_Circ,$B150)+COUNTIFS(Esc_Turno,'Calc_Mix'!$C$31,Esc_Instr,$B150)&gt;0),"",IF(SUMPRODUCT('Calc_Mix'!$D$31:$W$31,'Matriz_Habilidades'!$D150:$W150)=0,"",SUMPRODUCT('Calc_Mix'!$D$31:$W$31,'Matriz_Habilidades'!$D150:$W150)/'Calc_Mix'!$X$31+ROW()*0.000001))</f>
        <v/>
      </c>
      <c r="AI150" s="34">
        <f>IF(OR($B150="",$C150&lt;&gt;"Ativo",$D150&lt;&gt;'Calc_Mix'!$C$32,'Calc_Mix'!$X$32=0,COUNTIFS(Esc_Turno,'Calc_Mix'!$C$32,Esc_Circ,$B150)+COUNTIFS(Esc_Turno,'Calc_Mix'!$C$32,Esc_Instr,$B150)&gt;0),"",IF(SUMPRODUCT('Calc_Mix'!$D$32:$W$32,'Matriz_Habilidades'!$D150:$W150)=0,"",SUMPRODUCT('Calc_Mix'!$D$32:$W$32,'Matriz_Habilidades'!$D150:$W150)/'Calc_Mix'!$X$32+ROW()*0.000001))</f>
        <v/>
      </c>
      <c r="AJ150" s="34">
        <f>IF(OR($B150="",$C150&lt;&gt;"Ativo",$D150&lt;&gt;'Calc_Mix'!$C$33,'Calc_Mix'!$X$33=0,COUNTIFS(Esc_Turno,'Calc_Mix'!$C$33,Esc_Circ,$B150)+COUNTIFS(Esc_Turno,'Calc_Mix'!$C$33,Esc_Instr,$B150)&gt;0),"",IF(SUMPRODUCT('Calc_Mix'!$D$33:$W$33,'Matriz_Habilidades'!$D150:$W150)=0,"",SUMPRODUCT('Calc_Mix'!$D$33:$W$33,'Matriz_Habilidades'!$D150:$W150)/'Calc_Mix'!$X$33+ROW()*0.000001))</f>
        <v/>
      </c>
      <c r="AK150" s="34">
        <f>IF(OR($B150="",$C150&lt;&gt;"Ativo",$D150&lt;&gt;'Calc_Mix'!$C$34,'Calc_Mix'!$X$34=0,COUNTIFS(Esc_Turno,'Calc_Mix'!$C$34,Esc_Circ,$B150)+COUNTIFS(Esc_Turno,'Calc_Mix'!$C$34,Esc_Instr,$B150)&gt;0),"",IF(SUMPRODUCT('Calc_Mix'!$D$34:$W$34,'Matriz_Habilidades'!$D150:$W150)=0,"",SUMPRODUCT('Calc_Mix'!$D$34:$W$34,'Matriz_Habilidades'!$D150:$W150)/'Calc_Mix'!$X$34+ROW()*0.000001))</f>
        <v/>
      </c>
      <c r="AL150" s="34">
        <f>IF(OR($B150="",$C150&lt;&gt;"Ativo",$D150&lt;&gt;'Calc_Mix'!$C$35,'Calc_Mix'!$X$35=0,COUNTIFS(Esc_Turno,'Calc_Mix'!$C$35,Esc_Circ,$B150)+COUNTIFS(Esc_Turno,'Calc_Mix'!$C$35,Esc_Instr,$B150)&gt;0),"",IF(SUMPRODUCT('Calc_Mix'!$D$35:$W$35,'Matriz_Habilidades'!$D150:$W150)=0,"",SUMPRODUCT('Calc_Mix'!$D$35:$W$35,'Matriz_Habilidades'!$D150:$W150)/'Calc_Mix'!$X$35+ROW()*0.000001))</f>
        <v/>
      </c>
      <c r="AM150" s="34">
        <f>IF(OR($B150="",$C150&lt;&gt;"Ativo",$D150&lt;&gt;'Calc_Mix'!$C$36,'Calc_Mix'!$X$36=0,COUNTIFS(Esc_Turno,'Calc_Mix'!$C$36,Esc_Circ,$B150)+COUNTIFS(Esc_Turno,'Calc_Mix'!$C$36,Esc_Instr,$B150)&gt;0),"",IF(SUMPRODUCT('Calc_Mix'!$D$36:$W$36,'Matriz_Habilidades'!$D150:$W150)=0,"",SUMPRODUCT('Calc_Mix'!$D$36:$W$36,'Matriz_Habilidades'!$D150:$W150)/'Calc_Mix'!$X$36+ROW()*0.000001))</f>
        <v/>
      </c>
      <c r="AN150" s="34">
        <f>IF(OR($B150="",$C150&lt;&gt;"Ativo",$D150&lt;&gt;'Calc_Mix'!$C$37,'Calc_Mix'!$X$37=0,COUNTIFS(Esc_Turno,'Calc_Mix'!$C$37,Esc_Circ,$B150)+COUNTIFS(Esc_Turno,'Calc_Mix'!$C$37,Esc_Instr,$B150)&gt;0),"",IF(SUMPRODUCT('Calc_Mix'!$D$37:$W$37,'Matriz_Habilidades'!$D150:$W150)=0,"",SUMPRODUCT('Calc_Mix'!$D$37:$W$37,'Matriz_Habilidades'!$D150:$W150)/'Calc_Mix'!$X$37+ROW()*0.000001))</f>
        <v/>
      </c>
    </row>
    <row r="151">
      <c r="A151" s="27">
        <f>IF('Matriz_Habilidades'!A151="","",'Matriz_Habilidades'!A151)</f>
        <v/>
      </c>
      <c r="B151" s="28">
        <f>IF('Matriz_Habilidades'!B151="","",'Matriz_Habilidades'!B151)</f>
        <v/>
      </c>
      <c r="C151" s="27">
        <f>IF($A151="","",IFERROR(INDEX(Equipe_Status,MATCH($B151,Equipe_Nome,0)),"?"))</f>
        <v/>
      </c>
      <c r="D151" s="27">
        <f>IF($A151="","",IFERROR(INDEX(Equipe_Turno,MATCH($B151,Equipe_Nome,0)),"?"))</f>
        <v/>
      </c>
      <c r="E151" s="34">
        <f>IF(OR($B151="",$C151&lt;&gt;"Ativo",$D151&lt;&gt;'Calc_Mix'!$C$2,'Calc_Mix'!$X$2=0,COUNTIFS(Esc_Turno,'Calc_Mix'!$C$2,Esc_Circ,$B151)+COUNTIFS(Esc_Turno,'Calc_Mix'!$C$2,Esc_Instr,$B151)&gt;0),"",IF(SUMPRODUCT('Calc_Mix'!$D$2:$W$2,'Matriz_Habilidades'!$D151:$W151)=0,"",SUMPRODUCT('Calc_Mix'!$D$2:$W$2,'Matriz_Habilidades'!$D151:$W151)/'Calc_Mix'!$X$2+ROW()*0.000001))</f>
        <v/>
      </c>
      <c r="F151" s="34">
        <f>IF(OR($B151="",$C151&lt;&gt;"Ativo",$D151&lt;&gt;'Calc_Mix'!$C$3,'Calc_Mix'!$X$3=0,COUNTIFS(Esc_Turno,'Calc_Mix'!$C$3,Esc_Circ,$B151)+COUNTIFS(Esc_Turno,'Calc_Mix'!$C$3,Esc_Instr,$B151)&gt;0),"",IF(SUMPRODUCT('Calc_Mix'!$D$3:$W$3,'Matriz_Habilidades'!$D151:$W151)=0,"",SUMPRODUCT('Calc_Mix'!$D$3:$W$3,'Matriz_Habilidades'!$D151:$W151)/'Calc_Mix'!$X$3+ROW()*0.000001))</f>
        <v/>
      </c>
      <c r="G151" s="34">
        <f>IF(OR($B151="",$C151&lt;&gt;"Ativo",$D151&lt;&gt;'Calc_Mix'!$C$4,'Calc_Mix'!$X$4=0,COUNTIFS(Esc_Turno,'Calc_Mix'!$C$4,Esc_Circ,$B151)+COUNTIFS(Esc_Turno,'Calc_Mix'!$C$4,Esc_Instr,$B151)&gt;0),"",IF(SUMPRODUCT('Calc_Mix'!$D$4:$W$4,'Matriz_Habilidades'!$D151:$W151)=0,"",SUMPRODUCT('Calc_Mix'!$D$4:$W$4,'Matriz_Habilidades'!$D151:$W151)/'Calc_Mix'!$X$4+ROW()*0.000001))</f>
        <v/>
      </c>
      <c r="H151" s="34">
        <f>IF(OR($B151="",$C151&lt;&gt;"Ativo",$D151&lt;&gt;'Calc_Mix'!$C$5,'Calc_Mix'!$X$5=0,COUNTIFS(Esc_Turno,'Calc_Mix'!$C$5,Esc_Circ,$B151)+COUNTIFS(Esc_Turno,'Calc_Mix'!$C$5,Esc_Instr,$B151)&gt;0),"",IF(SUMPRODUCT('Calc_Mix'!$D$5:$W$5,'Matriz_Habilidades'!$D151:$W151)=0,"",SUMPRODUCT('Calc_Mix'!$D$5:$W$5,'Matriz_Habilidades'!$D151:$W151)/'Calc_Mix'!$X$5+ROW()*0.000001))</f>
        <v/>
      </c>
      <c r="I151" s="34">
        <f>IF(OR($B151="",$C151&lt;&gt;"Ativo",$D151&lt;&gt;'Calc_Mix'!$C$6,'Calc_Mix'!$X$6=0,COUNTIFS(Esc_Turno,'Calc_Mix'!$C$6,Esc_Circ,$B151)+COUNTIFS(Esc_Turno,'Calc_Mix'!$C$6,Esc_Instr,$B151)&gt;0),"",IF(SUMPRODUCT('Calc_Mix'!$D$6:$W$6,'Matriz_Habilidades'!$D151:$W151)=0,"",SUMPRODUCT('Calc_Mix'!$D$6:$W$6,'Matriz_Habilidades'!$D151:$W151)/'Calc_Mix'!$X$6+ROW()*0.000001))</f>
        <v/>
      </c>
      <c r="J151" s="34">
        <f>IF(OR($B151="",$C151&lt;&gt;"Ativo",$D151&lt;&gt;'Calc_Mix'!$C$7,'Calc_Mix'!$X$7=0,COUNTIFS(Esc_Turno,'Calc_Mix'!$C$7,Esc_Circ,$B151)+COUNTIFS(Esc_Turno,'Calc_Mix'!$C$7,Esc_Instr,$B151)&gt;0),"",IF(SUMPRODUCT('Calc_Mix'!$D$7:$W$7,'Matriz_Habilidades'!$D151:$W151)=0,"",SUMPRODUCT('Calc_Mix'!$D$7:$W$7,'Matriz_Habilidades'!$D151:$W151)/'Calc_Mix'!$X$7+ROW()*0.000001))</f>
        <v/>
      </c>
      <c r="K151" s="34">
        <f>IF(OR($B151="",$C151&lt;&gt;"Ativo",$D151&lt;&gt;'Calc_Mix'!$C$8,'Calc_Mix'!$X$8=0,COUNTIFS(Esc_Turno,'Calc_Mix'!$C$8,Esc_Circ,$B151)+COUNTIFS(Esc_Turno,'Calc_Mix'!$C$8,Esc_Instr,$B151)&gt;0),"",IF(SUMPRODUCT('Calc_Mix'!$D$8:$W$8,'Matriz_Habilidades'!$D151:$W151)=0,"",SUMPRODUCT('Calc_Mix'!$D$8:$W$8,'Matriz_Habilidades'!$D151:$W151)/'Calc_Mix'!$X$8+ROW()*0.000001))</f>
        <v/>
      </c>
      <c r="L151" s="34">
        <f>IF(OR($B151="",$C151&lt;&gt;"Ativo",$D151&lt;&gt;'Calc_Mix'!$C$9,'Calc_Mix'!$X$9=0,COUNTIFS(Esc_Turno,'Calc_Mix'!$C$9,Esc_Circ,$B151)+COUNTIFS(Esc_Turno,'Calc_Mix'!$C$9,Esc_Instr,$B151)&gt;0),"",IF(SUMPRODUCT('Calc_Mix'!$D$9:$W$9,'Matriz_Habilidades'!$D151:$W151)=0,"",SUMPRODUCT('Calc_Mix'!$D$9:$W$9,'Matriz_Habilidades'!$D151:$W151)/'Calc_Mix'!$X$9+ROW()*0.000001))</f>
        <v/>
      </c>
      <c r="M151" s="34">
        <f>IF(OR($B151="",$C151&lt;&gt;"Ativo",$D151&lt;&gt;'Calc_Mix'!$C$10,'Calc_Mix'!$X$10=0,COUNTIFS(Esc_Turno,'Calc_Mix'!$C$10,Esc_Circ,$B151)+COUNTIFS(Esc_Turno,'Calc_Mix'!$C$10,Esc_Instr,$B151)&gt;0),"",IF(SUMPRODUCT('Calc_Mix'!$D$10:$W$10,'Matriz_Habilidades'!$D151:$W151)=0,"",SUMPRODUCT('Calc_Mix'!$D$10:$W$10,'Matriz_Habilidades'!$D151:$W151)/'Calc_Mix'!$X$10+ROW()*0.000001))</f>
        <v/>
      </c>
      <c r="N151" s="34">
        <f>IF(OR($B151="",$C151&lt;&gt;"Ativo",$D151&lt;&gt;'Calc_Mix'!$C$11,'Calc_Mix'!$X$11=0,COUNTIFS(Esc_Turno,'Calc_Mix'!$C$11,Esc_Circ,$B151)+COUNTIFS(Esc_Turno,'Calc_Mix'!$C$11,Esc_Instr,$B151)&gt;0),"",IF(SUMPRODUCT('Calc_Mix'!$D$11:$W$11,'Matriz_Habilidades'!$D151:$W151)=0,"",SUMPRODUCT('Calc_Mix'!$D$11:$W$11,'Matriz_Habilidades'!$D151:$W151)/'Calc_Mix'!$X$11+ROW()*0.000001))</f>
        <v/>
      </c>
      <c r="O151" s="34">
        <f>IF(OR($B151="",$C151&lt;&gt;"Ativo",$D151&lt;&gt;'Calc_Mix'!$C$12,'Calc_Mix'!$X$12=0,COUNTIFS(Esc_Turno,'Calc_Mix'!$C$12,Esc_Circ,$B151)+COUNTIFS(Esc_Turno,'Calc_Mix'!$C$12,Esc_Instr,$B151)&gt;0),"",IF(SUMPRODUCT('Calc_Mix'!$D$12:$W$12,'Matriz_Habilidades'!$D151:$W151)=0,"",SUMPRODUCT('Calc_Mix'!$D$12:$W$12,'Matriz_Habilidades'!$D151:$W151)/'Calc_Mix'!$X$12+ROW()*0.000001))</f>
        <v/>
      </c>
      <c r="P151" s="34">
        <f>IF(OR($B151="",$C151&lt;&gt;"Ativo",$D151&lt;&gt;'Calc_Mix'!$C$13,'Calc_Mix'!$X$13=0,COUNTIFS(Esc_Turno,'Calc_Mix'!$C$13,Esc_Circ,$B151)+COUNTIFS(Esc_Turno,'Calc_Mix'!$C$13,Esc_Instr,$B151)&gt;0),"",IF(SUMPRODUCT('Calc_Mix'!$D$13:$W$13,'Matriz_Habilidades'!$D151:$W151)=0,"",SUMPRODUCT('Calc_Mix'!$D$13:$W$13,'Matriz_Habilidades'!$D151:$W151)/'Calc_Mix'!$X$13+ROW()*0.000001))</f>
        <v/>
      </c>
      <c r="Q151" s="34">
        <f>IF(OR($B151="",$C151&lt;&gt;"Ativo",$D151&lt;&gt;'Calc_Mix'!$C$14,'Calc_Mix'!$X$14=0,COUNTIFS(Esc_Turno,'Calc_Mix'!$C$14,Esc_Circ,$B151)+COUNTIFS(Esc_Turno,'Calc_Mix'!$C$14,Esc_Instr,$B151)&gt;0),"",IF(SUMPRODUCT('Calc_Mix'!$D$14:$W$14,'Matriz_Habilidades'!$D151:$W151)=0,"",SUMPRODUCT('Calc_Mix'!$D$14:$W$14,'Matriz_Habilidades'!$D151:$W151)/'Calc_Mix'!$X$14+ROW()*0.000001))</f>
        <v/>
      </c>
      <c r="R151" s="34">
        <f>IF(OR($B151="",$C151&lt;&gt;"Ativo",$D151&lt;&gt;'Calc_Mix'!$C$15,'Calc_Mix'!$X$15=0,COUNTIFS(Esc_Turno,'Calc_Mix'!$C$15,Esc_Circ,$B151)+COUNTIFS(Esc_Turno,'Calc_Mix'!$C$15,Esc_Instr,$B151)&gt;0),"",IF(SUMPRODUCT('Calc_Mix'!$D$15:$W$15,'Matriz_Habilidades'!$D151:$W151)=0,"",SUMPRODUCT('Calc_Mix'!$D$15:$W$15,'Matriz_Habilidades'!$D151:$W151)/'Calc_Mix'!$X$15+ROW()*0.000001))</f>
        <v/>
      </c>
      <c r="S151" s="34">
        <f>IF(OR($B151="",$C151&lt;&gt;"Ativo",$D151&lt;&gt;'Calc_Mix'!$C$16,'Calc_Mix'!$X$16=0,COUNTIFS(Esc_Turno,'Calc_Mix'!$C$16,Esc_Circ,$B151)+COUNTIFS(Esc_Turno,'Calc_Mix'!$C$16,Esc_Instr,$B151)&gt;0),"",IF(SUMPRODUCT('Calc_Mix'!$D$16:$W$16,'Matriz_Habilidades'!$D151:$W151)=0,"",SUMPRODUCT('Calc_Mix'!$D$16:$W$16,'Matriz_Habilidades'!$D151:$W151)/'Calc_Mix'!$X$16+ROW()*0.000001))</f>
        <v/>
      </c>
      <c r="T151" s="34">
        <f>IF(OR($B151="",$C151&lt;&gt;"Ativo",$D151&lt;&gt;'Calc_Mix'!$C$17,'Calc_Mix'!$X$17=0,COUNTIFS(Esc_Turno,'Calc_Mix'!$C$17,Esc_Circ,$B151)+COUNTIFS(Esc_Turno,'Calc_Mix'!$C$17,Esc_Instr,$B151)&gt;0),"",IF(SUMPRODUCT('Calc_Mix'!$D$17:$W$17,'Matriz_Habilidades'!$D151:$W151)=0,"",SUMPRODUCT('Calc_Mix'!$D$17:$W$17,'Matriz_Habilidades'!$D151:$W151)/'Calc_Mix'!$X$17+ROW()*0.000001))</f>
        <v/>
      </c>
      <c r="U151" s="34">
        <f>IF(OR($B151="",$C151&lt;&gt;"Ativo",$D151&lt;&gt;'Calc_Mix'!$C$18,'Calc_Mix'!$X$18=0,COUNTIFS(Esc_Turno,'Calc_Mix'!$C$18,Esc_Circ,$B151)+COUNTIFS(Esc_Turno,'Calc_Mix'!$C$18,Esc_Instr,$B151)&gt;0),"",IF(SUMPRODUCT('Calc_Mix'!$D$18:$W$18,'Matriz_Habilidades'!$D151:$W151)=0,"",SUMPRODUCT('Calc_Mix'!$D$18:$W$18,'Matriz_Habilidades'!$D151:$W151)/'Calc_Mix'!$X$18+ROW()*0.000001))</f>
        <v/>
      </c>
      <c r="V151" s="34">
        <f>IF(OR($B151="",$C151&lt;&gt;"Ativo",$D151&lt;&gt;'Calc_Mix'!$C$19,'Calc_Mix'!$X$19=0,COUNTIFS(Esc_Turno,'Calc_Mix'!$C$19,Esc_Circ,$B151)+COUNTIFS(Esc_Turno,'Calc_Mix'!$C$19,Esc_Instr,$B151)&gt;0),"",IF(SUMPRODUCT('Calc_Mix'!$D$19:$W$19,'Matriz_Habilidades'!$D151:$W151)=0,"",SUMPRODUCT('Calc_Mix'!$D$19:$W$19,'Matriz_Habilidades'!$D151:$W151)/'Calc_Mix'!$X$19+ROW()*0.000001))</f>
        <v/>
      </c>
      <c r="W151" s="34">
        <f>IF(OR($B151="",$C151&lt;&gt;"Ativo",$D151&lt;&gt;'Calc_Mix'!$C$20,'Calc_Mix'!$X$20=0,COUNTIFS(Esc_Turno,'Calc_Mix'!$C$20,Esc_Circ,$B151)+COUNTIFS(Esc_Turno,'Calc_Mix'!$C$20,Esc_Instr,$B151)&gt;0),"",IF(SUMPRODUCT('Calc_Mix'!$D$20:$W$20,'Matriz_Habilidades'!$D151:$W151)=0,"",SUMPRODUCT('Calc_Mix'!$D$20:$W$20,'Matriz_Habilidades'!$D151:$W151)/'Calc_Mix'!$X$20+ROW()*0.000001))</f>
        <v/>
      </c>
      <c r="X151" s="34">
        <f>IF(OR($B151="",$C151&lt;&gt;"Ativo",$D151&lt;&gt;'Calc_Mix'!$C$21,'Calc_Mix'!$X$21=0,COUNTIFS(Esc_Turno,'Calc_Mix'!$C$21,Esc_Circ,$B151)+COUNTIFS(Esc_Turno,'Calc_Mix'!$C$21,Esc_Instr,$B151)&gt;0),"",IF(SUMPRODUCT('Calc_Mix'!$D$21:$W$21,'Matriz_Habilidades'!$D151:$W151)=0,"",SUMPRODUCT('Calc_Mix'!$D$21:$W$21,'Matriz_Habilidades'!$D151:$W151)/'Calc_Mix'!$X$21+ROW()*0.000001))</f>
        <v/>
      </c>
      <c r="Y151" s="34">
        <f>IF(OR($B151="",$C151&lt;&gt;"Ativo",$D151&lt;&gt;'Calc_Mix'!$C$22,'Calc_Mix'!$X$22=0,COUNTIFS(Esc_Turno,'Calc_Mix'!$C$22,Esc_Circ,$B151)+COUNTIFS(Esc_Turno,'Calc_Mix'!$C$22,Esc_Instr,$B151)&gt;0),"",IF(SUMPRODUCT('Calc_Mix'!$D$22:$W$22,'Matriz_Habilidades'!$D151:$W151)=0,"",SUMPRODUCT('Calc_Mix'!$D$22:$W$22,'Matriz_Habilidades'!$D151:$W151)/'Calc_Mix'!$X$22+ROW()*0.000001))</f>
        <v/>
      </c>
      <c r="Z151" s="34">
        <f>IF(OR($B151="",$C151&lt;&gt;"Ativo",$D151&lt;&gt;'Calc_Mix'!$C$23,'Calc_Mix'!$X$23=0,COUNTIFS(Esc_Turno,'Calc_Mix'!$C$23,Esc_Circ,$B151)+COUNTIFS(Esc_Turno,'Calc_Mix'!$C$23,Esc_Instr,$B151)&gt;0),"",IF(SUMPRODUCT('Calc_Mix'!$D$23:$W$23,'Matriz_Habilidades'!$D151:$W151)=0,"",SUMPRODUCT('Calc_Mix'!$D$23:$W$23,'Matriz_Habilidades'!$D151:$W151)/'Calc_Mix'!$X$23+ROW()*0.000001))</f>
        <v/>
      </c>
      <c r="AA151" s="34">
        <f>IF(OR($B151="",$C151&lt;&gt;"Ativo",$D151&lt;&gt;'Calc_Mix'!$C$24,'Calc_Mix'!$X$24=0,COUNTIFS(Esc_Turno,'Calc_Mix'!$C$24,Esc_Circ,$B151)+COUNTIFS(Esc_Turno,'Calc_Mix'!$C$24,Esc_Instr,$B151)&gt;0),"",IF(SUMPRODUCT('Calc_Mix'!$D$24:$W$24,'Matriz_Habilidades'!$D151:$W151)=0,"",SUMPRODUCT('Calc_Mix'!$D$24:$W$24,'Matriz_Habilidades'!$D151:$W151)/'Calc_Mix'!$X$24+ROW()*0.000001))</f>
        <v/>
      </c>
      <c r="AB151" s="34">
        <f>IF(OR($B151="",$C151&lt;&gt;"Ativo",$D151&lt;&gt;'Calc_Mix'!$C$25,'Calc_Mix'!$X$25=0,COUNTIFS(Esc_Turno,'Calc_Mix'!$C$25,Esc_Circ,$B151)+COUNTIFS(Esc_Turno,'Calc_Mix'!$C$25,Esc_Instr,$B151)&gt;0),"",IF(SUMPRODUCT('Calc_Mix'!$D$25:$W$25,'Matriz_Habilidades'!$D151:$W151)=0,"",SUMPRODUCT('Calc_Mix'!$D$25:$W$25,'Matriz_Habilidades'!$D151:$W151)/'Calc_Mix'!$X$25+ROW()*0.000001))</f>
        <v/>
      </c>
      <c r="AC151" s="34">
        <f>IF(OR($B151="",$C151&lt;&gt;"Ativo",$D151&lt;&gt;'Calc_Mix'!$C$26,'Calc_Mix'!$X$26=0,COUNTIFS(Esc_Turno,'Calc_Mix'!$C$26,Esc_Circ,$B151)+COUNTIFS(Esc_Turno,'Calc_Mix'!$C$26,Esc_Instr,$B151)&gt;0),"",IF(SUMPRODUCT('Calc_Mix'!$D$26:$W$26,'Matriz_Habilidades'!$D151:$W151)=0,"",SUMPRODUCT('Calc_Mix'!$D$26:$W$26,'Matriz_Habilidades'!$D151:$W151)/'Calc_Mix'!$X$26+ROW()*0.000001))</f>
        <v/>
      </c>
      <c r="AD151" s="34">
        <f>IF(OR($B151="",$C151&lt;&gt;"Ativo",$D151&lt;&gt;'Calc_Mix'!$C$27,'Calc_Mix'!$X$27=0,COUNTIFS(Esc_Turno,'Calc_Mix'!$C$27,Esc_Circ,$B151)+COUNTIFS(Esc_Turno,'Calc_Mix'!$C$27,Esc_Instr,$B151)&gt;0),"",IF(SUMPRODUCT('Calc_Mix'!$D$27:$W$27,'Matriz_Habilidades'!$D151:$W151)=0,"",SUMPRODUCT('Calc_Mix'!$D$27:$W$27,'Matriz_Habilidades'!$D151:$W151)/'Calc_Mix'!$X$27+ROW()*0.000001))</f>
        <v/>
      </c>
      <c r="AE151" s="34">
        <f>IF(OR($B151="",$C151&lt;&gt;"Ativo",$D151&lt;&gt;'Calc_Mix'!$C$28,'Calc_Mix'!$X$28=0,COUNTIFS(Esc_Turno,'Calc_Mix'!$C$28,Esc_Circ,$B151)+COUNTIFS(Esc_Turno,'Calc_Mix'!$C$28,Esc_Instr,$B151)&gt;0),"",IF(SUMPRODUCT('Calc_Mix'!$D$28:$W$28,'Matriz_Habilidades'!$D151:$W151)=0,"",SUMPRODUCT('Calc_Mix'!$D$28:$W$28,'Matriz_Habilidades'!$D151:$W151)/'Calc_Mix'!$X$28+ROW()*0.000001))</f>
        <v/>
      </c>
      <c r="AF151" s="34">
        <f>IF(OR($B151="",$C151&lt;&gt;"Ativo",$D151&lt;&gt;'Calc_Mix'!$C$29,'Calc_Mix'!$X$29=0,COUNTIFS(Esc_Turno,'Calc_Mix'!$C$29,Esc_Circ,$B151)+COUNTIFS(Esc_Turno,'Calc_Mix'!$C$29,Esc_Instr,$B151)&gt;0),"",IF(SUMPRODUCT('Calc_Mix'!$D$29:$W$29,'Matriz_Habilidades'!$D151:$W151)=0,"",SUMPRODUCT('Calc_Mix'!$D$29:$W$29,'Matriz_Habilidades'!$D151:$W151)/'Calc_Mix'!$X$29+ROW()*0.000001))</f>
        <v/>
      </c>
      <c r="AG151" s="34">
        <f>IF(OR($B151="",$C151&lt;&gt;"Ativo",$D151&lt;&gt;'Calc_Mix'!$C$30,'Calc_Mix'!$X$30=0,COUNTIFS(Esc_Turno,'Calc_Mix'!$C$30,Esc_Circ,$B151)+COUNTIFS(Esc_Turno,'Calc_Mix'!$C$30,Esc_Instr,$B151)&gt;0),"",IF(SUMPRODUCT('Calc_Mix'!$D$30:$W$30,'Matriz_Habilidades'!$D151:$W151)=0,"",SUMPRODUCT('Calc_Mix'!$D$30:$W$30,'Matriz_Habilidades'!$D151:$W151)/'Calc_Mix'!$X$30+ROW()*0.000001))</f>
        <v/>
      </c>
      <c r="AH151" s="34">
        <f>IF(OR($B151="",$C151&lt;&gt;"Ativo",$D151&lt;&gt;'Calc_Mix'!$C$31,'Calc_Mix'!$X$31=0,COUNTIFS(Esc_Turno,'Calc_Mix'!$C$31,Esc_Circ,$B151)+COUNTIFS(Esc_Turno,'Calc_Mix'!$C$31,Esc_Instr,$B151)&gt;0),"",IF(SUMPRODUCT('Calc_Mix'!$D$31:$W$31,'Matriz_Habilidades'!$D151:$W151)=0,"",SUMPRODUCT('Calc_Mix'!$D$31:$W$31,'Matriz_Habilidades'!$D151:$W151)/'Calc_Mix'!$X$31+ROW()*0.000001))</f>
        <v/>
      </c>
      <c r="AI151" s="34">
        <f>IF(OR($B151="",$C151&lt;&gt;"Ativo",$D151&lt;&gt;'Calc_Mix'!$C$32,'Calc_Mix'!$X$32=0,COUNTIFS(Esc_Turno,'Calc_Mix'!$C$32,Esc_Circ,$B151)+COUNTIFS(Esc_Turno,'Calc_Mix'!$C$32,Esc_Instr,$B151)&gt;0),"",IF(SUMPRODUCT('Calc_Mix'!$D$32:$W$32,'Matriz_Habilidades'!$D151:$W151)=0,"",SUMPRODUCT('Calc_Mix'!$D$32:$W$32,'Matriz_Habilidades'!$D151:$W151)/'Calc_Mix'!$X$32+ROW()*0.000001))</f>
        <v/>
      </c>
      <c r="AJ151" s="34">
        <f>IF(OR($B151="",$C151&lt;&gt;"Ativo",$D151&lt;&gt;'Calc_Mix'!$C$33,'Calc_Mix'!$X$33=0,COUNTIFS(Esc_Turno,'Calc_Mix'!$C$33,Esc_Circ,$B151)+COUNTIFS(Esc_Turno,'Calc_Mix'!$C$33,Esc_Instr,$B151)&gt;0),"",IF(SUMPRODUCT('Calc_Mix'!$D$33:$W$33,'Matriz_Habilidades'!$D151:$W151)=0,"",SUMPRODUCT('Calc_Mix'!$D$33:$W$33,'Matriz_Habilidades'!$D151:$W151)/'Calc_Mix'!$X$33+ROW()*0.000001))</f>
        <v/>
      </c>
      <c r="AK151" s="34">
        <f>IF(OR($B151="",$C151&lt;&gt;"Ativo",$D151&lt;&gt;'Calc_Mix'!$C$34,'Calc_Mix'!$X$34=0,COUNTIFS(Esc_Turno,'Calc_Mix'!$C$34,Esc_Circ,$B151)+COUNTIFS(Esc_Turno,'Calc_Mix'!$C$34,Esc_Instr,$B151)&gt;0),"",IF(SUMPRODUCT('Calc_Mix'!$D$34:$W$34,'Matriz_Habilidades'!$D151:$W151)=0,"",SUMPRODUCT('Calc_Mix'!$D$34:$W$34,'Matriz_Habilidades'!$D151:$W151)/'Calc_Mix'!$X$34+ROW()*0.000001))</f>
        <v/>
      </c>
      <c r="AL151" s="34">
        <f>IF(OR($B151="",$C151&lt;&gt;"Ativo",$D151&lt;&gt;'Calc_Mix'!$C$35,'Calc_Mix'!$X$35=0,COUNTIFS(Esc_Turno,'Calc_Mix'!$C$35,Esc_Circ,$B151)+COUNTIFS(Esc_Turno,'Calc_Mix'!$C$35,Esc_Instr,$B151)&gt;0),"",IF(SUMPRODUCT('Calc_Mix'!$D$35:$W$35,'Matriz_Habilidades'!$D151:$W151)=0,"",SUMPRODUCT('Calc_Mix'!$D$35:$W$35,'Matriz_Habilidades'!$D151:$W151)/'Calc_Mix'!$X$35+ROW()*0.000001))</f>
        <v/>
      </c>
      <c r="AM151" s="34">
        <f>IF(OR($B151="",$C151&lt;&gt;"Ativo",$D151&lt;&gt;'Calc_Mix'!$C$36,'Calc_Mix'!$X$36=0,COUNTIFS(Esc_Turno,'Calc_Mix'!$C$36,Esc_Circ,$B151)+COUNTIFS(Esc_Turno,'Calc_Mix'!$C$36,Esc_Instr,$B151)&gt;0),"",IF(SUMPRODUCT('Calc_Mix'!$D$36:$W$36,'Matriz_Habilidades'!$D151:$W151)=0,"",SUMPRODUCT('Calc_Mix'!$D$36:$W$36,'Matriz_Habilidades'!$D151:$W151)/'Calc_Mix'!$X$36+ROW()*0.000001))</f>
        <v/>
      </c>
      <c r="AN151" s="34">
        <f>IF(OR($B151="",$C151&lt;&gt;"Ativo",$D151&lt;&gt;'Calc_Mix'!$C$37,'Calc_Mix'!$X$37=0,COUNTIFS(Esc_Turno,'Calc_Mix'!$C$37,Esc_Circ,$B151)+COUNTIFS(Esc_Turno,'Calc_Mix'!$C$37,Esc_Instr,$B151)&gt;0),"",IF(SUMPRODUCT('Calc_Mix'!$D$37:$W$37,'Matriz_Habilidades'!$D151:$W151)=0,"",SUMPRODUCT('Calc_Mix'!$D$37:$W$37,'Matriz_Habilidades'!$D151:$W151)/'Calc_Mix'!$X$37+ROW()*0.000001)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3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9" customWidth="1" min="4" max="4"/>
    <col width="11" customWidth="1" min="5" max="5"/>
    <col width="11" customWidth="1" min="6" max="6"/>
    <col width="11" customWidth="1" min="7" max="7"/>
    <col width="25" customWidth="1" min="8" max="8"/>
    <col width="21" customWidth="1" min="9" max="9"/>
    <col width="25" customWidth="1" min="10" max="10"/>
    <col width="21" customWidth="1" min="11" max="11"/>
    <col width="11" customWidth="1" min="12" max="12"/>
    <col width="12" customWidth="1" min="13" max="13"/>
    <col width="12" customWidth="1" min="14" max="14"/>
    <col width="14" customWidth="1" min="15" max="15"/>
    <col width="20" customWidth="1" min="16" max="16"/>
    <col width="20" customWidth="1" min="17" max="17"/>
    <col width="20" customWidth="1" min="18" max="18"/>
    <col width="34" customWidth="1" min="19" max="19"/>
    <col width="62" customWidth="1" min="20" max="20"/>
    <col hidden="1" width="8" customWidth="1" min="21" max="21"/>
    <col hidden="1" width="8" customWidth="1" min="22" max="22"/>
    <col hidden="1" width="8" customWidth="1" min="23" max="23"/>
  </cols>
  <sheetData>
    <row r="1" ht="46" customHeight="1">
      <c r="A1" s="14" t="inlineStr">
        <is>
          <t>Data</t>
        </is>
      </c>
      <c r="B1" s="14" t="inlineStr">
        <is>
          <t>Sala</t>
        </is>
      </c>
      <c r="C1" s="14" t="inlineStr">
        <is>
          <t>Turno</t>
        </is>
      </c>
      <c r="D1" s="14" t="inlineStr">
        <is>
          <t>Nº cirurgias</t>
        </is>
      </c>
      <c r="E1" s="14" t="inlineStr">
        <is>
          <t>Min. ocupação</t>
        </is>
      </c>
      <c r="F1" s="14" t="inlineStr">
        <is>
          <t>Min. do turno</t>
        </is>
      </c>
      <c r="G1" s="14" t="inlineStr">
        <is>
          <t>Ocupação %</t>
        </is>
      </c>
      <c r="H1" s="14" t="inlineStr">
        <is>
          <t>CIRCULANTE (escalar)</t>
        </is>
      </c>
      <c r="I1" s="14" t="inlineStr">
        <is>
          <t>Cadastro do circulante</t>
        </is>
      </c>
      <c r="J1" s="14" t="inlineStr">
        <is>
          <t>INSTRUMENTADOR (escalar)</t>
        </is>
      </c>
      <c r="K1" s="14" t="inlineStr">
        <is>
          <t>Cadastro do instrumentador</t>
        </is>
      </c>
      <c r="L1" s="14" t="inlineStr">
        <is>
          <t>Afinidade circulante</t>
        </is>
      </c>
      <c r="M1" s="14" t="inlineStr">
        <is>
          <t>Afinidade instrumentador</t>
        </is>
      </c>
      <c r="N1" s="14" t="inlineStr">
        <is>
          <t>AFINIDADE DA DUPLA</t>
        </is>
      </c>
      <c r="O1" s="14" t="inlineStr">
        <is>
          <t>Classificação</t>
        </is>
      </c>
      <c r="P1" s="14" t="inlineStr">
        <is>
          <t>Chk duplicidade</t>
        </is>
      </c>
      <c r="Q1" s="14" t="inlineStr">
        <is>
          <t>Chk status</t>
        </is>
      </c>
      <c r="R1" s="14" t="inlineStr">
        <is>
          <t>Chk função</t>
        </is>
      </c>
      <c r="S1" s="14" t="inlineStr">
        <is>
          <t>Chk inaptidão</t>
        </is>
      </c>
      <c r="T1" s="14" t="inlineStr">
        <is>
          <t>ALERTAS</t>
        </is>
      </c>
      <c r="U1" s="14" t="inlineStr">
        <is>
          <t>aux_concat</t>
        </is>
      </c>
      <c r="V1" s="14" t="inlineStr">
        <is>
          <t>aux_afin</t>
        </is>
      </c>
      <c r="W1" s="14" t="inlineStr">
        <is>
          <t>aux_peso</t>
        </is>
      </c>
    </row>
    <row r="2">
      <c r="A2" s="35">
        <f>IF($B2="","",Data_Mapa)</f>
        <v/>
      </c>
      <c r="B2" s="15">
        <f>IF('Calc_Mix'!$B2="","",'Calc_Mix'!$B2)</f>
        <v/>
      </c>
      <c r="C2" s="15">
        <f>IF($B2="","",'Calc_Mix'!$C2)</f>
        <v/>
      </c>
      <c r="D2" s="32">
        <f>IF($B2="","",COUNTIFS(Mapa_Sala,$B2,Mapa_Turno,$C2,Mapa_MinOcup,"&gt;0"))</f>
        <v/>
      </c>
      <c r="E2" s="32">
        <f>IF($B2="","",'Calc_Mix'!$X2)</f>
        <v/>
      </c>
      <c r="F2" s="32">
        <f>IF($B2="","",'Calc_Mix'!$Y2)</f>
        <v/>
      </c>
      <c r="G2" s="33">
        <f>IF(OR($B2="",$F2=0),"",$E2/$F2)</f>
        <v/>
      </c>
      <c r="H2" s="36" t="inlineStr">
        <is>
          <t>Ana Paula Ribeiro</t>
        </is>
      </c>
      <c r="I2" s="28">
        <f>IF($H2="","",IFERROR(INDEX(Equipe_Funcao,MATCH($H2,Equipe_Nome,0))&amp;" · "&amp;INDEX(Equipe_Status,MATCH($H2,Equipe_Nome,0)),"NÃO CADASTRADO"))</f>
        <v/>
      </c>
      <c r="J2" s="36" t="inlineStr">
        <is>
          <t>Bruno Tavares</t>
        </is>
      </c>
      <c r="K2" s="28">
        <f>IF($J2="","",IFERROR(INDEX(Equipe_Funcao,MATCH($J2,Equipe_Nome,0))&amp;" · "&amp;INDEX(Equipe_Status,MATCH($J2,Equipe_Nome,0)),"NÃO CADASTRADO"))</f>
        <v/>
      </c>
      <c r="L2" s="34">
        <f>IF(OR($B2="",$H2="",$E2=0),"",IFERROR(SUMPRODUCT('Calc_Mix'!$D2:$W2,INDEX(Matriz_Niveis,MATCH($H2,Matriz_Nome,0),0))/'Calc_Mix'!$X2,""))</f>
        <v/>
      </c>
      <c r="M2" s="34">
        <f>IF(OR($B2="",$J2="",$E2=0),"",IFERROR(SUMPRODUCT('Calc_Mix'!$D2:$W2,INDEX(Matriz_Niveis,MATCH($J2,Matriz_Nome,0),0))/'Calc_Mix'!$X2,""))</f>
        <v/>
      </c>
      <c r="N2" s="34">
        <f>IF(OR($L2="",$M2=""),"",Peso_Circulante*$L2+Peso_Instrumentador*$M2)</f>
        <v/>
      </c>
      <c r="O2" s="15">
        <f>IF($B2="","",IF($D2=0,"SEM CIRURGIA",IF($N2="","SEM DUPLA",IF($N2&gt;=Afinidade_Meta,"ADEQUADA",IF($N2&gt;=Afinidade_Min,"ATENÇÃO","CRÍTICA")))))</f>
        <v/>
      </c>
      <c r="P2" s="17">
        <f>IF($B2="","",IF(AND($H2="",$J2=""),"OK",IF(OR(AND($H2&lt;&gt;"",SUMPRODUCT((Esc_Turno=$C2)*(Esc_Circ=$H2))+SUMPRODUCT((Esc_Turno=$C2)*(Esc_Instr=$H2))&gt;1),AND($J2&lt;&gt;"",SUMPRODUCT((Esc_Turno=$C2)*(Esc_Circ=$J2))+SUMPRODUCT((Esc_Turno=$C2)*(Esc_Instr=$J2))&gt;1)),"Técnico em duas salas no mesmo turno","OK")))</f>
        <v/>
      </c>
      <c r="Q2" s="17">
        <f>IF($B2="","",IF(AND($H2="",$J2=""),"OK",IF(OR(AND($H2&lt;&gt;"",IFERROR(INDEX(Equipe_Status,MATCH($H2,Equipe_Nome,0)),"?")&lt;&gt;"Ativo"),AND($J2&lt;&gt;"",IFERROR(INDEX(Equipe_Status,MATCH($J2,Equipe_Nome,0)),"?")&lt;&gt;"Ativo")),"Técnico não ativo ou não cadastrado","OK")))</f>
        <v/>
      </c>
      <c r="R2" s="17">
        <f>IF($B2="","",IF(AND($H2="",$J2=""),"OK",IF(OR(AND($H2&lt;&gt;"",IFERROR(INDEX(Equipe_Funcao,MATCH($H2,Equipe_Nome,0)),"")="Instrumentador"),AND($J2&lt;&gt;"",IFERROR(INDEX(Equipe_Funcao,MATCH($J2,Equipe_Nome,0)),"")="Circulante")),"Função incompatível com o posto","OK")))</f>
        <v/>
      </c>
      <c r="S2" s="17">
        <f>IF($B2="","",IF(OR($E2=0,AND($H2="",$J2="")),"OK",IF(IFERROR(SUMPRODUCT(('Calc_Mix'!$D2:$W2/'Calc_Mix'!$X2&gt;=Part_Min_Critica)*(INDEX(Matriz_Niveis,MATCH($H2,Matriz_Nome,0),0)&lt;=Nivel_Critico)),0)+IFERROR(SUMPRODUCT(('Calc_Mix'!$D2:$W2/'Calc_Mix'!$X2&gt;=Part_Min_Critica)*(INDEX(Matriz_Niveis,MATCH($J2,Matriz_Nome,0),0)&lt;=Nivel_Critico)),0)&gt;0,"Inaptidão em especialidade relevante","OK")))</f>
        <v/>
      </c>
      <c r="T2" s="37">
        <f>IF($B2="",IF(OR($H2&lt;&gt;"",$J2&lt;&gt;""),"Linha sem sala cadastrada — remova a dupla",""),IF($U2="","OK",LEFT($U2,LEN($U2)-3)))</f>
        <v/>
      </c>
      <c r="U2" s="15">
        <f>IF($B2="","",IF(AND($D2&gt;0,$H2=""),"Sem circulante | ","")&amp;IF(AND($D2&gt;0,$J2=""),"Sem instrumentador | ","")&amp;IF(AND($D2=0,OR($H2&lt;&gt;"",$J2&lt;&gt;"")),"Dupla escalada em sala sem cirurgia | ","")&amp;IF($P2&lt;&gt;"OK",$P2&amp;" | ","")&amp;IF($Q2&lt;&gt;"OK",$Q2&amp;" | ","")&amp;IF($R2&lt;&gt;"OK",$R2&amp;" | ","")&amp;IF($S2&lt;&gt;"OK",$S2&amp;" | ","")&amp;IF(AND($N2&lt;&gt;"",$N2&lt;Afinidade_Min),"Afinidade abaixo do mínimo | ","")&amp;IF(AND($G2&lt;&gt;"",$G2&gt;Ocupacao_Max),"Ocupação acima do limite | ","")&amp;IF(OR(AND($H2&lt;&gt;"",IFERROR(INDEX(Equipe_Turno,MATCH($H2,Equipe_Nome,0)),$C2)&lt;&gt;$C2),AND($J2&lt;&gt;"",IFERROR(INDEX(Equipe_Turno,MATCH($J2,Equipe_Nome,0)),$C2)&lt;&gt;$C2)),"Técnico fora do turno preferencial | ","")&amp;IF(AND($D2&gt;0,IFERROR(INDEX(Salas_Status,MATCH($B2,Salas_Cod,0)),"")&lt;&gt;"Ativa"),"Sala não ativa com cirurgia | ",""))</f>
        <v/>
      </c>
      <c r="V2" s="34">
        <f>IF($N2="",0,$N2)</f>
        <v/>
      </c>
      <c r="W2" s="32">
        <f>IF($N2="",0,$E2)</f>
        <v/>
      </c>
    </row>
    <row r="3">
      <c r="A3" s="35">
        <f>IF($B3="","",Data_Mapa)</f>
        <v/>
      </c>
      <c r="B3" s="15">
        <f>IF('Calc_Mix'!$B3="","",'Calc_Mix'!$B3)</f>
        <v/>
      </c>
      <c r="C3" s="15">
        <f>IF($B3="","",'Calc_Mix'!$C3)</f>
        <v/>
      </c>
      <c r="D3" s="32">
        <f>IF($B3="","",COUNTIFS(Mapa_Sala,$B3,Mapa_Turno,$C3,Mapa_MinOcup,"&gt;0"))</f>
        <v/>
      </c>
      <c r="E3" s="32">
        <f>IF($B3="","",'Calc_Mix'!$X3)</f>
        <v/>
      </c>
      <c r="F3" s="32">
        <f>IF($B3="","",'Calc_Mix'!$Y3)</f>
        <v/>
      </c>
      <c r="G3" s="33">
        <f>IF(OR($B3="",$F3=0),"",$E3/$F3)</f>
        <v/>
      </c>
      <c r="H3" s="36" t="inlineStr">
        <is>
          <t>Carla Menezes</t>
        </is>
      </c>
      <c r="I3" s="28">
        <f>IF($H3="","",IFERROR(INDEX(Equipe_Funcao,MATCH($H3,Equipe_Nome,0))&amp;" · "&amp;INDEX(Equipe_Status,MATCH($H3,Equipe_Nome,0)),"NÃO CADASTRADO"))</f>
        <v/>
      </c>
      <c r="J3" s="36" t="inlineStr">
        <is>
          <t>Daniel Prado</t>
        </is>
      </c>
      <c r="K3" s="28">
        <f>IF($J3="","",IFERROR(INDEX(Equipe_Funcao,MATCH($J3,Equipe_Nome,0))&amp;" · "&amp;INDEX(Equipe_Status,MATCH($J3,Equipe_Nome,0)),"NÃO CADASTRADO"))</f>
        <v/>
      </c>
      <c r="L3" s="34">
        <f>IF(OR($B3="",$H3="",$E3=0),"",IFERROR(SUMPRODUCT('Calc_Mix'!$D3:$W3,INDEX(Matriz_Niveis,MATCH($H3,Matriz_Nome,0),0))/'Calc_Mix'!$X3,""))</f>
        <v/>
      </c>
      <c r="M3" s="34">
        <f>IF(OR($B3="",$J3="",$E3=0),"",IFERROR(SUMPRODUCT('Calc_Mix'!$D3:$W3,INDEX(Matriz_Niveis,MATCH($J3,Matriz_Nome,0),0))/'Calc_Mix'!$X3,""))</f>
        <v/>
      </c>
      <c r="N3" s="34">
        <f>IF(OR($L3="",$M3=""),"",Peso_Circulante*$L3+Peso_Instrumentador*$M3)</f>
        <v/>
      </c>
      <c r="O3" s="15">
        <f>IF($B3="","",IF($D3=0,"SEM CIRURGIA",IF($N3="","SEM DUPLA",IF($N3&gt;=Afinidade_Meta,"ADEQUADA",IF($N3&gt;=Afinidade_Min,"ATENÇÃO","CRÍTICA")))))</f>
        <v/>
      </c>
      <c r="P3" s="17">
        <f>IF($B3="","",IF(AND($H3="",$J3=""),"OK",IF(OR(AND($H3&lt;&gt;"",SUMPRODUCT((Esc_Turno=$C3)*(Esc_Circ=$H3))+SUMPRODUCT((Esc_Turno=$C3)*(Esc_Instr=$H3))&gt;1),AND($J3&lt;&gt;"",SUMPRODUCT((Esc_Turno=$C3)*(Esc_Circ=$J3))+SUMPRODUCT((Esc_Turno=$C3)*(Esc_Instr=$J3))&gt;1)),"Técnico em duas salas no mesmo turno","OK")))</f>
        <v/>
      </c>
      <c r="Q3" s="17">
        <f>IF($B3="","",IF(AND($H3="",$J3=""),"OK",IF(OR(AND($H3&lt;&gt;"",IFERROR(INDEX(Equipe_Status,MATCH($H3,Equipe_Nome,0)),"?")&lt;&gt;"Ativo"),AND($J3&lt;&gt;"",IFERROR(INDEX(Equipe_Status,MATCH($J3,Equipe_Nome,0)),"?")&lt;&gt;"Ativo")),"Técnico não ativo ou não cadastrado","OK")))</f>
        <v/>
      </c>
      <c r="R3" s="17">
        <f>IF($B3="","",IF(AND($H3="",$J3=""),"OK",IF(OR(AND($H3&lt;&gt;"",IFERROR(INDEX(Equipe_Funcao,MATCH($H3,Equipe_Nome,0)),"")="Instrumentador"),AND($J3&lt;&gt;"",IFERROR(INDEX(Equipe_Funcao,MATCH($J3,Equipe_Nome,0)),"")="Circulante")),"Função incompatível com o posto","OK")))</f>
        <v/>
      </c>
      <c r="S3" s="17">
        <f>IF($B3="","",IF(OR($E3=0,AND($H3="",$J3="")),"OK",IF(IFERROR(SUMPRODUCT(('Calc_Mix'!$D3:$W3/'Calc_Mix'!$X3&gt;=Part_Min_Critica)*(INDEX(Matriz_Niveis,MATCH($H3,Matriz_Nome,0),0)&lt;=Nivel_Critico)),0)+IFERROR(SUMPRODUCT(('Calc_Mix'!$D3:$W3/'Calc_Mix'!$X3&gt;=Part_Min_Critica)*(INDEX(Matriz_Niveis,MATCH($J3,Matriz_Nome,0),0)&lt;=Nivel_Critico)),0)&gt;0,"Inaptidão em especialidade relevante","OK")))</f>
        <v/>
      </c>
      <c r="T3" s="37">
        <f>IF($B3="",IF(OR($H3&lt;&gt;"",$J3&lt;&gt;""),"Linha sem sala cadastrada — remova a dupla",""),IF($U3="","OK",LEFT($U3,LEN($U3)-3)))</f>
        <v/>
      </c>
      <c r="U3" s="15">
        <f>IF($B3="","",IF(AND($D3&gt;0,$H3=""),"Sem circulante | ","")&amp;IF(AND($D3&gt;0,$J3=""),"Sem instrumentador | ","")&amp;IF(AND($D3=0,OR($H3&lt;&gt;"",$J3&lt;&gt;"")),"Dupla escalada em sala sem cirurgia | ","")&amp;IF($P3&lt;&gt;"OK",$P3&amp;" | ","")&amp;IF($Q3&lt;&gt;"OK",$Q3&amp;" | ","")&amp;IF($R3&lt;&gt;"OK",$R3&amp;" | ","")&amp;IF($S3&lt;&gt;"OK",$S3&amp;" | ","")&amp;IF(AND($N3&lt;&gt;"",$N3&lt;Afinidade_Min),"Afinidade abaixo do mínimo | ","")&amp;IF(AND($G3&lt;&gt;"",$G3&gt;Ocupacao_Max),"Ocupação acima do limite | ","")&amp;IF(OR(AND($H3&lt;&gt;"",IFERROR(INDEX(Equipe_Turno,MATCH($H3,Equipe_Nome,0)),$C3)&lt;&gt;$C3),AND($J3&lt;&gt;"",IFERROR(INDEX(Equipe_Turno,MATCH($J3,Equipe_Nome,0)),$C3)&lt;&gt;$C3)),"Técnico fora do turno preferencial | ","")&amp;IF(AND($D3&gt;0,IFERROR(INDEX(Salas_Status,MATCH($B3,Salas_Cod,0)),"")&lt;&gt;"Ativa"),"Sala não ativa com cirurgia | ",""))</f>
        <v/>
      </c>
      <c r="V3" s="34">
        <f>IF($N3="",0,$N3)</f>
        <v/>
      </c>
      <c r="W3" s="32">
        <f>IF($N3="",0,$E3)</f>
        <v/>
      </c>
    </row>
    <row r="4">
      <c r="A4" s="35">
        <f>IF($B4="","",Data_Mapa)</f>
        <v/>
      </c>
      <c r="B4" s="15">
        <f>IF('Calc_Mix'!$B4="","",'Calc_Mix'!$B4)</f>
        <v/>
      </c>
      <c r="C4" s="15">
        <f>IF($B4="","",'Calc_Mix'!$C4)</f>
        <v/>
      </c>
      <c r="D4" s="32">
        <f>IF($B4="","",COUNTIFS(Mapa_Sala,$B4,Mapa_Turno,$C4,Mapa_MinOcup,"&gt;0"))</f>
        <v/>
      </c>
      <c r="E4" s="32">
        <f>IF($B4="","",'Calc_Mix'!$X4)</f>
        <v/>
      </c>
      <c r="F4" s="32">
        <f>IF($B4="","",'Calc_Mix'!$Y4)</f>
        <v/>
      </c>
      <c r="G4" s="33">
        <f>IF(OR($B4="",$F4=0),"",$E4/$F4)</f>
        <v/>
      </c>
      <c r="H4" s="36" t="inlineStr">
        <is>
          <t>Elisa Fontes</t>
        </is>
      </c>
      <c r="I4" s="28">
        <f>IF($H4="","",IFERROR(INDEX(Equipe_Funcao,MATCH($H4,Equipe_Nome,0))&amp;" · "&amp;INDEX(Equipe_Status,MATCH($H4,Equipe_Nome,0)),"NÃO CADASTRADO"))</f>
        <v/>
      </c>
      <c r="J4" s="36" t="inlineStr">
        <is>
          <t>Fábio Cardoso</t>
        </is>
      </c>
      <c r="K4" s="28">
        <f>IF($J4="","",IFERROR(INDEX(Equipe_Funcao,MATCH($J4,Equipe_Nome,0))&amp;" · "&amp;INDEX(Equipe_Status,MATCH($J4,Equipe_Nome,0)),"NÃO CADASTRADO"))</f>
        <v/>
      </c>
      <c r="L4" s="34">
        <f>IF(OR($B4="",$H4="",$E4=0),"",IFERROR(SUMPRODUCT('Calc_Mix'!$D4:$W4,INDEX(Matriz_Niveis,MATCH($H4,Matriz_Nome,0),0))/'Calc_Mix'!$X4,""))</f>
        <v/>
      </c>
      <c r="M4" s="34">
        <f>IF(OR($B4="",$J4="",$E4=0),"",IFERROR(SUMPRODUCT('Calc_Mix'!$D4:$W4,INDEX(Matriz_Niveis,MATCH($J4,Matriz_Nome,0),0))/'Calc_Mix'!$X4,""))</f>
        <v/>
      </c>
      <c r="N4" s="34">
        <f>IF(OR($L4="",$M4=""),"",Peso_Circulante*$L4+Peso_Instrumentador*$M4)</f>
        <v/>
      </c>
      <c r="O4" s="15">
        <f>IF($B4="","",IF($D4=0,"SEM CIRURGIA",IF($N4="","SEM DUPLA",IF($N4&gt;=Afinidade_Meta,"ADEQUADA",IF($N4&gt;=Afinidade_Min,"ATENÇÃO","CRÍTICA")))))</f>
        <v/>
      </c>
      <c r="P4" s="17">
        <f>IF($B4="","",IF(AND($H4="",$J4=""),"OK",IF(OR(AND($H4&lt;&gt;"",SUMPRODUCT((Esc_Turno=$C4)*(Esc_Circ=$H4))+SUMPRODUCT((Esc_Turno=$C4)*(Esc_Instr=$H4))&gt;1),AND($J4&lt;&gt;"",SUMPRODUCT((Esc_Turno=$C4)*(Esc_Circ=$J4))+SUMPRODUCT((Esc_Turno=$C4)*(Esc_Instr=$J4))&gt;1)),"Técnico em duas salas no mesmo turno","OK")))</f>
        <v/>
      </c>
      <c r="Q4" s="17">
        <f>IF($B4="","",IF(AND($H4="",$J4=""),"OK",IF(OR(AND($H4&lt;&gt;"",IFERROR(INDEX(Equipe_Status,MATCH($H4,Equipe_Nome,0)),"?")&lt;&gt;"Ativo"),AND($J4&lt;&gt;"",IFERROR(INDEX(Equipe_Status,MATCH($J4,Equipe_Nome,0)),"?")&lt;&gt;"Ativo")),"Técnico não ativo ou não cadastrado","OK")))</f>
        <v/>
      </c>
      <c r="R4" s="17">
        <f>IF($B4="","",IF(AND($H4="",$J4=""),"OK",IF(OR(AND($H4&lt;&gt;"",IFERROR(INDEX(Equipe_Funcao,MATCH($H4,Equipe_Nome,0)),"")="Instrumentador"),AND($J4&lt;&gt;"",IFERROR(INDEX(Equipe_Funcao,MATCH($J4,Equipe_Nome,0)),"")="Circulante")),"Função incompatível com o posto","OK")))</f>
        <v/>
      </c>
      <c r="S4" s="17">
        <f>IF($B4="","",IF(OR($E4=0,AND($H4="",$J4="")),"OK",IF(IFERROR(SUMPRODUCT(('Calc_Mix'!$D4:$W4/'Calc_Mix'!$X4&gt;=Part_Min_Critica)*(INDEX(Matriz_Niveis,MATCH($H4,Matriz_Nome,0),0)&lt;=Nivel_Critico)),0)+IFERROR(SUMPRODUCT(('Calc_Mix'!$D4:$W4/'Calc_Mix'!$X4&gt;=Part_Min_Critica)*(INDEX(Matriz_Niveis,MATCH($J4,Matriz_Nome,0),0)&lt;=Nivel_Critico)),0)&gt;0,"Inaptidão em especialidade relevante","OK")))</f>
        <v/>
      </c>
      <c r="T4" s="37">
        <f>IF($B4="",IF(OR($H4&lt;&gt;"",$J4&lt;&gt;""),"Linha sem sala cadastrada — remova a dupla",""),IF($U4="","OK",LEFT($U4,LEN($U4)-3)))</f>
        <v/>
      </c>
      <c r="U4" s="15">
        <f>IF($B4="","",IF(AND($D4&gt;0,$H4=""),"Sem circulante | ","")&amp;IF(AND($D4&gt;0,$J4=""),"Sem instrumentador | ","")&amp;IF(AND($D4=0,OR($H4&lt;&gt;"",$J4&lt;&gt;"")),"Dupla escalada em sala sem cirurgia | ","")&amp;IF($P4&lt;&gt;"OK",$P4&amp;" | ","")&amp;IF($Q4&lt;&gt;"OK",$Q4&amp;" | ","")&amp;IF($R4&lt;&gt;"OK",$R4&amp;" | ","")&amp;IF($S4&lt;&gt;"OK",$S4&amp;" | ","")&amp;IF(AND($N4&lt;&gt;"",$N4&lt;Afinidade_Min),"Afinidade abaixo do mínimo | ","")&amp;IF(AND($G4&lt;&gt;"",$G4&gt;Ocupacao_Max),"Ocupação acima do limite | ","")&amp;IF(OR(AND($H4&lt;&gt;"",IFERROR(INDEX(Equipe_Turno,MATCH($H4,Equipe_Nome,0)),$C4)&lt;&gt;$C4),AND($J4&lt;&gt;"",IFERROR(INDEX(Equipe_Turno,MATCH($J4,Equipe_Nome,0)),$C4)&lt;&gt;$C4)),"Técnico fora do turno preferencial | ","")&amp;IF(AND($D4&gt;0,IFERROR(INDEX(Salas_Status,MATCH($B4,Salas_Cod,0)),"")&lt;&gt;"Ativa"),"Sala não ativa com cirurgia | ",""))</f>
        <v/>
      </c>
      <c r="V4" s="34">
        <f>IF($N4="",0,$N4)</f>
        <v/>
      </c>
      <c r="W4" s="32">
        <f>IF($N4="",0,$E4)</f>
        <v/>
      </c>
    </row>
    <row r="5">
      <c r="A5" s="35">
        <f>IF($B5="","",Data_Mapa)</f>
        <v/>
      </c>
      <c r="B5" s="15">
        <f>IF('Calc_Mix'!$B5="","",'Calc_Mix'!$B5)</f>
        <v/>
      </c>
      <c r="C5" s="15">
        <f>IF($B5="","",'Calc_Mix'!$C5)</f>
        <v/>
      </c>
      <c r="D5" s="32">
        <f>IF($B5="","",COUNTIFS(Mapa_Sala,$B5,Mapa_Turno,$C5,Mapa_MinOcup,"&gt;0"))</f>
        <v/>
      </c>
      <c r="E5" s="32">
        <f>IF($B5="","",'Calc_Mix'!$X5)</f>
        <v/>
      </c>
      <c r="F5" s="32">
        <f>IF($B5="","",'Calc_Mix'!$Y5)</f>
        <v/>
      </c>
      <c r="G5" s="33">
        <f>IF(OR($B5="",$F5=0),"",$E5/$F5)</f>
        <v/>
      </c>
      <c r="H5" s="36" t="inlineStr">
        <is>
          <t>Gabriela Nunes</t>
        </is>
      </c>
      <c r="I5" s="28">
        <f>IF($H5="","",IFERROR(INDEX(Equipe_Funcao,MATCH($H5,Equipe_Nome,0))&amp;" · "&amp;INDEX(Equipe_Status,MATCH($H5,Equipe_Nome,0)),"NÃO CADASTRADO"))</f>
        <v/>
      </c>
      <c r="J5" s="36" t="inlineStr">
        <is>
          <t>Henrique Sales</t>
        </is>
      </c>
      <c r="K5" s="28">
        <f>IF($J5="","",IFERROR(INDEX(Equipe_Funcao,MATCH($J5,Equipe_Nome,0))&amp;" · "&amp;INDEX(Equipe_Status,MATCH($J5,Equipe_Nome,0)),"NÃO CADASTRADO"))</f>
        <v/>
      </c>
      <c r="L5" s="34">
        <f>IF(OR($B5="",$H5="",$E5=0),"",IFERROR(SUMPRODUCT('Calc_Mix'!$D5:$W5,INDEX(Matriz_Niveis,MATCH($H5,Matriz_Nome,0),0))/'Calc_Mix'!$X5,""))</f>
        <v/>
      </c>
      <c r="M5" s="34">
        <f>IF(OR($B5="",$J5="",$E5=0),"",IFERROR(SUMPRODUCT('Calc_Mix'!$D5:$W5,INDEX(Matriz_Niveis,MATCH($J5,Matriz_Nome,0),0))/'Calc_Mix'!$X5,""))</f>
        <v/>
      </c>
      <c r="N5" s="34">
        <f>IF(OR($L5="",$M5=""),"",Peso_Circulante*$L5+Peso_Instrumentador*$M5)</f>
        <v/>
      </c>
      <c r="O5" s="15">
        <f>IF($B5="","",IF($D5=0,"SEM CIRURGIA",IF($N5="","SEM DUPLA",IF($N5&gt;=Afinidade_Meta,"ADEQUADA",IF($N5&gt;=Afinidade_Min,"ATENÇÃO","CRÍTICA")))))</f>
        <v/>
      </c>
      <c r="P5" s="17">
        <f>IF($B5="","",IF(AND($H5="",$J5=""),"OK",IF(OR(AND($H5&lt;&gt;"",SUMPRODUCT((Esc_Turno=$C5)*(Esc_Circ=$H5))+SUMPRODUCT((Esc_Turno=$C5)*(Esc_Instr=$H5))&gt;1),AND($J5&lt;&gt;"",SUMPRODUCT((Esc_Turno=$C5)*(Esc_Circ=$J5))+SUMPRODUCT((Esc_Turno=$C5)*(Esc_Instr=$J5))&gt;1)),"Técnico em duas salas no mesmo turno","OK")))</f>
        <v/>
      </c>
      <c r="Q5" s="17">
        <f>IF($B5="","",IF(AND($H5="",$J5=""),"OK",IF(OR(AND($H5&lt;&gt;"",IFERROR(INDEX(Equipe_Status,MATCH($H5,Equipe_Nome,0)),"?")&lt;&gt;"Ativo"),AND($J5&lt;&gt;"",IFERROR(INDEX(Equipe_Status,MATCH($J5,Equipe_Nome,0)),"?")&lt;&gt;"Ativo")),"Técnico não ativo ou não cadastrado","OK")))</f>
        <v/>
      </c>
      <c r="R5" s="17">
        <f>IF($B5="","",IF(AND($H5="",$J5=""),"OK",IF(OR(AND($H5&lt;&gt;"",IFERROR(INDEX(Equipe_Funcao,MATCH($H5,Equipe_Nome,0)),"")="Instrumentador"),AND($J5&lt;&gt;"",IFERROR(INDEX(Equipe_Funcao,MATCH($J5,Equipe_Nome,0)),"")="Circulante")),"Função incompatível com o posto","OK")))</f>
        <v/>
      </c>
      <c r="S5" s="17">
        <f>IF($B5="","",IF(OR($E5=0,AND($H5="",$J5="")),"OK",IF(IFERROR(SUMPRODUCT(('Calc_Mix'!$D5:$W5/'Calc_Mix'!$X5&gt;=Part_Min_Critica)*(INDEX(Matriz_Niveis,MATCH($H5,Matriz_Nome,0),0)&lt;=Nivel_Critico)),0)+IFERROR(SUMPRODUCT(('Calc_Mix'!$D5:$W5/'Calc_Mix'!$X5&gt;=Part_Min_Critica)*(INDEX(Matriz_Niveis,MATCH($J5,Matriz_Nome,0),0)&lt;=Nivel_Critico)),0)&gt;0,"Inaptidão em especialidade relevante","OK")))</f>
        <v/>
      </c>
      <c r="T5" s="37">
        <f>IF($B5="",IF(OR($H5&lt;&gt;"",$J5&lt;&gt;""),"Linha sem sala cadastrada — remova a dupla",""),IF($U5="","OK",LEFT($U5,LEN($U5)-3)))</f>
        <v/>
      </c>
      <c r="U5" s="15">
        <f>IF($B5="","",IF(AND($D5&gt;0,$H5=""),"Sem circulante | ","")&amp;IF(AND($D5&gt;0,$J5=""),"Sem instrumentador | ","")&amp;IF(AND($D5=0,OR($H5&lt;&gt;"",$J5&lt;&gt;"")),"Dupla escalada em sala sem cirurgia | ","")&amp;IF($P5&lt;&gt;"OK",$P5&amp;" | ","")&amp;IF($Q5&lt;&gt;"OK",$Q5&amp;" | ","")&amp;IF($R5&lt;&gt;"OK",$R5&amp;" | ","")&amp;IF($S5&lt;&gt;"OK",$S5&amp;" | ","")&amp;IF(AND($N5&lt;&gt;"",$N5&lt;Afinidade_Min),"Afinidade abaixo do mínimo | ","")&amp;IF(AND($G5&lt;&gt;"",$G5&gt;Ocupacao_Max),"Ocupação acima do limite | ","")&amp;IF(OR(AND($H5&lt;&gt;"",IFERROR(INDEX(Equipe_Turno,MATCH($H5,Equipe_Nome,0)),$C5)&lt;&gt;$C5),AND($J5&lt;&gt;"",IFERROR(INDEX(Equipe_Turno,MATCH($J5,Equipe_Nome,0)),$C5)&lt;&gt;$C5)),"Técnico fora do turno preferencial | ","")&amp;IF(AND($D5&gt;0,IFERROR(INDEX(Salas_Status,MATCH($B5,Salas_Cod,0)),"")&lt;&gt;"Ativa"),"Sala não ativa com cirurgia | ",""))</f>
        <v/>
      </c>
      <c r="V5" s="34">
        <f>IF($N5="",0,$N5)</f>
        <v/>
      </c>
      <c r="W5" s="32">
        <f>IF($N5="",0,$E5)</f>
        <v/>
      </c>
    </row>
    <row r="6">
      <c r="A6" s="35">
        <f>IF($B6="","",Data_Mapa)</f>
        <v/>
      </c>
      <c r="B6" s="15">
        <f>IF('Calc_Mix'!$B6="","",'Calc_Mix'!$B6)</f>
        <v/>
      </c>
      <c r="C6" s="15">
        <f>IF($B6="","",'Calc_Mix'!$C6)</f>
        <v/>
      </c>
      <c r="D6" s="32">
        <f>IF($B6="","",COUNTIFS(Mapa_Sala,$B6,Mapa_Turno,$C6,Mapa_MinOcup,"&gt;0"))</f>
        <v/>
      </c>
      <c r="E6" s="32">
        <f>IF($B6="","",'Calc_Mix'!$X6)</f>
        <v/>
      </c>
      <c r="F6" s="32">
        <f>IF($B6="","",'Calc_Mix'!$Y6)</f>
        <v/>
      </c>
      <c r="G6" s="33">
        <f>IF(OR($B6="",$F6=0),"",$E6/$F6)</f>
        <v/>
      </c>
      <c r="H6" s="36" t="inlineStr">
        <is>
          <t>Isabel Moraes</t>
        </is>
      </c>
      <c r="I6" s="28">
        <f>IF($H6="","",IFERROR(INDEX(Equipe_Funcao,MATCH($H6,Equipe_Nome,0))&amp;" · "&amp;INDEX(Equipe_Status,MATCH($H6,Equipe_Nome,0)),"NÃO CADASTRADO"))</f>
        <v/>
      </c>
      <c r="J6" s="36" t="inlineStr">
        <is>
          <t>João Vitor Lima</t>
        </is>
      </c>
      <c r="K6" s="28">
        <f>IF($J6="","",IFERROR(INDEX(Equipe_Funcao,MATCH($J6,Equipe_Nome,0))&amp;" · "&amp;INDEX(Equipe_Status,MATCH($J6,Equipe_Nome,0)),"NÃO CADASTRADO"))</f>
        <v/>
      </c>
      <c r="L6" s="34">
        <f>IF(OR($B6="",$H6="",$E6=0),"",IFERROR(SUMPRODUCT('Calc_Mix'!$D6:$W6,INDEX(Matriz_Niveis,MATCH($H6,Matriz_Nome,0),0))/'Calc_Mix'!$X6,""))</f>
        <v/>
      </c>
      <c r="M6" s="34">
        <f>IF(OR($B6="",$J6="",$E6=0),"",IFERROR(SUMPRODUCT('Calc_Mix'!$D6:$W6,INDEX(Matriz_Niveis,MATCH($J6,Matriz_Nome,0),0))/'Calc_Mix'!$X6,""))</f>
        <v/>
      </c>
      <c r="N6" s="34">
        <f>IF(OR($L6="",$M6=""),"",Peso_Circulante*$L6+Peso_Instrumentador*$M6)</f>
        <v/>
      </c>
      <c r="O6" s="15">
        <f>IF($B6="","",IF($D6=0,"SEM CIRURGIA",IF($N6="","SEM DUPLA",IF($N6&gt;=Afinidade_Meta,"ADEQUADA",IF($N6&gt;=Afinidade_Min,"ATENÇÃO","CRÍTICA")))))</f>
        <v/>
      </c>
      <c r="P6" s="17">
        <f>IF($B6="","",IF(AND($H6="",$J6=""),"OK",IF(OR(AND($H6&lt;&gt;"",SUMPRODUCT((Esc_Turno=$C6)*(Esc_Circ=$H6))+SUMPRODUCT((Esc_Turno=$C6)*(Esc_Instr=$H6))&gt;1),AND($J6&lt;&gt;"",SUMPRODUCT((Esc_Turno=$C6)*(Esc_Circ=$J6))+SUMPRODUCT((Esc_Turno=$C6)*(Esc_Instr=$J6))&gt;1)),"Técnico em duas salas no mesmo turno","OK")))</f>
        <v/>
      </c>
      <c r="Q6" s="17">
        <f>IF($B6="","",IF(AND($H6="",$J6=""),"OK",IF(OR(AND($H6&lt;&gt;"",IFERROR(INDEX(Equipe_Status,MATCH($H6,Equipe_Nome,0)),"?")&lt;&gt;"Ativo"),AND($J6&lt;&gt;"",IFERROR(INDEX(Equipe_Status,MATCH($J6,Equipe_Nome,0)),"?")&lt;&gt;"Ativo")),"Técnico não ativo ou não cadastrado","OK")))</f>
        <v/>
      </c>
      <c r="R6" s="17">
        <f>IF($B6="","",IF(AND($H6="",$J6=""),"OK",IF(OR(AND($H6&lt;&gt;"",IFERROR(INDEX(Equipe_Funcao,MATCH($H6,Equipe_Nome,0)),"")="Instrumentador"),AND($J6&lt;&gt;"",IFERROR(INDEX(Equipe_Funcao,MATCH($J6,Equipe_Nome,0)),"")="Circulante")),"Função incompatível com o posto","OK")))</f>
        <v/>
      </c>
      <c r="S6" s="17">
        <f>IF($B6="","",IF(OR($E6=0,AND($H6="",$J6="")),"OK",IF(IFERROR(SUMPRODUCT(('Calc_Mix'!$D6:$W6/'Calc_Mix'!$X6&gt;=Part_Min_Critica)*(INDEX(Matriz_Niveis,MATCH($H6,Matriz_Nome,0),0)&lt;=Nivel_Critico)),0)+IFERROR(SUMPRODUCT(('Calc_Mix'!$D6:$W6/'Calc_Mix'!$X6&gt;=Part_Min_Critica)*(INDEX(Matriz_Niveis,MATCH($J6,Matriz_Nome,0),0)&lt;=Nivel_Critico)),0)&gt;0,"Inaptidão em especialidade relevante","OK")))</f>
        <v/>
      </c>
      <c r="T6" s="37">
        <f>IF($B6="",IF(OR($H6&lt;&gt;"",$J6&lt;&gt;""),"Linha sem sala cadastrada — remova a dupla",""),IF($U6="","OK",LEFT($U6,LEN($U6)-3)))</f>
        <v/>
      </c>
      <c r="U6" s="15">
        <f>IF($B6="","",IF(AND($D6&gt;0,$H6=""),"Sem circulante | ","")&amp;IF(AND($D6&gt;0,$J6=""),"Sem instrumentador | ","")&amp;IF(AND($D6=0,OR($H6&lt;&gt;"",$J6&lt;&gt;"")),"Dupla escalada em sala sem cirurgia | ","")&amp;IF($P6&lt;&gt;"OK",$P6&amp;" | ","")&amp;IF($Q6&lt;&gt;"OK",$Q6&amp;" | ","")&amp;IF($R6&lt;&gt;"OK",$R6&amp;" | ","")&amp;IF($S6&lt;&gt;"OK",$S6&amp;" | ","")&amp;IF(AND($N6&lt;&gt;"",$N6&lt;Afinidade_Min),"Afinidade abaixo do mínimo | ","")&amp;IF(AND($G6&lt;&gt;"",$G6&gt;Ocupacao_Max),"Ocupação acima do limite | ","")&amp;IF(OR(AND($H6&lt;&gt;"",IFERROR(INDEX(Equipe_Turno,MATCH($H6,Equipe_Nome,0)),$C6)&lt;&gt;$C6),AND($J6&lt;&gt;"",IFERROR(INDEX(Equipe_Turno,MATCH($J6,Equipe_Nome,0)),$C6)&lt;&gt;$C6)),"Técnico fora do turno preferencial | ","")&amp;IF(AND($D6&gt;0,IFERROR(INDEX(Salas_Status,MATCH($B6,Salas_Cod,0)),"")&lt;&gt;"Ativa"),"Sala não ativa com cirurgia | ",""))</f>
        <v/>
      </c>
      <c r="V6" s="34">
        <f>IF($N6="",0,$N6)</f>
        <v/>
      </c>
      <c r="W6" s="32">
        <f>IF($N6="",0,$E6)</f>
        <v/>
      </c>
    </row>
    <row r="7">
      <c r="A7" s="35">
        <f>IF($B7="","",Data_Mapa)</f>
        <v/>
      </c>
      <c r="B7" s="15">
        <f>IF('Calc_Mix'!$B7="","",'Calc_Mix'!$B7)</f>
        <v/>
      </c>
      <c r="C7" s="15">
        <f>IF($B7="","",'Calc_Mix'!$C7)</f>
        <v/>
      </c>
      <c r="D7" s="32">
        <f>IF($B7="","",COUNTIFS(Mapa_Sala,$B7,Mapa_Turno,$C7,Mapa_MinOcup,"&gt;0"))</f>
        <v/>
      </c>
      <c r="E7" s="32">
        <f>IF($B7="","",'Calc_Mix'!$X7)</f>
        <v/>
      </c>
      <c r="F7" s="32">
        <f>IF($B7="","",'Calc_Mix'!$Y7)</f>
        <v/>
      </c>
      <c r="G7" s="33">
        <f>IF(OR($B7="",$F7=0),"",$E7/$F7)</f>
        <v/>
      </c>
      <c r="H7" s="36" t="inlineStr">
        <is>
          <t>Karina Duarte</t>
        </is>
      </c>
      <c r="I7" s="28">
        <f>IF($H7="","",IFERROR(INDEX(Equipe_Funcao,MATCH($H7,Equipe_Nome,0))&amp;" · "&amp;INDEX(Equipe_Status,MATCH($H7,Equipe_Nome,0)),"NÃO CADASTRADO"))</f>
        <v/>
      </c>
      <c r="J7" s="36" t="inlineStr">
        <is>
          <t>Leandro Peixoto</t>
        </is>
      </c>
      <c r="K7" s="28">
        <f>IF($J7="","",IFERROR(INDEX(Equipe_Funcao,MATCH($J7,Equipe_Nome,0))&amp;" · "&amp;INDEX(Equipe_Status,MATCH($J7,Equipe_Nome,0)),"NÃO CADASTRADO"))</f>
        <v/>
      </c>
      <c r="L7" s="34">
        <f>IF(OR($B7="",$H7="",$E7=0),"",IFERROR(SUMPRODUCT('Calc_Mix'!$D7:$W7,INDEX(Matriz_Niveis,MATCH($H7,Matriz_Nome,0),0))/'Calc_Mix'!$X7,""))</f>
        <v/>
      </c>
      <c r="M7" s="34">
        <f>IF(OR($B7="",$J7="",$E7=0),"",IFERROR(SUMPRODUCT('Calc_Mix'!$D7:$W7,INDEX(Matriz_Niveis,MATCH($J7,Matriz_Nome,0),0))/'Calc_Mix'!$X7,""))</f>
        <v/>
      </c>
      <c r="N7" s="34">
        <f>IF(OR($L7="",$M7=""),"",Peso_Circulante*$L7+Peso_Instrumentador*$M7)</f>
        <v/>
      </c>
      <c r="O7" s="15">
        <f>IF($B7="","",IF($D7=0,"SEM CIRURGIA",IF($N7="","SEM DUPLA",IF($N7&gt;=Afinidade_Meta,"ADEQUADA",IF($N7&gt;=Afinidade_Min,"ATENÇÃO","CRÍTICA")))))</f>
        <v/>
      </c>
      <c r="P7" s="17">
        <f>IF($B7="","",IF(AND($H7="",$J7=""),"OK",IF(OR(AND($H7&lt;&gt;"",SUMPRODUCT((Esc_Turno=$C7)*(Esc_Circ=$H7))+SUMPRODUCT((Esc_Turno=$C7)*(Esc_Instr=$H7))&gt;1),AND($J7&lt;&gt;"",SUMPRODUCT((Esc_Turno=$C7)*(Esc_Circ=$J7))+SUMPRODUCT((Esc_Turno=$C7)*(Esc_Instr=$J7))&gt;1)),"Técnico em duas salas no mesmo turno","OK")))</f>
        <v/>
      </c>
      <c r="Q7" s="17">
        <f>IF($B7="","",IF(AND($H7="",$J7=""),"OK",IF(OR(AND($H7&lt;&gt;"",IFERROR(INDEX(Equipe_Status,MATCH($H7,Equipe_Nome,0)),"?")&lt;&gt;"Ativo"),AND($J7&lt;&gt;"",IFERROR(INDEX(Equipe_Status,MATCH($J7,Equipe_Nome,0)),"?")&lt;&gt;"Ativo")),"Técnico não ativo ou não cadastrado","OK")))</f>
        <v/>
      </c>
      <c r="R7" s="17">
        <f>IF($B7="","",IF(AND($H7="",$J7=""),"OK",IF(OR(AND($H7&lt;&gt;"",IFERROR(INDEX(Equipe_Funcao,MATCH($H7,Equipe_Nome,0)),"")="Instrumentador"),AND($J7&lt;&gt;"",IFERROR(INDEX(Equipe_Funcao,MATCH($J7,Equipe_Nome,0)),"")="Circulante")),"Função incompatível com o posto","OK")))</f>
        <v/>
      </c>
      <c r="S7" s="17">
        <f>IF($B7="","",IF(OR($E7=0,AND($H7="",$J7="")),"OK",IF(IFERROR(SUMPRODUCT(('Calc_Mix'!$D7:$W7/'Calc_Mix'!$X7&gt;=Part_Min_Critica)*(INDEX(Matriz_Niveis,MATCH($H7,Matriz_Nome,0),0)&lt;=Nivel_Critico)),0)+IFERROR(SUMPRODUCT(('Calc_Mix'!$D7:$W7/'Calc_Mix'!$X7&gt;=Part_Min_Critica)*(INDEX(Matriz_Niveis,MATCH($J7,Matriz_Nome,0),0)&lt;=Nivel_Critico)),0)&gt;0,"Inaptidão em especialidade relevante","OK")))</f>
        <v/>
      </c>
      <c r="T7" s="37">
        <f>IF($B7="",IF(OR($H7&lt;&gt;"",$J7&lt;&gt;""),"Linha sem sala cadastrada — remova a dupla",""),IF($U7="","OK",LEFT($U7,LEN($U7)-3)))</f>
        <v/>
      </c>
      <c r="U7" s="15">
        <f>IF($B7="","",IF(AND($D7&gt;0,$H7=""),"Sem circulante | ","")&amp;IF(AND($D7&gt;0,$J7=""),"Sem instrumentador | ","")&amp;IF(AND($D7=0,OR($H7&lt;&gt;"",$J7&lt;&gt;"")),"Dupla escalada em sala sem cirurgia | ","")&amp;IF($P7&lt;&gt;"OK",$P7&amp;" | ","")&amp;IF($Q7&lt;&gt;"OK",$Q7&amp;" | ","")&amp;IF($R7&lt;&gt;"OK",$R7&amp;" | ","")&amp;IF($S7&lt;&gt;"OK",$S7&amp;" | ","")&amp;IF(AND($N7&lt;&gt;"",$N7&lt;Afinidade_Min),"Afinidade abaixo do mínimo | ","")&amp;IF(AND($G7&lt;&gt;"",$G7&gt;Ocupacao_Max),"Ocupação acima do limite | ","")&amp;IF(OR(AND($H7&lt;&gt;"",IFERROR(INDEX(Equipe_Turno,MATCH($H7,Equipe_Nome,0)),$C7)&lt;&gt;$C7),AND($J7&lt;&gt;"",IFERROR(INDEX(Equipe_Turno,MATCH($J7,Equipe_Nome,0)),$C7)&lt;&gt;$C7)),"Técnico fora do turno preferencial | ","")&amp;IF(AND($D7&gt;0,IFERROR(INDEX(Salas_Status,MATCH($B7,Salas_Cod,0)),"")&lt;&gt;"Ativa"),"Sala não ativa com cirurgia | ",""))</f>
        <v/>
      </c>
      <c r="V7" s="34">
        <f>IF($N7="",0,$N7)</f>
        <v/>
      </c>
      <c r="W7" s="32">
        <f>IF($N7="",0,$E7)</f>
        <v/>
      </c>
    </row>
    <row r="8">
      <c r="A8" s="35">
        <f>IF($B8="","",Data_Mapa)</f>
        <v/>
      </c>
      <c r="B8" s="15">
        <f>IF('Calc_Mix'!$B8="","",'Calc_Mix'!$B8)</f>
        <v/>
      </c>
      <c r="C8" s="15">
        <f>IF($B8="","",'Calc_Mix'!$C8)</f>
        <v/>
      </c>
      <c r="D8" s="32">
        <f>IF($B8="","",COUNTIFS(Mapa_Sala,$B8,Mapa_Turno,$C8,Mapa_MinOcup,"&gt;0"))</f>
        <v/>
      </c>
      <c r="E8" s="32">
        <f>IF($B8="","",'Calc_Mix'!$X8)</f>
        <v/>
      </c>
      <c r="F8" s="32">
        <f>IF($B8="","",'Calc_Mix'!$Y8)</f>
        <v/>
      </c>
      <c r="G8" s="33">
        <f>IF(OR($B8="",$F8=0),"",$E8/$F8)</f>
        <v/>
      </c>
      <c r="H8" s="36" t="inlineStr">
        <is>
          <t>Marina Castro</t>
        </is>
      </c>
      <c r="I8" s="28">
        <f>IF($H8="","",IFERROR(INDEX(Equipe_Funcao,MATCH($H8,Equipe_Nome,0))&amp;" · "&amp;INDEX(Equipe_Status,MATCH($H8,Equipe_Nome,0)),"NÃO CADASTRADO"))</f>
        <v/>
      </c>
      <c r="J8" s="36" t="inlineStr">
        <is>
          <t>Nelson Vieira</t>
        </is>
      </c>
      <c r="K8" s="28">
        <f>IF($J8="","",IFERROR(INDEX(Equipe_Funcao,MATCH($J8,Equipe_Nome,0))&amp;" · "&amp;INDEX(Equipe_Status,MATCH($J8,Equipe_Nome,0)),"NÃO CADASTRADO"))</f>
        <v/>
      </c>
      <c r="L8" s="34">
        <f>IF(OR($B8="",$H8="",$E8=0),"",IFERROR(SUMPRODUCT('Calc_Mix'!$D8:$W8,INDEX(Matriz_Niveis,MATCH($H8,Matriz_Nome,0),0))/'Calc_Mix'!$X8,""))</f>
        <v/>
      </c>
      <c r="M8" s="34">
        <f>IF(OR($B8="",$J8="",$E8=0),"",IFERROR(SUMPRODUCT('Calc_Mix'!$D8:$W8,INDEX(Matriz_Niveis,MATCH($J8,Matriz_Nome,0),0))/'Calc_Mix'!$X8,""))</f>
        <v/>
      </c>
      <c r="N8" s="34">
        <f>IF(OR($L8="",$M8=""),"",Peso_Circulante*$L8+Peso_Instrumentador*$M8)</f>
        <v/>
      </c>
      <c r="O8" s="15">
        <f>IF($B8="","",IF($D8=0,"SEM CIRURGIA",IF($N8="","SEM DUPLA",IF($N8&gt;=Afinidade_Meta,"ADEQUADA",IF($N8&gt;=Afinidade_Min,"ATENÇÃO","CRÍTICA")))))</f>
        <v/>
      </c>
      <c r="P8" s="17">
        <f>IF($B8="","",IF(AND($H8="",$J8=""),"OK",IF(OR(AND($H8&lt;&gt;"",SUMPRODUCT((Esc_Turno=$C8)*(Esc_Circ=$H8))+SUMPRODUCT((Esc_Turno=$C8)*(Esc_Instr=$H8))&gt;1),AND($J8&lt;&gt;"",SUMPRODUCT((Esc_Turno=$C8)*(Esc_Circ=$J8))+SUMPRODUCT((Esc_Turno=$C8)*(Esc_Instr=$J8))&gt;1)),"Técnico em duas salas no mesmo turno","OK")))</f>
        <v/>
      </c>
      <c r="Q8" s="17">
        <f>IF($B8="","",IF(AND($H8="",$J8=""),"OK",IF(OR(AND($H8&lt;&gt;"",IFERROR(INDEX(Equipe_Status,MATCH($H8,Equipe_Nome,0)),"?")&lt;&gt;"Ativo"),AND($J8&lt;&gt;"",IFERROR(INDEX(Equipe_Status,MATCH($J8,Equipe_Nome,0)),"?")&lt;&gt;"Ativo")),"Técnico não ativo ou não cadastrado","OK")))</f>
        <v/>
      </c>
      <c r="R8" s="17">
        <f>IF($B8="","",IF(AND($H8="",$J8=""),"OK",IF(OR(AND($H8&lt;&gt;"",IFERROR(INDEX(Equipe_Funcao,MATCH($H8,Equipe_Nome,0)),"")="Instrumentador"),AND($J8&lt;&gt;"",IFERROR(INDEX(Equipe_Funcao,MATCH($J8,Equipe_Nome,0)),"")="Circulante")),"Função incompatível com o posto","OK")))</f>
        <v/>
      </c>
      <c r="S8" s="17">
        <f>IF($B8="","",IF(OR($E8=0,AND($H8="",$J8="")),"OK",IF(IFERROR(SUMPRODUCT(('Calc_Mix'!$D8:$W8/'Calc_Mix'!$X8&gt;=Part_Min_Critica)*(INDEX(Matriz_Niveis,MATCH($H8,Matriz_Nome,0),0)&lt;=Nivel_Critico)),0)+IFERROR(SUMPRODUCT(('Calc_Mix'!$D8:$W8/'Calc_Mix'!$X8&gt;=Part_Min_Critica)*(INDEX(Matriz_Niveis,MATCH($J8,Matriz_Nome,0),0)&lt;=Nivel_Critico)),0)&gt;0,"Inaptidão em especialidade relevante","OK")))</f>
        <v/>
      </c>
      <c r="T8" s="37">
        <f>IF($B8="",IF(OR($H8&lt;&gt;"",$J8&lt;&gt;""),"Linha sem sala cadastrada — remova a dupla",""),IF($U8="","OK",LEFT($U8,LEN($U8)-3)))</f>
        <v/>
      </c>
      <c r="U8" s="15">
        <f>IF($B8="","",IF(AND($D8&gt;0,$H8=""),"Sem circulante | ","")&amp;IF(AND($D8&gt;0,$J8=""),"Sem instrumentador | ","")&amp;IF(AND($D8=0,OR($H8&lt;&gt;"",$J8&lt;&gt;"")),"Dupla escalada em sala sem cirurgia | ","")&amp;IF($P8&lt;&gt;"OK",$P8&amp;" | ","")&amp;IF($Q8&lt;&gt;"OK",$Q8&amp;" | ","")&amp;IF($R8&lt;&gt;"OK",$R8&amp;" | ","")&amp;IF($S8&lt;&gt;"OK",$S8&amp;" | ","")&amp;IF(AND($N8&lt;&gt;"",$N8&lt;Afinidade_Min),"Afinidade abaixo do mínimo | ","")&amp;IF(AND($G8&lt;&gt;"",$G8&gt;Ocupacao_Max),"Ocupação acima do limite | ","")&amp;IF(OR(AND($H8&lt;&gt;"",IFERROR(INDEX(Equipe_Turno,MATCH($H8,Equipe_Nome,0)),$C8)&lt;&gt;$C8),AND($J8&lt;&gt;"",IFERROR(INDEX(Equipe_Turno,MATCH($J8,Equipe_Nome,0)),$C8)&lt;&gt;$C8)),"Técnico fora do turno preferencial | ","")&amp;IF(AND($D8&gt;0,IFERROR(INDEX(Salas_Status,MATCH($B8,Salas_Cod,0)),"")&lt;&gt;"Ativa"),"Sala não ativa com cirurgia | ",""))</f>
        <v/>
      </c>
      <c r="V8" s="34">
        <f>IF($N8="",0,$N8)</f>
        <v/>
      </c>
      <c r="W8" s="32">
        <f>IF($N8="",0,$E8)</f>
        <v/>
      </c>
    </row>
    <row r="9">
      <c r="A9" s="35">
        <f>IF($B9="","",Data_Mapa)</f>
        <v/>
      </c>
      <c r="B9" s="15">
        <f>IF('Calc_Mix'!$B9="","",'Calc_Mix'!$B9)</f>
        <v/>
      </c>
      <c r="C9" s="15">
        <f>IF($B9="","",'Calc_Mix'!$C9)</f>
        <v/>
      </c>
      <c r="D9" s="32">
        <f>IF($B9="","",COUNTIFS(Mapa_Sala,$B9,Mapa_Turno,$C9,Mapa_MinOcup,"&gt;0"))</f>
        <v/>
      </c>
      <c r="E9" s="32">
        <f>IF($B9="","",'Calc_Mix'!$X9)</f>
        <v/>
      </c>
      <c r="F9" s="32">
        <f>IF($B9="","",'Calc_Mix'!$Y9)</f>
        <v/>
      </c>
      <c r="G9" s="33">
        <f>IF(OR($B9="",$F9=0),"",$E9/$F9)</f>
        <v/>
      </c>
      <c r="H9" s="36" t="inlineStr">
        <is>
          <t>Bianca Rezende</t>
        </is>
      </c>
      <c r="I9" s="28">
        <f>IF($H9="","",IFERROR(INDEX(Equipe_Funcao,MATCH($H9,Equipe_Nome,0))&amp;" · "&amp;INDEX(Equipe_Status,MATCH($H9,Equipe_Nome,0)),"NÃO CADASTRADO"))</f>
        <v/>
      </c>
      <c r="J9" s="36" t="inlineStr">
        <is>
          <t>Paulo Sérgio Alves</t>
        </is>
      </c>
      <c r="K9" s="28">
        <f>IF($J9="","",IFERROR(INDEX(Equipe_Funcao,MATCH($J9,Equipe_Nome,0))&amp;" · "&amp;INDEX(Equipe_Status,MATCH($J9,Equipe_Nome,0)),"NÃO CADASTRADO"))</f>
        <v/>
      </c>
      <c r="L9" s="34">
        <f>IF(OR($B9="",$H9="",$E9=0),"",IFERROR(SUMPRODUCT('Calc_Mix'!$D9:$W9,INDEX(Matriz_Niveis,MATCH($H9,Matriz_Nome,0),0))/'Calc_Mix'!$X9,""))</f>
        <v/>
      </c>
      <c r="M9" s="34">
        <f>IF(OR($B9="",$J9="",$E9=0),"",IFERROR(SUMPRODUCT('Calc_Mix'!$D9:$W9,INDEX(Matriz_Niveis,MATCH($J9,Matriz_Nome,0),0))/'Calc_Mix'!$X9,""))</f>
        <v/>
      </c>
      <c r="N9" s="34">
        <f>IF(OR($L9="",$M9=""),"",Peso_Circulante*$L9+Peso_Instrumentador*$M9)</f>
        <v/>
      </c>
      <c r="O9" s="15">
        <f>IF($B9="","",IF($D9=0,"SEM CIRURGIA",IF($N9="","SEM DUPLA",IF($N9&gt;=Afinidade_Meta,"ADEQUADA",IF($N9&gt;=Afinidade_Min,"ATENÇÃO","CRÍTICA")))))</f>
        <v/>
      </c>
      <c r="P9" s="17">
        <f>IF($B9="","",IF(AND($H9="",$J9=""),"OK",IF(OR(AND($H9&lt;&gt;"",SUMPRODUCT((Esc_Turno=$C9)*(Esc_Circ=$H9))+SUMPRODUCT((Esc_Turno=$C9)*(Esc_Instr=$H9))&gt;1),AND($J9&lt;&gt;"",SUMPRODUCT((Esc_Turno=$C9)*(Esc_Circ=$J9))+SUMPRODUCT((Esc_Turno=$C9)*(Esc_Instr=$J9))&gt;1)),"Técnico em duas salas no mesmo turno","OK")))</f>
        <v/>
      </c>
      <c r="Q9" s="17">
        <f>IF($B9="","",IF(AND($H9="",$J9=""),"OK",IF(OR(AND($H9&lt;&gt;"",IFERROR(INDEX(Equipe_Status,MATCH($H9,Equipe_Nome,0)),"?")&lt;&gt;"Ativo"),AND($J9&lt;&gt;"",IFERROR(INDEX(Equipe_Status,MATCH($J9,Equipe_Nome,0)),"?")&lt;&gt;"Ativo")),"Técnico não ativo ou não cadastrado","OK")))</f>
        <v/>
      </c>
      <c r="R9" s="17">
        <f>IF($B9="","",IF(AND($H9="",$J9=""),"OK",IF(OR(AND($H9&lt;&gt;"",IFERROR(INDEX(Equipe_Funcao,MATCH($H9,Equipe_Nome,0)),"")="Instrumentador"),AND($J9&lt;&gt;"",IFERROR(INDEX(Equipe_Funcao,MATCH($J9,Equipe_Nome,0)),"")="Circulante")),"Função incompatível com o posto","OK")))</f>
        <v/>
      </c>
      <c r="S9" s="17">
        <f>IF($B9="","",IF(OR($E9=0,AND($H9="",$J9="")),"OK",IF(IFERROR(SUMPRODUCT(('Calc_Mix'!$D9:$W9/'Calc_Mix'!$X9&gt;=Part_Min_Critica)*(INDEX(Matriz_Niveis,MATCH($H9,Matriz_Nome,0),0)&lt;=Nivel_Critico)),0)+IFERROR(SUMPRODUCT(('Calc_Mix'!$D9:$W9/'Calc_Mix'!$X9&gt;=Part_Min_Critica)*(INDEX(Matriz_Niveis,MATCH($J9,Matriz_Nome,0),0)&lt;=Nivel_Critico)),0)&gt;0,"Inaptidão em especialidade relevante","OK")))</f>
        <v/>
      </c>
      <c r="T9" s="37">
        <f>IF($B9="",IF(OR($H9&lt;&gt;"",$J9&lt;&gt;""),"Linha sem sala cadastrada — remova a dupla",""),IF($U9="","OK",LEFT($U9,LEN($U9)-3)))</f>
        <v/>
      </c>
      <c r="U9" s="15">
        <f>IF($B9="","",IF(AND($D9&gt;0,$H9=""),"Sem circulante | ","")&amp;IF(AND($D9&gt;0,$J9=""),"Sem instrumentador | ","")&amp;IF(AND($D9=0,OR($H9&lt;&gt;"",$J9&lt;&gt;"")),"Dupla escalada em sala sem cirurgia | ","")&amp;IF($P9&lt;&gt;"OK",$P9&amp;" | ","")&amp;IF($Q9&lt;&gt;"OK",$Q9&amp;" | ","")&amp;IF($R9&lt;&gt;"OK",$R9&amp;" | ","")&amp;IF($S9&lt;&gt;"OK",$S9&amp;" | ","")&amp;IF(AND($N9&lt;&gt;"",$N9&lt;Afinidade_Min),"Afinidade abaixo do mínimo | ","")&amp;IF(AND($G9&lt;&gt;"",$G9&gt;Ocupacao_Max),"Ocupação acima do limite | ","")&amp;IF(OR(AND($H9&lt;&gt;"",IFERROR(INDEX(Equipe_Turno,MATCH($H9,Equipe_Nome,0)),$C9)&lt;&gt;$C9),AND($J9&lt;&gt;"",IFERROR(INDEX(Equipe_Turno,MATCH($J9,Equipe_Nome,0)),$C9)&lt;&gt;$C9)),"Técnico fora do turno preferencial | ","")&amp;IF(AND($D9&gt;0,IFERROR(INDEX(Salas_Status,MATCH($B9,Salas_Cod,0)),"")&lt;&gt;"Ativa"),"Sala não ativa com cirurgia | ",""))</f>
        <v/>
      </c>
      <c r="V9" s="34">
        <f>IF($N9="",0,$N9)</f>
        <v/>
      </c>
      <c r="W9" s="32">
        <f>IF($N9="",0,$E9)</f>
        <v/>
      </c>
    </row>
    <row r="10">
      <c r="A10" s="35">
        <f>IF($B10="","",Data_Mapa)</f>
        <v/>
      </c>
      <c r="B10" s="15">
        <f>IF('Calc_Mix'!$B10="","",'Calc_Mix'!$B10)</f>
        <v/>
      </c>
      <c r="C10" s="15">
        <f>IF($B10="","",'Calc_Mix'!$C10)</f>
        <v/>
      </c>
      <c r="D10" s="32">
        <f>IF($B10="","",COUNTIFS(Mapa_Sala,$B10,Mapa_Turno,$C10,Mapa_MinOcup,"&gt;0"))</f>
        <v/>
      </c>
      <c r="E10" s="32">
        <f>IF($B10="","",'Calc_Mix'!$X10)</f>
        <v/>
      </c>
      <c r="F10" s="32">
        <f>IF($B10="","",'Calc_Mix'!$Y10)</f>
        <v/>
      </c>
      <c r="G10" s="33">
        <f>IF(OR($B10="",$F10=0),"",$E10/$F10)</f>
        <v/>
      </c>
      <c r="H10" s="36" t="inlineStr">
        <is>
          <t>Quezia Martins</t>
        </is>
      </c>
      <c r="I10" s="28">
        <f>IF($H10="","",IFERROR(INDEX(Equipe_Funcao,MATCH($H10,Equipe_Nome,0))&amp;" · "&amp;INDEX(Equipe_Status,MATCH($H10,Equipe_Nome,0)),"NÃO CADASTRADO"))</f>
        <v/>
      </c>
      <c r="J10" s="36" t="inlineStr">
        <is>
          <t>Rafael Bittencourt</t>
        </is>
      </c>
      <c r="K10" s="28">
        <f>IF($J10="","",IFERROR(INDEX(Equipe_Funcao,MATCH($J10,Equipe_Nome,0))&amp;" · "&amp;INDEX(Equipe_Status,MATCH($J10,Equipe_Nome,0)),"NÃO CADASTRADO"))</f>
        <v/>
      </c>
      <c r="L10" s="34">
        <f>IF(OR($B10="",$H10="",$E10=0),"",IFERROR(SUMPRODUCT('Calc_Mix'!$D10:$W10,INDEX(Matriz_Niveis,MATCH($H10,Matriz_Nome,0),0))/'Calc_Mix'!$X10,""))</f>
        <v/>
      </c>
      <c r="M10" s="34">
        <f>IF(OR($B10="",$J10="",$E10=0),"",IFERROR(SUMPRODUCT('Calc_Mix'!$D10:$W10,INDEX(Matriz_Niveis,MATCH($J10,Matriz_Nome,0),0))/'Calc_Mix'!$X10,""))</f>
        <v/>
      </c>
      <c r="N10" s="34">
        <f>IF(OR($L10="",$M10=""),"",Peso_Circulante*$L10+Peso_Instrumentador*$M10)</f>
        <v/>
      </c>
      <c r="O10" s="15">
        <f>IF($B10="","",IF($D10=0,"SEM CIRURGIA",IF($N10="","SEM DUPLA",IF($N10&gt;=Afinidade_Meta,"ADEQUADA",IF($N10&gt;=Afinidade_Min,"ATENÇÃO","CRÍTICA")))))</f>
        <v/>
      </c>
      <c r="P10" s="17">
        <f>IF($B10="","",IF(AND($H10="",$J10=""),"OK",IF(OR(AND($H10&lt;&gt;"",SUMPRODUCT((Esc_Turno=$C10)*(Esc_Circ=$H10))+SUMPRODUCT((Esc_Turno=$C10)*(Esc_Instr=$H10))&gt;1),AND($J10&lt;&gt;"",SUMPRODUCT((Esc_Turno=$C10)*(Esc_Circ=$J10))+SUMPRODUCT((Esc_Turno=$C10)*(Esc_Instr=$J10))&gt;1)),"Técnico em duas salas no mesmo turno","OK")))</f>
        <v/>
      </c>
      <c r="Q10" s="17">
        <f>IF($B10="","",IF(AND($H10="",$J10=""),"OK",IF(OR(AND($H10&lt;&gt;"",IFERROR(INDEX(Equipe_Status,MATCH($H10,Equipe_Nome,0)),"?")&lt;&gt;"Ativo"),AND($J10&lt;&gt;"",IFERROR(INDEX(Equipe_Status,MATCH($J10,Equipe_Nome,0)),"?")&lt;&gt;"Ativo")),"Técnico não ativo ou não cadastrado","OK")))</f>
        <v/>
      </c>
      <c r="R10" s="17">
        <f>IF($B10="","",IF(AND($H10="",$J10=""),"OK",IF(OR(AND($H10&lt;&gt;"",IFERROR(INDEX(Equipe_Funcao,MATCH($H10,Equipe_Nome,0)),"")="Instrumentador"),AND($J10&lt;&gt;"",IFERROR(INDEX(Equipe_Funcao,MATCH($J10,Equipe_Nome,0)),"")="Circulante")),"Função incompatível com o posto","OK")))</f>
        <v/>
      </c>
      <c r="S10" s="17">
        <f>IF($B10="","",IF(OR($E10=0,AND($H10="",$J10="")),"OK",IF(IFERROR(SUMPRODUCT(('Calc_Mix'!$D10:$W10/'Calc_Mix'!$X10&gt;=Part_Min_Critica)*(INDEX(Matriz_Niveis,MATCH($H10,Matriz_Nome,0),0)&lt;=Nivel_Critico)),0)+IFERROR(SUMPRODUCT(('Calc_Mix'!$D10:$W10/'Calc_Mix'!$X10&gt;=Part_Min_Critica)*(INDEX(Matriz_Niveis,MATCH($J10,Matriz_Nome,0),0)&lt;=Nivel_Critico)),0)&gt;0,"Inaptidão em especialidade relevante","OK")))</f>
        <v/>
      </c>
      <c r="T10" s="37">
        <f>IF($B10="",IF(OR($H10&lt;&gt;"",$J10&lt;&gt;""),"Linha sem sala cadastrada — remova a dupla",""),IF($U10="","OK",LEFT($U10,LEN($U10)-3)))</f>
        <v/>
      </c>
      <c r="U10" s="15">
        <f>IF($B10="","",IF(AND($D10&gt;0,$H10=""),"Sem circulante | ","")&amp;IF(AND($D10&gt;0,$J10=""),"Sem instrumentador | ","")&amp;IF(AND($D10=0,OR($H10&lt;&gt;"",$J10&lt;&gt;"")),"Dupla escalada em sala sem cirurgia | ","")&amp;IF($P10&lt;&gt;"OK",$P10&amp;" | ","")&amp;IF($Q10&lt;&gt;"OK",$Q10&amp;" | ","")&amp;IF($R10&lt;&gt;"OK",$R10&amp;" | ","")&amp;IF($S10&lt;&gt;"OK",$S10&amp;" | ","")&amp;IF(AND($N10&lt;&gt;"",$N10&lt;Afinidade_Min),"Afinidade abaixo do mínimo | ","")&amp;IF(AND($G10&lt;&gt;"",$G10&gt;Ocupacao_Max),"Ocupação acima do limite | ","")&amp;IF(OR(AND($H10&lt;&gt;"",IFERROR(INDEX(Equipe_Turno,MATCH($H10,Equipe_Nome,0)),$C10)&lt;&gt;$C10),AND($J10&lt;&gt;"",IFERROR(INDEX(Equipe_Turno,MATCH($J10,Equipe_Nome,0)),$C10)&lt;&gt;$C10)),"Técnico fora do turno preferencial | ","")&amp;IF(AND($D10&gt;0,IFERROR(INDEX(Salas_Status,MATCH($B10,Salas_Cod,0)),"")&lt;&gt;"Ativa"),"Sala não ativa com cirurgia | ",""))</f>
        <v/>
      </c>
      <c r="V10" s="34">
        <f>IF($N10="",0,$N10)</f>
        <v/>
      </c>
      <c r="W10" s="32">
        <f>IF($N10="",0,$E10)</f>
        <v/>
      </c>
    </row>
    <row r="11">
      <c r="A11" s="35">
        <f>IF($B11="","",Data_Mapa)</f>
        <v/>
      </c>
      <c r="B11" s="15">
        <f>IF('Calc_Mix'!$B11="","",'Calc_Mix'!$B11)</f>
        <v/>
      </c>
      <c r="C11" s="15">
        <f>IF($B11="","",'Calc_Mix'!$C11)</f>
        <v/>
      </c>
      <c r="D11" s="32">
        <f>IF($B11="","",COUNTIFS(Mapa_Sala,$B11,Mapa_Turno,$C11,Mapa_MinOcup,"&gt;0"))</f>
        <v/>
      </c>
      <c r="E11" s="32">
        <f>IF($B11="","",'Calc_Mix'!$X11)</f>
        <v/>
      </c>
      <c r="F11" s="32">
        <f>IF($B11="","",'Calc_Mix'!$Y11)</f>
        <v/>
      </c>
      <c r="G11" s="33">
        <f>IF(OR($B11="",$F11=0),"",$E11/$F11)</f>
        <v/>
      </c>
      <c r="H11" s="36" t="inlineStr">
        <is>
          <t>Simone Aguiar</t>
        </is>
      </c>
      <c r="I11" s="28">
        <f>IF($H11="","",IFERROR(INDEX(Equipe_Funcao,MATCH($H11,Equipe_Nome,0))&amp;" · "&amp;INDEX(Equipe_Status,MATCH($H11,Equipe_Nome,0)),"NÃO CADASTRADO"))</f>
        <v/>
      </c>
      <c r="J11" s="36" t="inlineStr">
        <is>
          <t>Tiago Fernandes</t>
        </is>
      </c>
      <c r="K11" s="28">
        <f>IF($J11="","",IFERROR(INDEX(Equipe_Funcao,MATCH($J11,Equipe_Nome,0))&amp;" · "&amp;INDEX(Equipe_Status,MATCH($J11,Equipe_Nome,0)),"NÃO CADASTRADO"))</f>
        <v/>
      </c>
      <c r="L11" s="34">
        <f>IF(OR($B11="",$H11="",$E11=0),"",IFERROR(SUMPRODUCT('Calc_Mix'!$D11:$W11,INDEX(Matriz_Niveis,MATCH($H11,Matriz_Nome,0),0))/'Calc_Mix'!$X11,""))</f>
        <v/>
      </c>
      <c r="M11" s="34">
        <f>IF(OR($B11="",$J11="",$E11=0),"",IFERROR(SUMPRODUCT('Calc_Mix'!$D11:$W11,INDEX(Matriz_Niveis,MATCH($J11,Matriz_Nome,0),0))/'Calc_Mix'!$X11,""))</f>
        <v/>
      </c>
      <c r="N11" s="34">
        <f>IF(OR($L11="",$M11=""),"",Peso_Circulante*$L11+Peso_Instrumentador*$M11)</f>
        <v/>
      </c>
      <c r="O11" s="15">
        <f>IF($B11="","",IF($D11=0,"SEM CIRURGIA",IF($N11="","SEM DUPLA",IF($N11&gt;=Afinidade_Meta,"ADEQUADA",IF($N11&gt;=Afinidade_Min,"ATENÇÃO","CRÍTICA")))))</f>
        <v/>
      </c>
      <c r="P11" s="17">
        <f>IF($B11="","",IF(AND($H11="",$J11=""),"OK",IF(OR(AND($H11&lt;&gt;"",SUMPRODUCT((Esc_Turno=$C11)*(Esc_Circ=$H11))+SUMPRODUCT((Esc_Turno=$C11)*(Esc_Instr=$H11))&gt;1),AND($J11&lt;&gt;"",SUMPRODUCT((Esc_Turno=$C11)*(Esc_Circ=$J11))+SUMPRODUCT((Esc_Turno=$C11)*(Esc_Instr=$J11))&gt;1)),"Técnico em duas salas no mesmo turno","OK")))</f>
        <v/>
      </c>
      <c r="Q11" s="17">
        <f>IF($B11="","",IF(AND($H11="",$J11=""),"OK",IF(OR(AND($H11&lt;&gt;"",IFERROR(INDEX(Equipe_Status,MATCH($H11,Equipe_Nome,0)),"?")&lt;&gt;"Ativo"),AND($J11&lt;&gt;"",IFERROR(INDEX(Equipe_Status,MATCH($J11,Equipe_Nome,0)),"?")&lt;&gt;"Ativo")),"Técnico não ativo ou não cadastrado","OK")))</f>
        <v/>
      </c>
      <c r="R11" s="17">
        <f>IF($B11="","",IF(AND($H11="",$J11=""),"OK",IF(OR(AND($H11&lt;&gt;"",IFERROR(INDEX(Equipe_Funcao,MATCH($H11,Equipe_Nome,0)),"")="Instrumentador"),AND($J11&lt;&gt;"",IFERROR(INDEX(Equipe_Funcao,MATCH($J11,Equipe_Nome,0)),"")="Circulante")),"Função incompatível com o posto","OK")))</f>
        <v/>
      </c>
      <c r="S11" s="17">
        <f>IF($B11="","",IF(OR($E11=0,AND($H11="",$J11="")),"OK",IF(IFERROR(SUMPRODUCT(('Calc_Mix'!$D11:$W11/'Calc_Mix'!$X11&gt;=Part_Min_Critica)*(INDEX(Matriz_Niveis,MATCH($H11,Matriz_Nome,0),0)&lt;=Nivel_Critico)),0)+IFERROR(SUMPRODUCT(('Calc_Mix'!$D11:$W11/'Calc_Mix'!$X11&gt;=Part_Min_Critica)*(INDEX(Matriz_Niveis,MATCH($J11,Matriz_Nome,0),0)&lt;=Nivel_Critico)),0)&gt;0,"Inaptidão em especialidade relevante","OK")))</f>
        <v/>
      </c>
      <c r="T11" s="37">
        <f>IF($B11="",IF(OR($H11&lt;&gt;"",$J11&lt;&gt;""),"Linha sem sala cadastrada — remova a dupla",""),IF($U11="","OK",LEFT($U11,LEN($U11)-3)))</f>
        <v/>
      </c>
      <c r="U11" s="15">
        <f>IF($B11="","",IF(AND($D11&gt;0,$H11=""),"Sem circulante | ","")&amp;IF(AND($D11&gt;0,$J11=""),"Sem instrumentador | ","")&amp;IF(AND($D11=0,OR($H11&lt;&gt;"",$J11&lt;&gt;"")),"Dupla escalada em sala sem cirurgia | ","")&amp;IF($P11&lt;&gt;"OK",$P11&amp;" | ","")&amp;IF($Q11&lt;&gt;"OK",$Q11&amp;" | ","")&amp;IF($R11&lt;&gt;"OK",$R11&amp;" | ","")&amp;IF($S11&lt;&gt;"OK",$S11&amp;" | ","")&amp;IF(AND($N11&lt;&gt;"",$N11&lt;Afinidade_Min),"Afinidade abaixo do mínimo | ","")&amp;IF(AND($G11&lt;&gt;"",$G11&gt;Ocupacao_Max),"Ocupação acima do limite | ","")&amp;IF(OR(AND($H11&lt;&gt;"",IFERROR(INDEX(Equipe_Turno,MATCH($H11,Equipe_Nome,0)),$C11)&lt;&gt;$C11),AND($J11&lt;&gt;"",IFERROR(INDEX(Equipe_Turno,MATCH($J11,Equipe_Nome,0)),$C11)&lt;&gt;$C11)),"Técnico fora do turno preferencial | ","")&amp;IF(AND($D11&gt;0,IFERROR(INDEX(Salas_Status,MATCH($B11,Salas_Cod,0)),"")&lt;&gt;"Ativa"),"Sala não ativa com cirurgia | ",""))</f>
        <v/>
      </c>
      <c r="V11" s="34">
        <f>IF($N11="",0,$N11)</f>
        <v/>
      </c>
      <c r="W11" s="32">
        <f>IF($N11="",0,$E11)</f>
        <v/>
      </c>
    </row>
    <row r="12">
      <c r="A12" s="35">
        <f>IF($B12="","",Data_Mapa)</f>
        <v/>
      </c>
      <c r="B12" s="15">
        <f>IF('Calc_Mix'!$B12="","",'Calc_Mix'!$B12)</f>
        <v/>
      </c>
      <c r="C12" s="15">
        <f>IF($B12="","",'Calc_Mix'!$C12)</f>
        <v/>
      </c>
      <c r="D12" s="32">
        <f>IF($B12="","",COUNTIFS(Mapa_Sala,$B12,Mapa_Turno,$C12,Mapa_MinOcup,"&gt;0"))</f>
        <v/>
      </c>
      <c r="E12" s="32">
        <f>IF($B12="","",'Calc_Mix'!$X12)</f>
        <v/>
      </c>
      <c r="F12" s="32">
        <f>IF($B12="","",'Calc_Mix'!$Y12)</f>
        <v/>
      </c>
      <c r="G12" s="33">
        <f>IF(OR($B12="",$F12=0),"",$E12/$F12)</f>
        <v/>
      </c>
      <c r="H12" s="36" t="inlineStr">
        <is>
          <t>Úrsula Campos</t>
        </is>
      </c>
      <c r="I12" s="28">
        <f>IF($H12="","",IFERROR(INDEX(Equipe_Funcao,MATCH($H12,Equipe_Nome,0))&amp;" · "&amp;INDEX(Equipe_Status,MATCH($H12,Equipe_Nome,0)),"NÃO CADASTRADO"))</f>
        <v/>
      </c>
      <c r="J12" s="36" t="inlineStr">
        <is>
          <t>Vinícius Barros</t>
        </is>
      </c>
      <c r="K12" s="28">
        <f>IF($J12="","",IFERROR(INDEX(Equipe_Funcao,MATCH($J12,Equipe_Nome,0))&amp;" · "&amp;INDEX(Equipe_Status,MATCH($J12,Equipe_Nome,0)),"NÃO CADASTRADO"))</f>
        <v/>
      </c>
      <c r="L12" s="34">
        <f>IF(OR($B12="",$H12="",$E12=0),"",IFERROR(SUMPRODUCT('Calc_Mix'!$D12:$W12,INDEX(Matriz_Niveis,MATCH($H12,Matriz_Nome,0),0))/'Calc_Mix'!$X12,""))</f>
        <v/>
      </c>
      <c r="M12" s="34">
        <f>IF(OR($B12="",$J12="",$E12=0),"",IFERROR(SUMPRODUCT('Calc_Mix'!$D12:$W12,INDEX(Matriz_Niveis,MATCH($J12,Matriz_Nome,0),0))/'Calc_Mix'!$X12,""))</f>
        <v/>
      </c>
      <c r="N12" s="34">
        <f>IF(OR($L12="",$M12=""),"",Peso_Circulante*$L12+Peso_Instrumentador*$M12)</f>
        <v/>
      </c>
      <c r="O12" s="15">
        <f>IF($B12="","",IF($D12=0,"SEM CIRURGIA",IF($N12="","SEM DUPLA",IF($N12&gt;=Afinidade_Meta,"ADEQUADA",IF($N12&gt;=Afinidade_Min,"ATENÇÃO","CRÍTICA")))))</f>
        <v/>
      </c>
      <c r="P12" s="17">
        <f>IF($B12="","",IF(AND($H12="",$J12=""),"OK",IF(OR(AND($H12&lt;&gt;"",SUMPRODUCT((Esc_Turno=$C12)*(Esc_Circ=$H12))+SUMPRODUCT((Esc_Turno=$C12)*(Esc_Instr=$H12))&gt;1),AND($J12&lt;&gt;"",SUMPRODUCT((Esc_Turno=$C12)*(Esc_Circ=$J12))+SUMPRODUCT((Esc_Turno=$C12)*(Esc_Instr=$J12))&gt;1)),"Técnico em duas salas no mesmo turno","OK")))</f>
        <v/>
      </c>
      <c r="Q12" s="17">
        <f>IF($B12="","",IF(AND($H12="",$J12=""),"OK",IF(OR(AND($H12&lt;&gt;"",IFERROR(INDEX(Equipe_Status,MATCH($H12,Equipe_Nome,0)),"?")&lt;&gt;"Ativo"),AND($J12&lt;&gt;"",IFERROR(INDEX(Equipe_Status,MATCH($J12,Equipe_Nome,0)),"?")&lt;&gt;"Ativo")),"Técnico não ativo ou não cadastrado","OK")))</f>
        <v/>
      </c>
      <c r="R12" s="17">
        <f>IF($B12="","",IF(AND($H12="",$J12=""),"OK",IF(OR(AND($H12&lt;&gt;"",IFERROR(INDEX(Equipe_Funcao,MATCH($H12,Equipe_Nome,0)),"")="Instrumentador"),AND($J12&lt;&gt;"",IFERROR(INDEX(Equipe_Funcao,MATCH($J12,Equipe_Nome,0)),"")="Circulante")),"Função incompatível com o posto","OK")))</f>
        <v/>
      </c>
      <c r="S12" s="17">
        <f>IF($B12="","",IF(OR($E12=0,AND($H12="",$J12="")),"OK",IF(IFERROR(SUMPRODUCT(('Calc_Mix'!$D12:$W12/'Calc_Mix'!$X12&gt;=Part_Min_Critica)*(INDEX(Matriz_Niveis,MATCH($H12,Matriz_Nome,0),0)&lt;=Nivel_Critico)),0)+IFERROR(SUMPRODUCT(('Calc_Mix'!$D12:$W12/'Calc_Mix'!$X12&gt;=Part_Min_Critica)*(INDEX(Matriz_Niveis,MATCH($J12,Matriz_Nome,0),0)&lt;=Nivel_Critico)),0)&gt;0,"Inaptidão em especialidade relevante","OK")))</f>
        <v/>
      </c>
      <c r="T12" s="37">
        <f>IF($B12="",IF(OR($H12&lt;&gt;"",$J12&lt;&gt;""),"Linha sem sala cadastrada — remova a dupla",""),IF($U12="","OK",LEFT($U12,LEN($U12)-3)))</f>
        <v/>
      </c>
      <c r="U12" s="15">
        <f>IF($B12="","",IF(AND($D12&gt;0,$H12=""),"Sem circulante | ","")&amp;IF(AND($D12&gt;0,$J12=""),"Sem instrumentador | ","")&amp;IF(AND($D12=0,OR($H12&lt;&gt;"",$J12&lt;&gt;"")),"Dupla escalada em sala sem cirurgia | ","")&amp;IF($P12&lt;&gt;"OK",$P12&amp;" | ","")&amp;IF($Q12&lt;&gt;"OK",$Q12&amp;" | ","")&amp;IF($R12&lt;&gt;"OK",$R12&amp;" | ","")&amp;IF($S12&lt;&gt;"OK",$S12&amp;" | ","")&amp;IF(AND($N12&lt;&gt;"",$N12&lt;Afinidade_Min),"Afinidade abaixo do mínimo | ","")&amp;IF(AND($G12&lt;&gt;"",$G12&gt;Ocupacao_Max),"Ocupação acima do limite | ","")&amp;IF(OR(AND($H12&lt;&gt;"",IFERROR(INDEX(Equipe_Turno,MATCH($H12,Equipe_Nome,0)),$C12)&lt;&gt;$C12),AND($J12&lt;&gt;"",IFERROR(INDEX(Equipe_Turno,MATCH($J12,Equipe_Nome,0)),$C12)&lt;&gt;$C12)),"Técnico fora do turno preferencial | ","")&amp;IF(AND($D12&gt;0,IFERROR(INDEX(Salas_Status,MATCH($B12,Salas_Cod,0)),"")&lt;&gt;"Ativa"),"Sala não ativa com cirurgia | ",""))</f>
        <v/>
      </c>
      <c r="V12" s="34">
        <f>IF($N12="",0,$N12)</f>
        <v/>
      </c>
      <c r="W12" s="32">
        <f>IF($N12="",0,$E12)</f>
        <v/>
      </c>
    </row>
    <row r="13">
      <c r="A13" s="35">
        <f>IF($B13="","",Data_Mapa)</f>
        <v/>
      </c>
      <c r="B13" s="15">
        <f>IF('Calc_Mix'!$B13="","",'Calc_Mix'!$B13)</f>
        <v/>
      </c>
      <c r="C13" s="15">
        <f>IF($B13="","",'Calc_Mix'!$C13)</f>
        <v/>
      </c>
      <c r="D13" s="32">
        <f>IF($B13="","",COUNTIFS(Mapa_Sala,$B13,Mapa_Turno,$C13,Mapa_MinOcup,"&gt;0"))</f>
        <v/>
      </c>
      <c r="E13" s="32">
        <f>IF($B13="","",'Calc_Mix'!$X13)</f>
        <v/>
      </c>
      <c r="F13" s="32">
        <f>IF($B13="","",'Calc_Mix'!$Y13)</f>
        <v/>
      </c>
      <c r="G13" s="33">
        <f>IF(OR($B13="",$F13=0),"",$E13/$F13)</f>
        <v/>
      </c>
      <c r="H13" s="36" t="inlineStr">
        <is>
          <t>Wanda Siqueira</t>
        </is>
      </c>
      <c r="I13" s="28">
        <f>IF($H13="","",IFERROR(INDEX(Equipe_Funcao,MATCH($H13,Equipe_Nome,0))&amp;" · "&amp;INDEX(Equipe_Status,MATCH($H13,Equipe_Nome,0)),"NÃO CADASTRADO"))</f>
        <v/>
      </c>
      <c r="J13" s="36" t="inlineStr">
        <is>
          <t>Xavier Rocha</t>
        </is>
      </c>
      <c r="K13" s="28">
        <f>IF($J13="","",IFERROR(INDEX(Equipe_Funcao,MATCH($J13,Equipe_Nome,0))&amp;" · "&amp;INDEX(Equipe_Status,MATCH($J13,Equipe_Nome,0)),"NÃO CADASTRADO"))</f>
        <v/>
      </c>
      <c r="L13" s="34">
        <f>IF(OR($B13="",$H13="",$E13=0),"",IFERROR(SUMPRODUCT('Calc_Mix'!$D13:$W13,INDEX(Matriz_Niveis,MATCH($H13,Matriz_Nome,0),0))/'Calc_Mix'!$X13,""))</f>
        <v/>
      </c>
      <c r="M13" s="34">
        <f>IF(OR($B13="",$J13="",$E13=0),"",IFERROR(SUMPRODUCT('Calc_Mix'!$D13:$W13,INDEX(Matriz_Niveis,MATCH($J13,Matriz_Nome,0),0))/'Calc_Mix'!$X13,""))</f>
        <v/>
      </c>
      <c r="N13" s="34">
        <f>IF(OR($L13="",$M13=""),"",Peso_Circulante*$L13+Peso_Instrumentador*$M13)</f>
        <v/>
      </c>
      <c r="O13" s="15">
        <f>IF($B13="","",IF($D13=0,"SEM CIRURGIA",IF($N13="","SEM DUPLA",IF($N13&gt;=Afinidade_Meta,"ADEQUADA",IF($N13&gt;=Afinidade_Min,"ATENÇÃO","CRÍTICA")))))</f>
        <v/>
      </c>
      <c r="P13" s="17">
        <f>IF($B13="","",IF(AND($H13="",$J13=""),"OK",IF(OR(AND($H13&lt;&gt;"",SUMPRODUCT((Esc_Turno=$C13)*(Esc_Circ=$H13))+SUMPRODUCT((Esc_Turno=$C13)*(Esc_Instr=$H13))&gt;1),AND($J13&lt;&gt;"",SUMPRODUCT((Esc_Turno=$C13)*(Esc_Circ=$J13))+SUMPRODUCT((Esc_Turno=$C13)*(Esc_Instr=$J13))&gt;1)),"Técnico em duas salas no mesmo turno","OK")))</f>
        <v/>
      </c>
      <c r="Q13" s="17">
        <f>IF($B13="","",IF(AND($H13="",$J13=""),"OK",IF(OR(AND($H13&lt;&gt;"",IFERROR(INDEX(Equipe_Status,MATCH($H13,Equipe_Nome,0)),"?")&lt;&gt;"Ativo"),AND($J13&lt;&gt;"",IFERROR(INDEX(Equipe_Status,MATCH($J13,Equipe_Nome,0)),"?")&lt;&gt;"Ativo")),"Técnico não ativo ou não cadastrado","OK")))</f>
        <v/>
      </c>
      <c r="R13" s="17">
        <f>IF($B13="","",IF(AND($H13="",$J13=""),"OK",IF(OR(AND($H13&lt;&gt;"",IFERROR(INDEX(Equipe_Funcao,MATCH($H13,Equipe_Nome,0)),"")="Instrumentador"),AND($J13&lt;&gt;"",IFERROR(INDEX(Equipe_Funcao,MATCH($J13,Equipe_Nome,0)),"")="Circulante")),"Função incompatível com o posto","OK")))</f>
        <v/>
      </c>
      <c r="S13" s="17">
        <f>IF($B13="","",IF(OR($E13=0,AND($H13="",$J13="")),"OK",IF(IFERROR(SUMPRODUCT(('Calc_Mix'!$D13:$W13/'Calc_Mix'!$X13&gt;=Part_Min_Critica)*(INDEX(Matriz_Niveis,MATCH($H13,Matriz_Nome,0),0)&lt;=Nivel_Critico)),0)+IFERROR(SUMPRODUCT(('Calc_Mix'!$D13:$W13/'Calc_Mix'!$X13&gt;=Part_Min_Critica)*(INDEX(Matriz_Niveis,MATCH($J13,Matriz_Nome,0),0)&lt;=Nivel_Critico)),0)&gt;0,"Inaptidão em especialidade relevante","OK")))</f>
        <v/>
      </c>
      <c r="T13" s="37">
        <f>IF($B13="",IF(OR($H13&lt;&gt;"",$J13&lt;&gt;""),"Linha sem sala cadastrada — remova a dupla",""),IF($U13="","OK",LEFT($U13,LEN($U13)-3)))</f>
        <v/>
      </c>
      <c r="U13" s="15">
        <f>IF($B13="","",IF(AND($D13&gt;0,$H13=""),"Sem circulante | ","")&amp;IF(AND($D13&gt;0,$J13=""),"Sem instrumentador | ","")&amp;IF(AND($D13=0,OR($H13&lt;&gt;"",$J13&lt;&gt;"")),"Dupla escalada em sala sem cirurgia | ","")&amp;IF($P13&lt;&gt;"OK",$P13&amp;" | ","")&amp;IF($Q13&lt;&gt;"OK",$Q13&amp;" | ","")&amp;IF($R13&lt;&gt;"OK",$R13&amp;" | ","")&amp;IF($S13&lt;&gt;"OK",$S13&amp;" | ","")&amp;IF(AND($N13&lt;&gt;"",$N13&lt;Afinidade_Min),"Afinidade abaixo do mínimo | ","")&amp;IF(AND($G13&lt;&gt;"",$G13&gt;Ocupacao_Max),"Ocupação acima do limite | ","")&amp;IF(OR(AND($H13&lt;&gt;"",IFERROR(INDEX(Equipe_Turno,MATCH($H13,Equipe_Nome,0)),$C13)&lt;&gt;$C13),AND($J13&lt;&gt;"",IFERROR(INDEX(Equipe_Turno,MATCH($J13,Equipe_Nome,0)),$C13)&lt;&gt;$C13)),"Técnico fora do turno preferencial | ","")&amp;IF(AND($D13&gt;0,IFERROR(INDEX(Salas_Status,MATCH($B13,Salas_Cod,0)),"")&lt;&gt;"Ativa"),"Sala não ativa com cirurgia | ",""))</f>
        <v/>
      </c>
      <c r="V13" s="34">
        <f>IF($N13="",0,$N13)</f>
        <v/>
      </c>
      <c r="W13" s="32">
        <f>IF($N13="",0,$E13)</f>
        <v/>
      </c>
    </row>
    <row r="14">
      <c r="A14" s="35">
        <f>IF($B14="","",Data_Mapa)</f>
        <v/>
      </c>
      <c r="B14" s="15">
        <f>IF('Calc_Mix'!$B14="","",'Calc_Mix'!$B14)</f>
        <v/>
      </c>
      <c r="C14" s="15">
        <f>IF($B14="","",'Calc_Mix'!$C14)</f>
        <v/>
      </c>
      <c r="D14" s="32">
        <f>IF($B14="","",COUNTIFS(Mapa_Sala,$B14,Mapa_Turno,$C14,Mapa_MinOcup,"&gt;0"))</f>
        <v/>
      </c>
      <c r="E14" s="32">
        <f>IF($B14="","",'Calc_Mix'!$X14)</f>
        <v/>
      </c>
      <c r="F14" s="32">
        <f>IF($B14="","",'Calc_Mix'!$Y14)</f>
        <v/>
      </c>
      <c r="G14" s="33">
        <f>IF(OR($B14="",$F14=0),"",$E14/$F14)</f>
        <v/>
      </c>
      <c r="H14" s="36" t="inlineStr">
        <is>
          <t>Yara Monteiro</t>
        </is>
      </c>
      <c r="I14" s="28">
        <f>IF($H14="","",IFERROR(INDEX(Equipe_Funcao,MATCH($H14,Equipe_Nome,0))&amp;" · "&amp;INDEX(Equipe_Status,MATCH($H14,Equipe_Nome,0)),"NÃO CADASTRADO"))</f>
        <v/>
      </c>
      <c r="J14" s="36" t="inlineStr">
        <is>
          <t>Zélia Braga</t>
        </is>
      </c>
      <c r="K14" s="28">
        <f>IF($J14="","",IFERROR(INDEX(Equipe_Funcao,MATCH($J14,Equipe_Nome,0))&amp;" · "&amp;INDEX(Equipe_Status,MATCH($J14,Equipe_Nome,0)),"NÃO CADASTRADO"))</f>
        <v/>
      </c>
      <c r="L14" s="34">
        <f>IF(OR($B14="",$H14="",$E14=0),"",IFERROR(SUMPRODUCT('Calc_Mix'!$D14:$W14,INDEX(Matriz_Niveis,MATCH($H14,Matriz_Nome,0),0))/'Calc_Mix'!$X14,""))</f>
        <v/>
      </c>
      <c r="M14" s="34">
        <f>IF(OR($B14="",$J14="",$E14=0),"",IFERROR(SUMPRODUCT('Calc_Mix'!$D14:$W14,INDEX(Matriz_Niveis,MATCH($J14,Matriz_Nome,0),0))/'Calc_Mix'!$X14,""))</f>
        <v/>
      </c>
      <c r="N14" s="34">
        <f>IF(OR($L14="",$M14=""),"",Peso_Circulante*$L14+Peso_Instrumentador*$M14)</f>
        <v/>
      </c>
      <c r="O14" s="15">
        <f>IF($B14="","",IF($D14=0,"SEM CIRURGIA",IF($N14="","SEM DUPLA",IF($N14&gt;=Afinidade_Meta,"ADEQUADA",IF($N14&gt;=Afinidade_Min,"ATENÇÃO","CRÍTICA")))))</f>
        <v/>
      </c>
      <c r="P14" s="17">
        <f>IF($B14="","",IF(AND($H14="",$J14=""),"OK",IF(OR(AND($H14&lt;&gt;"",SUMPRODUCT((Esc_Turno=$C14)*(Esc_Circ=$H14))+SUMPRODUCT((Esc_Turno=$C14)*(Esc_Instr=$H14))&gt;1),AND($J14&lt;&gt;"",SUMPRODUCT((Esc_Turno=$C14)*(Esc_Circ=$J14))+SUMPRODUCT((Esc_Turno=$C14)*(Esc_Instr=$J14))&gt;1)),"Técnico em duas salas no mesmo turno","OK")))</f>
        <v/>
      </c>
      <c r="Q14" s="17">
        <f>IF($B14="","",IF(AND($H14="",$J14=""),"OK",IF(OR(AND($H14&lt;&gt;"",IFERROR(INDEX(Equipe_Status,MATCH($H14,Equipe_Nome,0)),"?")&lt;&gt;"Ativo"),AND($J14&lt;&gt;"",IFERROR(INDEX(Equipe_Status,MATCH($J14,Equipe_Nome,0)),"?")&lt;&gt;"Ativo")),"Técnico não ativo ou não cadastrado","OK")))</f>
        <v/>
      </c>
      <c r="R14" s="17">
        <f>IF($B14="","",IF(AND($H14="",$J14=""),"OK",IF(OR(AND($H14&lt;&gt;"",IFERROR(INDEX(Equipe_Funcao,MATCH($H14,Equipe_Nome,0)),"")="Instrumentador"),AND($J14&lt;&gt;"",IFERROR(INDEX(Equipe_Funcao,MATCH($J14,Equipe_Nome,0)),"")="Circulante")),"Função incompatível com o posto","OK")))</f>
        <v/>
      </c>
      <c r="S14" s="17">
        <f>IF($B14="","",IF(OR($E14=0,AND($H14="",$J14="")),"OK",IF(IFERROR(SUMPRODUCT(('Calc_Mix'!$D14:$W14/'Calc_Mix'!$X14&gt;=Part_Min_Critica)*(INDEX(Matriz_Niveis,MATCH($H14,Matriz_Nome,0),0)&lt;=Nivel_Critico)),0)+IFERROR(SUMPRODUCT(('Calc_Mix'!$D14:$W14/'Calc_Mix'!$X14&gt;=Part_Min_Critica)*(INDEX(Matriz_Niveis,MATCH($J14,Matriz_Nome,0),0)&lt;=Nivel_Critico)),0)&gt;0,"Inaptidão em especialidade relevante","OK")))</f>
        <v/>
      </c>
      <c r="T14" s="37">
        <f>IF($B14="",IF(OR($H14&lt;&gt;"",$J14&lt;&gt;""),"Linha sem sala cadastrada — remova a dupla",""),IF($U14="","OK",LEFT($U14,LEN($U14)-3)))</f>
        <v/>
      </c>
      <c r="U14" s="15">
        <f>IF($B14="","",IF(AND($D14&gt;0,$H14=""),"Sem circulante | ","")&amp;IF(AND($D14&gt;0,$J14=""),"Sem instrumentador | ","")&amp;IF(AND($D14=0,OR($H14&lt;&gt;"",$J14&lt;&gt;"")),"Dupla escalada em sala sem cirurgia | ","")&amp;IF($P14&lt;&gt;"OK",$P14&amp;" | ","")&amp;IF($Q14&lt;&gt;"OK",$Q14&amp;" | ","")&amp;IF($R14&lt;&gt;"OK",$R14&amp;" | ","")&amp;IF($S14&lt;&gt;"OK",$S14&amp;" | ","")&amp;IF(AND($N14&lt;&gt;"",$N14&lt;Afinidade_Min),"Afinidade abaixo do mínimo | ","")&amp;IF(AND($G14&lt;&gt;"",$G14&gt;Ocupacao_Max),"Ocupação acima do limite | ","")&amp;IF(OR(AND($H14&lt;&gt;"",IFERROR(INDEX(Equipe_Turno,MATCH($H14,Equipe_Nome,0)),$C14)&lt;&gt;$C14),AND($J14&lt;&gt;"",IFERROR(INDEX(Equipe_Turno,MATCH($J14,Equipe_Nome,0)),$C14)&lt;&gt;$C14)),"Técnico fora do turno preferencial | ","")&amp;IF(AND($D14&gt;0,IFERROR(INDEX(Salas_Status,MATCH($B14,Salas_Cod,0)),"")&lt;&gt;"Ativa"),"Sala não ativa com cirurgia | ",""))</f>
        <v/>
      </c>
      <c r="V14" s="34">
        <f>IF($N14="",0,$N14)</f>
        <v/>
      </c>
      <c r="W14" s="32">
        <f>IF($N14="",0,$E14)</f>
        <v/>
      </c>
    </row>
    <row r="15">
      <c r="A15" s="35">
        <f>IF($B15="","",Data_Mapa)</f>
        <v/>
      </c>
      <c r="B15" s="15">
        <f>IF('Calc_Mix'!$B15="","",'Calc_Mix'!$B15)</f>
        <v/>
      </c>
      <c r="C15" s="15">
        <f>IF($B15="","",'Calc_Mix'!$C15)</f>
        <v/>
      </c>
      <c r="D15" s="32">
        <f>IF($B15="","",COUNTIFS(Mapa_Sala,$B15,Mapa_Turno,$C15,Mapa_MinOcup,"&gt;0"))</f>
        <v/>
      </c>
      <c r="E15" s="32">
        <f>IF($B15="","",'Calc_Mix'!$X15)</f>
        <v/>
      </c>
      <c r="F15" s="32">
        <f>IF($B15="","",'Calc_Mix'!$Y15)</f>
        <v/>
      </c>
      <c r="G15" s="33">
        <f>IF(OR($B15="",$F15=0),"",$E15/$F15)</f>
        <v/>
      </c>
      <c r="H15" s="36" t="inlineStr">
        <is>
          <t>André Coutinho</t>
        </is>
      </c>
      <c r="I15" s="28">
        <f>IF($H15="","",IFERROR(INDEX(Equipe_Funcao,MATCH($H15,Equipe_Nome,0))&amp;" · "&amp;INDEX(Equipe_Status,MATCH($H15,Equipe_Nome,0)),"NÃO CADASTRADO"))</f>
        <v/>
      </c>
      <c r="J15" s="36" t="inlineStr">
        <is>
          <t>Beatriz Salles</t>
        </is>
      </c>
      <c r="K15" s="28">
        <f>IF($J15="","",IFERROR(INDEX(Equipe_Funcao,MATCH($J15,Equipe_Nome,0))&amp;" · "&amp;INDEX(Equipe_Status,MATCH($J15,Equipe_Nome,0)),"NÃO CADASTRADO"))</f>
        <v/>
      </c>
      <c r="L15" s="34">
        <f>IF(OR($B15="",$H15="",$E15=0),"",IFERROR(SUMPRODUCT('Calc_Mix'!$D15:$W15,INDEX(Matriz_Niveis,MATCH($H15,Matriz_Nome,0),0))/'Calc_Mix'!$X15,""))</f>
        <v/>
      </c>
      <c r="M15" s="34">
        <f>IF(OR($B15="",$J15="",$E15=0),"",IFERROR(SUMPRODUCT('Calc_Mix'!$D15:$W15,INDEX(Matriz_Niveis,MATCH($J15,Matriz_Nome,0),0))/'Calc_Mix'!$X15,""))</f>
        <v/>
      </c>
      <c r="N15" s="34">
        <f>IF(OR($L15="",$M15=""),"",Peso_Circulante*$L15+Peso_Instrumentador*$M15)</f>
        <v/>
      </c>
      <c r="O15" s="15">
        <f>IF($B15="","",IF($D15=0,"SEM CIRURGIA",IF($N15="","SEM DUPLA",IF($N15&gt;=Afinidade_Meta,"ADEQUADA",IF($N15&gt;=Afinidade_Min,"ATENÇÃO","CRÍTICA")))))</f>
        <v/>
      </c>
      <c r="P15" s="17">
        <f>IF($B15="","",IF(AND($H15="",$J15=""),"OK",IF(OR(AND($H15&lt;&gt;"",SUMPRODUCT((Esc_Turno=$C15)*(Esc_Circ=$H15))+SUMPRODUCT((Esc_Turno=$C15)*(Esc_Instr=$H15))&gt;1),AND($J15&lt;&gt;"",SUMPRODUCT((Esc_Turno=$C15)*(Esc_Circ=$J15))+SUMPRODUCT((Esc_Turno=$C15)*(Esc_Instr=$J15))&gt;1)),"Técnico em duas salas no mesmo turno","OK")))</f>
        <v/>
      </c>
      <c r="Q15" s="17">
        <f>IF($B15="","",IF(AND($H15="",$J15=""),"OK",IF(OR(AND($H15&lt;&gt;"",IFERROR(INDEX(Equipe_Status,MATCH($H15,Equipe_Nome,0)),"?")&lt;&gt;"Ativo"),AND($J15&lt;&gt;"",IFERROR(INDEX(Equipe_Status,MATCH($J15,Equipe_Nome,0)),"?")&lt;&gt;"Ativo")),"Técnico não ativo ou não cadastrado","OK")))</f>
        <v/>
      </c>
      <c r="R15" s="17">
        <f>IF($B15="","",IF(AND($H15="",$J15=""),"OK",IF(OR(AND($H15&lt;&gt;"",IFERROR(INDEX(Equipe_Funcao,MATCH($H15,Equipe_Nome,0)),"")="Instrumentador"),AND($J15&lt;&gt;"",IFERROR(INDEX(Equipe_Funcao,MATCH($J15,Equipe_Nome,0)),"")="Circulante")),"Função incompatível com o posto","OK")))</f>
        <v/>
      </c>
      <c r="S15" s="17">
        <f>IF($B15="","",IF(OR($E15=0,AND($H15="",$J15="")),"OK",IF(IFERROR(SUMPRODUCT(('Calc_Mix'!$D15:$W15/'Calc_Mix'!$X15&gt;=Part_Min_Critica)*(INDEX(Matriz_Niveis,MATCH($H15,Matriz_Nome,0),0)&lt;=Nivel_Critico)),0)+IFERROR(SUMPRODUCT(('Calc_Mix'!$D15:$W15/'Calc_Mix'!$X15&gt;=Part_Min_Critica)*(INDEX(Matriz_Niveis,MATCH($J15,Matriz_Nome,0),0)&lt;=Nivel_Critico)),0)&gt;0,"Inaptidão em especialidade relevante","OK")))</f>
        <v/>
      </c>
      <c r="T15" s="37">
        <f>IF($B15="",IF(OR($H15&lt;&gt;"",$J15&lt;&gt;""),"Linha sem sala cadastrada — remova a dupla",""),IF($U15="","OK",LEFT($U15,LEN($U15)-3)))</f>
        <v/>
      </c>
      <c r="U15" s="15">
        <f>IF($B15="","",IF(AND($D15&gt;0,$H15=""),"Sem circulante | ","")&amp;IF(AND($D15&gt;0,$J15=""),"Sem instrumentador | ","")&amp;IF(AND($D15=0,OR($H15&lt;&gt;"",$J15&lt;&gt;"")),"Dupla escalada em sala sem cirurgia | ","")&amp;IF($P15&lt;&gt;"OK",$P15&amp;" | ","")&amp;IF($Q15&lt;&gt;"OK",$Q15&amp;" | ","")&amp;IF($R15&lt;&gt;"OK",$R15&amp;" | ","")&amp;IF($S15&lt;&gt;"OK",$S15&amp;" | ","")&amp;IF(AND($N15&lt;&gt;"",$N15&lt;Afinidade_Min),"Afinidade abaixo do mínimo | ","")&amp;IF(AND($G15&lt;&gt;"",$G15&gt;Ocupacao_Max),"Ocupação acima do limite | ","")&amp;IF(OR(AND($H15&lt;&gt;"",IFERROR(INDEX(Equipe_Turno,MATCH($H15,Equipe_Nome,0)),$C15)&lt;&gt;$C15),AND($J15&lt;&gt;"",IFERROR(INDEX(Equipe_Turno,MATCH($J15,Equipe_Nome,0)),$C15)&lt;&gt;$C15)),"Técnico fora do turno preferencial | ","")&amp;IF(AND($D15&gt;0,IFERROR(INDEX(Salas_Status,MATCH($B15,Salas_Cod,0)),"")&lt;&gt;"Ativa"),"Sala não ativa com cirurgia | ",""))</f>
        <v/>
      </c>
      <c r="V15" s="34">
        <f>IF($N15="",0,$N15)</f>
        <v/>
      </c>
      <c r="W15" s="32">
        <f>IF($N15="",0,$E15)</f>
        <v/>
      </c>
    </row>
    <row r="16">
      <c r="A16" s="35">
        <f>IF($B16="","",Data_Mapa)</f>
        <v/>
      </c>
      <c r="B16" s="15">
        <f>IF('Calc_Mix'!$B16="","",'Calc_Mix'!$B16)</f>
        <v/>
      </c>
      <c r="C16" s="15">
        <f>IF($B16="","",'Calc_Mix'!$C16)</f>
        <v/>
      </c>
      <c r="D16" s="32">
        <f>IF($B16="","",COUNTIFS(Mapa_Sala,$B16,Mapa_Turno,$C16,Mapa_MinOcup,"&gt;0"))</f>
        <v/>
      </c>
      <c r="E16" s="32">
        <f>IF($B16="","",'Calc_Mix'!$X16)</f>
        <v/>
      </c>
      <c r="F16" s="32">
        <f>IF($B16="","",'Calc_Mix'!$Y16)</f>
        <v/>
      </c>
      <c r="G16" s="33">
        <f>IF(OR($B16="",$F16=0),"",$E16/$F16)</f>
        <v/>
      </c>
      <c r="H16" s="36" t="inlineStr">
        <is>
          <t>Caio Meireles</t>
        </is>
      </c>
      <c r="I16" s="28">
        <f>IF($H16="","",IFERROR(INDEX(Equipe_Funcao,MATCH($H16,Equipe_Nome,0))&amp;" · "&amp;INDEX(Equipe_Status,MATCH($H16,Equipe_Nome,0)),"NÃO CADASTRADO"))</f>
        <v/>
      </c>
      <c r="J16" s="36" t="inlineStr">
        <is>
          <t>Débora Antunes</t>
        </is>
      </c>
      <c r="K16" s="28">
        <f>IF($J16="","",IFERROR(INDEX(Equipe_Funcao,MATCH($J16,Equipe_Nome,0))&amp;" · "&amp;INDEX(Equipe_Status,MATCH($J16,Equipe_Nome,0)),"NÃO CADASTRADO"))</f>
        <v/>
      </c>
      <c r="L16" s="34">
        <f>IF(OR($B16="",$H16="",$E16=0),"",IFERROR(SUMPRODUCT('Calc_Mix'!$D16:$W16,INDEX(Matriz_Niveis,MATCH($H16,Matriz_Nome,0),0))/'Calc_Mix'!$X16,""))</f>
        <v/>
      </c>
      <c r="M16" s="34">
        <f>IF(OR($B16="",$J16="",$E16=0),"",IFERROR(SUMPRODUCT('Calc_Mix'!$D16:$W16,INDEX(Matriz_Niveis,MATCH($J16,Matriz_Nome,0),0))/'Calc_Mix'!$X16,""))</f>
        <v/>
      </c>
      <c r="N16" s="34">
        <f>IF(OR($L16="",$M16=""),"",Peso_Circulante*$L16+Peso_Instrumentador*$M16)</f>
        <v/>
      </c>
      <c r="O16" s="15">
        <f>IF($B16="","",IF($D16=0,"SEM CIRURGIA",IF($N16="","SEM DUPLA",IF($N16&gt;=Afinidade_Meta,"ADEQUADA",IF($N16&gt;=Afinidade_Min,"ATENÇÃO","CRÍTICA")))))</f>
        <v/>
      </c>
      <c r="P16" s="17">
        <f>IF($B16="","",IF(AND($H16="",$J16=""),"OK",IF(OR(AND($H16&lt;&gt;"",SUMPRODUCT((Esc_Turno=$C16)*(Esc_Circ=$H16))+SUMPRODUCT((Esc_Turno=$C16)*(Esc_Instr=$H16))&gt;1),AND($J16&lt;&gt;"",SUMPRODUCT((Esc_Turno=$C16)*(Esc_Circ=$J16))+SUMPRODUCT((Esc_Turno=$C16)*(Esc_Instr=$J16))&gt;1)),"Técnico em duas salas no mesmo turno","OK")))</f>
        <v/>
      </c>
      <c r="Q16" s="17">
        <f>IF($B16="","",IF(AND($H16="",$J16=""),"OK",IF(OR(AND($H16&lt;&gt;"",IFERROR(INDEX(Equipe_Status,MATCH($H16,Equipe_Nome,0)),"?")&lt;&gt;"Ativo"),AND($J16&lt;&gt;"",IFERROR(INDEX(Equipe_Status,MATCH($J16,Equipe_Nome,0)),"?")&lt;&gt;"Ativo")),"Técnico não ativo ou não cadastrado","OK")))</f>
        <v/>
      </c>
      <c r="R16" s="17">
        <f>IF($B16="","",IF(AND($H16="",$J16=""),"OK",IF(OR(AND($H16&lt;&gt;"",IFERROR(INDEX(Equipe_Funcao,MATCH($H16,Equipe_Nome,0)),"")="Instrumentador"),AND($J16&lt;&gt;"",IFERROR(INDEX(Equipe_Funcao,MATCH($J16,Equipe_Nome,0)),"")="Circulante")),"Função incompatível com o posto","OK")))</f>
        <v/>
      </c>
      <c r="S16" s="17">
        <f>IF($B16="","",IF(OR($E16=0,AND($H16="",$J16="")),"OK",IF(IFERROR(SUMPRODUCT(('Calc_Mix'!$D16:$W16/'Calc_Mix'!$X16&gt;=Part_Min_Critica)*(INDEX(Matriz_Niveis,MATCH($H16,Matriz_Nome,0),0)&lt;=Nivel_Critico)),0)+IFERROR(SUMPRODUCT(('Calc_Mix'!$D16:$W16/'Calc_Mix'!$X16&gt;=Part_Min_Critica)*(INDEX(Matriz_Niveis,MATCH($J16,Matriz_Nome,0),0)&lt;=Nivel_Critico)),0)&gt;0,"Inaptidão em especialidade relevante","OK")))</f>
        <v/>
      </c>
      <c r="T16" s="37">
        <f>IF($B16="",IF(OR($H16&lt;&gt;"",$J16&lt;&gt;""),"Linha sem sala cadastrada — remova a dupla",""),IF($U16="","OK",LEFT($U16,LEN($U16)-3)))</f>
        <v/>
      </c>
      <c r="U16" s="15">
        <f>IF($B16="","",IF(AND($D16&gt;0,$H16=""),"Sem circulante | ","")&amp;IF(AND($D16&gt;0,$J16=""),"Sem instrumentador | ","")&amp;IF(AND($D16=0,OR($H16&lt;&gt;"",$J16&lt;&gt;"")),"Dupla escalada em sala sem cirurgia | ","")&amp;IF($P16&lt;&gt;"OK",$P16&amp;" | ","")&amp;IF($Q16&lt;&gt;"OK",$Q16&amp;" | ","")&amp;IF($R16&lt;&gt;"OK",$R16&amp;" | ","")&amp;IF($S16&lt;&gt;"OK",$S16&amp;" | ","")&amp;IF(AND($N16&lt;&gt;"",$N16&lt;Afinidade_Min),"Afinidade abaixo do mínimo | ","")&amp;IF(AND($G16&lt;&gt;"",$G16&gt;Ocupacao_Max),"Ocupação acima do limite | ","")&amp;IF(OR(AND($H16&lt;&gt;"",IFERROR(INDEX(Equipe_Turno,MATCH($H16,Equipe_Nome,0)),$C16)&lt;&gt;$C16),AND($J16&lt;&gt;"",IFERROR(INDEX(Equipe_Turno,MATCH($J16,Equipe_Nome,0)),$C16)&lt;&gt;$C16)),"Técnico fora do turno preferencial | ","")&amp;IF(AND($D16&gt;0,IFERROR(INDEX(Salas_Status,MATCH($B16,Salas_Cod,0)),"")&lt;&gt;"Ativa"),"Sala não ativa com cirurgia | ",""))</f>
        <v/>
      </c>
      <c r="V16" s="34">
        <f>IF($N16="",0,$N16)</f>
        <v/>
      </c>
      <c r="W16" s="32">
        <f>IF($N16="",0,$E16)</f>
        <v/>
      </c>
    </row>
    <row r="17">
      <c r="A17" s="35">
        <f>IF($B17="","",Data_Mapa)</f>
        <v/>
      </c>
      <c r="B17" s="15">
        <f>IF('Calc_Mix'!$B17="","",'Calc_Mix'!$B17)</f>
        <v/>
      </c>
      <c r="C17" s="15">
        <f>IF($B17="","",'Calc_Mix'!$C17)</f>
        <v/>
      </c>
      <c r="D17" s="32">
        <f>IF($B17="","",COUNTIFS(Mapa_Sala,$B17,Mapa_Turno,$C17,Mapa_MinOcup,"&gt;0"))</f>
        <v/>
      </c>
      <c r="E17" s="32">
        <f>IF($B17="","",'Calc_Mix'!$X17)</f>
        <v/>
      </c>
      <c r="F17" s="32">
        <f>IF($B17="","",'Calc_Mix'!$Y17)</f>
        <v/>
      </c>
      <c r="G17" s="33">
        <f>IF(OR($B17="",$F17=0),"",$E17/$F17)</f>
        <v/>
      </c>
      <c r="H17" s="36" t="inlineStr">
        <is>
          <t>Eduardo Pimentel</t>
        </is>
      </c>
      <c r="I17" s="28">
        <f>IF($H17="","",IFERROR(INDEX(Equipe_Funcao,MATCH($H17,Equipe_Nome,0))&amp;" · "&amp;INDEX(Equipe_Status,MATCH($H17,Equipe_Nome,0)),"NÃO CADASTRADO"))</f>
        <v/>
      </c>
      <c r="J17" s="36" t="inlineStr">
        <is>
          <t>Fernanda Lacerda</t>
        </is>
      </c>
      <c r="K17" s="28">
        <f>IF($J17="","",IFERROR(INDEX(Equipe_Funcao,MATCH($J17,Equipe_Nome,0))&amp;" · "&amp;INDEX(Equipe_Status,MATCH($J17,Equipe_Nome,0)),"NÃO CADASTRADO"))</f>
        <v/>
      </c>
      <c r="L17" s="34">
        <f>IF(OR($B17="",$H17="",$E17=0),"",IFERROR(SUMPRODUCT('Calc_Mix'!$D17:$W17,INDEX(Matriz_Niveis,MATCH($H17,Matriz_Nome,0),0))/'Calc_Mix'!$X17,""))</f>
        <v/>
      </c>
      <c r="M17" s="34">
        <f>IF(OR($B17="",$J17="",$E17=0),"",IFERROR(SUMPRODUCT('Calc_Mix'!$D17:$W17,INDEX(Matriz_Niveis,MATCH($J17,Matriz_Nome,0),0))/'Calc_Mix'!$X17,""))</f>
        <v/>
      </c>
      <c r="N17" s="34">
        <f>IF(OR($L17="",$M17=""),"",Peso_Circulante*$L17+Peso_Instrumentador*$M17)</f>
        <v/>
      </c>
      <c r="O17" s="15">
        <f>IF($B17="","",IF($D17=0,"SEM CIRURGIA",IF($N17="","SEM DUPLA",IF($N17&gt;=Afinidade_Meta,"ADEQUADA",IF($N17&gt;=Afinidade_Min,"ATENÇÃO","CRÍTICA")))))</f>
        <v/>
      </c>
      <c r="P17" s="17">
        <f>IF($B17="","",IF(AND($H17="",$J17=""),"OK",IF(OR(AND($H17&lt;&gt;"",SUMPRODUCT((Esc_Turno=$C17)*(Esc_Circ=$H17))+SUMPRODUCT((Esc_Turno=$C17)*(Esc_Instr=$H17))&gt;1),AND($J17&lt;&gt;"",SUMPRODUCT((Esc_Turno=$C17)*(Esc_Circ=$J17))+SUMPRODUCT((Esc_Turno=$C17)*(Esc_Instr=$J17))&gt;1)),"Técnico em duas salas no mesmo turno","OK")))</f>
        <v/>
      </c>
      <c r="Q17" s="17">
        <f>IF($B17="","",IF(AND($H17="",$J17=""),"OK",IF(OR(AND($H17&lt;&gt;"",IFERROR(INDEX(Equipe_Status,MATCH($H17,Equipe_Nome,0)),"?")&lt;&gt;"Ativo"),AND($J17&lt;&gt;"",IFERROR(INDEX(Equipe_Status,MATCH($J17,Equipe_Nome,0)),"?")&lt;&gt;"Ativo")),"Técnico não ativo ou não cadastrado","OK")))</f>
        <v/>
      </c>
      <c r="R17" s="17">
        <f>IF($B17="","",IF(AND($H17="",$J17=""),"OK",IF(OR(AND($H17&lt;&gt;"",IFERROR(INDEX(Equipe_Funcao,MATCH($H17,Equipe_Nome,0)),"")="Instrumentador"),AND($J17&lt;&gt;"",IFERROR(INDEX(Equipe_Funcao,MATCH($J17,Equipe_Nome,0)),"")="Circulante")),"Função incompatível com o posto","OK")))</f>
        <v/>
      </c>
      <c r="S17" s="17">
        <f>IF($B17="","",IF(OR($E17=0,AND($H17="",$J17="")),"OK",IF(IFERROR(SUMPRODUCT(('Calc_Mix'!$D17:$W17/'Calc_Mix'!$X17&gt;=Part_Min_Critica)*(INDEX(Matriz_Niveis,MATCH($H17,Matriz_Nome,0),0)&lt;=Nivel_Critico)),0)+IFERROR(SUMPRODUCT(('Calc_Mix'!$D17:$W17/'Calc_Mix'!$X17&gt;=Part_Min_Critica)*(INDEX(Matriz_Niveis,MATCH($J17,Matriz_Nome,0),0)&lt;=Nivel_Critico)),0)&gt;0,"Inaptidão em especialidade relevante","OK")))</f>
        <v/>
      </c>
      <c r="T17" s="37">
        <f>IF($B17="",IF(OR($H17&lt;&gt;"",$J17&lt;&gt;""),"Linha sem sala cadastrada — remova a dupla",""),IF($U17="","OK",LEFT($U17,LEN($U17)-3)))</f>
        <v/>
      </c>
      <c r="U17" s="15">
        <f>IF($B17="","",IF(AND($D17&gt;0,$H17=""),"Sem circulante | ","")&amp;IF(AND($D17&gt;0,$J17=""),"Sem instrumentador | ","")&amp;IF(AND($D17=0,OR($H17&lt;&gt;"",$J17&lt;&gt;"")),"Dupla escalada em sala sem cirurgia | ","")&amp;IF($P17&lt;&gt;"OK",$P17&amp;" | ","")&amp;IF($Q17&lt;&gt;"OK",$Q17&amp;" | ","")&amp;IF($R17&lt;&gt;"OK",$R17&amp;" | ","")&amp;IF($S17&lt;&gt;"OK",$S17&amp;" | ","")&amp;IF(AND($N17&lt;&gt;"",$N17&lt;Afinidade_Min),"Afinidade abaixo do mínimo | ","")&amp;IF(AND($G17&lt;&gt;"",$G17&gt;Ocupacao_Max),"Ocupação acima do limite | ","")&amp;IF(OR(AND($H17&lt;&gt;"",IFERROR(INDEX(Equipe_Turno,MATCH($H17,Equipe_Nome,0)),$C17)&lt;&gt;$C17),AND($J17&lt;&gt;"",IFERROR(INDEX(Equipe_Turno,MATCH($J17,Equipe_Nome,0)),$C17)&lt;&gt;$C17)),"Técnico fora do turno preferencial | ","")&amp;IF(AND($D17&gt;0,IFERROR(INDEX(Salas_Status,MATCH($B17,Salas_Cod,0)),"")&lt;&gt;"Ativa"),"Sala não ativa com cirurgia | ",""))</f>
        <v/>
      </c>
      <c r="V17" s="34">
        <f>IF($N17="",0,$N17)</f>
        <v/>
      </c>
      <c r="W17" s="32">
        <f>IF($N17="",0,$E17)</f>
        <v/>
      </c>
    </row>
    <row r="18">
      <c r="A18" s="35">
        <f>IF($B18="","",Data_Mapa)</f>
        <v/>
      </c>
      <c r="B18" s="15">
        <f>IF('Calc_Mix'!$B18="","",'Calc_Mix'!$B18)</f>
        <v/>
      </c>
      <c r="C18" s="15">
        <f>IF($B18="","",'Calc_Mix'!$C18)</f>
        <v/>
      </c>
      <c r="D18" s="32">
        <f>IF($B18="","",COUNTIFS(Mapa_Sala,$B18,Mapa_Turno,$C18,Mapa_MinOcup,"&gt;0"))</f>
        <v/>
      </c>
      <c r="E18" s="32">
        <f>IF($B18="","",'Calc_Mix'!$X18)</f>
        <v/>
      </c>
      <c r="F18" s="32">
        <f>IF($B18="","",'Calc_Mix'!$Y18)</f>
        <v/>
      </c>
      <c r="G18" s="33">
        <f>IF(OR($B18="",$F18=0),"",$E18/$F18)</f>
        <v/>
      </c>
      <c r="H18" s="36" t="inlineStr">
        <is>
          <t>Gustavo Rangel</t>
        </is>
      </c>
      <c r="I18" s="28">
        <f>IF($H18="","",IFERROR(INDEX(Equipe_Funcao,MATCH($H18,Equipe_Nome,0))&amp;" · "&amp;INDEX(Equipe_Status,MATCH($H18,Equipe_Nome,0)),"NÃO CADASTRADO"))</f>
        <v/>
      </c>
      <c r="J18" s="36" t="inlineStr">
        <is>
          <t>Helena Prado</t>
        </is>
      </c>
      <c r="K18" s="28">
        <f>IF($J18="","",IFERROR(INDEX(Equipe_Funcao,MATCH($J18,Equipe_Nome,0))&amp;" · "&amp;INDEX(Equipe_Status,MATCH($J18,Equipe_Nome,0)),"NÃO CADASTRADO"))</f>
        <v/>
      </c>
      <c r="L18" s="34">
        <f>IF(OR($B18="",$H18="",$E18=0),"",IFERROR(SUMPRODUCT('Calc_Mix'!$D18:$W18,INDEX(Matriz_Niveis,MATCH($H18,Matriz_Nome,0),0))/'Calc_Mix'!$X18,""))</f>
        <v/>
      </c>
      <c r="M18" s="34">
        <f>IF(OR($B18="",$J18="",$E18=0),"",IFERROR(SUMPRODUCT('Calc_Mix'!$D18:$W18,INDEX(Matriz_Niveis,MATCH($J18,Matriz_Nome,0),0))/'Calc_Mix'!$X18,""))</f>
        <v/>
      </c>
      <c r="N18" s="34">
        <f>IF(OR($L18="",$M18=""),"",Peso_Circulante*$L18+Peso_Instrumentador*$M18)</f>
        <v/>
      </c>
      <c r="O18" s="15">
        <f>IF($B18="","",IF($D18=0,"SEM CIRURGIA",IF($N18="","SEM DUPLA",IF($N18&gt;=Afinidade_Meta,"ADEQUADA",IF($N18&gt;=Afinidade_Min,"ATENÇÃO","CRÍTICA")))))</f>
        <v/>
      </c>
      <c r="P18" s="17">
        <f>IF($B18="","",IF(AND($H18="",$J18=""),"OK",IF(OR(AND($H18&lt;&gt;"",SUMPRODUCT((Esc_Turno=$C18)*(Esc_Circ=$H18))+SUMPRODUCT((Esc_Turno=$C18)*(Esc_Instr=$H18))&gt;1),AND($J18&lt;&gt;"",SUMPRODUCT((Esc_Turno=$C18)*(Esc_Circ=$J18))+SUMPRODUCT((Esc_Turno=$C18)*(Esc_Instr=$J18))&gt;1)),"Técnico em duas salas no mesmo turno","OK")))</f>
        <v/>
      </c>
      <c r="Q18" s="17">
        <f>IF($B18="","",IF(AND($H18="",$J18=""),"OK",IF(OR(AND($H18&lt;&gt;"",IFERROR(INDEX(Equipe_Status,MATCH($H18,Equipe_Nome,0)),"?")&lt;&gt;"Ativo"),AND($J18&lt;&gt;"",IFERROR(INDEX(Equipe_Status,MATCH($J18,Equipe_Nome,0)),"?")&lt;&gt;"Ativo")),"Técnico não ativo ou não cadastrado","OK")))</f>
        <v/>
      </c>
      <c r="R18" s="17">
        <f>IF($B18="","",IF(AND($H18="",$J18=""),"OK",IF(OR(AND($H18&lt;&gt;"",IFERROR(INDEX(Equipe_Funcao,MATCH($H18,Equipe_Nome,0)),"")="Instrumentador"),AND($J18&lt;&gt;"",IFERROR(INDEX(Equipe_Funcao,MATCH($J18,Equipe_Nome,0)),"")="Circulante")),"Função incompatível com o posto","OK")))</f>
        <v/>
      </c>
      <c r="S18" s="17">
        <f>IF($B18="","",IF(OR($E18=0,AND($H18="",$J18="")),"OK",IF(IFERROR(SUMPRODUCT(('Calc_Mix'!$D18:$W18/'Calc_Mix'!$X18&gt;=Part_Min_Critica)*(INDEX(Matriz_Niveis,MATCH($H18,Matriz_Nome,0),0)&lt;=Nivel_Critico)),0)+IFERROR(SUMPRODUCT(('Calc_Mix'!$D18:$W18/'Calc_Mix'!$X18&gt;=Part_Min_Critica)*(INDEX(Matriz_Niveis,MATCH($J18,Matriz_Nome,0),0)&lt;=Nivel_Critico)),0)&gt;0,"Inaptidão em especialidade relevante","OK")))</f>
        <v/>
      </c>
      <c r="T18" s="37">
        <f>IF($B18="",IF(OR($H18&lt;&gt;"",$J18&lt;&gt;""),"Linha sem sala cadastrada — remova a dupla",""),IF($U18="","OK",LEFT($U18,LEN($U18)-3)))</f>
        <v/>
      </c>
      <c r="U18" s="15">
        <f>IF($B18="","",IF(AND($D18&gt;0,$H18=""),"Sem circulante | ","")&amp;IF(AND($D18&gt;0,$J18=""),"Sem instrumentador | ","")&amp;IF(AND($D18=0,OR($H18&lt;&gt;"",$J18&lt;&gt;"")),"Dupla escalada em sala sem cirurgia | ","")&amp;IF($P18&lt;&gt;"OK",$P18&amp;" | ","")&amp;IF($Q18&lt;&gt;"OK",$Q18&amp;" | ","")&amp;IF($R18&lt;&gt;"OK",$R18&amp;" | ","")&amp;IF($S18&lt;&gt;"OK",$S18&amp;" | ","")&amp;IF(AND($N18&lt;&gt;"",$N18&lt;Afinidade_Min),"Afinidade abaixo do mínimo | ","")&amp;IF(AND($G18&lt;&gt;"",$G18&gt;Ocupacao_Max),"Ocupação acima do limite | ","")&amp;IF(OR(AND($H18&lt;&gt;"",IFERROR(INDEX(Equipe_Turno,MATCH($H18,Equipe_Nome,0)),$C18)&lt;&gt;$C18),AND($J18&lt;&gt;"",IFERROR(INDEX(Equipe_Turno,MATCH($J18,Equipe_Nome,0)),$C18)&lt;&gt;$C18)),"Técnico fora do turno preferencial | ","")&amp;IF(AND($D18&gt;0,IFERROR(INDEX(Salas_Status,MATCH($B18,Salas_Cod,0)),"")&lt;&gt;"Ativa"),"Sala não ativa com cirurgia | ",""))</f>
        <v/>
      </c>
      <c r="V18" s="34">
        <f>IF($N18="",0,$N18)</f>
        <v/>
      </c>
      <c r="W18" s="32">
        <f>IF($N18="",0,$E18)</f>
        <v/>
      </c>
    </row>
    <row r="19">
      <c r="A19" s="35">
        <f>IF($B19="","",Data_Mapa)</f>
        <v/>
      </c>
      <c r="B19" s="15">
        <f>IF('Calc_Mix'!$B19="","",'Calc_Mix'!$B19)</f>
        <v/>
      </c>
      <c r="C19" s="15">
        <f>IF($B19="","",'Calc_Mix'!$C19)</f>
        <v/>
      </c>
      <c r="D19" s="32">
        <f>IF($B19="","",COUNTIFS(Mapa_Sala,$B19,Mapa_Turno,$C19,Mapa_MinOcup,"&gt;0"))</f>
        <v/>
      </c>
      <c r="E19" s="32">
        <f>IF($B19="","",'Calc_Mix'!$X19)</f>
        <v/>
      </c>
      <c r="F19" s="32">
        <f>IF($B19="","",'Calc_Mix'!$Y19)</f>
        <v/>
      </c>
      <c r="G19" s="33">
        <f>IF(OR($B19="",$F19=0),"",$E19/$F19)</f>
        <v/>
      </c>
      <c r="H19" s="36" t="inlineStr">
        <is>
          <t>Igor Bastos</t>
        </is>
      </c>
      <c r="I19" s="28">
        <f>IF($H19="","",IFERROR(INDEX(Equipe_Funcao,MATCH($H19,Equipe_Nome,0))&amp;" · "&amp;INDEX(Equipe_Status,MATCH($H19,Equipe_Nome,0)),"NÃO CADASTRADO"))</f>
        <v/>
      </c>
      <c r="J19" s="36" t="inlineStr">
        <is>
          <t>Adriano Mesquita</t>
        </is>
      </c>
      <c r="K19" s="28">
        <f>IF($J19="","",IFERROR(INDEX(Equipe_Funcao,MATCH($J19,Equipe_Nome,0))&amp;" · "&amp;INDEX(Equipe_Status,MATCH($J19,Equipe_Nome,0)),"NÃO CADASTRADO"))</f>
        <v/>
      </c>
      <c r="L19" s="34">
        <f>IF(OR($B19="",$H19="",$E19=0),"",IFERROR(SUMPRODUCT('Calc_Mix'!$D19:$W19,INDEX(Matriz_Niveis,MATCH($H19,Matriz_Nome,0),0))/'Calc_Mix'!$X19,""))</f>
        <v/>
      </c>
      <c r="M19" s="34">
        <f>IF(OR($B19="",$J19="",$E19=0),"",IFERROR(SUMPRODUCT('Calc_Mix'!$D19:$W19,INDEX(Matriz_Niveis,MATCH($J19,Matriz_Nome,0),0))/'Calc_Mix'!$X19,""))</f>
        <v/>
      </c>
      <c r="N19" s="34">
        <f>IF(OR($L19="",$M19=""),"",Peso_Circulante*$L19+Peso_Instrumentador*$M19)</f>
        <v/>
      </c>
      <c r="O19" s="15">
        <f>IF($B19="","",IF($D19=0,"SEM CIRURGIA",IF($N19="","SEM DUPLA",IF($N19&gt;=Afinidade_Meta,"ADEQUADA",IF($N19&gt;=Afinidade_Min,"ATENÇÃO","CRÍTICA")))))</f>
        <v/>
      </c>
      <c r="P19" s="17">
        <f>IF($B19="","",IF(AND($H19="",$J19=""),"OK",IF(OR(AND($H19&lt;&gt;"",SUMPRODUCT((Esc_Turno=$C19)*(Esc_Circ=$H19))+SUMPRODUCT((Esc_Turno=$C19)*(Esc_Instr=$H19))&gt;1),AND($J19&lt;&gt;"",SUMPRODUCT((Esc_Turno=$C19)*(Esc_Circ=$J19))+SUMPRODUCT((Esc_Turno=$C19)*(Esc_Instr=$J19))&gt;1)),"Técnico em duas salas no mesmo turno","OK")))</f>
        <v/>
      </c>
      <c r="Q19" s="17">
        <f>IF($B19="","",IF(AND($H19="",$J19=""),"OK",IF(OR(AND($H19&lt;&gt;"",IFERROR(INDEX(Equipe_Status,MATCH($H19,Equipe_Nome,0)),"?")&lt;&gt;"Ativo"),AND($J19&lt;&gt;"",IFERROR(INDEX(Equipe_Status,MATCH($J19,Equipe_Nome,0)),"?")&lt;&gt;"Ativo")),"Técnico não ativo ou não cadastrado","OK")))</f>
        <v/>
      </c>
      <c r="R19" s="17">
        <f>IF($B19="","",IF(AND($H19="",$J19=""),"OK",IF(OR(AND($H19&lt;&gt;"",IFERROR(INDEX(Equipe_Funcao,MATCH($H19,Equipe_Nome,0)),"")="Instrumentador"),AND($J19&lt;&gt;"",IFERROR(INDEX(Equipe_Funcao,MATCH($J19,Equipe_Nome,0)),"")="Circulante")),"Função incompatível com o posto","OK")))</f>
        <v/>
      </c>
      <c r="S19" s="17">
        <f>IF($B19="","",IF(OR($E19=0,AND($H19="",$J19="")),"OK",IF(IFERROR(SUMPRODUCT(('Calc_Mix'!$D19:$W19/'Calc_Mix'!$X19&gt;=Part_Min_Critica)*(INDEX(Matriz_Niveis,MATCH($H19,Matriz_Nome,0),0)&lt;=Nivel_Critico)),0)+IFERROR(SUMPRODUCT(('Calc_Mix'!$D19:$W19/'Calc_Mix'!$X19&gt;=Part_Min_Critica)*(INDEX(Matriz_Niveis,MATCH($J19,Matriz_Nome,0),0)&lt;=Nivel_Critico)),0)&gt;0,"Inaptidão em especialidade relevante","OK")))</f>
        <v/>
      </c>
      <c r="T19" s="37">
        <f>IF($B19="",IF(OR($H19&lt;&gt;"",$J19&lt;&gt;""),"Linha sem sala cadastrada — remova a dupla",""),IF($U19="","OK",LEFT($U19,LEN($U19)-3)))</f>
        <v/>
      </c>
      <c r="U19" s="15">
        <f>IF($B19="","",IF(AND($D19&gt;0,$H19=""),"Sem circulante | ","")&amp;IF(AND($D19&gt;0,$J19=""),"Sem instrumentador | ","")&amp;IF(AND($D19=0,OR($H19&lt;&gt;"",$J19&lt;&gt;"")),"Dupla escalada em sala sem cirurgia | ","")&amp;IF($P19&lt;&gt;"OK",$P19&amp;" | ","")&amp;IF($Q19&lt;&gt;"OK",$Q19&amp;" | ","")&amp;IF($R19&lt;&gt;"OK",$R19&amp;" | ","")&amp;IF($S19&lt;&gt;"OK",$S19&amp;" | ","")&amp;IF(AND($N19&lt;&gt;"",$N19&lt;Afinidade_Min),"Afinidade abaixo do mínimo | ","")&amp;IF(AND($G19&lt;&gt;"",$G19&gt;Ocupacao_Max),"Ocupação acima do limite | ","")&amp;IF(OR(AND($H19&lt;&gt;"",IFERROR(INDEX(Equipe_Turno,MATCH($H19,Equipe_Nome,0)),$C19)&lt;&gt;$C19),AND($J19&lt;&gt;"",IFERROR(INDEX(Equipe_Turno,MATCH($J19,Equipe_Nome,0)),$C19)&lt;&gt;$C19)),"Técnico fora do turno preferencial | ","")&amp;IF(AND($D19&gt;0,IFERROR(INDEX(Salas_Status,MATCH($B19,Salas_Cod,0)),"")&lt;&gt;"Ativa"),"Sala não ativa com cirurgia | ",""))</f>
        <v/>
      </c>
      <c r="V19" s="34">
        <f>IF($N19="",0,$N19)</f>
        <v/>
      </c>
      <c r="W19" s="32">
        <f>IF($N19="",0,$E19)</f>
        <v/>
      </c>
    </row>
    <row r="20">
      <c r="A20" s="35">
        <f>IF($B20="","",Data_Mapa)</f>
        <v/>
      </c>
      <c r="B20" s="15">
        <f>IF('Calc_Mix'!$B20="","",'Calc_Mix'!$B20)</f>
        <v/>
      </c>
      <c r="C20" s="15">
        <f>IF($B20="","",'Calc_Mix'!$C20)</f>
        <v/>
      </c>
      <c r="D20" s="32">
        <f>IF($B20="","",COUNTIFS(Mapa_Sala,$B20,Mapa_Turno,$C20,Mapa_MinOcup,"&gt;0"))</f>
        <v/>
      </c>
      <c r="E20" s="32">
        <f>IF($B20="","",'Calc_Mix'!$X20)</f>
        <v/>
      </c>
      <c r="F20" s="32">
        <f>IF($B20="","",'Calc_Mix'!$Y20)</f>
        <v/>
      </c>
      <c r="G20" s="33">
        <f>IF(OR($B20="",$F20=0),"",$E20/$F20)</f>
        <v/>
      </c>
      <c r="H20" s="36" t="inlineStr">
        <is>
          <t>Kléber Amorim</t>
        </is>
      </c>
      <c r="I20" s="28">
        <f>IF($H20="","",IFERROR(INDEX(Equipe_Funcao,MATCH($H20,Equipe_Nome,0))&amp;" · "&amp;INDEX(Equipe_Status,MATCH($H20,Equipe_Nome,0)),"NÃO CADASTRADO"))</f>
        <v/>
      </c>
      <c r="J20" s="36" t="inlineStr">
        <is>
          <t>Larissa Bezerra</t>
        </is>
      </c>
      <c r="K20" s="28">
        <f>IF($J20="","",IFERROR(INDEX(Equipe_Funcao,MATCH($J20,Equipe_Nome,0))&amp;" · "&amp;INDEX(Equipe_Status,MATCH($J20,Equipe_Nome,0)),"NÃO CADASTRADO"))</f>
        <v/>
      </c>
      <c r="L20" s="34">
        <f>IF(OR($B20="",$H20="",$E20=0),"",IFERROR(SUMPRODUCT('Calc_Mix'!$D20:$W20,INDEX(Matriz_Niveis,MATCH($H20,Matriz_Nome,0),0))/'Calc_Mix'!$X20,""))</f>
        <v/>
      </c>
      <c r="M20" s="34">
        <f>IF(OR($B20="",$J20="",$E20=0),"",IFERROR(SUMPRODUCT('Calc_Mix'!$D20:$W20,INDEX(Matriz_Niveis,MATCH($J20,Matriz_Nome,0),0))/'Calc_Mix'!$X20,""))</f>
        <v/>
      </c>
      <c r="N20" s="34">
        <f>IF(OR($L20="",$M20=""),"",Peso_Circulante*$L20+Peso_Instrumentador*$M20)</f>
        <v/>
      </c>
      <c r="O20" s="15">
        <f>IF($B20="","",IF($D20=0,"SEM CIRURGIA",IF($N20="","SEM DUPLA",IF($N20&gt;=Afinidade_Meta,"ADEQUADA",IF($N20&gt;=Afinidade_Min,"ATENÇÃO","CRÍTICA")))))</f>
        <v/>
      </c>
      <c r="P20" s="17">
        <f>IF($B20="","",IF(AND($H20="",$J20=""),"OK",IF(OR(AND($H20&lt;&gt;"",SUMPRODUCT((Esc_Turno=$C20)*(Esc_Circ=$H20))+SUMPRODUCT((Esc_Turno=$C20)*(Esc_Instr=$H20))&gt;1),AND($J20&lt;&gt;"",SUMPRODUCT((Esc_Turno=$C20)*(Esc_Circ=$J20))+SUMPRODUCT((Esc_Turno=$C20)*(Esc_Instr=$J20))&gt;1)),"Técnico em duas salas no mesmo turno","OK")))</f>
        <v/>
      </c>
      <c r="Q20" s="17">
        <f>IF($B20="","",IF(AND($H20="",$J20=""),"OK",IF(OR(AND($H20&lt;&gt;"",IFERROR(INDEX(Equipe_Status,MATCH($H20,Equipe_Nome,0)),"?")&lt;&gt;"Ativo"),AND($J20&lt;&gt;"",IFERROR(INDEX(Equipe_Status,MATCH($J20,Equipe_Nome,0)),"?")&lt;&gt;"Ativo")),"Técnico não ativo ou não cadastrado","OK")))</f>
        <v/>
      </c>
      <c r="R20" s="17">
        <f>IF($B20="","",IF(AND($H20="",$J20=""),"OK",IF(OR(AND($H20&lt;&gt;"",IFERROR(INDEX(Equipe_Funcao,MATCH($H20,Equipe_Nome,0)),"")="Instrumentador"),AND($J20&lt;&gt;"",IFERROR(INDEX(Equipe_Funcao,MATCH($J20,Equipe_Nome,0)),"")="Circulante")),"Função incompatível com o posto","OK")))</f>
        <v/>
      </c>
      <c r="S20" s="17">
        <f>IF($B20="","",IF(OR($E20=0,AND($H20="",$J20="")),"OK",IF(IFERROR(SUMPRODUCT(('Calc_Mix'!$D20:$W20/'Calc_Mix'!$X20&gt;=Part_Min_Critica)*(INDEX(Matriz_Niveis,MATCH($H20,Matriz_Nome,0),0)&lt;=Nivel_Critico)),0)+IFERROR(SUMPRODUCT(('Calc_Mix'!$D20:$W20/'Calc_Mix'!$X20&gt;=Part_Min_Critica)*(INDEX(Matriz_Niveis,MATCH($J20,Matriz_Nome,0),0)&lt;=Nivel_Critico)),0)&gt;0,"Inaptidão em especialidade relevante","OK")))</f>
        <v/>
      </c>
      <c r="T20" s="37">
        <f>IF($B20="",IF(OR($H20&lt;&gt;"",$J20&lt;&gt;""),"Linha sem sala cadastrada — remova a dupla",""),IF($U20="","OK",LEFT($U20,LEN($U20)-3)))</f>
        <v/>
      </c>
      <c r="U20" s="15">
        <f>IF($B20="","",IF(AND($D20&gt;0,$H20=""),"Sem circulante | ","")&amp;IF(AND($D20&gt;0,$J20=""),"Sem instrumentador | ","")&amp;IF(AND($D20=0,OR($H20&lt;&gt;"",$J20&lt;&gt;"")),"Dupla escalada em sala sem cirurgia | ","")&amp;IF($P20&lt;&gt;"OK",$P20&amp;" | ","")&amp;IF($Q20&lt;&gt;"OK",$Q20&amp;" | ","")&amp;IF($R20&lt;&gt;"OK",$R20&amp;" | ","")&amp;IF($S20&lt;&gt;"OK",$S20&amp;" | ","")&amp;IF(AND($N20&lt;&gt;"",$N20&lt;Afinidade_Min),"Afinidade abaixo do mínimo | ","")&amp;IF(AND($G20&lt;&gt;"",$G20&gt;Ocupacao_Max),"Ocupação acima do limite | ","")&amp;IF(OR(AND($H20&lt;&gt;"",IFERROR(INDEX(Equipe_Turno,MATCH($H20,Equipe_Nome,0)),$C20)&lt;&gt;$C20),AND($J20&lt;&gt;"",IFERROR(INDEX(Equipe_Turno,MATCH($J20,Equipe_Nome,0)),$C20)&lt;&gt;$C20)),"Técnico fora do turno preferencial | ","")&amp;IF(AND($D20&gt;0,IFERROR(INDEX(Salas_Status,MATCH($B20,Salas_Cod,0)),"")&lt;&gt;"Ativa"),"Sala não ativa com cirurgia | ",""))</f>
        <v/>
      </c>
      <c r="V20" s="34">
        <f>IF($N20="",0,$N20)</f>
        <v/>
      </c>
      <c r="W20" s="32">
        <f>IF($N20="",0,$E20)</f>
        <v/>
      </c>
    </row>
    <row r="21">
      <c r="A21" s="35">
        <f>IF($B21="","",Data_Mapa)</f>
        <v/>
      </c>
      <c r="B21" s="15">
        <f>IF('Calc_Mix'!$B21="","",'Calc_Mix'!$B21)</f>
        <v/>
      </c>
      <c r="C21" s="15">
        <f>IF($B21="","",'Calc_Mix'!$C21)</f>
        <v/>
      </c>
      <c r="D21" s="32">
        <f>IF($B21="","",COUNTIFS(Mapa_Sala,$B21,Mapa_Turno,$C21,Mapa_MinOcup,"&gt;0"))</f>
        <v/>
      </c>
      <c r="E21" s="32">
        <f>IF($B21="","",'Calc_Mix'!$X21)</f>
        <v/>
      </c>
      <c r="F21" s="32">
        <f>IF($B21="","",'Calc_Mix'!$Y21)</f>
        <v/>
      </c>
      <c r="G21" s="33">
        <f>IF(OR($B21="",$F21=0),"",$E21/$F21)</f>
        <v/>
      </c>
      <c r="H21" s="36" t="inlineStr">
        <is>
          <t>Marcelo Quintana</t>
        </is>
      </c>
      <c r="I21" s="28">
        <f>IF($H21="","",IFERROR(INDEX(Equipe_Funcao,MATCH($H21,Equipe_Nome,0))&amp;" · "&amp;INDEX(Equipe_Status,MATCH($H21,Equipe_Nome,0)),"NÃO CADASTRADO"))</f>
        <v/>
      </c>
      <c r="J21" s="36" t="inlineStr">
        <is>
          <t>Natália Ferraz</t>
        </is>
      </c>
      <c r="K21" s="28">
        <f>IF($J21="","",IFERROR(INDEX(Equipe_Funcao,MATCH($J21,Equipe_Nome,0))&amp;" · "&amp;INDEX(Equipe_Status,MATCH($J21,Equipe_Nome,0)),"NÃO CADASTRADO"))</f>
        <v/>
      </c>
      <c r="L21" s="34">
        <f>IF(OR($B21="",$H21="",$E21=0),"",IFERROR(SUMPRODUCT('Calc_Mix'!$D21:$W21,INDEX(Matriz_Niveis,MATCH($H21,Matriz_Nome,0),0))/'Calc_Mix'!$X21,""))</f>
        <v/>
      </c>
      <c r="M21" s="34">
        <f>IF(OR($B21="",$J21="",$E21=0),"",IFERROR(SUMPRODUCT('Calc_Mix'!$D21:$W21,INDEX(Matriz_Niveis,MATCH($J21,Matriz_Nome,0),0))/'Calc_Mix'!$X21,""))</f>
        <v/>
      </c>
      <c r="N21" s="34">
        <f>IF(OR($L21="",$M21=""),"",Peso_Circulante*$L21+Peso_Instrumentador*$M21)</f>
        <v/>
      </c>
      <c r="O21" s="15">
        <f>IF($B21="","",IF($D21=0,"SEM CIRURGIA",IF($N21="","SEM DUPLA",IF($N21&gt;=Afinidade_Meta,"ADEQUADA",IF($N21&gt;=Afinidade_Min,"ATENÇÃO","CRÍTICA")))))</f>
        <v/>
      </c>
      <c r="P21" s="17">
        <f>IF($B21="","",IF(AND($H21="",$J21=""),"OK",IF(OR(AND($H21&lt;&gt;"",SUMPRODUCT((Esc_Turno=$C21)*(Esc_Circ=$H21))+SUMPRODUCT((Esc_Turno=$C21)*(Esc_Instr=$H21))&gt;1),AND($J21&lt;&gt;"",SUMPRODUCT((Esc_Turno=$C21)*(Esc_Circ=$J21))+SUMPRODUCT((Esc_Turno=$C21)*(Esc_Instr=$J21))&gt;1)),"Técnico em duas salas no mesmo turno","OK")))</f>
        <v/>
      </c>
      <c r="Q21" s="17">
        <f>IF($B21="","",IF(AND($H21="",$J21=""),"OK",IF(OR(AND($H21&lt;&gt;"",IFERROR(INDEX(Equipe_Status,MATCH($H21,Equipe_Nome,0)),"?")&lt;&gt;"Ativo"),AND($J21&lt;&gt;"",IFERROR(INDEX(Equipe_Status,MATCH($J21,Equipe_Nome,0)),"?")&lt;&gt;"Ativo")),"Técnico não ativo ou não cadastrado","OK")))</f>
        <v/>
      </c>
      <c r="R21" s="17">
        <f>IF($B21="","",IF(AND($H21="",$J21=""),"OK",IF(OR(AND($H21&lt;&gt;"",IFERROR(INDEX(Equipe_Funcao,MATCH($H21,Equipe_Nome,0)),"")="Instrumentador"),AND($J21&lt;&gt;"",IFERROR(INDEX(Equipe_Funcao,MATCH($J21,Equipe_Nome,0)),"")="Circulante")),"Função incompatível com o posto","OK")))</f>
        <v/>
      </c>
      <c r="S21" s="17">
        <f>IF($B21="","",IF(OR($E21=0,AND($H21="",$J21="")),"OK",IF(IFERROR(SUMPRODUCT(('Calc_Mix'!$D21:$W21/'Calc_Mix'!$X21&gt;=Part_Min_Critica)*(INDEX(Matriz_Niveis,MATCH($H21,Matriz_Nome,0),0)&lt;=Nivel_Critico)),0)+IFERROR(SUMPRODUCT(('Calc_Mix'!$D21:$W21/'Calc_Mix'!$X21&gt;=Part_Min_Critica)*(INDEX(Matriz_Niveis,MATCH($J21,Matriz_Nome,0),0)&lt;=Nivel_Critico)),0)&gt;0,"Inaptidão em especialidade relevante","OK")))</f>
        <v/>
      </c>
      <c r="T21" s="37">
        <f>IF($B21="",IF(OR($H21&lt;&gt;"",$J21&lt;&gt;""),"Linha sem sala cadastrada — remova a dupla",""),IF($U21="","OK",LEFT($U21,LEN($U21)-3)))</f>
        <v/>
      </c>
      <c r="U21" s="15">
        <f>IF($B21="","",IF(AND($D21&gt;0,$H21=""),"Sem circulante | ","")&amp;IF(AND($D21&gt;0,$J21=""),"Sem instrumentador | ","")&amp;IF(AND($D21=0,OR($H21&lt;&gt;"",$J21&lt;&gt;"")),"Dupla escalada em sala sem cirurgia | ","")&amp;IF($P21&lt;&gt;"OK",$P21&amp;" | ","")&amp;IF($Q21&lt;&gt;"OK",$Q21&amp;" | ","")&amp;IF($R21&lt;&gt;"OK",$R21&amp;" | ","")&amp;IF($S21&lt;&gt;"OK",$S21&amp;" | ","")&amp;IF(AND($N21&lt;&gt;"",$N21&lt;Afinidade_Min),"Afinidade abaixo do mínimo | ","")&amp;IF(AND($G21&lt;&gt;"",$G21&gt;Ocupacao_Max),"Ocupação acima do limite | ","")&amp;IF(OR(AND($H21&lt;&gt;"",IFERROR(INDEX(Equipe_Turno,MATCH($H21,Equipe_Nome,0)),$C21)&lt;&gt;$C21),AND($J21&lt;&gt;"",IFERROR(INDEX(Equipe_Turno,MATCH($J21,Equipe_Nome,0)),$C21)&lt;&gt;$C21)),"Técnico fora do turno preferencial | ","")&amp;IF(AND($D21&gt;0,IFERROR(INDEX(Salas_Status,MATCH($B21,Salas_Cod,0)),"")&lt;&gt;"Ativa"),"Sala não ativa com cirurgia | ",""))</f>
        <v/>
      </c>
      <c r="V21" s="34">
        <f>IF($N21="",0,$N21)</f>
        <v/>
      </c>
      <c r="W21" s="32">
        <f>IF($N21="",0,$E21)</f>
        <v/>
      </c>
    </row>
    <row r="22">
      <c r="A22" s="35">
        <f>IF($B22="","",Data_Mapa)</f>
        <v/>
      </c>
      <c r="B22" s="15">
        <f>IF('Calc_Mix'!$B22="","",'Calc_Mix'!$B22)</f>
        <v/>
      </c>
      <c r="C22" s="15">
        <f>IF($B22="","",'Calc_Mix'!$C22)</f>
        <v/>
      </c>
      <c r="D22" s="32">
        <f>IF($B22="","",COUNTIFS(Mapa_Sala,$B22,Mapa_Turno,$C22,Mapa_MinOcup,"&gt;0"))</f>
        <v/>
      </c>
      <c r="E22" s="32">
        <f>IF($B22="","",'Calc_Mix'!$X22)</f>
        <v/>
      </c>
      <c r="F22" s="32">
        <f>IF($B22="","",'Calc_Mix'!$Y22)</f>
        <v/>
      </c>
      <c r="G22" s="33">
        <f>IF(OR($B22="",$F22=0),"",$E22/$F22)</f>
        <v/>
      </c>
      <c r="H22" s="36" t="inlineStr">
        <is>
          <t>Otávio Camargo</t>
        </is>
      </c>
      <c r="I22" s="28">
        <f>IF($H22="","",IFERROR(INDEX(Equipe_Funcao,MATCH($H22,Equipe_Nome,0))&amp;" · "&amp;INDEX(Equipe_Status,MATCH($H22,Equipe_Nome,0)),"NÃO CADASTRADO"))</f>
        <v/>
      </c>
      <c r="J22" s="36" t="inlineStr">
        <is>
          <t>Priscila Vasques</t>
        </is>
      </c>
      <c r="K22" s="28">
        <f>IF($J22="","",IFERROR(INDEX(Equipe_Funcao,MATCH($J22,Equipe_Nome,0))&amp;" · "&amp;INDEX(Equipe_Status,MATCH($J22,Equipe_Nome,0)),"NÃO CADASTRADO"))</f>
        <v/>
      </c>
      <c r="L22" s="34">
        <f>IF(OR($B22="",$H22="",$E22=0),"",IFERROR(SUMPRODUCT('Calc_Mix'!$D22:$W22,INDEX(Matriz_Niveis,MATCH($H22,Matriz_Nome,0),0))/'Calc_Mix'!$X22,""))</f>
        <v/>
      </c>
      <c r="M22" s="34">
        <f>IF(OR($B22="",$J22="",$E22=0),"",IFERROR(SUMPRODUCT('Calc_Mix'!$D22:$W22,INDEX(Matriz_Niveis,MATCH($J22,Matriz_Nome,0),0))/'Calc_Mix'!$X22,""))</f>
        <v/>
      </c>
      <c r="N22" s="34">
        <f>IF(OR($L22="",$M22=""),"",Peso_Circulante*$L22+Peso_Instrumentador*$M22)</f>
        <v/>
      </c>
      <c r="O22" s="15">
        <f>IF($B22="","",IF($D22=0,"SEM CIRURGIA",IF($N22="","SEM DUPLA",IF($N22&gt;=Afinidade_Meta,"ADEQUADA",IF($N22&gt;=Afinidade_Min,"ATENÇÃO","CRÍTICA")))))</f>
        <v/>
      </c>
      <c r="P22" s="17">
        <f>IF($B22="","",IF(AND($H22="",$J22=""),"OK",IF(OR(AND($H22&lt;&gt;"",SUMPRODUCT((Esc_Turno=$C22)*(Esc_Circ=$H22))+SUMPRODUCT((Esc_Turno=$C22)*(Esc_Instr=$H22))&gt;1),AND($J22&lt;&gt;"",SUMPRODUCT((Esc_Turno=$C22)*(Esc_Circ=$J22))+SUMPRODUCT((Esc_Turno=$C22)*(Esc_Instr=$J22))&gt;1)),"Técnico em duas salas no mesmo turno","OK")))</f>
        <v/>
      </c>
      <c r="Q22" s="17">
        <f>IF($B22="","",IF(AND($H22="",$J22=""),"OK",IF(OR(AND($H22&lt;&gt;"",IFERROR(INDEX(Equipe_Status,MATCH($H22,Equipe_Nome,0)),"?")&lt;&gt;"Ativo"),AND($J22&lt;&gt;"",IFERROR(INDEX(Equipe_Status,MATCH($J22,Equipe_Nome,0)),"?")&lt;&gt;"Ativo")),"Técnico não ativo ou não cadastrado","OK")))</f>
        <v/>
      </c>
      <c r="R22" s="17">
        <f>IF($B22="","",IF(AND($H22="",$J22=""),"OK",IF(OR(AND($H22&lt;&gt;"",IFERROR(INDEX(Equipe_Funcao,MATCH($H22,Equipe_Nome,0)),"")="Instrumentador"),AND($J22&lt;&gt;"",IFERROR(INDEX(Equipe_Funcao,MATCH($J22,Equipe_Nome,0)),"")="Circulante")),"Função incompatível com o posto","OK")))</f>
        <v/>
      </c>
      <c r="S22" s="17">
        <f>IF($B22="","",IF(OR($E22=0,AND($H22="",$J22="")),"OK",IF(IFERROR(SUMPRODUCT(('Calc_Mix'!$D22:$W22/'Calc_Mix'!$X22&gt;=Part_Min_Critica)*(INDEX(Matriz_Niveis,MATCH($H22,Matriz_Nome,0),0)&lt;=Nivel_Critico)),0)+IFERROR(SUMPRODUCT(('Calc_Mix'!$D22:$W22/'Calc_Mix'!$X22&gt;=Part_Min_Critica)*(INDEX(Matriz_Niveis,MATCH($J22,Matriz_Nome,0),0)&lt;=Nivel_Critico)),0)&gt;0,"Inaptidão em especialidade relevante","OK")))</f>
        <v/>
      </c>
      <c r="T22" s="37">
        <f>IF($B22="",IF(OR($H22&lt;&gt;"",$J22&lt;&gt;""),"Linha sem sala cadastrada — remova a dupla",""),IF($U22="","OK",LEFT($U22,LEN($U22)-3)))</f>
        <v/>
      </c>
      <c r="U22" s="15">
        <f>IF($B22="","",IF(AND($D22&gt;0,$H22=""),"Sem circulante | ","")&amp;IF(AND($D22&gt;0,$J22=""),"Sem instrumentador | ","")&amp;IF(AND($D22=0,OR($H22&lt;&gt;"",$J22&lt;&gt;"")),"Dupla escalada em sala sem cirurgia | ","")&amp;IF($P22&lt;&gt;"OK",$P22&amp;" | ","")&amp;IF($Q22&lt;&gt;"OK",$Q22&amp;" | ","")&amp;IF($R22&lt;&gt;"OK",$R22&amp;" | ","")&amp;IF($S22&lt;&gt;"OK",$S22&amp;" | ","")&amp;IF(AND($N22&lt;&gt;"",$N22&lt;Afinidade_Min),"Afinidade abaixo do mínimo | ","")&amp;IF(AND($G22&lt;&gt;"",$G22&gt;Ocupacao_Max),"Ocupação acima do limite | ","")&amp;IF(OR(AND($H22&lt;&gt;"",IFERROR(INDEX(Equipe_Turno,MATCH($H22,Equipe_Nome,0)),$C22)&lt;&gt;$C22),AND($J22&lt;&gt;"",IFERROR(INDEX(Equipe_Turno,MATCH($J22,Equipe_Nome,0)),$C22)&lt;&gt;$C22)),"Técnico fora do turno preferencial | ","")&amp;IF(AND($D22&gt;0,IFERROR(INDEX(Salas_Status,MATCH($B22,Salas_Cod,0)),"")&lt;&gt;"Ativa"),"Sala não ativa com cirurgia | ",""))</f>
        <v/>
      </c>
      <c r="V22" s="34">
        <f>IF($N22="",0,$N22)</f>
        <v/>
      </c>
      <c r="W22" s="32">
        <f>IF($N22="",0,$E22)</f>
        <v/>
      </c>
    </row>
    <row r="23">
      <c r="A23" s="35">
        <f>IF($B23="","",Data_Mapa)</f>
        <v/>
      </c>
      <c r="B23" s="15">
        <f>IF('Calc_Mix'!$B23="","",'Calc_Mix'!$B23)</f>
        <v/>
      </c>
      <c r="C23" s="15">
        <f>IF($B23="","",'Calc_Mix'!$C23)</f>
        <v/>
      </c>
      <c r="D23" s="32">
        <f>IF($B23="","",COUNTIFS(Mapa_Sala,$B23,Mapa_Turno,$C23,Mapa_MinOcup,"&gt;0"))</f>
        <v/>
      </c>
      <c r="E23" s="32">
        <f>IF($B23="","",'Calc_Mix'!$X23)</f>
        <v/>
      </c>
      <c r="F23" s="32">
        <f>IF($B23="","",'Calc_Mix'!$Y23)</f>
        <v/>
      </c>
      <c r="G23" s="33">
        <f>IF(OR($B23="",$F23=0),"",$E23/$F23)</f>
        <v/>
      </c>
      <c r="H23" s="36" t="inlineStr">
        <is>
          <t>Ricardo Andrade</t>
        </is>
      </c>
      <c r="I23" s="28">
        <f>IF($H23="","",IFERROR(INDEX(Equipe_Funcao,MATCH($H23,Equipe_Nome,0))&amp;" · "&amp;INDEX(Equipe_Status,MATCH($H23,Equipe_Nome,0)),"NÃO CADASTRADO"))</f>
        <v/>
      </c>
      <c r="J23" s="36" t="inlineStr">
        <is>
          <t>Sabrina Toledo</t>
        </is>
      </c>
      <c r="K23" s="28">
        <f>IF($J23="","",IFERROR(INDEX(Equipe_Funcao,MATCH($J23,Equipe_Nome,0))&amp;" · "&amp;INDEX(Equipe_Status,MATCH($J23,Equipe_Nome,0)),"NÃO CADASTRADO"))</f>
        <v/>
      </c>
      <c r="L23" s="34">
        <f>IF(OR($B23="",$H23="",$E23=0),"",IFERROR(SUMPRODUCT('Calc_Mix'!$D23:$W23,INDEX(Matriz_Niveis,MATCH($H23,Matriz_Nome,0),0))/'Calc_Mix'!$X23,""))</f>
        <v/>
      </c>
      <c r="M23" s="34">
        <f>IF(OR($B23="",$J23="",$E23=0),"",IFERROR(SUMPRODUCT('Calc_Mix'!$D23:$W23,INDEX(Matriz_Niveis,MATCH($J23,Matriz_Nome,0),0))/'Calc_Mix'!$X23,""))</f>
        <v/>
      </c>
      <c r="N23" s="34">
        <f>IF(OR($L23="",$M23=""),"",Peso_Circulante*$L23+Peso_Instrumentador*$M23)</f>
        <v/>
      </c>
      <c r="O23" s="15">
        <f>IF($B23="","",IF($D23=0,"SEM CIRURGIA",IF($N23="","SEM DUPLA",IF($N23&gt;=Afinidade_Meta,"ADEQUADA",IF($N23&gt;=Afinidade_Min,"ATENÇÃO","CRÍTICA")))))</f>
        <v/>
      </c>
      <c r="P23" s="17">
        <f>IF($B23="","",IF(AND($H23="",$J23=""),"OK",IF(OR(AND($H23&lt;&gt;"",SUMPRODUCT((Esc_Turno=$C23)*(Esc_Circ=$H23))+SUMPRODUCT((Esc_Turno=$C23)*(Esc_Instr=$H23))&gt;1),AND($J23&lt;&gt;"",SUMPRODUCT((Esc_Turno=$C23)*(Esc_Circ=$J23))+SUMPRODUCT((Esc_Turno=$C23)*(Esc_Instr=$J23))&gt;1)),"Técnico em duas salas no mesmo turno","OK")))</f>
        <v/>
      </c>
      <c r="Q23" s="17">
        <f>IF($B23="","",IF(AND($H23="",$J23=""),"OK",IF(OR(AND($H23&lt;&gt;"",IFERROR(INDEX(Equipe_Status,MATCH($H23,Equipe_Nome,0)),"?")&lt;&gt;"Ativo"),AND($J23&lt;&gt;"",IFERROR(INDEX(Equipe_Status,MATCH($J23,Equipe_Nome,0)),"?")&lt;&gt;"Ativo")),"Técnico não ativo ou não cadastrado","OK")))</f>
        <v/>
      </c>
      <c r="R23" s="17">
        <f>IF($B23="","",IF(AND($H23="",$J23=""),"OK",IF(OR(AND($H23&lt;&gt;"",IFERROR(INDEX(Equipe_Funcao,MATCH($H23,Equipe_Nome,0)),"")="Instrumentador"),AND($J23&lt;&gt;"",IFERROR(INDEX(Equipe_Funcao,MATCH($J23,Equipe_Nome,0)),"")="Circulante")),"Função incompatível com o posto","OK")))</f>
        <v/>
      </c>
      <c r="S23" s="17">
        <f>IF($B23="","",IF(OR($E23=0,AND($H23="",$J23="")),"OK",IF(IFERROR(SUMPRODUCT(('Calc_Mix'!$D23:$W23/'Calc_Mix'!$X23&gt;=Part_Min_Critica)*(INDEX(Matriz_Niveis,MATCH($H23,Matriz_Nome,0),0)&lt;=Nivel_Critico)),0)+IFERROR(SUMPRODUCT(('Calc_Mix'!$D23:$W23/'Calc_Mix'!$X23&gt;=Part_Min_Critica)*(INDEX(Matriz_Niveis,MATCH($J23,Matriz_Nome,0),0)&lt;=Nivel_Critico)),0)&gt;0,"Inaptidão em especialidade relevante","OK")))</f>
        <v/>
      </c>
      <c r="T23" s="37">
        <f>IF($B23="",IF(OR($H23&lt;&gt;"",$J23&lt;&gt;""),"Linha sem sala cadastrada — remova a dupla",""),IF($U23="","OK",LEFT($U23,LEN($U23)-3)))</f>
        <v/>
      </c>
      <c r="U23" s="15">
        <f>IF($B23="","",IF(AND($D23&gt;0,$H23=""),"Sem circulante | ","")&amp;IF(AND($D23&gt;0,$J23=""),"Sem instrumentador | ","")&amp;IF(AND($D23=0,OR($H23&lt;&gt;"",$J23&lt;&gt;"")),"Dupla escalada em sala sem cirurgia | ","")&amp;IF($P23&lt;&gt;"OK",$P23&amp;" | ","")&amp;IF($Q23&lt;&gt;"OK",$Q23&amp;" | ","")&amp;IF($R23&lt;&gt;"OK",$R23&amp;" | ","")&amp;IF($S23&lt;&gt;"OK",$S23&amp;" | ","")&amp;IF(AND($N23&lt;&gt;"",$N23&lt;Afinidade_Min),"Afinidade abaixo do mínimo | ","")&amp;IF(AND($G23&lt;&gt;"",$G23&gt;Ocupacao_Max),"Ocupação acima do limite | ","")&amp;IF(OR(AND($H23&lt;&gt;"",IFERROR(INDEX(Equipe_Turno,MATCH($H23,Equipe_Nome,0)),$C23)&lt;&gt;$C23),AND($J23&lt;&gt;"",IFERROR(INDEX(Equipe_Turno,MATCH($J23,Equipe_Nome,0)),$C23)&lt;&gt;$C23)),"Técnico fora do turno preferencial | ","")&amp;IF(AND($D23&gt;0,IFERROR(INDEX(Salas_Status,MATCH($B23,Salas_Cod,0)),"")&lt;&gt;"Ativa"),"Sala não ativa com cirurgia | ",""))</f>
        <v/>
      </c>
      <c r="V23" s="34">
        <f>IF($N23="",0,$N23)</f>
        <v/>
      </c>
      <c r="W23" s="32">
        <f>IF($N23="",0,$E23)</f>
        <v/>
      </c>
    </row>
    <row r="24">
      <c r="A24" s="35">
        <f>IF($B24="","",Data_Mapa)</f>
        <v/>
      </c>
      <c r="B24" s="15">
        <f>IF('Calc_Mix'!$B24="","",'Calc_Mix'!$B24)</f>
        <v/>
      </c>
      <c r="C24" s="15">
        <f>IF($B24="","",'Calc_Mix'!$C24)</f>
        <v/>
      </c>
      <c r="D24" s="32">
        <f>IF($B24="","",COUNTIFS(Mapa_Sala,$B24,Mapa_Turno,$C24,Mapa_MinOcup,"&gt;0"))</f>
        <v/>
      </c>
      <c r="E24" s="32">
        <f>IF($B24="","",'Calc_Mix'!$X24)</f>
        <v/>
      </c>
      <c r="F24" s="32">
        <f>IF($B24="","",'Calc_Mix'!$Y24)</f>
        <v/>
      </c>
      <c r="G24" s="33">
        <f>IF(OR($B24="",$F24=0),"",$E24/$F24)</f>
        <v/>
      </c>
      <c r="H24" s="36" t="inlineStr">
        <is>
          <t>Thales Guimarães</t>
        </is>
      </c>
      <c r="I24" s="28">
        <f>IF($H24="","",IFERROR(INDEX(Equipe_Funcao,MATCH($H24,Equipe_Nome,0))&amp;" · "&amp;INDEX(Equipe_Status,MATCH($H24,Equipe_Nome,0)),"NÃO CADASTRADO"))</f>
        <v/>
      </c>
      <c r="J24" s="36" t="inlineStr">
        <is>
          <t>Vanessa Portela</t>
        </is>
      </c>
      <c r="K24" s="28">
        <f>IF($J24="","",IFERROR(INDEX(Equipe_Funcao,MATCH($J24,Equipe_Nome,0))&amp;" · "&amp;INDEX(Equipe_Status,MATCH($J24,Equipe_Nome,0)),"NÃO CADASTRADO"))</f>
        <v/>
      </c>
      <c r="L24" s="34">
        <f>IF(OR($B24="",$H24="",$E24=0),"",IFERROR(SUMPRODUCT('Calc_Mix'!$D24:$W24,INDEX(Matriz_Niveis,MATCH($H24,Matriz_Nome,0),0))/'Calc_Mix'!$X24,""))</f>
        <v/>
      </c>
      <c r="M24" s="34">
        <f>IF(OR($B24="",$J24="",$E24=0),"",IFERROR(SUMPRODUCT('Calc_Mix'!$D24:$W24,INDEX(Matriz_Niveis,MATCH($J24,Matriz_Nome,0),0))/'Calc_Mix'!$X24,""))</f>
        <v/>
      </c>
      <c r="N24" s="34">
        <f>IF(OR($L24="",$M24=""),"",Peso_Circulante*$L24+Peso_Instrumentador*$M24)</f>
        <v/>
      </c>
      <c r="O24" s="15">
        <f>IF($B24="","",IF($D24=0,"SEM CIRURGIA",IF($N24="","SEM DUPLA",IF($N24&gt;=Afinidade_Meta,"ADEQUADA",IF($N24&gt;=Afinidade_Min,"ATENÇÃO","CRÍTICA")))))</f>
        <v/>
      </c>
      <c r="P24" s="17">
        <f>IF($B24="","",IF(AND($H24="",$J24=""),"OK",IF(OR(AND($H24&lt;&gt;"",SUMPRODUCT((Esc_Turno=$C24)*(Esc_Circ=$H24))+SUMPRODUCT((Esc_Turno=$C24)*(Esc_Instr=$H24))&gt;1),AND($J24&lt;&gt;"",SUMPRODUCT((Esc_Turno=$C24)*(Esc_Circ=$J24))+SUMPRODUCT((Esc_Turno=$C24)*(Esc_Instr=$J24))&gt;1)),"Técnico em duas salas no mesmo turno","OK")))</f>
        <v/>
      </c>
      <c r="Q24" s="17">
        <f>IF($B24="","",IF(AND($H24="",$J24=""),"OK",IF(OR(AND($H24&lt;&gt;"",IFERROR(INDEX(Equipe_Status,MATCH($H24,Equipe_Nome,0)),"?")&lt;&gt;"Ativo"),AND($J24&lt;&gt;"",IFERROR(INDEX(Equipe_Status,MATCH($J24,Equipe_Nome,0)),"?")&lt;&gt;"Ativo")),"Técnico não ativo ou não cadastrado","OK")))</f>
        <v/>
      </c>
      <c r="R24" s="17">
        <f>IF($B24="","",IF(AND($H24="",$J24=""),"OK",IF(OR(AND($H24&lt;&gt;"",IFERROR(INDEX(Equipe_Funcao,MATCH($H24,Equipe_Nome,0)),"")="Instrumentador"),AND($J24&lt;&gt;"",IFERROR(INDEX(Equipe_Funcao,MATCH($J24,Equipe_Nome,0)),"")="Circulante")),"Função incompatível com o posto","OK")))</f>
        <v/>
      </c>
      <c r="S24" s="17">
        <f>IF($B24="","",IF(OR($E24=0,AND($H24="",$J24="")),"OK",IF(IFERROR(SUMPRODUCT(('Calc_Mix'!$D24:$W24/'Calc_Mix'!$X24&gt;=Part_Min_Critica)*(INDEX(Matriz_Niveis,MATCH($H24,Matriz_Nome,0),0)&lt;=Nivel_Critico)),0)+IFERROR(SUMPRODUCT(('Calc_Mix'!$D24:$W24/'Calc_Mix'!$X24&gt;=Part_Min_Critica)*(INDEX(Matriz_Niveis,MATCH($J24,Matriz_Nome,0),0)&lt;=Nivel_Critico)),0)&gt;0,"Inaptidão em especialidade relevante","OK")))</f>
        <v/>
      </c>
      <c r="T24" s="37">
        <f>IF($B24="",IF(OR($H24&lt;&gt;"",$J24&lt;&gt;""),"Linha sem sala cadastrada — remova a dupla",""),IF($U24="","OK",LEFT($U24,LEN($U24)-3)))</f>
        <v/>
      </c>
      <c r="U24" s="15">
        <f>IF($B24="","",IF(AND($D24&gt;0,$H24=""),"Sem circulante | ","")&amp;IF(AND($D24&gt;0,$J24=""),"Sem instrumentador | ","")&amp;IF(AND($D24=0,OR($H24&lt;&gt;"",$J24&lt;&gt;"")),"Dupla escalada em sala sem cirurgia | ","")&amp;IF($P24&lt;&gt;"OK",$P24&amp;" | ","")&amp;IF($Q24&lt;&gt;"OK",$Q24&amp;" | ","")&amp;IF($R24&lt;&gt;"OK",$R24&amp;" | ","")&amp;IF($S24&lt;&gt;"OK",$S24&amp;" | ","")&amp;IF(AND($N24&lt;&gt;"",$N24&lt;Afinidade_Min),"Afinidade abaixo do mínimo | ","")&amp;IF(AND($G24&lt;&gt;"",$G24&gt;Ocupacao_Max),"Ocupação acima do limite | ","")&amp;IF(OR(AND($H24&lt;&gt;"",IFERROR(INDEX(Equipe_Turno,MATCH($H24,Equipe_Nome,0)),$C24)&lt;&gt;$C24),AND($J24&lt;&gt;"",IFERROR(INDEX(Equipe_Turno,MATCH($J24,Equipe_Nome,0)),$C24)&lt;&gt;$C24)),"Técnico fora do turno preferencial | ","")&amp;IF(AND($D24&gt;0,IFERROR(INDEX(Salas_Status,MATCH($B24,Salas_Cod,0)),"")&lt;&gt;"Ativa"),"Sala não ativa com cirurgia | ",""))</f>
        <v/>
      </c>
      <c r="V24" s="34">
        <f>IF($N24="",0,$N24)</f>
        <v/>
      </c>
      <c r="W24" s="32">
        <f>IF($N24="",0,$E24)</f>
        <v/>
      </c>
    </row>
    <row r="25">
      <c r="A25" s="35">
        <f>IF($B25="","",Data_Mapa)</f>
        <v/>
      </c>
      <c r="B25" s="15">
        <f>IF('Calc_Mix'!$B25="","",'Calc_Mix'!$B25)</f>
        <v/>
      </c>
      <c r="C25" s="15">
        <f>IF($B25="","",'Calc_Mix'!$C25)</f>
        <v/>
      </c>
      <c r="D25" s="32">
        <f>IF($B25="","",COUNTIFS(Mapa_Sala,$B25,Mapa_Turno,$C25,Mapa_MinOcup,"&gt;0"))</f>
        <v/>
      </c>
      <c r="E25" s="32">
        <f>IF($B25="","",'Calc_Mix'!$X25)</f>
        <v/>
      </c>
      <c r="F25" s="32">
        <f>IF($B25="","",'Calc_Mix'!$Y25)</f>
        <v/>
      </c>
      <c r="G25" s="33">
        <f>IF(OR($B25="",$F25=0),"",$E25/$F25)</f>
        <v/>
      </c>
      <c r="H25" s="36" t="inlineStr">
        <is>
          <t>William Sampaio</t>
        </is>
      </c>
      <c r="I25" s="28">
        <f>IF($H25="","",IFERROR(INDEX(Equipe_Funcao,MATCH($H25,Equipe_Nome,0))&amp;" · "&amp;INDEX(Equipe_Status,MATCH($H25,Equipe_Nome,0)),"NÃO CADASTRADO"))</f>
        <v/>
      </c>
      <c r="J25" s="36" t="inlineStr">
        <is>
          <t>Yasmin Correia</t>
        </is>
      </c>
      <c r="K25" s="28">
        <f>IF($J25="","",IFERROR(INDEX(Equipe_Funcao,MATCH($J25,Equipe_Nome,0))&amp;" · "&amp;INDEX(Equipe_Status,MATCH($J25,Equipe_Nome,0)),"NÃO CADASTRADO"))</f>
        <v/>
      </c>
      <c r="L25" s="34">
        <f>IF(OR($B25="",$H25="",$E25=0),"",IFERROR(SUMPRODUCT('Calc_Mix'!$D25:$W25,INDEX(Matriz_Niveis,MATCH($H25,Matriz_Nome,0),0))/'Calc_Mix'!$X25,""))</f>
        <v/>
      </c>
      <c r="M25" s="34">
        <f>IF(OR($B25="",$J25="",$E25=0),"",IFERROR(SUMPRODUCT('Calc_Mix'!$D25:$W25,INDEX(Matriz_Niveis,MATCH($J25,Matriz_Nome,0),0))/'Calc_Mix'!$X25,""))</f>
        <v/>
      </c>
      <c r="N25" s="34">
        <f>IF(OR($L25="",$M25=""),"",Peso_Circulante*$L25+Peso_Instrumentador*$M25)</f>
        <v/>
      </c>
      <c r="O25" s="15">
        <f>IF($B25="","",IF($D25=0,"SEM CIRURGIA",IF($N25="","SEM DUPLA",IF($N25&gt;=Afinidade_Meta,"ADEQUADA",IF($N25&gt;=Afinidade_Min,"ATENÇÃO","CRÍTICA")))))</f>
        <v/>
      </c>
      <c r="P25" s="17">
        <f>IF($B25="","",IF(AND($H25="",$J25=""),"OK",IF(OR(AND($H25&lt;&gt;"",SUMPRODUCT((Esc_Turno=$C25)*(Esc_Circ=$H25))+SUMPRODUCT((Esc_Turno=$C25)*(Esc_Instr=$H25))&gt;1),AND($J25&lt;&gt;"",SUMPRODUCT((Esc_Turno=$C25)*(Esc_Circ=$J25))+SUMPRODUCT((Esc_Turno=$C25)*(Esc_Instr=$J25))&gt;1)),"Técnico em duas salas no mesmo turno","OK")))</f>
        <v/>
      </c>
      <c r="Q25" s="17">
        <f>IF($B25="","",IF(AND($H25="",$J25=""),"OK",IF(OR(AND($H25&lt;&gt;"",IFERROR(INDEX(Equipe_Status,MATCH($H25,Equipe_Nome,0)),"?")&lt;&gt;"Ativo"),AND($J25&lt;&gt;"",IFERROR(INDEX(Equipe_Status,MATCH($J25,Equipe_Nome,0)),"?")&lt;&gt;"Ativo")),"Técnico não ativo ou não cadastrado","OK")))</f>
        <v/>
      </c>
      <c r="R25" s="17">
        <f>IF($B25="","",IF(AND($H25="",$J25=""),"OK",IF(OR(AND($H25&lt;&gt;"",IFERROR(INDEX(Equipe_Funcao,MATCH($H25,Equipe_Nome,0)),"")="Instrumentador"),AND($J25&lt;&gt;"",IFERROR(INDEX(Equipe_Funcao,MATCH($J25,Equipe_Nome,0)),"")="Circulante")),"Função incompatível com o posto","OK")))</f>
        <v/>
      </c>
      <c r="S25" s="17">
        <f>IF($B25="","",IF(OR($E25=0,AND($H25="",$J25="")),"OK",IF(IFERROR(SUMPRODUCT(('Calc_Mix'!$D25:$W25/'Calc_Mix'!$X25&gt;=Part_Min_Critica)*(INDEX(Matriz_Niveis,MATCH($H25,Matriz_Nome,0),0)&lt;=Nivel_Critico)),0)+IFERROR(SUMPRODUCT(('Calc_Mix'!$D25:$W25/'Calc_Mix'!$X25&gt;=Part_Min_Critica)*(INDEX(Matriz_Niveis,MATCH($J25,Matriz_Nome,0),0)&lt;=Nivel_Critico)),0)&gt;0,"Inaptidão em especialidade relevante","OK")))</f>
        <v/>
      </c>
      <c r="T25" s="37">
        <f>IF($B25="",IF(OR($H25&lt;&gt;"",$J25&lt;&gt;""),"Linha sem sala cadastrada — remova a dupla",""),IF($U25="","OK",LEFT($U25,LEN($U25)-3)))</f>
        <v/>
      </c>
      <c r="U25" s="15">
        <f>IF($B25="","",IF(AND($D25&gt;0,$H25=""),"Sem circulante | ","")&amp;IF(AND($D25&gt;0,$J25=""),"Sem instrumentador | ","")&amp;IF(AND($D25=0,OR($H25&lt;&gt;"",$J25&lt;&gt;"")),"Dupla escalada em sala sem cirurgia | ","")&amp;IF($P25&lt;&gt;"OK",$P25&amp;" | ","")&amp;IF($Q25&lt;&gt;"OK",$Q25&amp;" | ","")&amp;IF($R25&lt;&gt;"OK",$R25&amp;" | ","")&amp;IF($S25&lt;&gt;"OK",$S25&amp;" | ","")&amp;IF(AND($N25&lt;&gt;"",$N25&lt;Afinidade_Min),"Afinidade abaixo do mínimo | ","")&amp;IF(AND($G25&lt;&gt;"",$G25&gt;Ocupacao_Max),"Ocupação acima do limite | ","")&amp;IF(OR(AND($H25&lt;&gt;"",IFERROR(INDEX(Equipe_Turno,MATCH($H25,Equipe_Nome,0)),$C25)&lt;&gt;$C25),AND($J25&lt;&gt;"",IFERROR(INDEX(Equipe_Turno,MATCH($J25,Equipe_Nome,0)),$C25)&lt;&gt;$C25)),"Técnico fora do turno preferencial | ","")&amp;IF(AND($D25&gt;0,IFERROR(INDEX(Salas_Status,MATCH($B25,Salas_Cod,0)),"")&lt;&gt;"Ativa"),"Sala não ativa com cirurgia | ",""))</f>
        <v/>
      </c>
      <c r="V25" s="34">
        <f>IF($N25="",0,$N25)</f>
        <v/>
      </c>
      <c r="W25" s="32">
        <f>IF($N25="",0,$E25)</f>
        <v/>
      </c>
    </row>
    <row r="26">
      <c r="A26" s="35">
        <f>IF($B26="","",Data_Mapa)</f>
        <v/>
      </c>
      <c r="B26" s="15">
        <f>IF('Calc_Mix'!$B26="","",'Calc_Mix'!$B26)</f>
        <v/>
      </c>
      <c r="C26" s="15">
        <f>IF($B26="","",'Calc_Mix'!$C26)</f>
        <v/>
      </c>
      <c r="D26" s="32">
        <f>IF($B26="","",COUNTIFS(Mapa_Sala,$B26,Mapa_Turno,$C26,Mapa_MinOcup,"&gt;0"))</f>
        <v/>
      </c>
      <c r="E26" s="32">
        <f>IF($B26="","",'Calc_Mix'!$X26)</f>
        <v/>
      </c>
      <c r="F26" s="32">
        <f>IF($B26="","",'Calc_Mix'!$Y26)</f>
        <v/>
      </c>
      <c r="G26" s="33">
        <f>IF(OR($B26="",$F26=0),"",$E26/$F26)</f>
        <v/>
      </c>
      <c r="H26" s="36" t="n"/>
      <c r="I26" s="28">
        <f>IF($H26="","",IFERROR(INDEX(Equipe_Funcao,MATCH($H26,Equipe_Nome,0))&amp;" · "&amp;INDEX(Equipe_Status,MATCH($H26,Equipe_Nome,0)),"NÃO CADASTRADO"))</f>
        <v/>
      </c>
      <c r="J26" s="36" t="n"/>
      <c r="K26" s="28">
        <f>IF($J26="","",IFERROR(INDEX(Equipe_Funcao,MATCH($J26,Equipe_Nome,0))&amp;" · "&amp;INDEX(Equipe_Status,MATCH($J26,Equipe_Nome,0)),"NÃO CADASTRADO"))</f>
        <v/>
      </c>
      <c r="L26" s="34">
        <f>IF(OR($B26="",$H26="",$E26=0),"",IFERROR(SUMPRODUCT('Calc_Mix'!$D26:$W26,INDEX(Matriz_Niveis,MATCH($H26,Matriz_Nome,0),0))/'Calc_Mix'!$X26,""))</f>
        <v/>
      </c>
      <c r="M26" s="34">
        <f>IF(OR($B26="",$J26="",$E26=0),"",IFERROR(SUMPRODUCT('Calc_Mix'!$D26:$W26,INDEX(Matriz_Niveis,MATCH($J26,Matriz_Nome,0),0))/'Calc_Mix'!$X26,""))</f>
        <v/>
      </c>
      <c r="N26" s="34">
        <f>IF(OR($L26="",$M26=""),"",Peso_Circulante*$L26+Peso_Instrumentador*$M26)</f>
        <v/>
      </c>
      <c r="O26" s="15">
        <f>IF($B26="","",IF($D26=0,"SEM CIRURGIA",IF($N26="","SEM DUPLA",IF($N26&gt;=Afinidade_Meta,"ADEQUADA",IF($N26&gt;=Afinidade_Min,"ATENÇÃO","CRÍTICA")))))</f>
        <v/>
      </c>
      <c r="P26" s="17">
        <f>IF($B26="","",IF(AND($H26="",$J26=""),"OK",IF(OR(AND($H26&lt;&gt;"",SUMPRODUCT((Esc_Turno=$C26)*(Esc_Circ=$H26))+SUMPRODUCT((Esc_Turno=$C26)*(Esc_Instr=$H26))&gt;1),AND($J26&lt;&gt;"",SUMPRODUCT((Esc_Turno=$C26)*(Esc_Circ=$J26))+SUMPRODUCT((Esc_Turno=$C26)*(Esc_Instr=$J26))&gt;1)),"Técnico em duas salas no mesmo turno","OK")))</f>
        <v/>
      </c>
      <c r="Q26" s="17">
        <f>IF($B26="","",IF(AND($H26="",$J26=""),"OK",IF(OR(AND($H26&lt;&gt;"",IFERROR(INDEX(Equipe_Status,MATCH($H26,Equipe_Nome,0)),"?")&lt;&gt;"Ativo"),AND($J26&lt;&gt;"",IFERROR(INDEX(Equipe_Status,MATCH($J26,Equipe_Nome,0)),"?")&lt;&gt;"Ativo")),"Técnico não ativo ou não cadastrado","OK")))</f>
        <v/>
      </c>
      <c r="R26" s="17">
        <f>IF($B26="","",IF(AND($H26="",$J26=""),"OK",IF(OR(AND($H26&lt;&gt;"",IFERROR(INDEX(Equipe_Funcao,MATCH($H26,Equipe_Nome,0)),"")="Instrumentador"),AND($J26&lt;&gt;"",IFERROR(INDEX(Equipe_Funcao,MATCH($J26,Equipe_Nome,0)),"")="Circulante")),"Função incompatível com o posto","OK")))</f>
        <v/>
      </c>
      <c r="S26" s="17">
        <f>IF($B26="","",IF(OR($E26=0,AND($H26="",$J26="")),"OK",IF(IFERROR(SUMPRODUCT(('Calc_Mix'!$D26:$W26/'Calc_Mix'!$X26&gt;=Part_Min_Critica)*(INDEX(Matriz_Niveis,MATCH($H26,Matriz_Nome,0),0)&lt;=Nivel_Critico)),0)+IFERROR(SUMPRODUCT(('Calc_Mix'!$D26:$W26/'Calc_Mix'!$X26&gt;=Part_Min_Critica)*(INDEX(Matriz_Niveis,MATCH($J26,Matriz_Nome,0),0)&lt;=Nivel_Critico)),0)&gt;0,"Inaptidão em especialidade relevante","OK")))</f>
        <v/>
      </c>
      <c r="T26" s="37">
        <f>IF($B26="",IF(OR($H26&lt;&gt;"",$J26&lt;&gt;""),"Linha sem sala cadastrada — remova a dupla",""),IF($U26="","OK",LEFT($U26,LEN($U26)-3)))</f>
        <v/>
      </c>
      <c r="U26" s="15">
        <f>IF($B26="","",IF(AND($D26&gt;0,$H26=""),"Sem circulante | ","")&amp;IF(AND($D26&gt;0,$J26=""),"Sem instrumentador | ","")&amp;IF(AND($D26=0,OR($H26&lt;&gt;"",$J26&lt;&gt;"")),"Dupla escalada em sala sem cirurgia | ","")&amp;IF($P26&lt;&gt;"OK",$P26&amp;" | ","")&amp;IF($Q26&lt;&gt;"OK",$Q26&amp;" | ","")&amp;IF($R26&lt;&gt;"OK",$R26&amp;" | ","")&amp;IF($S26&lt;&gt;"OK",$S26&amp;" | ","")&amp;IF(AND($N26&lt;&gt;"",$N26&lt;Afinidade_Min),"Afinidade abaixo do mínimo | ","")&amp;IF(AND($G26&lt;&gt;"",$G26&gt;Ocupacao_Max),"Ocupação acima do limite | ","")&amp;IF(OR(AND($H26&lt;&gt;"",IFERROR(INDEX(Equipe_Turno,MATCH($H26,Equipe_Nome,0)),$C26)&lt;&gt;$C26),AND($J26&lt;&gt;"",IFERROR(INDEX(Equipe_Turno,MATCH($J26,Equipe_Nome,0)),$C26)&lt;&gt;$C26)),"Técnico fora do turno preferencial | ","")&amp;IF(AND($D26&gt;0,IFERROR(INDEX(Salas_Status,MATCH($B26,Salas_Cod,0)),"")&lt;&gt;"Ativa"),"Sala não ativa com cirurgia | ",""))</f>
        <v/>
      </c>
      <c r="V26" s="34">
        <f>IF($N26="",0,$N26)</f>
        <v/>
      </c>
      <c r="W26" s="32">
        <f>IF($N26="",0,$E26)</f>
        <v/>
      </c>
    </row>
    <row r="27">
      <c r="A27" s="35">
        <f>IF($B27="","",Data_Mapa)</f>
        <v/>
      </c>
      <c r="B27" s="15">
        <f>IF('Calc_Mix'!$B27="","",'Calc_Mix'!$B27)</f>
        <v/>
      </c>
      <c r="C27" s="15">
        <f>IF($B27="","",'Calc_Mix'!$C27)</f>
        <v/>
      </c>
      <c r="D27" s="32">
        <f>IF($B27="","",COUNTIFS(Mapa_Sala,$B27,Mapa_Turno,$C27,Mapa_MinOcup,"&gt;0"))</f>
        <v/>
      </c>
      <c r="E27" s="32">
        <f>IF($B27="","",'Calc_Mix'!$X27)</f>
        <v/>
      </c>
      <c r="F27" s="32">
        <f>IF($B27="","",'Calc_Mix'!$Y27)</f>
        <v/>
      </c>
      <c r="G27" s="33">
        <f>IF(OR($B27="",$F27=0),"",$E27/$F27)</f>
        <v/>
      </c>
      <c r="H27" s="36" t="n"/>
      <c r="I27" s="28">
        <f>IF($H27="","",IFERROR(INDEX(Equipe_Funcao,MATCH($H27,Equipe_Nome,0))&amp;" · "&amp;INDEX(Equipe_Status,MATCH($H27,Equipe_Nome,0)),"NÃO CADASTRADO"))</f>
        <v/>
      </c>
      <c r="J27" s="36" t="n"/>
      <c r="K27" s="28">
        <f>IF($J27="","",IFERROR(INDEX(Equipe_Funcao,MATCH($J27,Equipe_Nome,0))&amp;" · "&amp;INDEX(Equipe_Status,MATCH($J27,Equipe_Nome,0)),"NÃO CADASTRADO"))</f>
        <v/>
      </c>
      <c r="L27" s="34">
        <f>IF(OR($B27="",$H27="",$E27=0),"",IFERROR(SUMPRODUCT('Calc_Mix'!$D27:$W27,INDEX(Matriz_Niveis,MATCH($H27,Matriz_Nome,0),0))/'Calc_Mix'!$X27,""))</f>
        <v/>
      </c>
      <c r="M27" s="34">
        <f>IF(OR($B27="",$J27="",$E27=0),"",IFERROR(SUMPRODUCT('Calc_Mix'!$D27:$W27,INDEX(Matriz_Niveis,MATCH($J27,Matriz_Nome,0),0))/'Calc_Mix'!$X27,""))</f>
        <v/>
      </c>
      <c r="N27" s="34">
        <f>IF(OR($L27="",$M27=""),"",Peso_Circulante*$L27+Peso_Instrumentador*$M27)</f>
        <v/>
      </c>
      <c r="O27" s="15">
        <f>IF($B27="","",IF($D27=0,"SEM CIRURGIA",IF($N27="","SEM DUPLA",IF($N27&gt;=Afinidade_Meta,"ADEQUADA",IF($N27&gt;=Afinidade_Min,"ATENÇÃO","CRÍTICA")))))</f>
        <v/>
      </c>
      <c r="P27" s="17">
        <f>IF($B27="","",IF(AND($H27="",$J27=""),"OK",IF(OR(AND($H27&lt;&gt;"",SUMPRODUCT((Esc_Turno=$C27)*(Esc_Circ=$H27))+SUMPRODUCT((Esc_Turno=$C27)*(Esc_Instr=$H27))&gt;1),AND($J27&lt;&gt;"",SUMPRODUCT((Esc_Turno=$C27)*(Esc_Circ=$J27))+SUMPRODUCT((Esc_Turno=$C27)*(Esc_Instr=$J27))&gt;1)),"Técnico em duas salas no mesmo turno","OK")))</f>
        <v/>
      </c>
      <c r="Q27" s="17">
        <f>IF($B27="","",IF(AND($H27="",$J27=""),"OK",IF(OR(AND($H27&lt;&gt;"",IFERROR(INDEX(Equipe_Status,MATCH($H27,Equipe_Nome,0)),"?")&lt;&gt;"Ativo"),AND($J27&lt;&gt;"",IFERROR(INDEX(Equipe_Status,MATCH($J27,Equipe_Nome,0)),"?")&lt;&gt;"Ativo")),"Técnico não ativo ou não cadastrado","OK")))</f>
        <v/>
      </c>
      <c r="R27" s="17">
        <f>IF($B27="","",IF(AND($H27="",$J27=""),"OK",IF(OR(AND($H27&lt;&gt;"",IFERROR(INDEX(Equipe_Funcao,MATCH($H27,Equipe_Nome,0)),"")="Instrumentador"),AND($J27&lt;&gt;"",IFERROR(INDEX(Equipe_Funcao,MATCH($J27,Equipe_Nome,0)),"")="Circulante")),"Função incompatível com o posto","OK")))</f>
        <v/>
      </c>
      <c r="S27" s="17">
        <f>IF($B27="","",IF(OR($E27=0,AND($H27="",$J27="")),"OK",IF(IFERROR(SUMPRODUCT(('Calc_Mix'!$D27:$W27/'Calc_Mix'!$X27&gt;=Part_Min_Critica)*(INDEX(Matriz_Niveis,MATCH($H27,Matriz_Nome,0),0)&lt;=Nivel_Critico)),0)+IFERROR(SUMPRODUCT(('Calc_Mix'!$D27:$W27/'Calc_Mix'!$X27&gt;=Part_Min_Critica)*(INDEX(Matriz_Niveis,MATCH($J27,Matriz_Nome,0),0)&lt;=Nivel_Critico)),0)&gt;0,"Inaptidão em especialidade relevante","OK")))</f>
        <v/>
      </c>
      <c r="T27" s="37">
        <f>IF($B27="",IF(OR($H27&lt;&gt;"",$J27&lt;&gt;""),"Linha sem sala cadastrada — remova a dupla",""),IF($U27="","OK",LEFT($U27,LEN($U27)-3)))</f>
        <v/>
      </c>
      <c r="U27" s="15">
        <f>IF($B27="","",IF(AND($D27&gt;0,$H27=""),"Sem circulante | ","")&amp;IF(AND($D27&gt;0,$J27=""),"Sem instrumentador | ","")&amp;IF(AND($D27=0,OR($H27&lt;&gt;"",$J27&lt;&gt;"")),"Dupla escalada em sala sem cirurgia | ","")&amp;IF($P27&lt;&gt;"OK",$P27&amp;" | ","")&amp;IF($Q27&lt;&gt;"OK",$Q27&amp;" | ","")&amp;IF($R27&lt;&gt;"OK",$R27&amp;" | ","")&amp;IF($S27&lt;&gt;"OK",$S27&amp;" | ","")&amp;IF(AND($N27&lt;&gt;"",$N27&lt;Afinidade_Min),"Afinidade abaixo do mínimo | ","")&amp;IF(AND($G27&lt;&gt;"",$G27&gt;Ocupacao_Max),"Ocupação acima do limite | ","")&amp;IF(OR(AND($H27&lt;&gt;"",IFERROR(INDEX(Equipe_Turno,MATCH($H27,Equipe_Nome,0)),$C27)&lt;&gt;$C27),AND($J27&lt;&gt;"",IFERROR(INDEX(Equipe_Turno,MATCH($J27,Equipe_Nome,0)),$C27)&lt;&gt;$C27)),"Técnico fora do turno preferencial | ","")&amp;IF(AND($D27&gt;0,IFERROR(INDEX(Salas_Status,MATCH($B27,Salas_Cod,0)),"")&lt;&gt;"Ativa"),"Sala não ativa com cirurgia | ",""))</f>
        <v/>
      </c>
      <c r="V27" s="34">
        <f>IF($N27="",0,$N27)</f>
        <v/>
      </c>
      <c r="W27" s="32">
        <f>IF($N27="",0,$E27)</f>
        <v/>
      </c>
    </row>
    <row r="28">
      <c r="A28" s="35">
        <f>IF($B28="","",Data_Mapa)</f>
        <v/>
      </c>
      <c r="B28" s="15">
        <f>IF('Calc_Mix'!$B28="","",'Calc_Mix'!$B28)</f>
        <v/>
      </c>
      <c r="C28" s="15">
        <f>IF($B28="","",'Calc_Mix'!$C28)</f>
        <v/>
      </c>
      <c r="D28" s="32">
        <f>IF($B28="","",COUNTIFS(Mapa_Sala,$B28,Mapa_Turno,$C28,Mapa_MinOcup,"&gt;0"))</f>
        <v/>
      </c>
      <c r="E28" s="32">
        <f>IF($B28="","",'Calc_Mix'!$X28)</f>
        <v/>
      </c>
      <c r="F28" s="32">
        <f>IF($B28="","",'Calc_Mix'!$Y28)</f>
        <v/>
      </c>
      <c r="G28" s="33">
        <f>IF(OR($B28="",$F28=0),"",$E28/$F28)</f>
        <v/>
      </c>
      <c r="H28" s="36" t="n"/>
      <c r="I28" s="28">
        <f>IF($H28="","",IFERROR(INDEX(Equipe_Funcao,MATCH($H28,Equipe_Nome,0))&amp;" · "&amp;INDEX(Equipe_Status,MATCH($H28,Equipe_Nome,0)),"NÃO CADASTRADO"))</f>
        <v/>
      </c>
      <c r="J28" s="36" t="n"/>
      <c r="K28" s="28">
        <f>IF($J28="","",IFERROR(INDEX(Equipe_Funcao,MATCH($J28,Equipe_Nome,0))&amp;" · "&amp;INDEX(Equipe_Status,MATCH($J28,Equipe_Nome,0)),"NÃO CADASTRADO"))</f>
        <v/>
      </c>
      <c r="L28" s="34">
        <f>IF(OR($B28="",$H28="",$E28=0),"",IFERROR(SUMPRODUCT('Calc_Mix'!$D28:$W28,INDEX(Matriz_Niveis,MATCH($H28,Matriz_Nome,0),0))/'Calc_Mix'!$X28,""))</f>
        <v/>
      </c>
      <c r="M28" s="34">
        <f>IF(OR($B28="",$J28="",$E28=0),"",IFERROR(SUMPRODUCT('Calc_Mix'!$D28:$W28,INDEX(Matriz_Niveis,MATCH($J28,Matriz_Nome,0),0))/'Calc_Mix'!$X28,""))</f>
        <v/>
      </c>
      <c r="N28" s="34">
        <f>IF(OR($L28="",$M28=""),"",Peso_Circulante*$L28+Peso_Instrumentador*$M28)</f>
        <v/>
      </c>
      <c r="O28" s="15">
        <f>IF($B28="","",IF($D28=0,"SEM CIRURGIA",IF($N28="","SEM DUPLA",IF($N28&gt;=Afinidade_Meta,"ADEQUADA",IF($N28&gt;=Afinidade_Min,"ATENÇÃO","CRÍTICA")))))</f>
        <v/>
      </c>
      <c r="P28" s="17">
        <f>IF($B28="","",IF(AND($H28="",$J28=""),"OK",IF(OR(AND($H28&lt;&gt;"",SUMPRODUCT((Esc_Turno=$C28)*(Esc_Circ=$H28))+SUMPRODUCT((Esc_Turno=$C28)*(Esc_Instr=$H28))&gt;1),AND($J28&lt;&gt;"",SUMPRODUCT((Esc_Turno=$C28)*(Esc_Circ=$J28))+SUMPRODUCT((Esc_Turno=$C28)*(Esc_Instr=$J28))&gt;1)),"Técnico em duas salas no mesmo turno","OK")))</f>
        <v/>
      </c>
      <c r="Q28" s="17">
        <f>IF($B28="","",IF(AND($H28="",$J28=""),"OK",IF(OR(AND($H28&lt;&gt;"",IFERROR(INDEX(Equipe_Status,MATCH($H28,Equipe_Nome,0)),"?")&lt;&gt;"Ativo"),AND($J28&lt;&gt;"",IFERROR(INDEX(Equipe_Status,MATCH($J28,Equipe_Nome,0)),"?")&lt;&gt;"Ativo")),"Técnico não ativo ou não cadastrado","OK")))</f>
        <v/>
      </c>
      <c r="R28" s="17">
        <f>IF($B28="","",IF(AND($H28="",$J28=""),"OK",IF(OR(AND($H28&lt;&gt;"",IFERROR(INDEX(Equipe_Funcao,MATCH($H28,Equipe_Nome,0)),"")="Instrumentador"),AND($J28&lt;&gt;"",IFERROR(INDEX(Equipe_Funcao,MATCH($J28,Equipe_Nome,0)),"")="Circulante")),"Função incompatível com o posto","OK")))</f>
        <v/>
      </c>
      <c r="S28" s="17">
        <f>IF($B28="","",IF(OR($E28=0,AND($H28="",$J28="")),"OK",IF(IFERROR(SUMPRODUCT(('Calc_Mix'!$D28:$W28/'Calc_Mix'!$X28&gt;=Part_Min_Critica)*(INDEX(Matriz_Niveis,MATCH($H28,Matriz_Nome,0),0)&lt;=Nivel_Critico)),0)+IFERROR(SUMPRODUCT(('Calc_Mix'!$D28:$W28/'Calc_Mix'!$X28&gt;=Part_Min_Critica)*(INDEX(Matriz_Niveis,MATCH($J28,Matriz_Nome,0),0)&lt;=Nivel_Critico)),0)&gt;0,"Inaptidão em especialidade relevante","OK")))</f>
        <v/>
      </c>
      <c r="T28" s="37">
        <f>IF($B28="",IF(OR($H28&lt;&gt;"",$J28&lt;&gt;""),"Linha sem sala cadastrada — remova a dupla",""),IF($U28="","OK",LEFT($U28,LEN($U28)-3)))</f>
        <v/>
      </c>
      <c r="U28" s="15">
        <f>IF($B28="","",IF(AND($D28&gt;0,$H28=""),"Sem circulante | ","")&amp;IF(AND($D28&gt;0,$J28=""),"Sem instrumentador | ","")&amp;IF(AND($D28=0,OR($H28&lt;&gt;"",$J28&lt;&gt;"")),"Dupla escalada em sala sem cirurgia | ","")&amp;IF($P28&lt;&gt;"OK",$P28&amp;" | ","")&amp;IF($Q28&lt;&gt;"OK",$Q28&amp;" | ","")&amp;IF($R28&lt;&gt;"OK",$R28&amp;" | ","")&amp;IF($S28&lt;&gt;"OK",$S28&amp;" | ","")&amp;IF(AND($N28&lt;&gt;"",$N28&lt;Afinidade_Min),"Afinidade abaixo do mínimo | ","")&amp;IF(AND($G28&lt;&gt;"",$G28&gt;Ocupacao_Max),"Ocupação acima do limite | ","")&amp;IF(OR(AND($H28&lt;&gt;"",IFERROR(INDEX(Equipe_Turno,MATCH($H28,Equipe_Nome,0)),$C28)&lt;&gt;$C28),AND($J28&lt;&gt;"",IFERROR(INDEX(Equipe_Turno,MATCH($J28,Equipe_Nome,0)),$C28)&lt;&gt;$C28)),"Técnico fora do turno preferencial | ","")&amp;IF(AND($D28&gt;0,IFERROR(INDEX(Salas_Status,MATCH($B28,Salas_Cod,0)),"")&lt;&gt;"Ativa"),"Sala não ativa com cirurgia | ",""))</f>
        <v/>
      </c>
      <c r="V28" s="34">
        <f>IF($N28="",0,$N28)</f>
        <v/>
      </c>
      <c r="W28" s="32">
        <f>IF($N28="",0,$E28)</f>
        <v/>
      </c>
    </row>
    <row r="29">
      <c r="A29" s="35">
        <f>IF($B29="","",Data_Mapa)</f>
        <v/>
      </c>
      <c r="B29" s="15">
        <f>IF('Calc_Mix'!$B29="","",'Calc_Mix'!$B29)</f>
        <v/>
      </c>
      <c r="C29" s="15">
        <f>IF($B29="","",'Calc_Mix'!$C29)</f>
        <v/>
      </c>
      <c r="D29" s="32">
        <f>IF($B29="","",COUNTIFS(Mapa_Sala,$B29,Mapa_Turno,$C29,Mapa_MinOcup,"&gt;0"))</f>
        <v/>
      </c>
      <c r="E29" s="32">
        <f>IF($B29="","",'Calc_Mix'!$X29)</f>
        <v/>
      </c>
      <c r="F29" s="32">
        <f>IF($B29="","",'Calc_Mix'!$Y29)</f>
        <v/>
      </c>
      <c r="G29" s="33">
        <f>IF(OR($B29="",$F29=0),"",$E29/$F29)</f>
        <v/>
      </c>
      <c r="H29" s="36" t="n"/>
      <c r="I29" s="28">
        <f>IF($H29="","",IFERROR(INDEX(Equipe_Funcao,MATCH($H29,Equipe_Nome,0))&amp;" · "&amp;INDEX(Equipe_Status,MATCH($H29,Equipe_Nome,0)),"NÃO CADASTRADO"))</f>
        <v/>
      </c>
      <c r="J29" s="36" t="n"/>
      <c r="K29" s="28">
        <f>IF($J29="","",IFERROR(INDEX(Equipe_Funcao,MATCH($J29,Equipe_Nome,0))&amp;" · "&amp;INDEX(Equipe_Status,MATCH($J29,Equipe_Nome,0)),"NÃO CADASTRADO"))</f>
        <v/>
      </c>
      <c r="L29" s="34">
        <f>IF(OR($B29="",$H29="",$E29=0),"",IFERROR(SUMPRODUCT('Calc_Mix'!$D29:$W29,INDEX(Matriz_Niveis,MATCH($H29,Matriz_Nome,0),0))/'Calc_Mix'!$X29,""))</f>
        <v/>
      </c>
      <c r="M29" s="34">
        <f>IF(OR($B29="",$J29="",$E29=0),"",IFERROR(SUMPRODUCT('Calc_Mix'!$D29:$W29,INDEX(Matriz_Niveis,MATCH($J29,Matriz_Nome,0),0))/'Calc_Mix'!$X29,""))</f>
        <v/>
      </c>
      <c r="N29" s="34">
        <f>IF(OR($L29="",$M29=""),"",Peso_Circulante*$L29+Peso_Instrumentador*$M29)</f>
        <v/>
      </c>
      <c r="O29" s="15">
        <f>IF($B29="","",IF($D29=0,"SEM CIRURGIA",IF($N29="","SEM DUPLA",IF($N29&gt;=Afinidade_Meta,"ADEQUADA",IF($N29&gt;=Afinidade_Min,"ATENÇÃO","CRÍTICA")))))</f>
        <v/>
      </c>
      <c r="P29" s="17">
        <f>IF($B29="","",IF(AND($H29="",$J29=""),"OK",IF(OR(AND($H29&lt;&gt;"",SUMPRODUCT((Esc_Turno=$C29)*(Esc_Circ=$H29))+SUMPRODUCT((Esc_Turno=$C29)*(Esc_Instr=$H29))&gt;1),AND($J29&lt;&gt;"",SUMPRODUCT((Esc_Turno=$C29)*(Esc_Circ=$J29))+SUMPRODUCT((Esc_Turno=$C29)*(Esc_Instr=$J29))&gt;1)),"Técnico em duas salas no mesmo turno","OK")))</f>
        <v/>
      </c>
      <c r="Q29" s="17">
        <f>IF($B29="","",IF(AND($H29="",$J29=""),"OK",IF(OR(AND($H29&lt;&gt;"",IFERROR(INDEX(Equipe_Status,MATCH($H29,Equipe_Nome,0)),"?")&lt;&gt;"Ativo"),AND($J29&lt;&gt;"",IFERROR(INDEX(Equipe_Status,MATCH($J29,Equipe_Nome,0)),"?")&lt;&gt;"Ativo")),"Técnico não ativo ou não cadastrado","OK")))</f>
        <v/>
      </c>
      <c r="R29" s="17">
        <f>IF($B29="","",IF(AND($H29="",$J29=""),"OK",IF(OR(AND($H29&lt;&gt;"",IFERROR(INDEX(Equipe_Funcao,MATCH($H29,Equipe_Nome,0)),"")="Instrumentador"),AND($J29&lt;&gt;"",IFERROR(INDEX(Equipe_Funcao,MATCH($J29,Equipe_Nome,0)),"")="Circulante")),"Função incompatível com o posto","OK")))</f>
        <v/>
      </c>
      <c r="S29" s="17">
        <f>IF($B29="","",IF(OR($E29=0,AND($H29="",$J29="")),"OK",IF(IFERROR(SUMPRODUCT(('Calc_Mix'!$D29:$W29/'Calc_Mix'!$X29&gt;=Part_Min_Critica)*(INDEX(Matriz_Niveis,MATCH($H29,Matriz_Nome,0),0)&lt;=Nivel_Critico)),0)+IFERROR(SUMPRODUCT(('Calc_Mix'!$D29:$W29/'Calc_Mix'!$X29&gt;=Part_Min_Critica)*(INDEX(Matriz_Niveis,MATCH($J29,Matriz_Nome,0),0)&lt;=Nivel_Critico)),0)&gt;0,"Inaptidão em especialidade relevante","OK")))</f>
        <v/>
      </c>
      <c r="T29" s="37">
        <f>IF($B29="",IF(OR($H29&lt;&gt;"",$J29&lt;&gt;""),"Linha sem sala cadastrada — remova a dupla",""),IF($U29="","OK",LEFT($U29,LEN($U29)-3)))</f>
        <v/>
      </c>
      <c r="U29" s="15">
        <f>IF($B29="","",IF(AND($D29&gt;0,$H29=""),"Sem circulante | ","")&amp;IF(AND($D29&gt;0,$J29=""),"Sem instrumentador | ","")&amp;IF(AND($D29=0,OR($H29&lt;&gt;"",$J29&lt;&gt;"")),"Dupla escalada em sala sem cirurgia | ","")&amp;IF($P29&lt;&gt;"OK",$P29&amp;" | ","")&amp;IF($Q29&lt;&gt;"OK",$Q29&amp;" | ","")&amp;IF($R29&lt;&gt;"OK",$R29&amp;" | ","")&amp;IF($S29&lt;&gt;"OK",$S29&amp;" | ","")&amp;IF(AND($N29&lt;&gt;"",$N29&lt;Afinidade_Min),"Afinidade abaixo do mínimo | ","")&amp;IF(AND($G29&lt;&gt;"",$G29&gt;Ocupacao_Max),"Ocupação acima do limite | ","")&amp;IF(OR(AND($H29&lt;&gt;"",IFERROR(INDEX(Equipe_Turno,MATCH($H29,Equipe_Nome,0)),$C29)&lt;&gt;$C29),AND($J29&lt;&gt;"",IFERROR(INDEX(Equipe_Turno,MATCH($J29,Equipe_Nome,0)),$C29)&lt;&gt;$C29)),"Técnico fora do turno preferencial | ","")&amp;IF(AND($D29&gt;0,IFERROR(INDEX(Salas_Status,MATCH($B29,Salas_Cod,0)),"")&lt;&gt;"Ativa"),"Sala não ativa com cirurgia | ",""))</f>
        <v/>
      </c>
      <c r="V29" s="34">
        <f>IF($N29="",0,$N29)</f>
        <v/>
      </c>
      <c r="W29" s="32">
        <f>IF($N29="",0,$E29)</f>
        <v/>
      </c>
    </row>
    <row r="30">
      <c r="A30" s="35">
        <f>IF($B30="","",Data_Mapa)</f>
        <v/>
      </c>
      <c r="B30" s="15">
        <f>IF('Calc_Mix'!$B30="","",'Calc_Mix'!$B30)</f>
        <v/>
      </c>
      <c r="C30" s="15">
        <f>IF($B30="","",'Calc_Mix'!$C30)</f>
        <v/>
      </c>
      <c r="D30" s="32">
        <f>IF($B30="","",COUNTIFS(Mapa_Sala,$B30,Mapa_Turno,$C30,Mapa_MinOcup,"&gt;0"))</f>
        <v/>
      </c>
      <c r="E30" s="32">
        <f>IF($B30="","",'Calc_Mix'!$X30)</f>
        <v/>
      </c>
      <c r="F30" s="32">
        <f>IF($B30="","",'Calc_Mix'!$Y30)</f>
        <v/>
      </c>
      <c r="G30" s="33">
        <f>IF(OR($B30="",$F30=0),"",$E30/$F30)</f>
        <v/>
      </c>
      <c r="H30" s="36" t="n"/>
      <c r="I30" s="28">
        <f>IF($H30="","",IFERROR(INDEX(Equipe_Funcao,MATCH($H30,Equipe_Nome,0))&amp;" · "&amp;INDEX(Equipe_Status,MATCH($H30,Equipe_Nome,0)),"NÃO CADASTRADO"))</f>
        <v/>
      </c>
      <c r="J30" s="36" t="n"/>
      <c r="K30" s="28">
        <f>IF($J30="","",IFERROR(INDEX(Equipe_Funcao,MATCH($J30,Equipe_Nome,0))&amp;" · "&amp;INDEX(Equipe_Status,MATCH($J30,Equipe_Nome,0)),"NÃO CADASTRADO"))</f>
        <v/>
      </c>
      <c r="L30" s="34">
        <f>IF(OR($B30="",$H30="",$E30=0),"",IFERROR(SUMPRODUCT('Calc_Mix'!$D30:$W30,INDEX(Matriz_Niveis,MATCH($H30,Matriz_Nome,0),0))/'Calc_Mix'!$X30,""))</f>
        <v/>
      </c>
      <c r="M30" s="34">
        <f>IF(OR($B30="",$J30="",$E30=0),"",IFERROR(SUMPRODUCT('Calc_Mix'!$D30:$W30,INDEX(Matriz_Niveis,MATCH($J30,Matriz_Nome,0),0))/'Calc_Mix'!$X30,""))</f>
        <v/>
      </c>
      <c r="N30" s="34">
        <f>IF(OR($L30="",$M30=""),"",Peso_Circulante*$L30+Peso_Instrumentador*$M30)</f>
        <v/>
      </c>
      <c r="O30" s="15">
        <f>IF($B30="","",IF($D30=0,"SEM CIRURGIA",IF($N30="","SEM DUPLA",IF($N30&gt;=Afinidade_Meta,"ADEQUADA",IF($N30&gt;=Afinidade_Min,"ATENÇÃO","CRÍTICA")))))</f>
        <v/>
      </c>
      <c r="P30" s="17">
        <f>IF($B30="","",IF(AND($H30="",$J30=""),"OK",IF(OR(AND($H30&lt;&gt;"",SUMPRODUCT((Esc_Turno=$C30)*(Esc_Circ=$H30))+SUMPRODUCT((Esc_Turno=$C30)*(Esc_Instr=$H30))&gt;1),AND($J30&lt;&gt;"",SUMPRODUCT((Esc_Turno=$C30)*(Esc_Circ=$J30))+SUMPRODUCT((Esc_Turno=$C30)*(Esc_Instr=$J30))&gt;1)),"Técnico em duas salas no mesmo turno","OK")))</f>
        <v/>
      </c>
      <c r="Q30" s="17">
        <f>IF($B30="","",IF(AND($H30="",$J30=""),"OK",IF(OR(AND($H30&lt;&gt;"",IFERROR(INDEX(Equipe_Status,MATCH($H30,Equipe_Nome,0)),"?")&lt;&gt;"Ativo"),AND($J30&lt;&gt;"",IFERROR(INDEX(Equipe_Status,MATCH($J30,Equipe_Nome,0)),"?")&lt;&gt;"Ativo")),"Técnico não ativo ou não cadastrado","OK")))</f>
        <v/>
      </c>
      <c r="R30" s="17">
        <f>IF($B30="","",IF(AND($H30="",$J30=""),"OK",IF(OR(AND($H30&lt;&gt;"",IFERROR(INDEX(Equipe_Funcao,MATCH($H30,Equipe_Nome,0)),"")="Instrumentador"),AND($J30&lt;&gt;"",IFERROR(INDEX(Equipe_Funcao,MATCH($J30,Equipe_Nome,0)),"")="Circulante")),"Função incompatível com o posto","OK")))</f>
        <v/>
      </c>
      <c r="S30" s="17">
        <f>IF($B30="","",IF(OR($E30=0,AND($H30="",$J30="")),"OK",IF(IFERROR(SUMPRODUCT(('Calc_Mix'!$D30:$W30/'Calc_Mix'!$X30&gt;=Part_Min_Critica)*(INDEX(Matriz_Niveis,MATCH($H30,Matriz_Nome,0),0)&lt;=Nivel_Critico)),0)+IFERROR(SUMPRODUCT(('Calc_Mix'!$D30:$W30/'Calc_Mix'!$X30&gt;=Part_Min_Critica)*(INDEX(Matriz_Niveis,MATCH($J30,Matriz_Nome,0),0)&lt;=Nivel_Critico)),0)&gt;0,"Inaptidão em especialidade relevante","OK")))</f>
        <v/>
      </c>
      <c r="T30" s="37">
        <f>IF($B30="",IF(OR($H30&lt;&gt;"",$J30&lt;&gt;""),"Linha sem sala cadastrada — remova a dupla",""),IF($U30="","OK",LEFT($U30,LEN($U30)-3)))</f>
        <v/>
      </c>
      <c r="U30" s="15">
        <f>IF($B30="","",IF(AND($D30&gt;0,$H30=""),"Sem circulante | ","")&amp;IF(AND($D30&gt;0,$J30=""),"Sem instrumentador | ","")&amp;IF(AND($D30=0,OR($H30&lt;&gt;"",$J30&lt;&gt;"")),"Dupla escalada em sala sem cirurgia | ","")&amp;IF($P30&lt;&gt;"OK",$P30&amp;" | ","")&amp;IF($Q30&lt;&gt;"OK",$Q30&amp;" | ","")&amp;IF($R30&lt;&gt;"OK",$R30&amp;" | ","")&amp;IF($S30&lt;&gt;"OK",$S30&amp;" | ","")&amp;IF(AND($N30&lt;&gt;"",$N30&lt;Afinidade_Min),"Afinidade abaixo do mínimo | ","")&amp;IF(AND($G30&lt;&gt;"",$G30&gt;Ocupacao_Max),"Ocupação acima do limite | ","")&amp;IF(OR(AND($H30&lt;&gt;"",IFERROR(INDEX(Equipe_Turno,MATCH($H30,Equipe_Nome,0)),$C30)&lt;&gt;$C30),AND($J30&lt;&gt;"",IFERROR(INDEX(Equipe_Turno,MATCH($J30,Equipe_Nome,0)),$C30)&lt;&gt;$C30)),"Técnico fora do turno preferencial | ","")&amp;IF(AND($D30&gt;0,IFERROR(INDEX(Salas_Status,MATCH($B30,Salas_Cod,0)),"")&lt;&gt;"Ativa"),"Sala não ativa com cirurgia | ",""))</f>
        <v/>
      </c>
      <c r="V30" s="34">
        <f>IF($N30="",0,$N30)</f>
        <v/>
      </c>
      <c r="W30" s="32">
        <f>IF($N30="",0,$E30)</f>
        <v/>
      </c>
    </row>
    <row r="31">
      <c r="A31" s="35">
        <f>IF($B31="","",Data_Mapa)</f>
        <v/>
      </c>
      <c r="B31" s="15">
        <f>IF('Calc_Mix'!$B31="","",'Calc_Mix'!$B31)</f>
        <v/>
      </c>
      <c r="C31" s="15">
        <f>IF($B31="","",'Calc_Mix'!$C31)</f>
        <v/>
      </c>
      <c r="D31" s="32">
        <f>IF($B31="","",COUNTIFS(Mapa_Sala,$B31,Mapa_Turno,$C31,Mapa_MinOcup,"&gt;0"))</f>
        <v/>
      </c>
      <c r="E31" s="32">
        <f>IF($B31="","",'Calc_Mix'!$X31)</f>
        <v/>
      </c>
      <c r="F31" s="32">
        <f>IF($B31="","",'Calc_Mix'!$Y31)</f>
        <v/>
      </c>
      <c r="G31" s="33">
        <f>IF(OR($B31="",$F31=0),"",$E31/$F31)</f>
        <v/>
      </c>
      <c r="H31" s="36" t="n"/>
      <c r="I31" s="28">
        <f>IF($H31="","",IFERROR(INDEX(Equipe_Funcao,MATCH($H31,Equipe_Nome,0))&amp;" · "&amp;INDEX(Equipe_Status,MATCH($H31,Equipe_Nome,0)),"NÃO CADASTRADO"))</f>
        <v/>
      </c>
      <c r="J31" s="36" t="n"/>
      <c r="K31" s="28">
        <f>IF($J31="","",IFERROR(INDEX(Equipe_Funcao,MATCH($J31,Equipe_Nome,0))&amp;" · "&amp;INDEX(Equipe_Status,MATCH($J31,Equipe_Nome,0)),"NÃO CADASTRADO"))</f>
        <v/>
      </c>
      <c r="L31" s="34">
        <f>IF(OR($B31="",$H31="",$E31=0),"",IFERROR(SUMPRODUCT('Calc_Mix'!$D31:$W31,INDEX(Matriz_Niveis,MATCH($H31,Matriz_Nome,0),0))/'Calc_Mix'!$X31,""))</f>
        <v/>
      </c>
      <c r="M31" s="34">
        <f>IF(OR($B31="",$J31="",$E31=0),"",IFERROR(SUMPRODUCT('Calc_Mix'!$D31:$W31,INDEX(Matriz_Niveis,MATCH($J31,Matriz_Nome,0),0))/'Calc_Mix'!$X31,""))</f>
        <v/>
      </c>
      <c r="N31" s="34">
        <f>IF(OR($L31="",$M31=""),"",Peso_Circulante*$L31+Peso_Instrumentador*$M31)</f>
        <v/>
      </c>
      <c r="O31" s="15">
        <f>IF($B31="","",IF($D31=0,"SEM CIRURGIA",IF($N31="","SEM DUPLA",IF($N31&gt;=Afinidade_Meta,"ADEQUADA",IF($N31&gt;=Afinidade_Min,"ATENÇÃO","CRÍTICA")))))</f>
        <v/>
      </c>
      <c r="P31" s="17">
        <f>IF($B31="","",IF(AND($H31="",$J31=""),"OK",IF(OR(AND($H31&lt;&gt;"",SUMPRODUCT((Esc_Turno=$C31)*(Esc_Circ=$H31))+SUMPRODUCT((Esc_Turno=$C31)*(Esc_Instr=$H31))&gt;1),AND($J31&lt;&gt;"",SUMPRODUCT((Esc_Turno=$C31)*(Esc_Circ=$J31))+SUMPRODUCT((Esc_Turno=$C31)*(Esc_Instr=$J31))&gt;1)),"Técnico em duas salas no mesmo turno","OK")))</f>
        <v/>
      </c>
      <c r="Q31" s="17">
        <f>IF($B31="","",IF(AND($H31="",$J31=""),"OK",IF(OR(AND($H31&lt;&gt;"",IFERROR(INDEX(Equipe_Status,MATCH($H31,Equipe_Nome,0)),"?")&lt;&gt;"Ativo"),AND($J31&lt;&gt;"",IFERROR(INDEX(Equipe_Status,MATCH($J31,Equipe_Nome,0)),"?")&lt;&gt;"Ativo")),"Técnico não ativo ou não cadastrado","OK")))</f>
        <v/>
      </c>
      <c r="R31" s="17">
        <f>IF($B31="","",IF(AND($H31="",$J31=""),"OK",IF(OR(AND($H31&lt;&gt;"",IFERROR(INDEX(Equipe_Funcao,MATCH($H31,Equipe_Nome,0)),"")="Instrumentador"),AND($J31&lt;&gt;"",IFERROR(INDEX(Equipe_Funcao,MATCH($J31,Equipe_Nome,0)),"")="Circulante")),"Função incompatível com o posto","OK")))</f>
        <v/>
      </c>
      <c r="S31" s="17">
        <f>IF($B31="","",IF(OR($E31=0,AND($H31="",$J31="")),"OK",IF(IFERROR(SUMPRODUCT(('Calc_Mix'!$D31:$W31/'Calc_Mix'!$X31&gt;=Part_Min_Critica)*(INDEX(Matriz_Niveis,MATCH($H31,Matriz_Nome,0),0)&lt;=Nivel_Critico)),0)+IFERROR(SUMPRODUCT(('Calc_Mix'!$D31:$W31/'Calc_Mix'!$X31&gt;=Part_Min_Critica)*(INDEX(Matriz_Niveis,MATCH($J31,Matriz_Nome,0),0)&lt;=Nivel_Critico)),0)&gt;0,"Inaptidão em especialidade relevante","OK")))</f>
        <v/>
      </c>
      <c r="T31" s="37">
        <f>IF($B31="",IF(OR($H31&lt;&gt;"",$J31&lt;&gt;""),"Linha sem sala cadastrada — remova a dupla",""),IF($U31="","OK",LEFT($U31,LEN($U31)-3)))</f>
        <v/>
      </c>
      <c r="U31" s="15">
        <f>IF($B31="","",IF(AND($D31&gt;0,$H31=""),"Sem circulante | ","")&amp;IF(AND($D31&gt;0,$J31=""),"Sem instrumentador | ","")&amp;IF(AND($D31=0,OR($H31&lt;&gt;"",$J31&lt;&gt;"")),"Dupla escalada em sala sem cirurgia | ","")&amp;IF($P31&lt;&gt;"OK",$P31&amp;" | ","")&amp;IF($Q31&lt;&gt;"OK",$Q31&amp;" | ","")&amp;IF($R31&lt;&gt;"OK",$R31&amp;" | ","")&amp;IF($S31&lt;&gt;"OK",$S31&amp;" | ","")&amp;IF(AND($N31&lt;&gt;"",$N31&lt;Afinidade_Min),"Afinidade abaixo do mínimo | ","")&amp;IF(AND($G31&lt;&gt;"",$G31&gt;Ocupacao_Max),"Ocupação acima do limite | ","")&amp;IF(OR(AND($H31&lt;&gt;"",IFERROR(INDEX(Equipe_Turno,MATCH($H31,Equipe_Nome,0)),$C31)&lt;&gt;$C31),AND($J31&lt;&gt;"",IFERROR(INDEX(Equipe_Turno,MATCH($J31,Equipe_Nome,0)),$C31)&lt;&gt;$C31)),"Técnico fora do turno preferencial | ","")&amp;IF(AND($D31&gt;0,IFERROR(INDEX(Salas_Status,MATCH($B31,Salas_Cod,0)),"")&lt;&gt;"Ativa"),"Sala não ativa com cirurgia | ",""))</f>
        <v/>
      </c>
      <c r="V31" s="34">
        <f>IF($N31="",0,$N31)</f>
        <v/>
      </c>
      <c r="W31" s="32">
        <f>IF($N31="",0,$E31)</f>
        <v/>
      </c>
    </row>
    <row r="32">
      <c r="A32" s="35">
        <f>IF($B32="","",Data_Mapa)</f>
        <v/>
      </c>
      <c r="B32" s="15">
        <f>IF('Calc_Mix'!$B32="","",'Calc_Mix'!$B32)</f>
        <v/>
      </c>
      <c r="C32" s="15">
        <f>IF($B32="","",'Calc_Mix'!$C32)</f>
        <v/>
      </c>
      <c r="D32" s="32">
        <f>IF($B32="","",COUNTIFS(Mapa_Sala,$B32,Mapa_Turno,$C32,Mapa_MinOcup,"&gt;0"))</f>
        <v/>
      </c>
      <c r="E32" s="32">
        <f>IF($B32="","",'Calc_Mix'!$X32)</f>
        <v/>
      </c>
      <c r="F32" s="32">
        <f>IF($B32="","",'Calc_Mix'!$Y32)</f>
        <v/>
      </c>
      <c r="G32" s="33">
        <f>IF(OR($B32="",$F32=0),"",$E32/$F32)</f>
        <v/>
      </c>
      <c r="H32" s="36" t="n"/>
      <c r="I32" s="28">
        <f>IF($H32="","",IFERROR(INDEX(Equipe_Funcao,MATCH($H32,Equipe_Nome,0))&amp;" · "&amp;INDEX(Equipe_Status,MATCH($H32,Equipe_Nome,0)),"NÃO CADASTRADO"))</f>
        <v/>
      </c>
      <c r="J32" s="36" t="n"/>
      <c r="K32" s="28">
        <f>IF($J32="","",IFERROR(INDEX(Equipe_Funcao,MATCH($J32,Equipe_Nome,0))&amp;" · "&amp;INDEX(Equipe_Status,MATCH($J32,Equipe_Nome,0)),"NÃO CADASTRADO"))</f>
        <v/>
      </c>
      <c r="L32" s="34">
        <f>IF(OR($B32="",$H32="",$E32=0),"",IFERROR(SUMPRODUCT('Calc_Mix'!$D32:$W32,INDEX(Matriz_Niveis,MATCH($H32,Matriz_Nome,0),0))/'Calc_Mix'!$X32,""))</f>
        <v/>
      </c>
      <c r="M32" s="34">
        <f>IF(OR($B32="",$J32="",$E32=0),"",IFERROR(SUMPRODUCT('Calc_Mix'!$D32:$W32,INDEX(Matriz_Niveis,MATCH($J32,Matriz_Nome,0),0))/'Calc_Mix'!$X32,""))</f>
        <v/>
      </c>
      <c r="N32" s="34">
        <f>IF(OR($L32="",$M32=""),"",Peso_Circulante*$L32+Peso_Instrumentador*$M32)</f>
        <v/>
      </c>
      <c r="O32" s="15">
        <f>IF($B32="","",IF($D32=0,"SEM CIRURGIA",IF($N32="","SEM DUPLA",IF($N32&gt;=Afinidade_Meta,"ADEQUADA",IF($N32&gt;=Afinidade_Min,"ATENÇÃO","CRÍTICA")))))</f>
        <v/>
      </c>
      <c r="P32" s="17">
        <f>IF($B32="","",IF(AND($H32="",$J32=""),"OK",IF(OR(AND($H32&lt;&gt;"",SUMPRODUCT((Esc_Turno=$C32)*(Esc_Circ=$H32))+SUMPRODUCT((Esc_Turno=$C32)*(Esc_Instr=$H32))&gt;1),AND($J32&lt;&gt;"",SUMPRODUCT((Esc_Turno=$C32)*(Esc_Circ=$J32))+SUMPRODUCT((Esc_Turno=$C32)*(Esc_Instr=$J32))&gt;1)),"Técnico em duas salas no mesmo turno","OK")))</f>
        <v/>
      </c>
      <c r="Q32" s="17">
        <f>IF($B32="","",IF(AND($H32="",$J32=""),"OK",IF(OR(AND($H32&lt;&gt;"",IFERROR(INDEX(Equipe_Status,MATCH($H32,Equipe_Nome,0)),"?")&lt;&gt;"Ativo"),AND($J32&lt;&gt;"",IFERROR(INDEX(Equipe_Status,MATCH($J32,Equipe_Nome,0)),"?")&lt;&gt;"Ativo")),"Técnico não ativo ou não cadastrado","OK")))</f>
        <v/>
      </c>
      <c r="R32" s="17">
        <f>IF($B32="","",IF(AND($H32="",$J32=""),"OK",IF(OR(AND($H32&lt;&gt;"",IFERROR(INDEX(Equipe_Funcao,MATCH($H32,Equipe_Nome,0)),"")="Instrumentador"),AND($J32&lt;&gt;"",IFERROR(INDEX(Equipe_Funcao,MATCH($J32,Equipe_Nome,0)),"")="Circulante")),"Função incompatível com o posto","OK")))</f>
        <v/>
      </c>
      <c r="S32" s="17">
        <f>IF($B32="","",IF(OR($E32=0,AND($H32="",$J32="")),"OK",IF(IFERROR(SUMPRODUCT(('Calc_Mix'!$D32:$W32/'Calc_Mix'!$X32&gt;=Part_Min_Critica)*(INDEX(Matriz_Niveis,MATCH($H32,Matriz_Nome,0),0)&lt;=Nivel_Critico)),0)+IFERROR(SUMPRODUCT(('Calc_Mix'!$D32:$W32/'Calc_Mix'!$X32&gt;=Part_Min_Critica)*(INDEX(Matriz_Niveis,MATCH($J32,Matriz_Nome,0),0)&lt;=Nivel_Critico)),0)&gt;0,"Inaptidão em especialidade relevante","OK")))</f>
        <v/>
      </c>
      <c r="T32" s="37">
        <f>IF($B32="",IF(OR($H32&lt;&gt;"",$J32&lt;&gt;""),"Linha sem sala cadastrada — remova a dupla",""),IF($U32="","OK",LEFT($U32,LEN($U32)-3)))</f>
        <v/>
      </c>
      <c r="U32" s="15">
        <f>IF($B32="","",IF(AND($D32&gt;0,$H32=""),"Sem circulante | ","")&amp;IF(AND($D32&gt;0,$J32=""),"Sem instrumentador | ","")&amp;IF(AND($D32=0,OR($H32&lt;&gt;"",$J32&lt;&gt;"")),"Dupla escalada em sala sem cirurgia | ","")&amp;IF($P32&lt;&gt;"OK",$P32&amp;" | ","")&amp;IF($Q32&lt;&gt;"OK",$Q32&amp;" | ","")&amp;IF($R32&lt;&gt;"OK",$R32&amp;" | ","")&amp;IF($S32&lt;&gt;"OK",$S32&amp;" | ","")&amp;IF(AND($N32&lt;&gt;"",$N32&lt;Afinidade_Min),"Afinidade abaixo do mínimo | ","")&amp;IF(AND($G32&lt;&gt;"",$G32&gt;Ocupacao_Max),"Ocupação acima do limite | ","")&amp;IF(OR(AND($H32&lt;&gt;"",IFERROR(INDEX(Equipe_Turno,MATCH($H32,Equipe_Nome,0)),$C32)&lt;&gt;$C32),AND($J32&lt;&gt;"",IFERROR(INDEX(Equipe_Turno,MATCH($J32,Equipe_Nome,0)),$C32)&lt;&gt;$C32)),"Técnico fora do turno preferencial | ","")&amp;IF(AND($D32&gt;0,IFERROR(INDEX(Salas_Status,MATCH($B32,Salas_Cod,0)),"")&lt;&gt;"Ativa"),"Sala não ativa com cirurgia | ",""))</f>
        <v/>
      </c>
      <c r="V32" s="34">
        <f>IF($N32="",0,$N32)</f>
        <v/>
      </c>
      <c r="W32" s="32">
        <f>IF($N32="",0,$E32)</f>
        <v/>
      </c>
    </row>
    <row r="33">
      <c r="A33" s="35">
        <f>IF($B33="","",Data_Mapa)</f>
        <v/>
      </c>
      <c r="B33" s="15">
        <f>IF('Calc_Mix'!$B33="","",'Calc_Mix'!$B33)</f>
        <v/>
      </c>
      <c r="C33" s="15">
        <f>IF($B33="","",'Calc_Mix'!$C33)</f>
        <v/>
      </c>
      <c r="D33" s="32">
        <f>IF($B33="","",COUNTIFS(Mapa_Sala,$B33,Mapa_Turno,$C33,Mapa_MinOcup,"&gt;0"))</f>
        <v/>
      </c>
      <c r="E33" s="32">
        <f>IF($B33="","",'Calc_Mix'!$X33)</f>
        <v/>
      </c>
      <c r="F33" s="32">
        <f>IF($B33="","",'Calc_Mix'!$Y33)</f>
        <v/>
      </c>
      <c r="G33" s="33">
        <f>IF(OR($B33="",$F33=0),"",$E33/$F33)</f>
        <v/>
      </c>
      <c r="H33" s="36" t="n"/>
      <c r="I33" s="28">
        <f>IF($H33="","",IFERROR(INDEX(Equipe_Funcao,MATCH($H33,Equipe_Nome,0))&amp;" · "&amp;INDEX(Equipe_Status,MATCH($H33,Equipe_Nome,0)),"NÃO CADASTRADO"))</f>
        <v/>
      </c>
      <c r="J33" s="36" t="n"/>
      <c r="K33" s="28">
        <f>IF($J33="","",IFERROR(INDEX(Equipe_Funcao,MATCH($J33,Equipe_Nome,0))&amp;" · "&amp;INDEX(Equipe_Status,MATCH($J33,Equipe_Nome,0)),"NÃO CADASTRADO"))</f>
        <v/>
      </c>
      <c r="L33" s="34">
        <f>IF(OR($B33="",$H33="",$E33=0),"",IFERROR(SUMPRODUCT('Calc_Mix'!$D33:$W33,INDEX(Matriz_Niveis,MATCH($H33,Matriz_Nome,0),0))/'Calc_Mix'!$X33,""))</f>
        <v/>
      </c>
      <c r="M33" s="34">
        <f>IF(OR($B33="",$J33="",$E33=0),"",IFERROR(SUMPRODUCT('Calc_Mix'!$D33:$W33,INDEX(Matriz_Niveis,MATCH($J33,Matriz_Nome,0),0))/'Calc_Mix'!$X33,""))</f>
        <v/>
      </c>
      <c r="N33" s="34">
        <f>IF(OR($L33="",$M33=""),"",Peso_Circulante*$L33+Peso_Instrumentador*$M33)</f>
        <v/>
      </c>
      <c r="O33" s="15">
        <f>IF($B33="","",IF($D33=0,"SEM CIRURGIA",IF($N33="","SEM DUPLA",IF($N33&gt;=Afinidade_Meta,"ADEQUADA",IF($N33&gt;=Afinidade_Min,"ATENÇÃO","CRÍTICA")))))</f>
        <v/>
      </c>
      <c r="P33" s="17">
        <f>IF($B33="","",IF(AND($H33="",$J33=""),"OK",IF(OR(AND($H33&lt;&gt;"",SUMPRODUCT((Esc_Turno=$C33)*(Esc_Circ=$H33))+SUMPRODUCT((Esc_Turno=$C33)*(Esc_Instr=$H33))&gt;1),AND($J33&lt;&gt;"",SUMPRODUCT((Esc_Turno=$C33)*(Esc_Circ=$J33))+SUMPRODUCT((Esc_Turno=$C33)*(Esc_Instr=$J33))&gt;1)),"Técnico em duas salas no mesmo turno","OK")))</f>
        <v/>
      </c>
      <c r="Q33" s="17">
        <f>IF($B33="","",IF(AND($H33="",$J33=""),"OK",IF(OR(AND($H33&lt;&gt;"",IFERROR(INDEX(Equipe_Status,MATCH($H33,Equipe_Nome,0)),"?")&lt;&gt;"Ativo"),AND($J33&lt;&gt;"",IFERROR(INDEX(Equipe_Status,MATCH($J33,Equipe_Nome,0)),"?")&lt;&gt;"Ativo")),"Técnico não ativo ou não cadastrado","OK")))</f>
        <v/>
      </c>
      <c r="R33" s="17">
        <f>IF($B33="","",IF(AND($H33="",$J33=""),"OK",IF(OR(AND($H33&lt;&gt;"",IFERROR(INDEX(Equipe_Funcao,MATCH($H33,Equipe_Nome,0)),"")="Instrumentador"),AND($J33&lt;&gt;"",IFERROR(INDEX(Equipe_Funcao,MATCH($J33,Equipe_Nome,0)),"")="Circulante")),"Função incompatível com o posto","OK")))</f>
        <v/>
      </c>
      <c r="S33" s="17">
        <f>IF($B33="","",IF(OR($E33=0,AND($H33="",$J33="")),"OK",IF(IFERROR(SUMPRODUCT(('Calc_Mix'!$D33:$W33/'Calc_Mix'!$X33&gt;=Part_Min_Critica)*(INDEX(Matriz_Niveis,MATCH($H33,Matriz_Nome,0),0)&lt;=Nivel_Critico)),0)+IFERROR(SUMPRODUCT(('Calc_Mix'!$D33:$W33/'Calc_Mix'!$X33&gt;=Part_Min_Critica)*(INDEX(Matriz_Niveis,MATCH($J33,Matriz_Nome,0),0)&lt;=Nivel_Critico)),0)&gt;0,"Inaptidão em especialidade relevante","OK")))</f>
        <v/>
      </c>
      <c r="T33" s="37">
        <f>IF($B33="",IF(OR($H33&lt;&gt;"",$J33&lt;&gt;""),"Linha sem sala cadastrada — remova a dupla",""),IF($U33="","OK",LEFT($U33,LEN($U33)-3)))</f>
        <v/>
      </c>
      <c r="U33" s="15">
        <f>IF($B33="","",IF(AND($D33&gt;0,$H33=""),"Sem circulante | ","")&amp;IF(AND($D33&gt;0,$J33=""),"Sem instrumentador | ","")&amp;IF(AND($D33=0,OR($H33&lt;&gt;"",$J33&lt;&gt;"")),"Dupla escalada em sala sem cirurgia | ","")&amp;IF($P33&lt;&gt;"OK",$P33&amp;" | ","")&amp;IF($Q33&lt;&gt;"OK",$Q33&amp;" | ","")&amp;IF($R33&lt;&gt;"OK",$R33&amp;" | ","")&amp;IF($S33&lt;&gt;"OK",$S33&amp;" | ","")&amp;IF(AND($N33&lt;&gt;"",$N33&lt;Afinidade_Min),"Afinidade abaixo do mínimo | ","")&amp;IF(AND($G33&lt;&gt;"",$G33&gt;Ocupacao_Max),"Ocupação acima do limite | ","")&amp;IF(OR(AND($H33&lt;&gt;"",IFERROR(INDEX(Equipe_Turno,MATCH($H33,Equipe_Nome,0)),$C33)&lt;&gt;$C33),AND($J33&lt;&gt;"",IFERROR(INDEX(Equipe_Turno,MATCH($J33,Equipe_Nome,0)),$C33)&lt;&gt;$C33)),"Técnico fora do turno preferencial | ","")&amp;IF(AND($D33&gt;0,IFERROR(INDEX(Salas_Status,MATCH($B33,Salas_Cod,0)),"")&lt;&gt;"Ativa"),"Sala não ativa com cirurgia | ",""))</f>
        <v/>
      </c>
      <c r="V33" s="34">
        <f>IF($N33="",0,$N33)</f>
        <v/>
      </c>
      <c r="W33" s="32">
        <f>IF($N33="",0,$E33)</f>
        <v/>
      </c>
    </row>
    <row r="34">
      <c r="A34" s="35">
        <f>IF($B34="","",Data_Mapa)</f>
        <v/>
      </c>
      <c r="B34" s="15">
        <f>IF('Calc_Mix'!$B34="","",'Calc_Mix'!$B34)</f>
        <v/>
      </c>
      <c r="C34" s="15">
        <f>IF($B34="","",'Calc_Mix'!$C34)</f>
        <v/>
      </c>
      <c r="D34" s="32">
        <f>IF($B34="","",COUNTIFS(Mapa_Sala,$B34,Mapa_Turno,$C34,Mapa_MinOcup,"&gt;0"))</f>
        <v/>
      </c>
      <c r="E34" s="32">
        <f>IF($B34="","",'Calc_Mix'!$X34)</f>
        <v/>
      </c>
      <c r="F34" s="32">
        <f>IF($B34="","",'Calc_Mix'!$Y34)</f>
        <v/>
      </c>
      <c r="G34" s="33">
        <f>IF(OR($B34="",$F34=0),"",$E34/$F34)</f>
        <v/>
      </c>
      <c r="H34" s="36" t="n"/>
      <c r="I34" s="28">
        <f>IF($H34="","",IFERROR(INDEX(Equipe_Funcao,MATCH($H34,Equipe_Nome,0))&amp;" · "&amp;INDEX(Equipe_Status,MATCH($H34,Equipe_Nome,0)),"NÃO CADASTRADO"))</f>
        <v/>
      </c>
      <c r="J34" s="36" t="n"/>
      <c r="K34" s="28">
        <f>IF($J34="","",IFERROR(INDEX(Equipe_Funcao,MATCH($J34,Equipe_Nome,0))&amp;" · "&amp;INDEX(Equipe_Status,MATCH($J34,Equipe_Nome,0)),"NÃO CADASTRADO"))</f>
        <v/>
      </c>
      <c r="L34" s="34">
        <f>IF(OR($B34="",$H34="",$E34=0),"",IFERROR(SUMPRODUCT('Calc_Mix'!$D34:$W34,INDEX(Matriz_Niveis,MATCH($H34,Matriz_Nome,0),0))/'Calc_Mix'!$X34,""))</f>
        <v/>
      </c>
      <c r="M34" s="34">
        <f>IF(OR($B34="",$J34="",$E34=0),"",IFERROR(SUMPRODUCT('Calc_Mix'!$D34:$W34,INDEX(Matriz_Niveis,MATCH($J34,Matriz_Nome,0),0))/'Calc_Mix'!$X34,""))</f>
        <v/>
      </c>
      <c r="N34" s="34">
        <f>IF(OR($L34="",$M34=""),"",Peso_Circulante*$L34+Peso_Instrumentador*$M34)</f>
        <v/>
      </c>
      <c r="O34" s="15">
        <f>IF($B34="","",IF($D34=0,"SEM CIRURGIA",IF($N34="","SEM DUPLA",IF($N34&gt;=Afinidade_Meta,"ADEQUADA",IF($N34&gt;=Afinidade_Min,"ATENÇÃO","CRÍTICA")))))</f>
        <v/>
      </c>
      <c r="P34" s="17">
        <f>IF($B34="","",IF(AND($H34="",$J34=""),"OK",IF(OR(AND($H34&lt;&gt;"",SUMPRODUCT((Esc_Turno=$C34)*(Esc_Circ=$H34))+SUMPRODUCT((Esc_Turno=$C34)*(Esc_Instr=$H34))&gt;1),AND($J34&lt;&gt;"",SUMPRODUCT((Esc_Turno=$C34)*(Esc_Circ=$J34))+SUMPRODUCT((Esc_Turno=$C34)*(Esc_Instr=$J34))&gt;1)),"Técnico em duas salas no mesmo turno","OK")))</f>
        <v/>
      </c>
      <c r="Q34" s="17">
        <f>IF($B34="","",IF(AND($H34="",$J34=""),"OK",IF(OR(AND($H34&lt;&gt;"",IFERROR(INDEX(Equipe_Status,MATCH($H34,Equipe_Nome,0)),"?")&lt;&gt;"Ativo"),AND($J34&lt;&gt;"",IFERROR(INDEX(Equipe_Status,MATCH($J34,Equipe_Nome,0)),"?")&lt;&gt;"Ativo")),"Técnico não ativo ou não cadastrado","OK")))</f>
        <v/>
      </c>
      <c r="R34" s="17">
        <f>IF($B34="","",IF(AND($H34="",$J34=""),"OK",IF(OR(AND($H34&lt;&gt;"",IFERROR(INDEX(Equipe_Funcao,MATCH($H34,Equipe_Nome,0)),"")="Instrumentador"),AND($J34&lt;&gt;"",IFERROR(INDEX(Equipe_Funcao,MATCH($J34,Equipe_Nome,0)),"")="Circulante")),"Função incompatível com o posto","OK")))</f>
        <v/>
      </c>
      <c r="S34" s="17">
        <f>IF($B34="","",IF(OR($E34=0,AND($H34="",$J34="")),"OK",IF(IFERROR(SUMPRODUCT(('Calc_Mix'!$D34:$W34/'Calc_Mix'!$X34&gt;=Part_Min_Critica)*(INDEX(Matriz_Niveis,MATCH($H34,Matriz_Nome,0),0)&lt;=Nivel_Critico)),0)+IFERROR(SUMPRODUCT(('Calc_Mix'!$D34:$W34/'Calc_Mix'!$X34&gt;=Part_Min_Critica)*(INDEX(Matriz_Niveis,MATCH($J34,Matriz_Nome,0),0)&lt;=Nivel_Critico)),0)&gt;0,"Inaptidão em especialidade relevante","OK")))</f>
        <v/>
      </c>
      <c r="T34" s="37">
        <f>IF($B34="",IF(OR($H34&lt;&gt;"",$J34&lt;&gt;""),"Linha sem sala cadastrada — remova a dupla",""),IF($U34="","OK",LEFT($U34,LEN($U34)-3)))</f>
        <v/>
      </c>
      <c r="U34" s="15">
        <f>IF($B34="","",IF(AND($D34&gt;0,$H34=""),"Sem circulante | ","")&amp;IF(AND($D34&gt;0,$J34=""),"Sem instrumentador | ","")&amp;IF(AND($D34=0,OR($H34&lt;&gt;"",$J34&lt;&gt;"")),"Dupla escalada em sala sem cirurgia | ","")&amp;IF($P34&lt;&gt;"OK",$P34&amp;" | ","")&amp;IF($Q34&lt;&gt;"OK",$Q34&amp;" | ","")&amp;IF($R34&lt;&gt;"OK",$R34&amp;" | ","")&amp;IF($S34&lt;&gt;"OK",$S34&amp;" | ","")&amp;IF(AND($N34&lt;&gt;"",$N34&lt;Afinidade_Min),"Afinidade abaixo do mínimo | ","")&amp;IF(AND($G34&lt;&gt;"",$G34&gt;Ocupacao_Max),"Ocupação acima do limite | ","")&amp;IF(OR(AND($H34&lt;&gt;"",IFERROR(INDEX(Equipe_Turno,MATCH($H34,Equipe_Nome,0)),$C34)&lt;&gt;$C34),AND($J34&lt;&gt;"",IFERROR(INDEX(Equipe_Turno,MATCH($J34,Equipe_Nome,0)),$C34)&lt;&gt;$C34)),"Técnico fora do turno preferencial | ","")&amp;IF(AND($D34&gt;0,IFERROR(INDEX(Salas_Status,MATCH($B34,Salas_Cod,0)),"")&lt;&gt;"Ativa"),"Sala não ativa com cirurgia | ",""))</f>
        <v/>
      </c>
      <c r="V34" s="34">
        <f>IF($N34="",0,$N34)</f>
        <v/>
      </c>
      <c r="W34" s="32">
        <f>IF($N34="",0,$E34)</f>
        <v/>
      </c>
    </row>
    <row r="35">
      <c r="A35" s="35">
        <f>IF($B35="","",Data_Mapa)</f>
        <v/>
      </c>
      <c r="B35" s="15">
        <f>IF('Calc_Mix'!$B35="","",'Calc_Mix'!$B35)</f>
        <v/>
      </c>
      <c r="C35" s="15">
        <f>IF($B35="","",'Calc_Mix'!$C35)</f>
        <v/>
      </c>
      <c r="D35" s="32">
        <f>IF($B35="","",COUNTIFS(Mapa_Sala,$B35,Mapa_Turno,$C35,Mapa_MinOcup,"&gt;0"))</f>
        <v/>
      </c>
      <c r="E35" s="32">
        <f>IF($B35="","",'Calc_Mix'!$X35)</f>
        <v/>
      </c>
      <c r="F35" s="32">
        <f>IF($B35="","",'Calc_Mix'!$Y35)</f>
        <v/>
      </c>
      <c r="G35" s="33">
        <f>IF(OR($B35="",$F35=0),"",$E35/$F35)</f>
        <v/>
      </c>
      <c r="H35" s="36" t="n"/>
      <c r="I35" s="28">
        <f>IF($H35="","",IFERROR(INDEX(Equipe_Funcao,MATCH($H35,Equipe_Nome,0))&amp;" · "&amp;INDEX(Equipe_Status,MATCH($H35,Equipe_Nome,0)),"NÃO CADASTRADO"))</f>
        <v/>
      </c>
      <c r="J35" s="36" t="n"/>
      <c r="K35" s="28">
        <f>IF($J35="","",IFERROR(INDEX(Equipe_Funcao,MATCH($J35,Equipe_Nome,0))&amp;" · "&amp;INDEX(Equipe_Status,MATCH($J35,Equipe_Nome,0)),"NÃO CADASTRADO"))</f>
        <v/>
      </c>
      <c r="L35" s="34">
        <f>IF(OR($B35="",$H35="",$E35=0),"",IFERROR(SUMPRODUCT('Calc_Mix'!$D35:$W35,INDEX(Matriz_Niveis,MATCH($H35,Matriz_Nome,0),0))/'Calc_Mix'!$X35,""))</f>
        <v/>
      </c>
      <c r="M35" s="34">
        <f>IF(OR($B35="",$J35="",$E35=0),"",IFERROR(SUMPRODUCT('Calc_Mix'!$D35:$W35,INDEX(Matriz_Niveis,MATCH($J35,Matriz_Nome,0),0))/'Calc_Mix'!$X35,""))</f>
        <v/>
      </c>
      <c r="N35" s="34">
        <f>IF(OR($L35="",$M35=""),"",Peso_Circulante*$L35+Peso_Instrumentador*$M35)</f>
        <v/>
      </c>
      <c r="O35" s="15">
        <f>IF($B35="","",IF($D35=0,"SEM CIRURGIA",IF($N35="","SEM DUPLA",IF($N35&gt;=Afinidade_Meta,"ADEQUADA",IF($N35&gt;=Afinidade_Min,"ATENÇÃO","CRÍTICA")))))</f>
        <v/>
      </c>
      <c r="P35" s="17">
        <f>IF($B35="","",IF(AND($H35="",$J35=""),"OK",IF(OR(AND($H35&lt;&gt;"",SUMPRODUCT((Esc_Turno=$C35)*(Esc_Circ=$H35))+SUMPRODUCT((Esc_Turno=$C35)*(Esc_Instr=$H35))&gt;1),AND($J35&lt;&gt;"",SUMPRODUCT((Esc_Turno=$C35)*(Esc_Circ=$J35))+SUMPRODUCT((Esc_Turno=$C35)*(Esc_Instr=$J35))&gt;1)),"Técnico em duas salas no mesmo turno","OK")))</f>
        <v/>
      </c>
      <c r="Q35" s="17">
        <f>IF($B35="","",IF(AND($H35="",$J35=""),"OK",IF(OR(AND($H35&lt;&gt;"",IFERROR(INDEX(Equipe_Status,MATCH($H35,Equipe_Nome,0)),"?")&lt;&gt;"Ativo"),AND($J35&lt;&gt;"",IFERROR(INDEX(Equipe_Status,MATCH($J35,Equipe_Nome,0)),"?")&lt;&gt;"Ativo")),"Técnico não ativo ou não cadastrado","OK")))</f>
        <v/>
      </c>
      <c r="R35" s="17">
        <f>IF($B35="","",IF(AND($H35="",$J35=""),"OK",IF(OR(AND($H35&lt;&gt;"",IFERROR(INDEX(Equipe_Funcao,MATCH($H35,Equipe_Nome,0)),"")="Instrumentador"),AND($J35&lt;&gt;"",IFERROR(INDEX(Equipe_Funcao,MATCH($J35,Equipe_Nome,0)),"")="Circulante")),"Função incompatível com o posto","OK")))</f>
        <v/>
      </c>
      <c r="S35" s="17">
        <f>IF($B35="","",IF(OR($E35=0,AND($H35="",$J35="")),"OK",IF(IFERROR(SUMPRODUCT(('Calc_Mix'!$D35:$W35/'Calc_Mix'!$X35&gt;=Part_Min_Critica)*(INDEX(Matriz_Niveis,MATCH($H35,Matriz_Nome,0),0)&lt;=Nivel_Critico)),0)+IFERROR(SUMPRODUCT(('Calc_Mix'!$D35:$W35/'Calc_Mix'!$X35&gt;=Part_Min_Critica)*(INDEX(Matriz_Niveis,MATCH($J35,Matriz_Nome,0),0)&lt;=Nivel_Critico)),0)&gt;0,"Inaptidão em especialidade relevante","OK")))</f>
        <v/>
      </c>
      <c r="T35" s="37">
        <f>IF($B35="",IF(OR($H35&lt;&gt;"",$J35&lt;&gt;""),"Linha sem sala cadastrada — remova a dupla",""),IF($U35="","OK",LEFT($U35,LEN($U35)-3)))</f>
        <v/>
      </c>
      <c r="U35" s="15">
        <f>IF($B35="","",IF(AND($D35&gt;0,$H35=""),"Sem circulante | ","")&amp;IF(AND($D35&gt;0,$J35=""),"Sem instrumentador | ","")&amp;IF(AND($D35=0,OR($H35&lt;&gt;"",$J35&lt;&gt;"")),"Dupla escalada em sala sem cirurgia | ","")&amp;IF($P35&lt;&gt;"OK",$P35&amp;" | ","")&amp;IF($Q35&lt;&gt;"OK",$Q35&amp;" | ","")&amp;IF($R35&lt;&gt;"OK",$R35&amp;" | ","")&amp;IF($S35&lt;&gt;"OK",$S35&amp;" | ","")&amp;IF(AND($N35&lt;&gt;"",$N35&lt;Afinidade_Min),"Afinidade abaixo do mínimo | ","")&amp;IF(AND($G35&lt;&gt;"",$G35&gt;Ocupacao_Max),"Ocupação acima do limite | ","")&amp;IF(OR(AND($H35&lt;&gt;"",IFERROR(INDEX(Equipe_Turno,MATCH($H35,Equipe_Nome,0)),$C35)&lt;&gt;$C35),AND($J35&lt;&gt;"",IFERROR(INDEX(Equipe_Turno,MATCH($J35,Equipe_Nome,0)),$C35)&lt;&gt;$C35)),"Técnico fora do turno preferencial | ","")&amp;IF(AND($D35&gt;0,IFERROR(INDEX(Salas_Status,MATCH($B35,Salas_Cod,0)),"")&lt;&gt;"Ativa"),"Sala não ativa com cirurgia | ",""))</f>
        <v/>
      </c>
      <c r="V35" s="34">
        <f>IF($N35="",0,$N35)</f>
        <v/>
      </c>
      <c r="W35" s="32">
        <f>IF($N35="",0,$E35)</f>
        <v/>
      </c>
    </row>
    <row r="36">
      <c r="A36" s="35">
        <f>IF($B36="","",Data_Mapa)</f>
        <v/>
      </c>
      <c r="B36" s="15">
        <f>IF('Calc_Mix'!$B36="","",'Calc_Mix'!$B36)</f>
        <v/>
      </c>
      <c r="C36" s="15">
        <f>IF($B36="","",'Calc_Mix'!$C36)</f>
        <v/>
      </c>
      <c r="D36" s="32">
        <f>IF($B36="","",COUNTIFS(Mapa_Sala,$B36,Mapa_Turno,$C36,Mapa_MinOcup,"&gt;0"))</f>
        <v/>
      </c>
      <c r="E36" s="32">
        <f>IF($B36="","",'Calc_Mix'!$X36)</f>
        <v/>
      </c>
      <c r="F36" s="32">
        <f>IF($B36="","",'Calc_Mix'!$Y36)</f>
        <v/>
      </c>
      <c r="G36" s="33">
        <f>IF(OR($B36="",$F36=0),"",$E36/$F36)</f>
        <v/>
      </c>
      <c r="H36" s="36" t="n"/>
      <c r="I36" s="28">
        <f>IF($H36="","",IFERROR(INDEX(Equipe_Funcao,MATCH($H36,Equipe_Nome,0))&amp;" · "&amp;INDEX(Equipe_Status,MATCH($H36,Equipe_Nome,0)),"NÃO CADASTRADO"))</f>
        <v/>
      </c>
      <c r="J36" s="36" t="n"/>
      <c r="K36" s="28">
        <f>IF($J36="","",IFERROR(INDEX(Equipe_Funcao,MATCH($J36,Equipe_Nome,0))&amp;" · "&amp;INDEX(Equipe_Status,MATCH($J36,Equipe_Nome,0)),"NÃO CADASTRADO"))</f>
        <v/>
      </c>
      <c r="L36" s="34">
        <f>IF(OR($B36="",$H36="",$E36=0),"",IFERROR(SUMPRODUCT('Calc_Mix'!$D36:$W36,INDEX(Matriz_Niveis,MATCH($H36,Matriz_Nome,0),0))/'Calc_Mix'!$X36,""))</f>
        <v/>
      </c>
      <c r="M36" s="34">
        <f>IF(OR($B36="",$J36="",$E36=0),"",IFERROR(SUMPRODUCT('Calc_Mix'!$D36:$W36,INDEX(Matriz_Niveis,MATCH($J36,Matriz_Nome,0),0))/'Calc_Mix'!$X36,""))</f>
        <v/>
      </c>
      <c r="N36" s="34">
        <f>IF(OR($L36="",$M36=""),"",Peso_Circulante*$L36+Peso_Instrumentador*$M36)</f>
        <v/>
      </c>
      <c r="O36" s="15">
        <f>IF($B36="","",IF($D36=0,"SEM CIRURGIA",IF($N36="","SEM DUPLA",IF($N36&gt;=Afinidade_Meta,"ADEQUADA",IF($N36&gt;=Afinidade_Min,"ATENÇÃO","CRÍTICA")))))</f>
        <v/>
      </c>
      <c r="P36" s="17">
        <f>IF($B36="","",IF(AND($H36="",$J36=""),"OK",IF(OR(AND($H36&lt;&gt;"",SUMPRODUCT((Esc_Turno=$C36)*(Esc_Circ=$H36))+SUMPRODUCT((Esc_Turno=$C36)*(Esc_Instr=$H36))&gt;1),AND($J36&lt;&gt;"",SUMPRODUCT((Esc_Turno=$C36)*(Esc_Circ=$J36))+SUMPRODUCT((Esc_Turno=$C36)*(Esc_Instr=$J36))&gt;1)),"Técnico em duas salas no mesmo turno","OK")))</f>
        <v/>
      </c>
      <c r="Q36" s="17">
        <f>IF($B36="","",IF(AND($H36="",$J36=""),"OK",IF(OR(AND($H36&lt;&gt;"",IFERROR(INDEX(Equipe_Status,MATCH($H36,Equipe_Nome,0)),"?")&lt;&gt;"Ativo"),AND($J36&lt;&gt;"",IFERROR(INDEX(Equipe_Status,MATCH($J36,Equipe_Nome,0)),"?")&lt;&gt;"Ativo")),"Técnico não ativo ou não cadastrado","OK")))</f>
        <v/>
      </c>
      <c r="R36" s="17">
        <f>IF($B36="","",IF(AND($H36="",$J36=""),"OK",IF(OR(AND($H36&lt;&gt;"",IFERROR(INDEX(Equipe_Funcao,MATCH($H36,Equipe_Nome,0)),"")="Instrumentador"),AND($J36&lt;&gt;"",IFERROR(INDEX(Equipe_Funcao,MATCH($J36,Equipe_Nome,0)),"")="Circulante")),"Função incompatível com o posto","OK")))</f>
        <v/>
      </c>
      <c r="S36" s="17">
        <f>IF($B36="","",IF(OR($E36=0,AND($H36="",$J36="")),"OK",IF(IFERROR(SUMPRODUCT(('Calc_Mix'!$D36:$W36/'Calc_Mix'!$X36&gt;=Part_Min_Critica)*(INDEX(Matriz_Niveis,MATCH($H36,Matriz_Nome,0),0)&lt;=Nivel_Critico)),0)+IFERROR(SUMPRODUCT(('Calc_Mix'!$D36:$W36/'Calc_Mix'!$X36&gt;=Part_Min_Critica)*(INDEX(Matriz_Niveis,MATCH($J36,Matriz_Nome,0),0)&lt;=Nivel_Critico)),0)&gt;0,"Inaptidão em especialidade relevante","OK")))</f>
        <v/>
      </c>
      <c r="T36" s="37">
        <f>IF($B36="",IF(OR($H36&lt;&gt;"",$J36&lt;&gt;""),"Linha sem sala cadastrada — remova a dupla",""),IF($U36="","OK",LEFT($U36,LEN($U36)-3)))</f>
        <v/>
      </c>
      <c r="U36" s="15">
        <f>IF($B36="","",IF(AND($D36&gt;0,$H36=""),"Sem circulante | ","")&amp;IF(AND($D36&gt;0,$J36=""),"Sem instrumentador | ","")&amp;IF(AND($D36=0,OR($H36&lt;&gt;"",$J36&lt;&gt;"")),"Dupla escalada em sala sem cirurgia | ","")&amp;IF($P36&lt;&gt;"OK",$P36&amp;" | ","")&amp;IF($Q36&lt;&gt;"OK",$Q36&amp;" | ","")&amp;IF($R36&lt;&gt;"OK",$R36&amp;" | ","")&amp;IF($S36&lt;&gt;"OK",$S36&amp;" | ","")&amp;IF(AND($N36&lt;&gt;"",$N36&lt;Afinidade_Min),"Afinidade abaixo do mínimo | ","")&amp;IF(AND($G36&lt;&gt;"",$G36&gt;Ocupacao_Max),"Ocupação acima do limite | ","")&amp;IF(OR(AND($H36&lt;&gt;"",IFERROR(INDEX(Equipe_Turno,MATCH($H36,Equipe_Nome,0)),$C36)&lt;&gt;$C36),AND($J36&lt;&gt;"",IFERROR(INDEX(Equipe_Turno,MATCH($J36,Equipe_Nome,0)),$C36)&lt;&gt;$C36)),"Técnico fora do turno preferencial | ","")&amp;IF(AND($D36&gt;0,IFERROR(INDEX(Salas_Status,MATCH($B36,Salas_Cod,0)),"")&lt;&gt;"Ativa"),"Sala não ativa com cirurgia | ",""))</f>
        <v/>
      </c>
      <c r="V36" s="34">
        <f>IF($N36="",0,$N36)</f>
        <v/>
      </c>
      <c r="W36" s="32">
        <f>IF($N36="",0,$E36)</f>
        <v/>
      </c>
    </row>
    <row r="37">
      <c r="A37" s="35">
        <f>IF($B37="","",Data_Mapa)</f>
        <v/>
      </c>
      <c r="B37" s="15">
        <f>IF('Calc_Mix'!$B37="","",'Calc_Mix'!$B37)</f>
        <v/>
      </c>
      <c r="C37" s="15">
        <f>IF($B37="","",'Calc_Mix'!$C37)</f>
        <v/>
      </c>
      <c r="D37" s="32">
        <f>IF($B37="","",COUNTIFS(Mapa_Sala,$B37,Mapa_Turno,$C37,Mapa_MinOcup,"&gt;0"))</f>
        <v/>
      </c>
      <c r="E37" s="32">
        <f>IF($B37="","",'Calc_Mix'!$X37)</f>
        <v/>
      </c>
      <c r="F37" s="32">
        <f>IF($B37="","",'Calc_Mix'!$Y37)</f>
        <v/>
      </c>
      <c r="G37" s="33">
        <f>IF(OR($B37="",$F37=0),"",$E37/$F37)</f>
        <v/>
      </c>
      <c r="H37" s="36" t="n"/>
      <c r="I37" s="28">
        <f>IF($H37="","",IFERROR(INDEX(Equipe_Funcao,MATCH($H37,Equipe_Nome,0))&amp;" · "&amp;INDEX(Equipe_Status,MATCH($H37,Equipe_Nome,0)),"NÃO CADASTRADO"))</f>
        <v/>
      </c>
      <c r="J37" s="36" t="n"/>
      <c r="K37" s="28">
        <f>IF($J37="","",IFERROR(INDEX(Equipe_Funcao,MATCH($J37,Equipe_Nome,0))&amp;" · "&amp;INDEX(Equipe_Status,MATCH($J37,Equipe_Nome,0)),"NÃO CADASTRADO"))</f>
        <v/>
      </c>
      <c r="L37" s="34">
        <f>IF(OR($B37="",$H37="",$E37=0),"",IFERROR(SUMPRODUCT('Calc_Mix'!$D37:$W37,INDEX(Matriz_Niveis,MATCH($H37,Matriz_Nome,0),0))/'Calc_Mix'!$X37,""))</f>
        <v/>
      </c>
      <c r="M37" s="34">
        <f>IF(OR($B37="",$J37="",$E37=0),"",IFERROR(SUMPRODUCT('Calc_Mix'!$D37:$W37,INDEX(Matriz_Niveis,MATCH($J37,Matriz_Nome,0),0))/'Calc_Mix'!$X37,""))</f>
        <v/>
      </c>
      <c r="N37" s="34">
        <f>IF(OR($L37="",$M37=""),"",Peso_Circulante*$L37+Peso_Instrumentador*$M37)</f>
        <v/>
      </c>
      <c r="O37" s="15">
        <f>IF($B37="","",IF($D37=0,"SEM CIRURGIA",IF($N37="","SEM DUPLA",IF($N37&gt;=Afinidade_Meta,"ADEQUADA",IF($N37&gt;=Afinidade_Min,"ATENÇÃO","CRÍTICA")))))</f>
        <v/>
      </c>
      <c r="P37" s="17">
        <f>IF($B37="","",IF(AND($H37="",$J37=""),"OK",IF(OR(AND($H37&lt;&gt;"",SUMPRODUCT((Esc_Turno=$C37)*(Esc_Circ=$H37))+SUMPRODUCT((Esc_Turno=$C37)*(Esc_Instr=$H37))&gt;1),AND($J37&lt;&gt;"",SUMPRODUCT((Esc_Turno=$C37)*(Esc_Circ=$J37))+SUMPRODUCT((Esc_Turno=$C37)*(Esc_Instr=$J37))&gt;1)),"Técnico em duas salas no mesmo turno","OK")))</f>
        <v/>
      </c>
      <c r="Q37" s="17">
        <f>IF($B37="","",IF(AND($H37="",$J37=""),"OK",IF(OR(AND($H37&lt;&gt;"",IFERROR(INDEX(Equipe_Status,MATCH($H37,Equipe_Nome,0)),"?")&lt;&gt;"Ativo"),AND($J37&lt;&gt;"",IFERROR(INDEX(Equipe_Status,MATCH($J37,Equipe_Nome,0)),"?")&lt;&gt;"Ativo")),"Técnico não ativo ou não cadastrado","OK")))</f>
        <v/>
      </c>
      <c r="R37" s="17">
        <f>IF($B37="","",IF(AND($H37="",$J37=""),"OK",IF(OR(AND($H37&lt;&gt;"",IFERROR(INDEX(Equipe_Funcao,MATCH($H37,Equipe_Nome,0)),"")="Instrumentador"),AND($J37&lt;&gt;"",IFERROR(INDEX(Equipe_Funcao,MATCH($J37,Equipe_Nome,0)),"")="Circulante")),"Função incompatível com o posto","OK")))</f>
        <v/>
      </c>
      <c r="S37" s="17">
        <f>IF($B37="","",IF(OR($E37=0,AND($H37="",$J37="")),"OK",IF(IFERROR(SUMPRODUCT(('Calc_Mix'!$D37:$W37/'Calc_Mix'!$X37&gt;=Part_Min_Critica)*(INDEX(Matriz_Niveis,MATCH($H37,Matriz_Nome,0),0)&lt;=Nivel_Critico)),0)+IFERROR(SUMPRODUCT(('Calc_Mix'!$D37:$W37/'Calc_Mix'!$X37&gt;=Part_Min_Critica)*(INDEX(Matriz_Niveis,MATCH($J37,Matriz_Nome,0),0)&lt;=Nivel_Critico)),0)&gt;0,"Inaptidão em especialidade relevante","OK")))</f>
        <v/>
      </c>
      <c r="T37" s="37">
        <f>IF($B37="",IF(OR($H37&lt;&gt;"",$J37&lt;&gt;""),"Linha sem sala cadastrada — remova a dupla",""),IF($U37="","OK",LEFT($U37,LEN($U37)-3)))</f>
        <v/>
      </c>
      <c r="U37" s="15">
        <f>IF($B37="","",IF(AND($D37&gt;0,$H37=""),"Sem circulante | ","")&amp;IF(AND($D37&gt;0,$J37=""),"Sem instrumentador | ","")&amp;IF(AND($D37=0,OR($H37&lt;&gt;"",$J37&lt;&gt;"")),"Dupla escalada em sala sem cirurgia | ","")&amp;IF($P37&lt;&gt;"OK",$P37&amp;" | ","")&amp;IF($Q37&lt;&gt;"OK",$Q37&amp;" | ","")&amp;IF($R37&lt;&gt;"OK",$R37&amp;" | ","")&amp;IF($S37&lt;&gt;"OK",$S37&amp;" | ","")&amp;IF(AND($N37&lt;&gt;"",$N37&lt;Afinidade_Min),"Afinidade abaixo do mínimo | ","")&amp;IF(AND($G37&lt;&gt;"",$G37&gt;Ocupacao_Max),"Ocupação acima do limite | ","")&amp;IF(OR(AND($H37&lt;&gt;"",IFERROR(INDEX(Equipe_Turno,MATCH($H37,Equipe_Nome,0)),$C37)&lt;&gt;$C37),AND($J37&lt;&gt;"",IFERROR(INDEX(Equipe_Turno,MATCH($J37,Equipe_Nome,0)),$C37)&lt;&gt;$C37)),"Técnico fora do turno preferencial | ","")&amp;IF(AND($D37&gt;0,IFERROR(INDEX(Salas_Status,MATCH($B37,Salas_Cod,0)),"")&lt;&gt;"Ativa"),"Sala não ativa com cirurgia | ",""))</f>
        <v/>
      </c>
      <c r="V37" s="34">
        <f>IF($N37="",0,$N37)</f>
        <v/>
      </c>
      <c r="W37" s="32">
        <f>IF($N37="",0,$E37)</f>
        <v/>
      </c>
    </row>
  </sheetData>
  <autoFilter ref="A1:T37"/>
  <conditionalFormatting sqref="O2:O37">
    <cfRule type="cellIs" priority="1" operator="equal" dxfId="2">
      <formula>"ADEQUADA"</formula>
    </cfRule>
    <cfRule type="cellIs" priority="2" operator="equal" dxfId="3">
      <formula>"ATENÇÃO"</formula>
    </cfRule>
    <cfRule type="cellIs" priority="3" operator="equal" dxfId="0">
      <formula>"CRÍTICA"</formula>
    </cfRule>
    <cfRule type="cellIs" priority="4" operator="equal" dxfId="0">
      <formula>"SEM DUPLA"</formula>
    </cfRule>
  </conditionalFormatting>
  <conditionalFormatting sqref="T2:T37">
    <cfRule type="expression" priority="5" dxfId="0">
      <formula>AND($T2&lt;&gt;"",$T2&lt;&gt;"OK")</formula>
    </cfRule>
  </conditionalFormatting>
  <conditionalFormatting sqref="G2:G37">
    <cfRule type="expression" priority="6" dxfId="0" stopIfTrue="1">
      <formula>AND($G2&lt;&gt;"",$G2&gt;Ocupacao_Max)</formula>
    </cfRule>
    <cfRule type="expression" priority="7" dxfId="2">
      <formula>AND($G2&lt;&gt;"",$G2&gt;=Meta_Ocupacao)</formula>
    </cfRule>
  </conditionalFormatting>
  <conditionalFormatting sqref="N2:N37">
    <cfRule type="colorScale" priority="8">
      <colorScale>
        <cfvo type="num" val="0"/>
        <cfvo type="num" val="2"/>
        <cfvo type="num" val="3"/>
        <color rgb="00F8696B"/>
        <color rgb="00FFEB84"/>
        <color rgb="0063BE7B"/>
      </colorScale>
    </cfRule>
  </conditionalFormatting>
  <conditionalFormatting sqref="P2:P37">
    <cfRule type="expression" priority="9" dxfId="0">
      <formula>AND(P2&lt;&gt;"",P2&lt;&gt;"OK")</formula>
    </cfRule>
  </conditionalFormatting>
  <conditionalFormatting sqref="Q2:Q37">
    <cfRule type="expression" priority="10" dxfId="0">
      <formula>AND(Q2&lt;&gt;"",Q2&lt;&gt;"OK")</formula>
    </cfRule>
  </conditionalFormatting>
  <conditionalFormatting sqref="R2:R37">
    <cfRule type="expression" priority="11" dxfId="0">
      <formula>AND(R2&lt;&gt;"",R2&lt;&gt;"OK")</formula>
    </cfRule>
  </conditionalFormatting>
  <conditionalFormatting sqref="S2:S37">
    <cfRule type="expression" priority="12" dxfId="0">
      <formula>AND(S2&lt;&gt;"",S2&lt;&gt;"OK")</formula>
    </cfRule>
  </conditionalFormatting>
  <dataValidations count="1">
    <dataValidation sqref="H2:H37 J2:J37" showDropDown="0" showInputMessage="0" showErrorMessage="1" allowBlank="1" errorTitle="Técnico não cadastrado" error="Escolha um técnico já cadastrado na aba Equipe." type="list">
      <formula1>=Lista_Tecnicos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26" customWidth="1" min="3" max="3"/>
    <col width="12" customWidth="1" min="4" max="4"/>
    <col width="24" customWidth="1" min="5" max="5"/>
    <col width="22" customWidth="1" min="6" max="6"/>
    <col width="10" customWidth="1" min="7" max="7"/>
    <col width="24" customWidth="1" min="8" max="8"/>
    <col width="22" customWidth="1" min="9" max="9"/>
    <col width="10" customWidth="1" min="10" max="10"/>
    <col width="24" customWidth="1" min="11" max="11"/>
    <col width="22" customWidth="1" min="12" max="12"/>
    <col width="10" customWidth="1" min="13" max="13"/>
    <col width="24" customWidth="1" min="14" max="14"/>
    <col width="22" customWidth="1" min="15" max="15"/>
    <col width="10" customWidth="1" min="16" max="16"/>
  </cols>
  <sheetData>
    <row r="1" ht="32" customHeight="1">
      <c r="A1" s="14" t="inlineStr">
        <is>
          <t>Sala</t>
        </is>
      </c>
      <c r="B1" s="14" t="inlineStr">
        <is>
          <t>Turno</t>
        </is>
      </c>
      <c r="C1" s="14" t="inlineStr">
        <is>
          <t>Especialidade predominante</t>
        </is>
      </c>
      <c r="D1" s="14" t="inlineStr">
        <is>
          <t>Min. ocupação</t>
        </is>
      </c>
      <c r="E1" s="14" t="inlineStr">
        <is>
          <t>1ª opção (técnico livre)</t>
        </is>
      </c>
      <c r="F1" s="14" t="inlineStr">
        <is>
          <t>Função · Turno</t>
        </is>
      </c>
      <c r="G1" s="14" t="inlineStr">
        <is>
          <t>Afinidade</t>
        </is>
      </c>
      <c r="H1" s="14" t="inlineStr">
        <is>
          <t>2ª opção (técnico livre)</t>
        </is>
      </c>
      <c r="I1" s="14" t="inlineStr">
        <is>
          <t>Função · Turno</t>
        </is>
      </c>
      <c r="J1" s="14" t="inlineStr">
        <is>
          <t>Afinidade</t>
        </is>
      </c>
      <c r="K1" s="14" t="inlineStr">
        <is>
          <t>3ª opção (técnico livre)</t>
        </is>
      </c>
      <c r="L1" s="14" t="inlineStr">
        <is>
          <t>Função · Turno</t>
        </is>
      </c>
      <c r="M1" s="14" t="inlineStr">
        <is>
          <t>Afinidade</t>
        </is>
      </c>
      <c r="N1" s="14" t="inlineStr">
        <is>
          <t>4ª opção (técnico livre)</t>
        </is>
      </c>
      <c r="O1" s="14" t="inlineStr">
        <is>
          <t>Função · Turno</t>
        </is>
      </c>
      <c r="P1" s="14" t="inlineStr">
        <is>
          <t>Afinidade</t>
        </is>
      </c>
    </row>
    <row r="2">
      <c r="A2" s="15">
        <f>IF('Escala_Duplas'!$B2="","",'Escala_Duplas'!$B2)</f>
        <v/>
      </c>
      <c r="B2" s="15">
        <f>IF($A2="","",'Escala_Duplas'!$C2)</f>
        <v/>
      </c>
      <c r="C2" s="28">
        <f>IF($A2="","",IF('Calc_Mix'!$X2=0,"—",IFERROR(INDEX(Mix_Esp,MATCH(MAX('Calc_Mix'!$D2:$W2),'Calc_Mix'!$D2:$W2,0)),"—")))</f>
        <v/>
      </c>
      <c r="D2" s="32">
        <f>IF($A2="","",'Calc_Mix'!$X2)</f>
        <v/>
      </c>
      <c r="E2" s="28">
        <f>IF($A2="","",IFERROR(INDEX('Calc_Afinidade'!$B$2:$B$151,MATCH(LARGE('Calc_Afinidade'!E$2:E$151,1),'Calc_Afinidade'!E$2:E$151,0)),"—"))</f>
        <v/>
      </c>
      <c r="F2" s="28">
        <f>IF(E2="—","",IFERROR(INDEX(Equipe_Funcao,MATCH(E2,Equipe_Nome,0))&amp;" · "&amp;INDEX('Equipe'!$D$2:$D$151,MATCH(E2,Equipe_Nome,0)),""))</f>
        <v/>
      </c>
      <c r="G2" s="34">
        <f>IF($A2="","",IFERROR(ROUND(LARGE('Calc_Afinidade'!E$2:E$151,1),2),""))</f>
        <v/>
      </c>
      <c r="H2" s="28">
        <f>IF($A2="","",IFERROR(INDEX('Calc_Afinidade'!$B$2:$B$151,MATCH(LARGE('Calc_Afinidade'!E$2:E$151,2),'Calc_Afinidade'!E$2:E$151,0)),"—"))</f>
        <v/>
      </c>
      <c r="I2" s="28">
        <f>IF(H2="—","",IFERROR(INDEX(Equipe_Funcao,MATCH(H2,Equipe_Nome,0))&amp;" · "&amp;INDEX('Equipe'!$D$2:$D$151,MATCH(H2,Equipe_Nome,0)),""))</f>
        <v/>
      </c>
      <c r="J2" s="34">
        <f>IF($A2="","",IFERROR(ROUND(LARGE('Calc_Afinidade'!E$2:E$151,2),2),""))</f>
        <v/>
      </c>
      <c r="K2" s="28">
        <f>IF($A2="","",IFERROR(INDEX('Calc_Afinidade'!$B$2:$B$151,MATCH(LARGE('Calc_Afinidade'!E$2:E$151,3),'Calc_Afinidade'!E$2:E$151,0)),"—"))</f>
        <v/>
      </c>
      <c r="L2" s="28">
        <f>IF(K2="—","",IFERROR(INDEX(Equipe_Funcao,MATCH(K2,Equipe_Nome,0))&amp;" · "&amp;INDEX('Equipe'!$D$2:$D$151,MATCH(K2,Equipe_Nome,0)),""))</f>
        <v/>
      </c>
      <c r="M2" s="34">
        <f>IF($A2="","",IFERROR(ROUND(LARGE('Calc_Afinidade'!E$2:E$151,3),2),""))</f>
        <v/>
      </c>
      <c r="N2" s="28">
        <f>IF($A2="","",IFERROR(INDEX('Calc_Afinidade'!$B$2:$B$151,MATCH(LARGE('Calc_Afinidade'!E$2:E$151,4),'Calc_Afinidade'!E$2:E$151,0)),"—"))</f>
        <v/>
      </c>
      <c r="O2" s="28">
        <f>IF(N2="—","",IFERROR(INDEX(Equipe_Funcao,MATCH(N2,Equipe_Nome,0))&amp;" · "&amp;INDEX('Equipe'!$D$2:$D$151,MATCH(N2,Equipe_Nome,0)),""))</f>
        <v/>
      </c>
      <c r="P2" s="34">
        <f>IF($A2="","",IFERROR(ROUND(LARGE('Calc_Afinidade'!E$2:E$151,4),2),""))</f>
        <v/>
      </c>
    </row>
    <row r="3">
      <c r="A3" s="15">
        <f>IF('Escala_Duplas'!$B3="","",'Escala_Duplas'!$B3)</f>
        <v/>
      </c>
      <c r="B3" s="15">
        <f>IF($A3="","",'Escala_Duplas'!$C3)</f>
        <v/>
      </c>
      <c r="C3" s="28">
        <f>IF($A3="","",IF('Calc_Mix'!$X3=0,"—",IFERROR(INDEX(Mix_Esp,MATCH(MAX('Calc_Mix'!$D3:$W3),'Calc_Mix'!$D3:$W3,0)),"—")))</f>
        <v/>
      </c>
      <c r="D3" s="32">
        <f>IF($A3="","",'Calc_Mix'!$X3)</f>
        <v/>
      </c>
      <c r="E3" s="28">
        <f>IF($A3="","",IFERROR(INDEX('Calc_Afinidade'!$B$2:$B$151,MATCH(LARGE('Calc_Afinidade'!F$2:F$151,1),'Calc_Afinidade'!F$2:F$151,0)),"—"))</f>
        <v/>
      </c>
      <c r="F3" s="28">
        <f>IF(E3="—","",IFERROR(INDEX(Equipe_Funcao,MATCH(E3,Equipe_Nome,0))&amp;" · "&amp;INDEX('Equipe'!$D$2:$D$151,MATCH(E3,Equipe_Nome,0)),""))</f>
        <v/>
      </c>
      <c r="G3" s="34">
        <f>IF($A3="","",IFERROR(ROUND(LARGE('Calc_Afinidade'!F$2:F$151,1),2),""))</f>
        <v/>
      </c>
      <c r="H3" s="28">
        <f>IF($A3="","",IFERROR(INDEX('Calc_Afinidade'!$B$2:$B$151,MATCH(LARGE('Calc_Afinidade'!F$2:F$151,2),'Calc_Afinidade'!F$2:F$151,0)),"—"))</f>
        <v/>
      </c>
      <c r="I3" s="28">
        <f>IF(H3="—","",IFERROR(INDEX(Equipe_Funcao,MATCH(H3,Equipe_Nome,0))&amp;" · "&amp;INDEX('Equipe'!$D$2:$D$151,MATCH(H3,Equipe_Nome,0)),""))</f>
        <v/>
      </c>
      <c r="J3" s="34">
        <f>IF($A3="","",IFERROR(ROUND(LARGE('Calc_Afinidade'!F$2:F$151,2),2),""))</f>
        <v/>
      </c>
      <c r="K3" s="28">
        <f>IF($A3="","",IFERROR(INDEX('Calc_Afinidade'!$B$2:$B$151,MATCH(LARGE('Calc_Afinidade'!F$2:F$151,3),'Calc_Afinidade'!F$2:F$151,0)),"—"))</f>
        <v/>
      </c>
      <c r="L3" s="28">
        <f>IF(K3="—","",IFERROR(INDEX(Equipe_Funcao,MATCH(K3,Equipe_Nome,0))&amp;" · "&amp;INDEX('Equipe'!$D$2:$D$151,MATCH(K3,Equipe_Nome,0)),""))</f>
        <v/>
      </c>
      <c r="M3" s="34">
        <f>IF($A3="","",IFERROR(ROUND(LARGE('Calc_Afinidade'!F$2:F$151,3),2),""))</f>
        <v/>
      </c>
      <c r="N3" s="28">
        <f>IF($A3="","",IFERROR(INDEX('Calc_Afinidade'!$B$2:$B$151,MATCH(LARGE('Calc_Afinidade'!F$2:F$151,4),'Calc_Afinidade'!F$2:F$151,0)),"—"))</f>
        <v/>
      </c>
      <c r="O3" s="28">
        <f>IF(N3="—","",IFERROR(INDEX(Equipe_Funcao,MATCH(N3,Equipe_Nome,0))&amp;" · "&amp;INDEX('Equipe'!$D$2:$D$151,MATCH(N3,Equipe_Nome,0)),""))</f>
        <v/>
      </c>
      <c r="P3" s="34">
        <f>IF($A3="","",IFERROR(ROUND(LARGE('Calc_Afinidade'!F$2:F$151,4),2),""))</f>
        <v/>
      </c>
    </row>
    <row r="4">
      <c r="A4" s="15">
        <f>IF('Escala_Duplas'!$B4="","",'Escala_Duplas'!$B4)</f>
        <v/>
      </c>
      <c r="B4" s="15">
        <f>IF($A4="","",'Escala_Duplas'!$C4)</f>
        <v/>
      </c>
      <c r="C4" s="28">
        <f>IF($A4="","",IF('Calc_Mix'!$X4=0,"—",IFERROR(INDEX(Mix_Esp,MATCH(MAX('Calc_Mix'!$D4:$W4),'Calc_Mix'!$D4:$W4,0)),"—")))</f>
        <v/>
      </c>
      <c r="D4" s="32">
        <f>IF($A4="","",'Calc_Mix'!$X4)</f>
        <v/>
      </c>
      <c r="E4" s="28">
        <f>IF($A4="","",IFERROR(INDEX('Calc_Afinidade'!$B$2:$B$151,MATCH(LARGE('Calc_Afinidade'!G$2:G$151,1),'Calc_Afinidade'!G$2:G$151,0)),"—"))</f>
        <v/>
      </c>
      <c r="F4" s="28">
        <f>IF(E4="—","",IFERROR(INDEX(Equipe_Funcao,MATCH(E4,Equipe_Nome,0))&amp;" · "&amp;INDEX('Equipe'!$D$2:$D$151,MATCH(E4,Equipe_Nome,0)),""))</f>
        <v/>
      </c>
      <c r="G4" s="34">
        <f>IF($A4="","",IFERROR(ROUND(LARGE('Calc_Afinidade'!G$2:G$151,1),2),""))</f>
        <v/>
      </c>
      <c r="H4" s="28">
        <f>IF($A4="","",IFERROR(INDEX('Calc_Afinidade'!$B$2:$B$151,MATCH(LARGE('Calc_Afinidade'!G$2:G$151,2),'Calc_Afinidade'!G$2:G$151,0)),"—"))</f>
        <v/>
      </c>
      <c r="I4" s="28">
        <f>IF(H4="—","",IFERROR(INDEX(Equipe_Funcao,MATCH(H4,Equipe_Nome,0))&amp;" · "&amp;INDEX('Equipe'!$D$2:$D$151,MATCH(H4,Equipe_Nome,0)),""))</f>
        <v/>
      </c>
      <c r="J4" s="34">
        <f>IF($A4="","",IFERROR(ROUND(LARGE('Calc_Afinidade'!G$2:G$151,2),2),""))</f>
        <v/>
      </c>
      <c r="K4" s="28">
        <f>IF($A4="","",IFERROR(INDEX('Calc_Afinidade'!$B$2:$B$151,MATCH(LARGE('Calc_Afinidade'!G$2:G$151,3),'Calc_Afinidade'!G$2:G$151,0)),"—"))</f>
        <v/>
      </c>
      <c r="L4" s="28">
        <f>IF(K4="—","",IFERROR(INDEX(Equipe_Funcao,MATCH(K4,Equipe_Nome,0))&amp;" · "&amp;INDEX('Equipe'!$D$2:$D$151,MATCH(K4,Equipe_Nome,0)),""))</f>
        <v/>
      </c>
      <c r="M4" s="34">
        <f>IF($A4="","",IFERROR(ROUND(LARGE('Calc_Afinidade'!G$2:G$151,3),2),""))</f>
        <v/>
      </c>
      <c r="N4" s="28">
        <f>IF($A4="","",IFERROR(INDEX('Calc_Afinidade'!$B$2:$B$151,MATCH(LARGE('Calc_Afinidade'!G$2:G$151,4),'Calc_Afinidade'!G$2:G$151,0)),"—"))</f>
        <v/>
      </c>
      <c r="O4" s="28">
        <f>IF(N4="—","",IFERROR(INDEX(Equipe_Funcao,MATCH(N4,Equipe_Nome,0))&amp;" · "&amp;INDEX('Equipe'!$D$2:$D$151,MATCH(N4,Equipe_Nome,0)),""))</f>
        <v/>
      </c>
      <c r="P4" s="34">
        <f>IF($A4="","",IFERROR(ROUND(LARGE('Calc_Afinidade'!G$2:G$151,4),2),""))</f>
        <v/>
      </c>
    </row>
    <row r="5">
      <c r="A5" s="15">
        <f>IF('Escala_Duplas'!$B5="","",'Escala_Duplas'!$B5)</f>
        <v/>
      </c>
      <c r="B5" s="15">
        <f>IF($A5="","",'Escala_Duplas'!$C5)</f>
        <v/>
      </c>
      <c r="C5" s="28">
        <f>IF($A5="","",IF('Calc_Mix'!$X5=0,"—",IFERROR(INDEX(Mix_Esp,MATCH(MAX('Calc_Mix'!$D5:$W5),'Calc_Mix'!$D5:$W5,0)),"—")))</f>
        <v/>
      </c>
      <c r="D5" s="32">
        <f>IF($A5="","",'Calc_Mix'!$X5)</f>
        <v/>
      </c>
      <c r="E5" s="28">
        <f>IF($A5="","",IFERROR(INDEX('Calc_Afinidade'!$B$2:$B$151,MATCH(LARGE('Calc_Afinidade'!H$2:H$151,1),'Calc_Afinidade'!H$2:H$151,0)),"—"))</f>
        <v/>
      </c>
      <c r="F5" s="28">
        <f>IF(E5="—","",IFERROR(INDEX(Equipe_Funcao,MATCH(E5,Equipe_Nome,0))&amp;" · "&amp;INDEX('Equipe'!$D$2:$D$151,MATCH(E5,Equipe_Nome,0)),""))</f>
        <v/>
      </c>
      <c r="G5" s="34">
        <f>IF($A5="","",IFERROR(ROUND(LARGE('Calc_Afinidade'!H$2:H$151,1),2),""))</f>
        <v/>
      </c>
      <c r="H5" s="28">
        <f>IF($A5="","",IFERROR(INDEX('Calc_Afinidade'!$B$2:$B$151,MATCH(LARGE('Calc_Afinidade'!H$2:H$151,2),'Calc_Afinidade'!H$2:H$151,0)),"—"))</f>
        <v/>
      </c>
      <c r="I5" s="28">
        <f>IF(H5="—","",IFERROR(INDEX(Equipe_Funcao,MATCH(H5,Equipe_Nome,0))&amp;" · "&amp;INDEX('Equipe'!$D$2:$D$151,MATCH(H5,Equipe_Nome,0)),""))</f>
        <v/>
      </c>
      <c r="J5" s="34">
        <f>IF($A5="","",IFERROR(ROUND(LARGE('Calc_Afinidade'!H$2:H$151,2),2),""))</f>
        <v/>
      </c>
      <c r="K5" s="28">
        <f>IF($A5="","",IFERROR(INDEX('Calc_Afinidade'!$B$2:$B$151,MATCH(LARGE('Calc_Afinidade'!H$2:H$151,3),'Calc_Afinidade'!H$2:H$151,0)),"—"))</f>
        <v/>
      </c>
      <c r="L5" s="28">
        <f>IF(K5="—","",IFERROR(INDEX(Equipe_Funcao,MATCH(K5,Equipe_Nome,0))&amp;" · "&amp;INDEX('Equipe'!$D$2:$D$151,MATCH(K5,Equipe_Nome,0)),""))</f>
        <v/>
      </c>
      <c r="M5" s="34">
        <f>IF($A5="","",IFERROR(ROUND(LARGE('Calc_Afinidade'!H$2:H$151,3),2),""))</f>
        <v/>
      </c>
      <c r="N5" s="28">
        <f>IF($A5="","",IFERROR(INDEX('Calc_Afinidade'!$B$2:$B$151,MATCH(LARGE('Calc_Afinidade'!H$2:H$151,4),'Calc_Afinidade'!H$2:H$151,0)),"—"))</f>
        <v/>
      </c>
      <c r="O5" s="28">
        <f>IF(N5="—","",IFERROR(INDEX(Equipe_Funcao,MATCH(N5,Equipe_Nome,0))&amp;" · "&amp;INDEX('Equipe'!$D$2:$D$151,MATCH(N5,Equipe_Nome,0)),""))</f>
        <v/>
      </c>
      <c r="P5" s="34">
        <f>IF($A5="","",IFERROR(ROUND(LARGE('Calc_Afinidade'!H$2:H$151,4),2),""))</f>
        <v/>
      </c>
    </row>
    <row r="6">
      <c r="A6" s="15">
        <f>IF('Escala_Duplas'!$B6="","",'Escala_Duplas'!$B6)</f>
        <v/>
      </c>
      <c r="B6" s="15">
        <f>IF($A6="","",'Escala_Duplas'!$C6)</f>
        <v/>
      </c>
      <c r="C6" s="28">
        <f>IF($A6="","",IF('Calc_Mix'!$X6=0,"—",IFERROR(INDEX(Mix_Esp,MATCH(MAX('Calc_Mix'!$D6:$W6),'Calc_Mix'!$D6:$W6,0)),"—")))</f>
        <v/>
      </c>
      <c r="D6" s="32">
        <f>IF($A6="","",'Calc_Mix'!$X6)</f>
        <v/>
      </c>
      <c r="E6" s="28">
        <f>IF($A6="","",IFERROR(INDEX('Calc_Afinidade'!$B$2:$B$151,MATCH(LARGE('Calc_Afinidade'!I$2:I$151,1),'Calc_Afinidade'!I$2:I$151,0)),"—"))</f>
        <v/>
      </c>
      <c r="F6" s="28">
        <f>IF(E6="—","",IFERROR(INDEX(Equipe_Funcao,MATCH(E6,Equipe_Nome,0))&amp;" · "&amp;INDEX('Equipe'!$D$2:$D$151,MATCH(E6,Equipe_Nome,0)),""))</f>
        <v/>
      </c>
      <c r="G6" s="34">
        <f>IF($A6="","",IFERROR(ROUND(LARGE('Calc_Afinidade'!I$2:I$151,1),2),""))</f>
        <v/>
      </c>
      <c r="H6" s="28">
        <f>IF($A6="","",IFERROR(INDEX('Calc_Afinidade'!$B$2:$B$151,MATCH(LARGE('Calc_Afinidade'!I$2:I$151,2),'Calc_Afinidade'!I$2:I$151,0)),"—"))</f>
        <v/>
      </c>
      <c r="I6" s="28">
        <f>IF(H6="—","",IFERROR(INDEX(Equipe_Funcao,MATCH(H6,Equipe_Nome,0))&amp;" · "&amp;INDEX('Equipe'!$D$2:$D$151,MATCH(H6,Equipe_Nome,0)),""))</f>
        <v/>
      </c>
      <c r="J6" s="34">
        <f>IF($A6="","",IFERROR(ROUND(LARGE('Calc_Afinidade'!I$2:I$151,2),2),""))</f>
        <v/>
      </c>
      <c r="K6" s="28">
        <f>IF($A6="","",IFERROR(INDEX('Calc_Afinidade'!$B$2:$B$151,MATCH(LARGE('Calc_Afinidade'!I$2:I$151,3),'Calc_Afinidade'!I$2:I$151,0)),"—"))</f>
        <v/>
      </c>
      <c r="L6" s="28">
        <f>IF(K6="—","",IFERROR(INDEX(Equipe_Funcao,MATCH(K6,Equipe_Nome,0))&amp;" · "&amp;INDEX('Equipe'!$D$2:$D$151,MATCH(K6,Equipe_Nome,0)),""))</f>
        <v/>
      </c>
      <c r="M6" s="34">
        <f>IF($A6="","",IFERROR(ROUND(LARGE('Calc_Afinidade'!I$2:I$151,3),2),""))</f>
        <v/>
      </c>
      <c r="N6" s="28">
        <f>IF($A6="","",IFERROR(INDEX('Calc_Afinidade'!$B$2:$B$151,MATCH(LARGE('Calc_Afinidade'!I$2:I$151,4),'Calc_Afinidade'!I$2:I$151,0)),"—"))</f>
        <v/>
      </c>
      <c r="O6" s="28">
        <f>IF(N6="—","",IFERROR(INDEX(Equipe_Funcao,MATCH(N6,Equipe_Nome,0))&amp;" · "&amp;INDEX('Equipe'!$D$2:$D$151,MATCH(N6,Equipe_Nome,0)),""))</f>
        <v/>
      </c>
      <c r="P6" s="34">
        <f>IF($A6="","",IFERROR(ROUND(LARGE('Calc_Afinidade'!I$2:I$151,4),2),""))</f>
        <v/>
      </c>
    </row>
    <row r="7">
      <c r="A7" s="15">
        <f>IF('Escala_Duplas'!$B7="","",'Escala_Duplas'!$B7)</f>
        <v/>
      </c>
      <c r="B7" s="15">
        <f>IF($A7="","",'Escala_Duplas'!$C7)</f>
        <v/>
      </c>
      <c r="C7" s="28">
        <f>IF($A7="","",IF('Calc_Mix'!$X7=0,"—",IFERROR(INDEX(Mix_Esp,MATCH(MAX('Calc_Mix'!$D7:$W7),'Calc_Mix'!$D7:$W7,0)),"—")))</f>
        <v/>
      </c>
      <c r="D7" s="32">
        <f>IF($A7="","",'Calc_Mix'!$X7)</f>
        <v/>
      </c>
      <c r="E7" s="28">
        <f>IF($A7="","",IFERROR(INDEX('Calc_Afinidade'!$B$2:$B$151,MATCH(LARGE('Calc_Afinidade'!J$2:J$151,1),'Calc_Afinidade'!J$2:J$151,0)),"—"))</f>
        <v/>
      </c>
      <c r="F7" s="28">
        <f>IF(E7="—","",IFERROR(INDEX(Equipe_Funcao,MATCH(E7,Equipe_Nome,0))&amp;" · "&amp;INDEX('Equipe'!$D$2:$D$151,MATCH(E7,Equipe_Nome,0)),""))</f>
        <v/>
      </c>
      <c r="G7" s="34">
        <f>IF($A7="","",IFERROR(ROUND(LARGE('Calc_Afinidade'!J$2:J$151,1),2),""))</f>
        <v/>
      </c>
      <c r="H7" s="28">
        <f>IF($A7="","",IFERROR(INDEX('Calc_Afinidade'!$B$2:$B$151,MATCH(LARGE('Calc_Afinidade'!J$2:J$151,2),'Calc_Afinidade'!J$2:J$151,0)),"—"))</f>
        <v/>
      </c>
      <c r="I7" s="28">
        <f>IF(H7="—","",IFERROR(INDEX(Equipe_Funcao,MATCH(H7,Equipe_Nome,0))&amp;" · "&amp;INDEX('Equipe'!$D$2:$D$151,MATCH(H7,Equipe_Nome,0)),""))</f>
        <v/>
      </c>
      <c r="J7" s="34">
        <f>IF($A7="","",IFERROR(ROUND(LARGE('Calc_Afinidade'!J$2:J$151,2),2),""))</f>
        <v/>
      </c>
      <c r="K7" s="28">
        <f>IF($A7="","",IFERROR(INDEX('Calc_Afinidade'!$B$2:$B$151,MATCH(LARGE('Calc_Afinidade'!J$2:J$151,3),'Calc_Afinidade'!J$2:J$151,0)),"—"))</f>
        <v/>
      </c>
      <c r="L7" s="28">
        <f>IF(K7="—","",IFERROR(INDEX(Equipe_Funcao,MATCH(K7,Equipe_Nome,0))&amp;" · "&amp;INDEX('Equipe'!$D$2:$D$151,MATCH(K7,Equipe_Nome,0)),""))</f>
        <v/>
      </c>
      <c r="M7" s="34">
        <f>IF($A7="","",IFERROR(ROUND(LARGE('Calc_Afinidade'!J$2:J$151,3),2),""))</f>
        <v/>
      </c>
      <c r="N7" s="28">
        <f>IF($A7="","",IFERROR(INDEX('Calc_Afinidade'!$B$2:$B$151,MATCH(LARGE('Calc_Afinidade'!J$2:J$151,4),'Calc_Afinidade'!J$2:J$151,0)),"—"))</f>
        <v/>
      </c>
      <c r="O7" s="28">
        <f>IF(N7="—","",IFERROR(INDEX(Equipe_Funcao,MATCH(N7,Equipe_Nome,0))&amp;" · "&amp;INDEX('Equipe'!$D$2:$D$151,MATCH(N7,Equipe_Nome,0)),""))</f>
        <v/>
      </c>
      <c r="P7" s="34">
        <f>IF($A7="","",IFERROR(ROUND(LARGE('Calc_Afinidade'!J$2:J$151,4),2),""))</f>
        <v/>
      </c>
    </row>
    <row r="8">
      <c r="A8" s="15">
        <f>IF('Escala_Duplas'!$B8="","",'Escala_Duplas'!$B8)</f>
        <v/>
      </c>
      <c r="B8" s="15">
        <f>IF($A8="","",'Escala_Duplas'!$C8)</f>
        <v/>
      </c>
      <c r="C8" s="28">
        <f>IF($A8="","",IF('Calc_Mix'!$X8=0,"—",IFERROR(INDEX(Mix_Esp,MATCH(MAX('Calc_Mix'!$D8:$W8),'Calc_Mix'!$D8:$W8,0)),"—")))</f>
        <v/>
      </c>
      <c r="D8" s="32">
        <f>IF($A8="","",'Calc_Mix'!$X8)</f>
        <v/>
      </c>
      <c r="E8" s="28">
        <f>IF($A8="","",IFERROR(INDEX('Calc_Afinidade'!$B$2:$B$151,MATCH(LARGE('Calc_Afinidade'!K$2:K$151,1),'Calc_Afinidade'!K$2:K$151,0)),"—"))</f>
        <v/>
      </c>
      <c r="F8" s="28">
        <f>IF(E8="—","",IFERROR(INDEX(Equipe_Funcao,MATCH(E8,Equipe_Nome,0))&amp;" · "&amp;INDEX('Equipe'!$D$2:$D$151,MATCH(E8,Equipe_Nome,0)),""))</f>
        <v/>
      </c>
      <c r="G8" s="34">
        <f>IF($A8="","",IFERROR(ROUND(LARGE('Calc_Afinidade'!K$2:K$151,1),2),""))</f>
        <v/>
      </c>
      <c r="H8" s="28">
        <f>IF($A8="","",IFERROR(INDEX('Calc_Afinidade'!$B$2:$B$151,MATCH(LARGE('Calc_Afinidade'!K$2:K$151,2),'Calc_Afinidade'!K$2:K$151,0)),"—"))</f>
        <v/>
      </c>
      <c r="I8" s="28">
        <f>IF(H8="—","",IFERROR(INDEX(Equipe_Funcao,MATCH(H8,Equipe_Nome,0))&amp;" · "&amp;INDEX('Equipe'!$D$2:$D$151,MATCH(H8,Equipe_Nome,0)),""))</f>
        <v/>
      </c>
      <c r="J8" s="34">
        <f>IF($A8="","",IFERROR(ROUND(LARGE('Calc_Afinidade'!K$2:K$151,2),2),""))</f>
        <v/>
      </c>
      <c r="K8" s="28">
        <f>IF($A8="","",IFERROR(INDEX('Calc_Afinidade'!$B$2:$B$151,MATCH(LARGE('Calc_Afinidade'!K$2:K$151,3),'Calc_Afinidade'!K$2:K$151,0)),"—"))</f>
        <v/>
      </c>
      <c r="L8" s="28">
        <f>IF(K8="—","",IFERROR(INDEX(Equipe_Funcao,MATCH(K8,Equipe_Nome,0))&amp;" · "&amp;INDEX('Equipe'!$D$2:$D$151,MATCH(K8,Equipe_Nome,0)),""))</f>
        <v/>
      </c>
      <c r="M8" s="34">
        <f>IF($A8="","",IFERROR(ROUND(LARGE('Calc_Afinidade'!K$2:K$151,3),2),""))</f>
        <v/>
      </c>
      <c r="N8" s="28">
        <f>IF($A8="","",IFERROR(INDEX('Calc_Afinidade'!$B$2:$B$151,MATCH(LARGE('Calc_Afinidade'!K$2:K$151,4),'Calc_Afinidade'!K$2:K$151,0)),"—"))</f>
        <v/>
      </c>
      <c r="O8" s="28">
        <f>IF(N8="—","",IFERROR(INDEX(Equipe_Funcao,MATCH(N8,Equipe_Nome,0))&amp;" · "&amp;INDEX('Equipe'!$D$2:$D$151,MATCH(N8,Equipe_Nome,0)),""))</f>
        <v/>
      </c>
      <c r="P8" s="34">
        <f>IF($A8="","",IFERROR(ROUND(LARGE('Calc_Afinidade'!K$2:K$151,4),2),""))</f>
        <v/>
      </c>
    </row>
    <row r="9">
      <c r="A9" s="15">
        <f>IF('Escala_Duplas'!$B9="","",'Escala_Duplas'!$B9)</f>
        <v/>
      </c>
      <c r="B9" s="15">
        <f>IF($A9="","",'Escala_Duplas'!$C9)</f>
        <v/>
      </c>
      <c r="C9" s="28">
        <f>IF($A9="","",IF('Calc_Mix'!$X9=0,"—",IFERROR(INDEX(Mix_Esp,MATCH(MAX('Calc_Mix'!$D9:$W9),'Calc_Mix'!$D9:$W9,0)),"—")))</f>
        <v/>
      </c>
      <c r="D9" s="32">
        <f>IF($A9="","",'Calc_Mix'!$X9)</f>
        <v/>
      </c>
      <c r="E9" s="28">
        <f>IF($A9="","",IFERROR(INDEX('Calc_Afinidade'!$B$2:$B$151,MATCH(LARGE('Calc_Afinidade'!L$2:L$151,1),'Calc_Afinidade'!L$2:L$151,0)),"—"))</f>
        <v/>
      </c>
      <c r="F9" s="28">
        <f>IF(E9="—","",IFERROR(INDEX(Equipe_Funcao,MATCH(E9,Equipe_Nome,0))&amp;" · "&amp;INDEX('Equipe'!$D$2:$D$151,MATCH(E9,Equipe_Nome,0)),""))</f>
        <v/>
      </c>
      <c r="G9" s="34">
        <f>IF($A9="","",IFERROR(ROUND(LARGE('Calc_Afinidade'!L$2:L$151,1),2),""))</f>
        <v/>
      </c>
      <c r="H9" s="28">
        <f>IF($A9="","",IFERROR(INDEX('Calc_Afinidade'!$B$2:$B$151,MATCH(LARGE('Calc_Afinidade'!L$2:L$151,2),'Calc_Afinidade'!L$2:L$151,0)),"—"))</f>
        <v/>
      </c>
      <c r="I9" s="28">
        <f>IF(H9="—","",IFERROR(INDEX(Equipe_Funcao,MATCH(H9,Equipe_Nome,0))&amp;" · "&amp;INDEX('Equipe'!$D$2:$D$151,MATCH(H9,Equipe_Nome,0)),""))</f>
        <v/>
      </c>
      <c r="J9" s="34">
        <f>IF($A9="","",IFERROR(ROUND(LARGE('Calc_Afinidade'!L$2:L$151,2),2),""))</f>
        <v/>
      </c>
      <c r="K9" s="28">
        <f>IF($A9="","",IFERROR(INDEX('Calc_Afinidade'!$B$2:$B$151,MATCH(LARGE('Calc_Afinidade'!L$2:L$151,3),'Calc_Afinidade'!L$2:L$151,0)),"—"))</f>
        <v/>
      </c>
      <c r="L9" s="28">
        <f>IF(K9="—","",IFERROR(INDEX(Equipe_Funcao,MATCH(K9,Equipe_Nome,0))&amp;" · "&amp;INDEX('Equipe'!$D$2:$D$151,MATCH(K9,Equipe_Nome,0)),""))</f>
        <v/>
      </c>
      <c r="M9" s="34">
        <f>IF($A9="","",IFERROR(ROUND(LARGE('Calc_Afinidade'!L$2:L$151,3),2),""))</f>
        <v/>
      </c>
      <c r="N9" s="28">
        <f>IF($A9="","",IFERROR(INDEX('Calc_Afinidade'!$B$2:$B$151,MATCH(LARGE('Calc_Afinidade'!L$2:L$151,4),'Calc_Afinidade'!L$2:L$151,0)),"—"))</f>
        <v/>
      </c>
      <c r="O9" s="28">
        <f>IF(N9="—","",IFERROR(INDEX(Equipe_Funcao,MATCH(N9,Equipe_Nome,0))&amp;" · "&amp;INDEX('Equipe'!$D$2:$D$151,MATCH(N9,Equipe_Nome,0)),""))</f>
        <v/>
      </c>
      <c r="P9" s="34">
        <f>IF($A9="","",IFERROR(ROUND(LARGE('Calc_Afinidade'!L$2:L$151,4),2),""))</f>
        <v/>
      </c>
    </row>
    <row r="10">
      <c r="A10" s="15">
        <f>IF('Escala_Duplas'!$B10="","",'Escala_Duplas'!$B10)</f>
        <v/>
      </c>
      <c r="B10" s="15">
        <f>IF($A10="","",'Escala_Duplas'!$C10)</f>
        <v/>
      </c>
      <c r="C10" s="28">
        <f>IF($A10="","",IF('Calc_Mix'!$X10=0,"—",IFERROR(INDEX(Mix_Esp,MATCH(MAX('Calc_Mix'!$D10:$W10),'Calc_Mix'!$D10:$W10,0)),"—")))</f>
        <v/>
      </c>
      <c r="D10" s="32">
        <f>IF($A10="","",'Calc_Mix'!$X10)</f>
        <v/>
      </c>
      <c r="E10" s="28">
        <f>IF($A10="","",IFERROR(INDEX('Calc_Afinidade'!$B$2:$B$151,MATCH(LARGE('Calc_Afinidade'!M$2:M$151,1),'Calc_Afinidade'!M$2:M$151,0)),"—"))</f>
        <v/>
      </c>
      <c r="F10" s="28">
        <f>IF(E10="—","",IFERROR(INDEX(Equipe_Funcao,MATCH(E10,Equipe_Nome,0))&amp;" · "&amp;INDEX('Equipe'!$D$2:$D$151,MATCH(E10,Equipe_Nome,0)),""))</f>
        <v/>
      </c>
      <c r="G10" s="34">
        <f>IF($A10="","",IFERROR(ROUND(LARGE('Calc_Afinidade'!M$2:M$151,1),2),""))</f>
        <v/>
      </c>
      <c r="H10" s="28">
        <f>IF($A10="","",IFERROR(INDEX('Calc_Afinidade'!$B$2:$B$151,MATCH(LARGE('Calc_Afinidade'!M$2:M$151,2),'Calc_Afinidade'!M$2:M$151,0)),"—"))</f>
        <v/>
      </c>
      <c r="I10" s="28">
        <f>IF(H10="—","",IFERROR(INDEX(Equipe_Funcao,MATCH(H10,Equipe_Nome,0))&amp;" · "&amp;INDEX('Equipe'!$D$2:$D$151,MATCH(H10,Equipe_Nome,0)),""))</f>
        <v/>
      </c>
      <c r="J10" s="34">
        <f>IF($A10="","",IFERROR(ROUND(LARGE('Calc_Afinidade'!M$2:M$151,2),2),""))</f>
        <v/>
      </c>
      <c r="K10" s="28">
        <f>IF($A10="","",IFERROR(INDEX('Calc_Afinidade'!$B$2:$B$151,MATCH(LARGE('Calc_Afinidade'!M$2:M$151,3),'Calc_Afinidade'!M$2:M$151,0)),"—"))</f>
        <v/>
      </c>
      <c r="L10" s="28">
        <f>IF(K10="—","",IFERROR(INDEX(Equipe_Funcao,MATCH(K10,Equipe_Nome,0))&amp;" · "&amp;INDEX('Equipe'!$D$2:$D$151,MATCH(K10,Equipe_Nome,0)),""))</f>
        <v/>
      </c>
      <c r="M10" s="34">
        <f>IF($A10="","",IFERROR(ROUND(LARGE('Calc_Afinidade'!M$2:M$151,3),2),""))</f>
        <v/>
      </c>
      <c r="N10" s="28">
        <f>IF($A10="","",IFERROR(INDEX('Calc_Afinidade'!$B$2:$B$151,MATCH(LARGE('Calc_Afinidade'!M$2:M$151,4),'Calc_Afinidade'!M$2:M$151,0)),"—"))</f>
        <v/>
      </c>
      <c r="O10" s="28">
        <f>IF(N10="—","",IFERROR(INDEX(Equipe_Funcao,MATCH(N10,Equipe_Nome,0))&amp;" · "&amp;INDEX('Equipe'!$D$2:$D$151,MATCH(N10,Equipe_Nome,0)),""))</f>
        <v/>
      </c>
      <c r="P10" s="34">
        <f>IF($A10="","",IFERROR(ROUND(LARGE('Calc_Afinidade'!M$2:M$151,4),2),""))</f>
        <v/>
      </c>
    </row>
    <row r="11">
      <c r="A11" s="15">
        <f>IF('Escala_Duplas'!$B11="","",'Escala_Duplas'!$B11)</f>
        <v/>
      </c>
      <c r="B11" s="15">
        <f>IF($A11="","",'Escala_Duplas'!$C11)</f>
        <v/>
      </c>
      <c r="C11" s="28">
        <f>IF($A11="","",IF('Calc_Mix'!$X11=0,"—",IFERROR(INDEX(Mix_Esp,MATCH(MAX('Calc_Mix'!$D11:$W11),'Calc_Mix'!$D11:$W11,0)),"—")))</f>
        <v/>
      </c>
      <c r="D11" s="32">
        <f>IF($A11="","",'Calc_Mix'!$X11)</f>
        <v/>
      </c>
      <c r="E11" s="28">
        <f>IF($A11="","",IFERROR(INDEX('Calc_Afinidade'!$B$2:$B$151,MATCH(LARGE('Calc_Afinidade'!N$2:N$151,1),'Calc_Afinidade'!N$2:N$151,0)),"—"))</f>
        <v/>
      </c>
      <c r="F11" s="28">
        <f>IF(E11="—","",IFERROR(INDEX(Equipe_Funcao,MATCH(E11,Equipe_Nome,0))&amp;" · "&amp;INDEX('Equipe'!$D$2:$D$151,MATCH(E11,Equipe_Nome,0)),""))</f>
        <v/>
      </c>
      <c r="G11" s="34">
        <f>IF($A11="","",IFERROR(ROUND(LARGE('Calc_Afinidade'!N$2:N$151,1),2),""))</f>
        <v/>
      </c>
      <c r="H11" s="28">
        <f>IF($A11="","",IFERROR(INDEX('Calc_Afinidade'!$B$2:$B$151,MATCH(LARGE('Calc_Afinidade'!N$2:N$151,2),'Calc_Afinidade'!N$2:N$151,0)),"—"))</f>
        <v/>
      </c>
      <c r="I11" s="28">
        <f>IF(H11="—","",IFERROR(INDEX(Equipe_Funcao,MATCH(H11,Equipe_Nome,0))&amp;" · "&amp;INDEX('Equipe'!$D$2:$D$151,MATCH(H11,Equipe_Nome,0)),""))</f>
        <v/>
      </c>
      <c r="J11" s="34">
        <f>IF($A11="","",IFERROR(ROUND(LARGE('Calc_Afinidade'!N$2:N$151,2),2),""))</f>
        <v/>
      </c>
      <c r="K11" s="28">
        <f>IF($A11="","",IFERROR(INDEX('Calc_Afinidade'!$B$2:$B$151,MATCH(LARGE('Calc_Afinidade'!N$2:N$151,3),'Calc_Afinidade'!N$2:N$151,0)),"—"))</f>
        <v/>
      </c>
      <c r="L11" s="28">
        <f>IF(K11="—","",IFERROR(INDEX(Equipe_Funcao,MATCH(K11,Equipe_Nome,0))&amp;" · "&amp;INDEX('Equipe'!$D$2:$D$151,MATCH(K11,Equipe_Nome,0)),""))</f>
        <v/>
      </c>
      <c r="M11" s="34">
        <f>IF($A11="","",IFERROR(ROUND(LARGE('Calc_Afinidade'!N$2:N$151,3),2),""))</f>
        <v/>
      </c>
      <c r="N11" s="28">
        <f>IF($A11="","",IFERROR(INDEX('Calc_Afinidade'!$B$2:$B$151,MATCH(LARGE('Calc_Afinidade'!N$2:N$151,4),'Calc_Afinidade'!N$2:N$151,0)),"—"))</f>
        <v/>
      </c>
      <c r="O11" s="28">
        <f>IF(N11="—","",IFERROR(INDEX(Equipe_Funcao,MATCH(N11,Equipe_Nome,0))&amp;" · "&amp;INDEX('Equipe'!$D$2:$D$151,MATCH(N11,Equipe_Nome,0)),""))</f>
        <v/>
      </c>
      <c r="P11" s="34">
        <f>IF($A11="","",IFERROR(ROUND(LARGE('Calc_Afinidade'!N$2:N$151,4),2),""))</f>
        <v/>
      </c>
    </row>
    <row r="12">
      <c r="A12" s="15">
        <f>IF('Escala_Duplas'!$B12="","",'Escala_Duplas'!$B12)</f>
        <v/>
      </c>
      <c r="B12" s="15">
        <f>IF($A12="","",'Escala_Duplas'!$C12)</f>
        <v/>
      </c>
      <c r="C12" s="28">
        <f>IF($A12="","",IF('Calc_Mix'!$X12=0,"—",IFERROR(INDEX(Mix_Esp,MATCH(MAX('Calc_Mix'!$D12:$W12),'Calc_Mix'!$D12:$W12,0)),"—")))</f>
        <v/>
      </c>
      <c r="D12" s="32">
        <f>IF($A12="","",'Calc_Mix'!$X12)</f>
        <v/>
      </c>
      <c r="E12" s="28">
        <f>IF($A12="","",IFERROR(INDEX('Calc_Afinidade'!$B$2:$B$151,MATCH(LARGE('Calc_Afinidade'!O$2:O$151,1),'Calc_Afinidade'!O$2:O$151,0)),"—"))</f>
        <v/>
      </c>
      <c r="F12" s="28">
        <f>IF(E12="—","",IFERROR(INDEX(Equipe_Funcao,MATCH(E12,Equipe_Nome,0))&amp;" · "&amp;INDEX('Equipe'!$D$2:$D$151,MATCH(E12,Equipe_Nome,0)),""))</f>
        <v/>
      </c>
      <c r="G12" s="34">
        <f>IF($A12="","",IFERROR(ROUND(LARGE('Calc_Afinidade'!O$2:O$151,1),2),""))</f>
        <v/>
      </c>
      <c r="H12" s="28">
        <f>IF($A12="","",IFERROR(INDEX('Calc_Afinidade'!$B$2:$B$151,MATCH(LARGE('Calc_Afinidade'!O$2:O$151,2),'Calc_Afinidade'!O$2:O$151,0)),"—"))</f>
        <v/>
      </c>
      <c r="I12" s="28">
        <f>IF(H12="—","",IFERROR(INDEX(Equipe_Funcao,MATCH(H12,Equipe_Nome,0))&amp;" · "&amp;INDEX('Equipe'!$D$2:$D$151,MATCH(H12,Equipe_Nome,0)),""))</f>
        <v/>
      </c>
      <c r="J12" s="34">
        <f>IF($A12="","",IFERROR(ROUND(LARGE('Calc_Afinidade'!O$2:O$151,2),2),""))</f>
        <v/>
      </c>
      <c r="K12" s="28">
        <f>IF($A12="","",IFERROR(INDEX('Calc_Afinidade'!$B$2:$B$151,MATCH(LARGE('Calc_Afinidade'!O$2:O$151,3),'Calc_Afinidade'!O$2:O$151,0)),"—"))</f>
        <v/>
      </c>
      <c r="L12" s="28">
        <f>IF(K12="—","",IFERROR(INDEX(Equipe_Funcao,MATCH(K12,Equipe_Nome,0))&amp;" · "&amp;INDEX('Equipe'!$D$2:$D$151,MATCH(K12,Equipe_Nome,0)),""))</f>
        <v/>
      </c>
      <c r="M12" s="34">
        <f>IF($A12="","",IFERROR(ROUND(LARGE('Calc_Afinidade'!O$2:O$151,3),2),""))</f>
        <v/>
      </c>
      <c r="N12" s="28">
        <f>IF($A12="","",IFERROR(INDEX('Calc_Afinidade'!$B$2:$B$151,MATCH(LARGE('Calc_Afinidade'!O$2:O$151,4),'Calc_Afinidade'!O$2:O$151,0)),"—"))</f>
        <v/>
      </c>
      <c r="O12" s="28">
        <f>IF(N12="—","",IFERROR(INDEX(Equipe_Funcao,MATCH(N12,Equipe_Nome,0))&amp;" · "&amp;INDEX('Equipe'!$D$2:$D$151,MATCH(N12,Equipe_Nome,0)),""))</f>
        <v/>
      </c>
      <c r="P12" s="34">
        <f>IF($A12="","",IFERROR(ROUND(LARGE('Calc_Afinidade'!O$2:O$151,4),2),""))</f>
        <v/>
      </c>
    </row>
    <row r="13">
      <c r="A13" s="15">
        <f>IF('Escala_Duplas'!$B13="","",'Escala_Duplas'!$B13)</f>
        <v/>
      </c>
      <c r="B13" s="15">
        <f>IF($A13="","",'Escala_Duplas'!$C13)</f>
        <v/>
      </c>
      <c r="C13" s="28">
        <f>IF($A13="","",IF('Calc_Mix'!$X13=0,"—",IFERROR(INDEX(Mix_Esp,MATCH(MAX('Calc_Mix'!$D13:$W13),'Calc_Mix'!$D13:$W13,0)),"—")))</f>
        <v/>
      </c>
      <c r="D13" s="32">
        <f>IF($A13="","",'Calc_Mix'!$X13)</f>
        <v/>
      </c>
      <c r="E13" s="28">
        <f>IF($A13="","",IFERROR(INDEX('Calc_Afinidade'!$B$2:$B$151,MATCH(LARGE('Calc_Afinidade'!P$2:P$151,1),'Calc_Afinidade'!P$2:P$151,0)),"—"))</f>
        <v/>
      </c>
      <c r="F13" s="28">
        <f>IF(E13="—","",IFERROR(INDEX(Equipe_Funcao,MATCH(E13,Equipe_Nome,0))&amp;" · "&amp;INDEX('Equipe'!$D$2:$D$151,MATCH(E13,Equipe_Nome,0)),""))</f>
        <v/>
      </c>
      <c r="G13" s="34">
        <f>IF($A13="","",IFERROR(ROUND(LARGE('Calc_Afinidade'!P$2:P$151,1),2),""))</f>
        <v/>
      </c>
      <c r="H13" s="28">
        <f>IF($A13="","",IFERROR(INDEX('Calc_Afinidade'!$B$2:$B$151,MATCH(LARGE('Calc_Afinidade'!P$2:P$151,2),'Calc_Afinidade'!P$2:P$151,0)),"—"))</f>
        <v/>
      </c>
      <c r="I13" s="28">
        <f>IF(H13="—","",IFERROR(INDEX(Equipe_Funcao,MATCH(H13,Equipe_Nome,0))&amp;" · "&amp;INDEX('Equipe'!$D$2:$D$151,MATCH(H13,Equipe_Nome,0)),""))</f>
        <v/>
      </c>
      <c r="J13" s="34">
        <f>IF($A13="","",IFERROR(ROUND(LARGE('Calc_Afinidade'!P$2:P$151,2),2),""))</f>
        <v/>
      </c>
      <c r="K13" s="28">
        <f>IF($A13="","",IFERROR(INDEX('Calc_Afinidade'!$B$2:$B$151,MATCH(LARGE('Calc_Afinidade'!P$2:P$151,3),'Calc_Afinidade'!P$2:P$151,0)),"—"))</f>
        <v/>
      </c>
      <c r="L13" s="28">
        <f>IF(K13="—","",IFERROR(INDEX(Equipe_Funcao,MATCH(K13,Equipe_Nome,0))&amp;" · "&amp;INDEX('Equipe'!$D$2:$D$151,MATCH(K13,Equipe_Nome,0)),""))</f>
        <v/>
      </c>
      <c r="M13" s="34">
        <f>IF($A13="","",IFERROR(ROUND(LARGE('Calc_Afinidade'!P$2:P$151,3),2),""))</f>
        <v/>
      </c>
      <c r="N13" s="28">
        <f>IF($A13="","",IFERROR(INDEX('Calc_Afinidade'!$B$2:$B$151,MATCH(LARGE('Calc_Afinidade'!P$2:P$151,4),'Calc_Afinidade'!P$2:P$151,0)),"—"))</f>
        <v/>
      </c>
      <c r="O13" s="28">
        <f>IF(N13="—","",IFERROR(INDEX(Equipe_Funcao,MATCH(N13,Equipe_Nome,0))&amp;" · "&amp;INDEX('Equipe'!$D$2:$D$151,MATCH(N13,Equipe_Nome,0)),""))</f>
        <v/>
      </c>
      <c r="P13" s="34">
        <f>IF($A13="","",IFERROR(ROUND(LARGE('Calc_Afinidade'!P$2:P$151,4),2),""))</f>
        <v/>
      </c>
    </row>
    <row r="14">
      <c r="A14" s="15">
        <f>IF('Escala_Duplas'!$B14="","",'Escala_Duplas'!$B14)</f>
        <v/>
      </c>
      <c r="B14" s="15">
        <f>IF($A14="","",'Escala_Duplas'!$C14)</f>
        <v/>
      </c>
      <c r="C14" s="28">
        <f>IF($A14="","",IF('Calc_Mix'!$X14=0,"—",IFERROR(INDEX(Mix_Esp,MATCH(MAX('Calc_Mix'!$D14:$W14),'Calc_Mix'!$D14:$W14,0)),"—")))</f>
        <v/>
      </c>
      <c r="D14" s="32">
        <f>IF($A14="","",'Calc_Mix'!$X14)</f>
        <v/>
      </c>
      <c r="E14" s="28">
        <f>IF($A14="","",IFERROR(INDEX('Calc_Afinidade'!$B$2:$B$151,MATCH(LARGE('Calc_Afinidade'!Q$2:Q$151,1),'Calc_Afinidade'!Q$2:Q$151,0)),"—"))</f>
        <v/>
      </c>
      <c r="F14" s="28">
        <f>IF(E14="—","",IFERROR(INDEX(Equipe_Funcao,MATCH(E14,Equipe_Nome,0))&amp;" · "&amp;INDEX('Equipe'!$D$2:$D$151,MATCH(E14,Equipe_Nome,0)),""))</f>
        <v/>
      </c>
      <c r="G14" s="34">
        <f>IF($A14="","",IFERROR(ROUND(LARGE('Calc_Afinidade'!Q$2:Q$151,1),2),""))</f>
        <v/>
      </c>
      <c r="H14" s="28">
        <f>IF($A14="","",IFERROR(INDEX('Calc_Afinidade'!$B$2:$B$151,MATCH(LARGE('Calc_Afinidade'!Q$2:Q$151,2),'Calc_Afinidade'!Q$2:Q$151,0)),"—"))</f>
        <v/>
      </c>
      <c r="I14" s="28">
        <f>IF(H14="—","",IFERROR(INDEX(Equipe_Funcao,MATCH(H14,Equipe_Nome,0))&amp;" · "&amp;INDEX('Equipe'!$D$2:$D$151,MATCH(H14,Equipe_Nome,0)),""))</f>
        <v/>
      </c>
      <c r="J14" s="34">
        <f>IF($A14="","",IFERROR(ROUND(LARGE('Calc_Afinidade'!Q$2:Q$151,2),2),""))</f>
        <v/>
      </c>
      <c r="K14" s="28">
        <f>IF($A14="","",IFERROR(INDEX('Calc_Afinidade'!$B$2:$B$151,MATCH(LARGE('Calc_Afinidade'!Q$2:Q$151,3),'Calc_Afinidade'!Q$2:Q$151,0)),"—"))</f>
        <v/>
      </c>
      <c r="L14" s="28">
        <f>IF(K14="—","",IFERROR(INDEX(Equipe_Funcao,MATCH(K14,Equipe_Nome,0))&amp;" · "&amp;INDEX('Equipe'!$D$2:$D$151,MATCH(K14,Equipe_Nome,0)),""))</f>
        <v/>
      </c>
      <c r="M14" s="34">
        <f>IF($A14="","",IFERROR(ROUND(LARGE('Calc_Afinidade'!Q$2:Q$151,3),2),""))</f>
        <v/>
      </c>
      <c r="N14" s="28">
        <f>IF($A14="","",IFERROR(INDEX('Calc_Afinidade'!$B$2:$B$151,MATCH(LARGE('Calc_Afinidade'!Q$2:Q$151,4),'Calc_Afinidade'!Q$2:Q$151,0)),"—"))</f>
        <v/>
      </c>
      <c r="O14" s="28">
        <f>IF(N14="—","",IFERROR(INDEX(Equipe_Funcao,MATCH(N14,Equipe_Nome,0))&amp;" · "&amp;INDEX('Equipe'!$D$2:$D$151,MATCH(N14,Equipe_Nome,0)),""))</f>
        <v/>
      </c>
      <c r="P14" s="34">
        <f>IF($A14="","",IFERROR(ROUND(LARGE('Calc_Afinidade'!Q$2:Q$151,4),2),""))</f>
        <v/>
      </c>
    </row>
    <row r="15">
      <c r="A15" s="15">
        <f>IF('Escala_Duplas'!$B15="","",'Escala_Duplas'!$B15)</f>
        <v/>
      </c>
      <c r="B15" s="15">
        <f>IF($A15="","",'Escala_Duplas'!$C15)</f>
        <v/>
      </c>
      <c r="C15" s="28">
        <f>IF($A15="","",IF('Calc_Mix'!$X15=0,"—",IFERROR(INDEX(Mix_Esp,MATCH(MAX('Calc_Mix'!$D15:$W15),'Calc_Mix'!$D15:$W15,0)),"—")))</f>
        <v/>
      </c>
      <c r="D15" s="32">
        <f>IF($A15="","",'Calc_Mix'!$X15)</f>
        <v/>
      </c>
      <c r="E15" s="28">
        <f>IF($A15="","",IFERROR(INDEX('Calc_Afinidade'!$B$2:$B$151,MATCH(LARGE('Calc_Afinidade'!R$2:R$151,1),'Calc_Afinidade'!R$2:R$151,0)),"—"))</f>
        <v/>
      </c>
      <c r="F15" s="28">
        <f>IF(E15="—","",IFERROR(INDEX(Equipe_Funcao,MATCH(E15,Equipe_Nome,0))&amp;" · "&amp;INDEX('Equipe'!$D$2:$D$151,MATCH(E15,Equipe_Nome,0)),""))</f>
        <v/>
      </c>
      <c r="G15" s="34">
        <f>IF($A15="","",IFERROR(ROUND(LARGE('Calc_Afinidade'!R$2:R$151,1),2),""))</f>
        <v/>
      </c>
      <c r="H15" s="28">
        <f>IF($A15="","",IFERROR(INDEX('Calc_Afinidade'!$B$2:$B$151,MATCH(LARGE('Calc_Afinidade'!R$2:R$151,2),'Calc_Afinidade'!R$2:R$151,0)),"—"))</f>
        <v/>
      </c>
      <c r="I15" s="28">
        <f>IF(H15="—","",IFERROR(INDEX(Equipe_Funcao,MATCH(H15,Equipe_Nome,0))&amp;" · "&amp;INDEX('Equipe'!$D$2:$D$151,MATCH(H15,Equipe_Nome,0)),""))</f>
        <v/>
      </c>
      <c r="J15" s="34">
        <f>IF($A15="","",IFERROR(ROUND(LARGE('Calc_Afinidade'!R$2:R$151,2),2),""))</f>
        <v/>
      </c>
      <c r="K15" s="28">
        <f>IF($A15="","",IFERROR(INDEX('Calc_Afinidade'!$B$2:$B$151,MATCH(LARGE('Calc_Afinidade'!R$2:R$151,3),'Calc_Afinidade'!R$2:R$151,0)),"—"))</f>
        <v/>
      </c>
      <c r="L15" s="28">
        <f>IF(K15="—","",IFERROR(INDEX(Equipe_Funcao,MATCH(K15,Equipe_Nome,0))&amp;" · "&amp;INDEX('Equipe'!$D$2:$D$151,MATCH(K15,Equipe_Nome,0)),""))</f>
        <v/>
      </c>
      <c r="M15" s="34">
        <f>IF($A15="","",IFERROR(ROUND(LARGE('Calc_Afinidade'!R$2:R$151,3),2),""))</f>
        <v/>
      </c>
      <c r="N15" s="28">
        <f>IF($A15="","",IFERROR(INDEX('Calc_Afinidade'!$B$2:$B$151,MATCH(LARGE('Calc_Afinidade'!R$2:R$151,4),'Calc_Afinidade'!R$2:R$151,0)),"—"))</f>
        <v/>
      </c>
      <c r="O15" s="28">
        <f>IF(N15="—","",IFERROR(INDEX(Equipe_Funcao,MATCH(N15,Equipe_Nome,0))&amp;" · "&amp;INDEX('Equipe'!$D$2:$D$151,MATCH(N15,Equipe_Nome,0)),""))</f>
        <v/>
      </c>
      <c r="P15" s="34">
        <f>IF($A15="","",IFERROR(ROUND(LARGE('Calc_Afinidade'!R$2:R$151,4),2),""))</f>
        <v/>
      </c>
    </row>
    <row r="16">
      <c r="A16" s="15">
        <f>IF('Escala_Duplas'!$B16="","",'Escala_Duplas'!$B16)</f>
        <v/>
      </c>
      <c r="B16" s="15">
        <f>IF($A16="","",'Escala_Duplas'!$C16)</f>
        <v/>
      </c>
      <c r="C16" s="28">
        <f>IF($A16="","",IF('Calc_Mix'!$X16=0,"—",IFERROR(INDEX(Mix_Esp,MATCH(MAX('Calc_Mix'!$D16:$W16),'Calc_Mix'!$D16:$W16,0)),"—")))</f>
        <v/>
      </c>
      <c r="D16" s="32">
        <f>IF($A16="","",'Calc_Mix'!$X16)</f>
        <v/>
      </c>
      <c r="E16" s="28">
        <f>IF($A16="","",IFERROR(INDEX('Calc_Afinidade'!$B$2:$B$151,MATCH(LARGE('Calc_Afinidade'!S$2:S$151,1),'Calc_Afinidade'!S$2:S$151,0)),"—"))</f>
        <v/>
      </c>
      <c r="F16" s="28">
        <f>IF(E16="—","",IFERROR(INDEX(Equipe_Funcao,MATCH(E16,Equipe_Nome,0))&amp;" · "&amp;INDEX('Equipe'!$D$2:$D$151,MATCH(E16,Equipe_Nome,0)),""))</f>
        <v/>
      </c>
      <c r="G16" s="34">
        <f>IF($A16="","",IFERROR(ROUND(LARGE('Calc_Afinidade'!S$2:S$151,1),2),""))</f>
        <v/>
      </c>
      <c r="H16" s="28">
        <f>IF($A16="","",IFERROR(INDEX('Calc_Afinidade'!$B$2:$B$151,MATCH(LARGE('Calc_Afinidade'!S$2:S$151,2),'Calc_Afinidade'!S$2:S$151,0)),"—"))</f>
        <v/>
      </c>
      <c r="I16" s="28">
        <f>IF(H16="—","",IFERROR(INDEX(Equipe_Funcao,MATCH(H16,Equipe_Nome,0))&amp;" · "&amp;INDEX('Equipe'!$D$2:$D$151,MATCH(H16,Equipe_Nome,0)),""))</f>
        <v/>
      </c>
      <c r="J16" s="34">
        <f>IF($A16="","",IFERROR(ROUND(LARGE('Calc_Afinidade'!S$2:S$151,2),2),""))</f>
        <v/>
      </c>
      <c r="K16" s="28">
        <f>IF($A16="","",IFERROR(INDEX('Calc_Afinidade'!$B$2:$B$151,MATCH(LARGE('Calc_Afinidade'!S$2:S$151,3),'Calc_Afinidade'!S$2:S$151,0)),"—"))</f>
        <v/>
      </c>
      <c r="L16" s="28">
        <f>IF(K16="—","",IFERROR(INDEX(Equipe_Funcao,MATCH(K16,Equipe_Nome,0))&amp;" · "&amp;INDEX('Equipe'!$D$2:$D$151,MATCH(K16,Equipe_Nome,0)),""))</f>
        <v/>
      </c>
      <c r="M16" s="34">
        <f>IF($A16="","",IFERROR(ROUND(LARGE('Calc_Afinidade'!S$2:S$151,3),2),""))</f>
        <v/>
      </c>
      <c r="N16" s="28">
        <f>IF($A16="","",IFERROR(INDEX('Calc_Afinidade'!$B$2:$B$151,MATCH(LARGE('Calc_Afinidade'!S$2:S$151,4),'Calc_Afinidade'!S$2:S$151,0)),"—"))</f>
        <v/>
      </c>
      <c r="O16" s="28">
        <f>IF(N16="—","",IFERROR(INDEX(Equipe_Funcao,MATCH(N16,Equipe_Nome,0))&amp;" · "&amp;INDEX('Equipe'!$D$2:$D$151,MATCH(N16,Equipe_Nome,0)),""))</f>
        <v/>
      </c>
      <c r="P16" s="34">
        <f>IF($A16="","",IFERROR(ROUND(LARGE('Calc_Afinidade'!S$2:S$151,4),2),""))</f>
        <v/>
      </c>
    </row>
    <row r="17">
      <c r="A17" s="15">
        <f>IF('Escala_Duplas'!$B17="","",'Escala_Duplas'!$B17)</f>
        <v/>
      </c>
      <c r="B17" s="15">
        <f>IF($A17="","",'Escala_Duplas'!$C17)</f>
        <v/>
      </c>
      <c r="C17" s="28">
        <f>IF($A17="","",IF('Calc_Mix'!$X17=0,"—",IFERROR(INDEX(Mix_Esp,MATCH(MAX('Calc_Mix'!$D17:$W17),'Calc_Mix'!$D17:$W17,0)),"—")))</f>
        <v/>
      </c>
      <c r="D17" s="32">
        <f>IF($A17="","",'Calc_Mix'!$X17)</f>
        <v/>
      </c>
      <c r="E17" s="28">
        <f>IF($A17="","",IFERROR(INDEX('Calc_Afinidade'!$B$2:$B$151,MATCH(LARGE('Calc_Afinidade'!T$2:T$151,1),'Calc_Afinidade'!T$2:T$151,0)),"—"))</f>
        <v/>
      </c>
      <c r="F17" s="28">
        <f>IF(E17="—","",IFERROR(INDEX(Equipe_Funcao,MATCH(E17,Equipe_Nome,0))&amp;" · "&amp;INDEX('Equipe'!$D$2:$D$151,MATCH(E17,Equipe_Nome,0)),""))</f>
        <v/>
      </c>
      <c r="G17" s="34">
        <f>IF($A17="","",IFERROR(ROUND(LARGE('Calc_Afinidade'!T$2:T$151,1),2),""))</f>
        <v/>
      </c>
      <c r="H17" s="28">
        <f>IF($A17="","",IFERROR(INDEX('Calc_Afinidade'!$B$2:$B$151,MATCH(LARGE('Calc_Afinidade'!T$2:T$151,2),'Calc_Afinidade'!T$2:T$151,0)),"—"))</f>
        <v/>
      </c>
      <c r="I17" s="28">
        <f>IF(H17="—","",IFERROR(INDEX(Equipe_Funcao,MATCH(H17,Equipe_Nome,0))&amp;" · "&amp;INDEX('Equipe'!$D$2:$D$151,MATCH(H17,Equipe_Nome,0)),""))</f>
        <v/>
      </c>
      <c r="J17" s="34">
        <f>IF($A17="","",IFERROR(ROUND(LARGE('Calc_Afinidade'!T$2:T$151,2),2),""))</f>
        <v/>
      </c>
      <c r="K17" s="28">
        <f>IF($A17="","",IFERROR(INDEX('Calc_Afinidade'!$B$2:$B$151,MATCH(LARGE('Calc_Afinidade'!T$2:T$151,3),'Calc_Afinidade'!T$2:T$151,0)),"—"))</f>
        <v/>
      </c>
      <c r="L17" s="28">
        <f>IF(K17="—","",IFERROR(INDEX(Equipe_Funcao,MATCH(K17,Equipe_Nome,0))&amp;" · "&amp;INDEX('Equipe'!$D$2:$D$151,MATCH(K17,Equipe_Nome,0)),""))</f>
        <v/>
      </c>
      <c r="M17" s="34">
        <f>IF($A17="","",IFERROR(ROUND(LARGE('Calc_Afinidade'!T$2:T$151,3),2),""))</f>
        <v/>
      </c>
      <c r="N17" s="28">
        <f>IF($A17="","",IFERROR(INDEX('Calc_Afinidade'!$B$2:$B$151,MATCH(LARGE('Calc_Afinidade'!T$2:T$151,4),'Calc_Afinidade'!T$2:T$151,0)),"—"))</f>
        <v/>
      </c>
      <c r="O17" s="28">
        <f>IF(N17="—","",IFERROR(INDEX(Equipe_Funcao,MATCH(N17,Equipe_Nome,0))&amp;" · "&amp;INDEX('Equipe'!$D$2:$D$151,MATCH(N17,Equipe_Nome,0)),""))</f>
        <v/>
      </c>
      <c r="P17" s="34">
        <f>IF($A17="","",IFERROR(ROUND(LARGE('Calc_Afinidade'!T$2:T$151,4),2),""))</f>
        <v/>
      </c>
    </row>
    <row r="18">
      <c r="A18" s="15">
        <f>IF('Escala_Duplas'!$B18="","",'Escala_Duplas'!$B18)</f>
        <v/>
      </c>
      <c r="B18" s="15">
        <f>IF($A18="","",'Escala_Duplas'!$C18)</f>
        <v/>
      </c>
      <c r="C18" s="28">
        <f>IF($A18="","",IF('Calc_Mix'!$X18=0,"—",IFERROR(INDEX(Mix_Esp,MATCH(MAX('Calc_Mix'!$D18:$W18),'Calc_Mix'!$D18:$W18,0)),"—")))</f>
        <v/>
      </c>
      <c r="D18" s="32">
        <f>IF($A18="","",'Calc_Mix'!$X18)</f>
        <v/>
      </c>
      <c r="E18" s="28">
        <f>IF($A18="","",IFERROR(INDEX('Calc_Afinidade'!$B$2:$B$151,MATCH(LARGE('Calc_Afinidade'!U$2:U$151,1),'Calc_Afinidade'!U$2:U$151,0)),"—"))</f>
        <v/>
      </c>
      <c r="F18" s="28">
        <f>IF(E18="—","",IFERROR(INDEX(Equipe_Funcao,MATCH(E18,Equipe_Nome,0))&amp;" · "&amp;INDEX('Equipe'!$D$2:$D$151,MATCH(E18,Equipe_Nome,0)),""))</f>
        <v/>
      </c>
      <c r="G18" s="34">
        <f>IF($A18="","",IFERROR(ROUND(LARGE('Calc_Afinidade'!U$2:U$151,1),2),""))</f>
        <v/>
      </c>
      <c r="H18" s="28">
        <f>IF($A18="","",IFERROR(INDEX('Calc_Afinidade'!$B$2:$B$151,MATCH(LARGE('Calc_Afinidade'!U$2:U$151,2),'Calc_Afinidade'!U$2:U$151,0)),"—"))</f>
        <v/>
      </c>
      <c r="I18" s="28">
        <f>IF(H18="—","",IFERROR(INDEX(Equipe_Funcao,MATCH(H18,Equipe_Nome,0))&amp;" · "&amp;INDEX('Equipe'!$D$2:$D$151,MATCH(H18,Equipe_Nome,0)),""))</f>
        <v/>
      </c>
      <c r="J18" s="34">
        <f>IF($A18="","",IFERROR(ROUND(LARGE('Calc_Afinidade'!U$2:U$151,2),2),""))</f>
        <v/>
      </c>
      <c r="K18" s="28">
        <f>IF($A18="","",IFERROR(INDEX('Calc_Afinidade'!$B$2:$B$151,MATCH(LARGE('Calc_Afinidade'!U$2:U$151,3),'Calc_Afinidade'!U$2:U$151,0)),"—"))</f>
        <v/>
      </c>
      <c r="L18" s="28">
        <f>IF(K18="—","",IFERROR(INDEX(Equipe_Funcao,MATCH(K18,Equipe_Nome,0))&amp;" · "&amp;INDEX('Equipe'!$D$2:$D$151,MATCH(K18,Equipe_Nome,0)),""))</f>
        <v/>
      </c>
      <c r="M18" s="34">
        <f>IF($A18="","",IFERROR(ROUND(LARGE('Calc_Afinidade'!U$2:U$151,3),2),""))</f>
        <v/>
      </c>
      <c r="N18" s="28">
        <f>IF($A18="","",IFERROR(INDEX('Calc_Afinidade'!$B$2:$B$151,MATCH(LARGE('Calc_Afinidade'!U$2:U$151,4),'Calc_Afinidade'!U$2:U$151,0)),"—"))</f>
        <v/>
      </c>
      <c r="O18" s="28">
        <f>IF(N18="—","",IFERROR(INDEX(Equipe_Funcao,MATCH(N18,Equipe_Nome,0))&amp;" · "&amp;INDEX('Equipe'!$D$2:$D$151,MATCH(N18,Equipe_Nome,0)),""))</f>
        <v/>
      </c>
      <c r="P18" s="34">
        <f>IF($A18="","",IFERROR(ROUND(LARGE('Calc_Afinidade'!U$2:U$151,4),2),""))</f>
        <v/>
      </c>
    </row>
    <row r="19">
      <c r="A19" s="15">
        <f>IF('Escala_Duplas'!$B19="","",'Escala_Duplas'!$B19)</f>
        <v/>
      </c>
      <c r="B19" s="15">
        <f>IF($A19="","",'Escala_Duplas'!$C19)</f>
        <v/>
      </c>
      <c r="C19" s="28">
        <f>IF($A19="","",IF('Calc_Mix'!$X19=0,"—",IFERROR(INDEX(Mix_Esp,MATCH(MAX('Calc_Mix'!$D19:$W19),'Calc_Mix'!$D19:$W19,0)),"—")))</f>
        <v/>
      </c>
      <c r="D19" s="32">
        <f>IF($A19="","",'Calc_Mix'!$X19)</f>
        <v/>
      </c>
      <c r="E19" s="28">
        <f>IF($A19="","",IFERROR(INDEX('Calc_Afinidade'!$B$2:$B$151,MATCH(LARGE('Calc_Afinidade'!V$2:V$151,1),'Calc_Afinidade'!V$2:V$151,0)),"—"))</f>
        <v/>
      </c>
      <c r="F19" s="28">
        <f>IF(E19="—","",IFERROR(INDEX(Equipe_Funcao,MATCH(E19,Equipe_Nome,0))&amp;" · "&amp;INDEX('Equipe'!$D$2:$D$151,MATCH(E19,Equipe_Nome,0)),""))</f>
        <v/>
      </c>
      <c r="G19" s="34">
        <f>IF($A19="","",IFERROR(ROUND(LARGE('Calc_Afinidade'!V$2:V$151,1),2),""))</f>
        <v/>
      </c>
      <c r="H19" s="28">
        <f>IF($A19="","",IFERROR(INDEX('Calc_Afinidade'!$B$2:$B$151,MATCH(LARGE('Calc_Afinidade'!V$2:V$151,2),'Calc_Afinidade'!V$2:V$151,0)),"—"))</f>
        <v/>
      </c>
      <c r="I19" s="28">
        <f>IF(H19="—","",IFERROR(INDEX(Equipe_Funcao,MATCH(H19,Equipe_Nome,0))&amp;" · "&amp;INDEX('Equipe'!$D$2:$D$151,MATCH(H19,Equipe_Nome,0)),""))</f>
        <v/>
      </c>
      <c r="J19" s="34">
        <f>IF($A19="","",IFERROR(ROUND(LARGE('Calc_Afinidade'!V$2:V$151,2),2),""))</f>
        <v/>
      </c>
      <c r="K19" s="28">
        <f>IF($A19="","",IFERROR(INDEX('Calc_Afinidade'!$B$2:$B$151,MATCH(LARGE('Calc_Afinidade'!V$2:V$151,3),'Calc_Afinidade'!V$2:V$151,0)),"—"))</f>
        <v/>
      </c>
      <c r="L19" s="28">
        <f>IF(K19="—","",IFERROR(INDEX(Equipe_Funcao,MATCH(K19,Equipe_Nome,0))&amp;" · "&amp;INDEX('Equipe'!$D$2:$D$151,MATCH(K19,Equipe_Nome,0)),""))</f>
        <v/>
      </c>
      <c r="M19" s="34">
        <f>IF($A19="","",IFERROR(ROUND(LARGE('Calc_Afinidade'!V$2:V$151,3),2),""))</f>
        <v/>
      </c>
      <c r="N19" s="28">
        <f>IF($A19="","",IFERROR(INDEX('Calc_Afinidade'!$B$2:$B$151,MATCH(LARGE('Calc_Afinidade'!V$2:V$151,4),'Calc_Afinidade'!V$2:V$151,0)),"—"))</f>
        <v/>
      </c>
      <c r="O19" s="28">
        <f>IF(N19="—","",IFERROR(INDEX(Equipe_Funcao,MATCH(N19,Equipe_Nome,0))&amp;" · "&amp;INDEX('Equipe'!$D$2:$D$151,MATCH(N19,Equipe_Nome,0)),""))</f>
        <v/>
      </c>
      <c r="P19" s="34">
        <f>IF($A19="","",IFERROR(ROUND(LARGE('Calc_Afinidade'!V$2:V$151,4),2),""))</f>
        <v/>
      </c>
    </row>
    <row r="20">
      <c r="A20" s="15">
        <f>IF('Escala_Duplas'!$B20="","",'Escala_Duplas'!$B20)</f>
        <v/>
      </c>
      <c r="B20" s="15">
        <f>IF($A20="","",'Escala_Duplas'!$C20)</f>
        <v/>
      </c>
      <c r="C20" s="28">
        <f>IF($A20="","",IF('Calc_Mix'!$X20=0,"—",IFERROR(INDEX(Mix_Esp,MATCH(MAX('Calc_Mix'!$D20:$W20),'Calc_Mix'!$D20:$W20,0)),"—")))</f>
        <v/>
      </c>
      <c r="D20" s="32">
        <f>IF($A20="","",'Calc_Mix'!$X20)</f>
        <v/>
      </c>
      <c r="E20" s="28">
        <f>IF($A20="","",IFERROR(INDEX('Calc_Afinidade'!$B$2:$B$151,MATCH(LARGE('Calc_Afinidade'!W$2:W$151,1),'Calc_Afinidade'!W$2:W$151,0)),"—"))</f>
        <v/>
      </c>
      <c r="F20" s="28">
        <f>IF(E20="—","",IFERROR(INDEX(Equipe_Funcao,MATCH(E20,Equipe_Nome,0))&amp;" · "&amp;INDEX('Equipe'!$D$2:$D$151,MATCH(E20,Equipe_Nome,0)),""))</f>
        <v/>
      </c>
      <c r="G20" s="34">
        <f>IF($A20="","",IFERROR(ROUND(LARGE('Calc_Afinidade'!W$2:W$151,1),2),""))</f>
        <v/>
      </c>
      <c r="H20" s="28">
        <f>IF($A20="","",IFERROR(INDEX('Calc_Afinidade'!$B$2:$B$151,MATCH(LARGE('Calc_Afinidade'!W$2:W$151,2),'Calc_Afinidade'!W$2:W$151,0)),"—"))</f>
        <v/>
      </c>
      <c r="I20" s="28">
        <f>IF(H20="—","",IFERROR(INDEX(Equipe_Funcao,MATCH(H20,Equipe_Nome,0))&amp;" · "&amp;INDEX('Equipe'!$D$2:$D$151,MATCH(H20,Equipe_Nome,0)),""))</f>
        <v/>
      </c>
      <c r="J20" s="34">
        <f>IF($A20="","",IFERROR(ROUND(LARGE('Calc_Afinidade'!W$2:W$151,2),2),""))</f>
        <v/>
      </c>
      <c r="K20" s="28">
        <f>IF($A20="","",IFERROR(INDEX('Calc_Afinidade'!$B$2:$B$151,MATCH(LARGE('Calc_Afinidade'!W$2:W$151,3),'Calc_Afinidade'!W$2:W$151,0)),"—"))</f>
        <v/>
      </c>
      <c r="L20" s="28">
        <f>IF(K20="—","",IFERROR(INDEX(Equipe_Funcao,MATCH(K20,Equipe_Nome,0))&amp;" · "&amp;INDEX('Equipe'!$D$2:$D$151,MATCH(K20,Equipe_Nome,0)),""))</f>
        <v/>
      </c>
      <c r="M20" s="34">
        <f>IF($A20="","",IFERROR(ROUND(LARGE('Calc_Afinidade'!W$2:W$151,3),2),""))</f>
        <v/>
      </c>
      <c r="N20" s="28">
        <f>IF($A20="","",IFERROR(INDEX('Calc_Afinidade'!$B$2:$B$151,MATCH(LARGE('Calc_Afinidade'!W$2:W$151,4),'Calc_Afinidade'!W$2:W$151,0)),"—"))</f>
        <v/>
      </c>
      <c r="O20" s="28">
        <f>IF(N20="—","",IFERROR(INDEX(Equipe_Funcao,MATCH(N20,Equipe_Nome,0))&amp;" · "&amp;INDEX('Equipe'!$D$2:$D$151,MATCH(N20,Equipe_Nome,0)),""))</f>
        <v/>
      </c>
      <c r="P20" s="34">
        <f>IF($A20="","",IFERROR(ROUND(LARGE('Calc_Afinidade'!W$2:W$151,4),2),""))</f>
        <v/>
      </c>
    </row>
    <row r="21">
      <c r="A21" s="15">
        <f>IF('Escala_Duplas'!$B21="","",'Escala_Duplas'!$B21)</f>
        <v/>
      </c>
      <c r="B21" s="15">
        <f>IF($A21="","",'Escala_Duplas'!$C21)</f>
        <v/>
      </c>
      <c r="C21" s="28">
        <f>IF($A21="","",IF('Calc_Mix'!$X21=0,"—",IFERROR(INDEX(Mix_Esp,MATCH(MAX('Calc_Mix'!$D21:$W21),'Calc_Mix'!$D21:$W21,0)),"—")))</f>
        <v/>
      </c>
      <c r="D21" s="32">
        <f>IF($A21="","",'Calc_Mix'!$X21)</f>
        <v/>
      </c>
      <c r="E21" s="28">
        <f>IF($A21="","",IFERROR(INDEX('Calc_Afinidade'!$B$2:$B$151,MATCH(LARGE('Calc_Afinidade'!X$2:X$151,1),'Calc_Afinidade'!X$2:X$151,0)),"—"))</f>
        <v/>
      </c>
      <c r="F21" s="28">
        <f>IF(E21="—","",IFERROR(INDEX(Equipe_Funcao,MATCH(E21,Equipe_Nome,0))&amp;" · "&amp;INDEX('Equipe'!$D$2:$D$151,MATCH(E21,Equipe_Nome,0)),""))</f>
        <v/>
      </c>
      <c r="G21" s="34">
        <f>IF($A21="","",IFERROR(ROUND(LARGE('Calc_Afinidade'!X$2:X$151,1),2),""))</f>
        <v/>
      </c>
      <c r="H21" s="28">
        <f>IF($A21="","",IFERROR(INDEX('Calc_Afinidade'!$B$2:$B$151,MATCH(LARGE('Calc_Afinidade'!X$2:X$151,2),'Calc_Afinidade'!X$2:X$151,0)),"—"))</f>
        <v/>
      </c>
      <c r="I21" s="28">
        <f>IF(H21="—","",IFERROR(INDEX(Equipe_Funcao,MATCH(H21,Equipe_Nome,0))&amp;" · "&amp;INDEX('Equipe'!$D$2:$D$151,MATCH(H21,Equipe_Nome,0)),""))</f>
        <v/>
      </c>
      <c r="J21" s="34">
        <f>IF($A21="","",IFERROR(ROUND(LARGE('Calc_Afinidade'!X$2:X$151,2),2),""))</f>
        <v/>
      </c>
      <c r="K21" s="28">
        <f>IF($A21="","",IFERROR(INDEX('Calc_Afinidade'!$B$2:$B$151,MATCH(LARGE('Calc_Afinidade'!X$2:X$151,3),'Calc_Afinidade'!X$2:X$151,0)),"—"))</f>
        <v/>
      </c>
      <c r="L21" s="28">
        <f>IF(K21="—","",IFERROR(INDEX(Equipe_Funcao,MATCH(K21,Equipe_Nome,0))&amp;" · "&amp;INDEX('Equipe'!$D$2:$D$151,MATCH(K21,Equipe_Nome,0)),""))</f>
        <v/>
      </c>
      <c r="M21" s="34">
        <f>IF($A21="","",IFERROR(ROUND(LARGE('Calc_Afinidade'!X$2:X$151,3),2),""))</f>
        <v/>
      </c>
      <c r="N21" s="28">
        <f>IF($A21="","",IFERROR(INDEX('Calc_Afinidade'!$B$2:$B$151,MATCH(LARGE('Calc_Afinidade'!X$2:X$151,4),'Calc_Afinidade'!X$2:X$151,0)),"—"))</f>
        <v/>
      </c>
      <c r="O21" s="28">
        <f>IF(N21="—","",IFERROR(INDEX(Equipe_Funcao,MATCH(N21,Equipe_Nome,0))&amp;" · "&amp;INDEX('Equipe'!$D$2:$D$151,MATCH(N21,Equipe_Nome,0)),""))</f>
        <v/>
      </c>
      <c r="P21" s="34">
        <f>IF($A21="","",IFERROR(ROUND(LARGE('Calc_Afinidade'!X$2:X$151,4),2),""))</f>
        <v/>
      </c>
    </row>
    <row r="22">
      <c r="A22" s="15">
        <f>IF('Escala_Duplas'!$B22="","",'Escala_Duplas'!$B22)</f>
        <v/>
      </c>
      <c r="B22" s="15">
        <f>IF($A22="","",'Escala_Duplas'!$C22)</f>
        <v/>
      </c>
      <c r="C22" s="28">
        <f>IF($A22="","",IF('Calc_Mix'!$X22=0,"—",IFERROR(INDEX(Mix_Esp,MATCH(MAX('Calc_Mix'!$D22:$W22),'Calc_Mix'!$D22:$W22,0)),"—")))</f>
        <v/>
      </c>
      <c r="D22" s="32">
        <f>IF($A22="","",'Calc_Mix'!$X22)</f>
        <v/>
      </c>
      <c r="E22" s="28">
        <f>IF($A22="","",IFERROR(INDEX('Calc_Afinidade'!$B$2:$B$151,MATCH(LARGE('Calc_Afinidade'!Y$2:Y$151,1),'Calc_Afinidade'!Y$2:Y$151,0)),"—"))</f>
        <v/>
      </c>
      <c r="F22" s="28">
        <f>IF(E22="—","",IFERROR(INDEX(Equipe_Funcao,MATCH(E22,Equipe_Nome,0))&amp;" · "&amp;INDEX('Equipe'!$D$2:$D$151,MATCH(E22,Equipe_Nome,0)),""))</f>
        <v/>
      </c>
      <c r="G22" s="34">
        <f>IF($A22="","",IFERROR(ROUND(LARGE('Calc_Afinidade'!Y$2:Y$151,1),2),""))</f>
        <v/>
      </c>
      <c r="H22" s="28">
        <f>IF($A22="","",IFERROR(INDEX('Calc_Afinidade'!$B$2:$B$151,MATCH(LARGE('Calc_Afinidade'!Y$2:Y$151,2),'Calc_Afinidade'!Y$2:Y$151,0)),"—"))</f>
        <v/>
      </c>
      <c r="I22" s="28">
        <f>IF(H22="—","",IFERROR(INDEX(Equipe_Funcao,MATCH(H22,Equipe_Nome,0))&amp;" · "&amp;INDEX('Equipe'!$D$2:$D$151,MATCH(H22,Equipe_Nome,0)),""))</f>
        <v/>
      </c>
      <c r="J22" s="34">
        <f>IF($A22="","",IFERROR(ROUND(LARGE('Calc_Afinidade'!Y$2:Y$151,2),2),""))</f>
        <v/>
      </c>
      <c r="K22" s="28">
        <f>IF($A22="","",IFERROR(INDEX('Calc_Afinidade'!$B$2:$B$151,MATCH(LARGE('Calc_Afinidade'!Y$2:Y$151,3),'Calc_Afinidade'!Y$2:Y$151,0)),"—"))</f>
        <v/>
      </c>
      <c r="L22" s="28">
        <f>IF(K22="—","",IFERROR(INDEX(Equipe_Funcao,MATCH(K22,Equipe_Nome,0))&amp;" · "&amp;INDEX('Equipe'!$D$2:$D$151,MATCH(K22,Equipe_Nome,0)),""))</f>
        <v/>
      </c>
      <c r="M22" s="34">
        <f>IF($A22="","",IFERROR(ROUND(LARGE('Calc_Afinidade'!Y$2:Y$151,3),2),""))</f>
        <v/>
      </c>
      <c r="N22" s="28">
        <f>IF($A22="","",IFERROR(INDEX('Calc_Afinidade'!$B$2:$B$151,MATCH(LARGE('Calc_Afinidade'!Y$2:Y$151,4),'Calc_Afinidade'!Y$2:Y$151,0)),"—"))</f>
        <v/>
      </c>
      <c r="O22" s="28">
        <f>IF(N22="—","",IFERROR(INDEX(Equipe_Funcao,MATCH(N22,Equipe_Nome,0))&amp;" · "&amp;INDEX('Equipe'!$D$2:$D$151,MATCH(N22,Equipe_Nome,0)),""))</f>
        <v/>
      </c>
      <c r="P22" s="34">
        <f>IF($A22="","",IFERROR(ROUND(LARGE('Calc_Afinidade'!Y$2:Y$151,4),2),""))</f>
        <v/>
      </c>
    </row>
    <row r="23">
      <c r="A23" s="15">
        <f>IF('Escala_Duplas'!$B23="","",'Escala_Duplas'!$B23)</f>
        <v/>
      </c>
      <c r="B23" s="15">
        <f>IF($A23="","",'Escala_Duplas'!$C23)</f>
        <v/>
      </c>
      <c r="C23" s="28">
        <f>IF($A23="","",IF('Calc_Mix'!$X23=0,"—",IFERROR(INDEX(Mix_Esp,MATCH(MAX('Calc_Mix'!$D23:$W23),'Calc_Mix'!$D23:$W23,0)),"—")))</f>
        <v/>
      </c>
      <c r="D23" s="32">
        <f>IF($A23="","",'Calc_Mix'!$X23)</f>
        <v/>
      </c>
      <c r="E23" s="28">
        <f>IF($A23="","",IFERROR(INDEX('Calc_Afinidade'!$B$2:$B$151,MATCH(LARGE('Calc_Afinidade'!Z$2:Z$151,1),'Calc_Afinidade'!Z$2:Z$151,0)),"—"))</f>
        <v/>
      </c>
      <c r="F23" s="28">
        <f>IF(E23="—","",IFERROR(INDEX(Equipe_Funcao,MATCH(E23,Equipe_Nome,0))&amp;" · "&amp;INDEX('Equipe'!$D$2:$D$151,MATCH(E23,Equipe_Nome,0)),""))</f>
        <v/>
      </c>
      <c r="G23" s="34">
        <f>IF($A23="","",IFERROR(ROUND(LARGE('Calc_Afinidade'!Z$2:Z$151,1),2),""))</f>
        <v/>
      </c>
      <c r="H23" s="28">
        <f>IF($A23="","",IFERROR(INDEX('Calc_Afinidade'!$B$2:$B$151,MATCH(LARGE('Calc_Afinidade'!Z$2:Z$151,2),'Calc_Afinidade'!Z$2:Z$151,0)),"—"))</f>
        <v/>
      </c>
      <c r="I23" s="28">
        <f>IF(H23="—","",IFERROR(INDEX(Equipe_Funcao,MATCH(H23,Equipe_Nome,0))&amp;" · "&amp;INDEX('Equipe'!$D$2:$D$151,MATCH(H23,Equipe_Nome,0)),""))</f>
        <v/>
      </c>
      <c r="J23" s="34">
        <f>IF($A23="","",IFERROR(ROUND(LARGE('Calc_Afinidade'!Z$2:Z$151,2),2),""))</f>
        <v/>
      </c>
      <c r="K23" s="28">
        <f>IF($A23="","",IFERROR(INDEX('Calc_Afinidade'!$B$2:$B$151,MATCH(LARGE('Calc_Afinidade'!Z$2:Z$151,3),'Calc_Afinidade'!Z$2:Z$151,0)),"—"))</f>
        <v/>
      </c>
      <c r="L23" s="28">
        <f>IF(K23="—","",IFERROR(INDEX(Equipe_Funcao,MATCH(K23,Equipe_Nome,0))&amp;" · "&amp;INDEX('Equipe'!$D$2:$D$151,MATCH(K23,Equipe_Nome,0)),""))</f>
        <v/>
      </c>
      <c r="M23" s="34">
        <f>IF($A23="","",IFERROR(ROUND(LARGE('Calc_Afinidade'!Z$2:Z$151,3),2),""))</f>
        <v/>
      </c>
      <c r="N23" s="28">
        <f>IF($A23="","",IFERROR(INDEX('Calc_Afinidade'!$B$2:$B$151,MATCH(LARGE('Calc_Afinidade'!Z$2:Z$151,4),'Calc_Afinidade'!Z$2:Z$151,0)),"—"))</f>
        <v/>
      </c>
      <c r="O23" s="28">
        <f>IF(N23="—","",IFERROR(INDEX(Equipe_Funcao,MATCH(N23,Equipe_Nome,0))&amp;" · "&amp;INDEX('Equipe'!$D$2:$D$151,MATCH(N23,Equipe_Nome,0)),""))</f>
        <v/>
      </c>
      <c r="P23" s="34">
        <f>IF($A23="","",IFERROR(ROUND(LARGE('Calc_Afinidade'!Z$2:Z$151,4),2),""))</f>
        <v/>
      </c>
    </row>
    <row r="24">
      <c r="A24" s="15">
        <f>IF('Escala_Duplas'!$B24="","",'Escala_Duplas'!$B24)</f>
        <v/>
      </c>
      <c r="B24" s="15">
        <f>IF($A24="","",'Escala_Duplas'!$C24)</f>
        <v/>
      </c>
      <c r="C24" s="28">
        <f>IF($A24="","",IF('Calc_Mix'!$X24=0,"—",IFERROR(INDEX(Mix_Esp,MATCH(MAX('Calc_Mix'!$D24:$W24),'Calc_Mix'!$D24:$W24,0)),"—")))</f>
        <v/>
      </c>
      <c r="D24" s="32">
        <f>IF($A24="","",'Calc_Mix'!$X24)</f>
        <v/>
      </c>
      <c r="E24" s="28">
        <f>IF($A24="","",IFERROR(INDEX('Calc_Afinidade'!$B$2:$B$151,MATCH(LARGE('Calc_Afinidade'!AA$2:AA$151,1),'Calc_Afinidade'!AA$2:AA$151,0)),"—"))</f>
        <v/>
      </c>
      <c r="F24" s="28">
        <f>IF(E24="—","",IFERROR(INDEX(Equipe_Funcao,MATCH(E24,Equipe_Nome,0))&amp;" · "&amp;INDEX('Equipe'!$D$2:$D$151,MATCH(E24,Equipe_Nome,0)),""))</f>
        <v/>
      </c>
      <c r="G24" s="34">
        <f>IF($A24="","",IFERROR(ROUND(LARGE('Calc_Afinidade'!AA$2:AA$151,1),2),""))</f>
        <v/>
      </c>
      <c r="H24" s="28">
        <f>IF($A24="","",IFERROR(INDEX('Calc_Afinidade'!$B$2:$B$151,MATCH(LARGE('Calc_Afinidade'!AA$2:AA$151,2),'Calc_Afinidade'!AA$2:AA$151,0)),"—"))</f>
        <v/>
      </c>
      <c r="I24" s="28">
        <f>IF(H24="—","",IFERROR(INDEX(Equipe_Funcao,MATCH(H24,Equipe_Nome,0))&amp;" · "&amp;INDEX('Equipe'!$D$2:$D$151,MATCH(H24,Equipe_Nome,0)),""))</f>
        <v/>
      </c>
      <c r="J24" s="34">
        <f>IF($A24="","",IFERROR(ROUND(LARGE('Calc_Afinidade'!AA$2:AA$151,2),2),""))</f>
        <v/>
      </c>
      <c r="K24" s="28">
        <f>IF($A24="","",IFERROR(INDEX('Calc_Afinidade'!$B$2:$B$151,MATCH(LARGE('Calc_Afinidade'!AA$2:AA$151,3),'Calc_Afinidade'!AA$2:AA$151,0)),"—"))</f>
        <v/>
      </c>
      <c r="L24" s="28">
        <f>IF(K24="—","",IFERROR(INDEX(Equipe_Funcao,MATCH(K24,Equipe_Nome,0))&amp;" · "&amp;INDEX('Equipe'!$D$2:$D$151,MATCH(K24,Equipe_Nome,0)),""))</f>
        <v/>
      </c>
      <c r="M24" s="34">
        <f>IF($A24="","",IFERROR(ROUND(LARGE('Calc_Afinidade'!AA$2:AA$151,3),2),""))</f>
        <v/>
      </c>
      <c r="N24" s="28">
        <f>IF($A24="","",IFERROR(INDEX('Calc_Afinidade'!$B$2:$B$151,MATCH(LARGE('Calc_Afinidade'!AA$2:AA$151,4),'Calc_Afinidade'!AA$2:AA$151,0)),"—"))</f>
        <v/>
      </c>
      <c r="O24" s="28">
        <f>IF(N24="—","",IFERROR(INDEX(Equipe_Funcao,MATCH(N24,Equipe_Nome,0))&amp;" · "&amp;INDEX('Equipe'!$D$2:$D$151,MATCH(N24,Equipe_Nome,0)),""))</f>
        <v/>
      </c>
      <c r="P24" s="34">
        <f>IF($A24="","",IFERROR(ROUND(LARGE('Calc_Afinidade'!AA$2:AA$151,4),2),""))</f>
        <v/>
      </c>
    </row>
    <row r="25">
      <c r="A25" s="15">
        <f>IF('Escala_Duplas'!$B25="","",'Escala_Duplas'!$B25)</f>
        <v/>
      </c>
      <c r="B25" s="15">
        <f>IF($A25="","",'Escala_Duplas'!$C25)</f>
        <v/>
      </c>
      <c r="C25" s="28">
        <f>IF($A25="","",IF('Calc_Mix'!$X25=0,"—",IFERROR(INDEX(Mix_Esp,MATCH(MAX('Calc_Mix'!$D25:$W25),'Calc_Mix'!$D25:$W25,0)),"—")))</f>
        <v/>
      </c>
      <c r="D25" s="32">
        <f>IF($A25="","",'Calc_Mix'!$X25)</f>
        <v/>
      </c>
      <c r="E25" s="28">
        <f>IF($A25="","",IFERROR(INDEX('Calc_Afinidade'!$B$2:$B$151,MATCH(LARGE('Calc_Afinidade'!AB$2:AB$151,1),'Calc_Afinidade'!AB$2:AB$151,0)),"—"))</f>
        <v/>
      </c>
      <c r="F25" s="28">
        <f>IF(E25="—","",IFERROR(INDEX(Equipe_Funcao,MATCH(E25,Equipe_Nome,0))&amp;" · "&amp;INDEX('Equipe'!$D$2:$D$151,MATCH(E25,Equipe_Nome,0)),""))</f>
        <v/>
      </c>
      <c r="G25" s="34">
        <f>IF($A25="","",IFERROR(ROUND(LARGE('Calc_Afinidade'!AB$2:AB$151,1),2),""))</f>
        <v/>
      </c>
      <c r="H25" s="28">
        <f>IF($A25="","",IFERROR(INDEX('Calc_Afinidade'!$B$2:$B$151,MATCH(LARGE('Calc_Afinidade'!AB$2:AB$151,2),'Calc_Afinidade'!AB$2:AB$151,0)),"—"))</f>
        <v/>
      </c>
      <c r="I25" s="28">
        <f>IF(H25="—","",IFERROR(INDEX(Equipe_Funcao,MATCH(H25,Equipe_Nome,0))&amp;" · "&amp;INDEX('Equipe'!$D$2:$D$151,MATCH(H25,Equipe_Nome,0)),""))</f>
        <v/>
      </c>
      <c r="J25" s="34">
        <f>IF($A25="","",IFERROR(ROUND(LARGE('Calc_Afinidade'!AB$2:AB$151,2),2),""))</f>
        <v/>
      </c>
      <c r="K25" s="28">
        <f>IF($A25="","",IFERROR(INDEX('Calc_Afinidade'!$B$2:$B$151,MATCH(LARGE('Calc_Afinidade'!AB$2:AB$151,3),'Calc_Afinidade'!AB$2:AB$151,0)),"—"))</f>
        <v/>
      </c>
      <c r="L25" s="28">
        <f>IF(K25="—","",IFERROR(INDEX(Equipe_Funcao,MATCH(K25,Equipe_Nome,0))&amp;" · "&amp;INDEX('Equipe'!$D$2:$D$151,MATCH(K25,Equipe_Nome,0)),""))</f>
        <v/>
      </c>
      <c r="M25" s="34">
        <f>IF($A25="","",IFERROR(ROUND(LARGE('Calc_Afinidade'!AB$2:AB$151,3),2),""))</f>
        <v/>
      </c>
      <c r="N25" s="28">
        <f>IF($A25="","",IFERROR(INDEX('Calc_Afinidade'!$B$2:$B$151,MATCH(LARGE('Calc_Afinidade'!AB$2:AB$151,4),'Calc_Afinidade'!AB$2:AB$151,0)),"—"))</f>
        <v/>
      </c>
      <c r="O25" s="28">
        <f>IF(N25="—","",IFERROR(INDEX(Equipe_Funcao,MATCH(N25,Equipe_Nome,0))&amp;" · "&amp;INDEX('Equipe'!$D$2:$D$151,MATCH(N25,Equipe_Nome,0)),""))</f>
        <v/>
      </c>
      <c r="P25" s="34">
        <f>IF($A25="","",IFERROR(ROUND(LARGE('Calc_Afinidade'!AB$2:AB$151,4),2),""))</f>
        <v/>
      </c>
    </row>
    <row r="26">
      <c r="A26" s="15">
        <f>IF('Escala_Duplas'!$B26="","",'Escala_Duplas'!$B26)</f>
        <v/>
      </c>
      <c r="B26" s="15">
        <f>IF($A26="","",'Escala_Duplas'!$C26)</f>
        <v/>
      </c>
      <c r="C26" s="28">
        <f>IF($A26="","",IF('Calc_Mix'!$X26=0,"—",IFERROR(INDEX(Mix_Esp,MATCH(MAX('Calc_Mix'!$D26:$W26),'Calc_Mix'!$D26:$W26,0)),"—")))</f>
        <v/>
      </c>
      <c r="D26" s="32">
        <f>IF($A26="","",'Calc_Mix'!$X26)</f>
        <v/>
      </c>
      <c r="E26" s="28">
        <f>IF($A26="","",IFERROR(INDEX('Calc_Afinidade'!$B$2:$B$151,MATCH(LARGE('Calc_Afinidade'!AC$2:AC$151,1),'Calc_Afinidade'!AC$2:AC$151,0)),"—"))</f>
        <v/>
      </c>
      <c r="F26" s="28">
        <f>IF(E26="—","",IFERROR(INDEX(Equipe_Funcao,MATCH(E26,Equipe_Nome,0))&amp;" · "&amp;INDEX('Equipe'!$D$2:$D$151,MATCH(E26,Equipe_Nome,0)),""))</f>
        <v/>
      </c>
      <c r="G26" s="34">
        <f>IF($A26="","",IFERROR(ROUND(LARGE('Calc_Afinidade'!AC$2:AC$151,1),2),""))</f>
        <v/>
      </c>
      <c r="H26" s="28">
        <f>IF($A26="","",IFERROR(INDEX('Calc_Afinidade'!$B$2:$B$151,MATCH(LARGE('Calc_Afinidade'!AC$2:AC$151,2),'Calc_Afinidade'!AC$2:AC$151,0)),"—"))</f>
        <v/>
      </c>
      <c r="I26" s="28">
        <f>IF(H26="—","",IFERROR(INDEX(Equipe_Funcao,MATCH(H26,Equipe_Nome,0))&amp;" · "&amp;INDEX('Equipe'!$D$2:$D$151,MATCH(H26,Equipe_Nome,0)),""))</f>
        <v/>
      </c>
      <c r="J26" s="34">
        <f>IF($A26="","",IFERROR(ROUND(LARGE('Calc_Afinidade'!AC$2:AC$151,2),2),""))</f>
        <v/>
      </c>
      <c r="K26" s="28">
        <f>IF($A26="","",IFERROR(INDEX('Calc_Afinidade'!$B$2:$B$151,MATCH(LARGE('Calc_Afinidade'!AC$2:AC$151,3),'Calc_Afinidade'!AC$2:AC$151,0)),"—"))</f>
        <v/>
      </c>
      <c r="L26" s="28">
        <f>IF(K26="—","",IFERROR(INDEX(Equipe_Funcao,MATCH(K26,Equipe_Nome,0))&amp;" · "&amp;INDEX('Equipe'!$D$2:$D$151,MATCH(K26,Equipe_Nome,0)),""))</f>
        <v/>
      </c>
      <c r="M26" s="34">
        <f>IF($A26="","",IFERROR(ROUND(LARGE('Calc_Afinidade'!AC$2:AC$151,3),2),""))</f>
        <v/>
      </c>
      <c r="N26" s="28">
        <f>IF($A26="","",IFERROR(INDEX('Calc_Afinidade'!$B$2:$B$151,MATCH(LARGE('Calc_Afinidade'!AC$2:AC$151,4),'Calc_Afinidade'!AC$2:AC$151,0)),"—"))</f>
        <v/>
      </c>
      <c r="O26" s="28">
        <f>IF(N26="—","",IFERROR(INDEX(Equipe_Funcao,MATCH(N26,Equipe_Nome,0))&amp;" · "&amp;INDEX('Equipe'!$D$2:$D$151,MATCH(N26,Equipe_Nome,0)),""))</f>
        <v/>
      </c>
      <c r="P26" s="34">
        <f>IF($A26="","",IFERROR(ROUND(LARGE('Calc_Afinidade'!AC$2:AC$151,4),2),""))</f>
        <v/>
      </c>
    </row>
    <row r="27">
      <c r="A27" s="15">
        <f>IF('Escala_Duplas'!$B27="","",'Escala_Duplas'!$B27)</f>
        <v/>
      </c>
      <c r="B27" s="15">
        <f>IF($A27="","",'Escala_Duplas'!$C27)</f>
        <v/>
      </c>
      <c r="C27" s="28">
        <f>IF($A27="","",IF('Calc_Mix'!$X27=0,"—",IFERROR(INDEX(Mix_Esp,MATCH(MAX('Calc_Mix'!$D27:$W27),'Calc_Mix'!$D27:$W27,0)),"—")))</f>
        <v/>
      </c>
      <c r="D27" s="32">
        <f>IF($A27="","",'Calc_Mix'!$X27)</f>
        <v/>
      </c>
      <c r="E27" s="28">
        <f>IF($A27="","",IFERROR(INDEX('Calc_Afinidade'!$B$2:$B$151,MATCH(LARGE('Calc_Afinidade'!AD$2:AD$151,1),'Calc_Afinidade'!AD$2:AD$151,0)),"—"))</f>
        <v/>
      </c>
      <c r="F27" s="28">
        <f>IF(E27="—","",IFERROR(INDEX(Equipe_Funcao,MATCH(E27,Equipe_Nome,0))&amp;" · "&amp;INDEX('Equipe'!$D$2:$D$151,MATCH(E27,Equipe_Nome,0)),""))</f>
        <v/>
      </c>
      <c r="G27" s="34">
        <f>IF($A27="","",IFERROR(ROUND(LARGE('Calc_Afinidade'!AD$2:AD$151,1),2),""))</f>
        <v/>
      </c>
      <c r="H27" s="28">
        <f>IF($A27="","",IFERROR(INDEX('Calc_Afinidade'!$B$2:$B$151,MATCH(LARGE('Calc_Afinidade'!AD$2:AD$151,2),'Calc_Afinidade'!AD$2:AD$151,0)),"—"))</f>
        <v/>
      </c>
      <c r="I27" s="28">
        <f>IF(H27="—","",IFERROR(INDEX(Equipe_Funcao,MATCH(H27,Equipe_Nome,0))&amp;" · "&amp;INDEX('Equipe'!$D$2:$D$151,MATCH(H27,Equipe_Nome,0)),""))</f>
        <v/>
      </c>
      <c r="J27" s="34">
        <f>IF($A27="","",IFERROR(ROUND(LARGE('Calc_Afinidade'!AD$2:AD$151,2),2),""))</f>
        <v/>
      </c>
      <c r="K27" s="28">
        <f>IF($A27="","",IFERROR(INDEX('Calc_Afinidade'!$B$2:$B$151,MATCH(LARGE('Calc_Afinidade'!AD$2:AD$151,3),'Calc_Afinidade'!AD$2:AD$151,0)),"—"))</f>
        <v/>
      </c>
      <c r="L27" s="28">
        <f>IF(K27="—","",IFERROR(INDEX(Equipe_Funcao,MATCH(K27,Equipe_Nome,0))&amp;" · "&amp;INDEX('Equipe'!$D$2:$D$151,MATCH(K27,Equipe_Nome,0)),""))</f>
        <v/>
      </c>
      <c r="M27" s="34">
        <f>IF($A27="","",IFERROR(ROUND(LARGE('Calc_Afinidade'!AD$2:AD$151,3),2),""))</f>
        <v/>
      </c>
      <c r="N27" s="28">
        <f>IF($A27="","",IFERROR(INDEX('Calc_Afinidade'!$B$2:$B$151,MATCH(LARGE('Calc_Afinidade'!AD$2:AD$151,4),'Calc_Afinidade'!AD$2:AD$151,0)),"—"))</f>
        <v/>
      </c>
      <c r="O27" s="28">
        <f>IF(N27="—","",IFERROR(INDEX(Equipe_Funcao,MATCH(N27,Equipe_Nome,0))&amp;" · "&amp;INDEX('Equipe'!$D$2:$D$151,MATCH(N27,Equipe_Nome,0)),""))</f>
        <v/>
      </c>
      <c r="P27" s="34">
        <f>IF($A27="","",IFERROR(ROUND(LARGE('Calc_Afinidade'!AD$2:AD$151,4),2),""))</f>
        <v/>
      </c>
    </row>
    <row r="28">
      <c r="A28" s="15">
        <f>IF('Escala_Duplas'!$B28="","",'Escala_Duplas'!$B28)</f>
        <v/>
      </c>
      <c r="B28" s="15">
        <f>IF($A28="","",'Escala_Duplas'!$C28)</f>
        <v/>
      </c>
      <c r="C28" s="28">
        <f>IF($A28="","",IF('Calc_Mix'!$X28=0,"—",IFERROR(INDEX(Mix_Esp,MATCH(MAX('Calc_Mix'!$D28:$W28),'Calc_Mix'!$D28:$W28,0)),"—")))</f>
        <v/>
      </c>
      <c r="D28" s="32">
        <f>IF($A28="","",'Calc_Mix'!$X28)</f>
        <v/>
      </c>
      <c r="E28" s="28">
        <f>IF($A28="","",IFERROR(INDEX('Calc_Afinidade'!$B$2:$B$151,MATCH(LARGE('Calc_Afinidade'!AE$2:AE$151,1),'Calc_Afinidade'!AE$2:AE$151,0)),"—"))</f>
        <v/>
      </c>
      <c r="F28" s="28">
        <f>IF(E28="—","",IFERROR(INDEX(Equipe_Funcao,MATCH(E28,Equipe_Nome,0))&amp;" · "&amp;INDEX('Equipe'!$D$2:$D$151,MATCH(E28,Equipe_Nome,0)),""))</f>
        <v/>
      </c>
      <c r="G28" s="34">
        <f>IF($A28="","",IFERROR(ROUND(LARGE('Calc_Afinidade'!AE$2:AE$151,1),2),""))</f>
        <v/>
      </c>
      <c r="H28" s="28">
        <f>IF($A28="","",IFERROR(INDEX('Calc_Afinidade'!$B$2:$B$151,MATCH(LARGE('Calc_Afinidade'!AE$2:AE$151,2),'Calc_Afinidade'!AE$2:AE$151,0)),"—"))</f>
        <v/>
      </c>
      <c r="I28" s="28">
        <f>IF(H28="—","",IFERROR(INDEX(Equipe_Funcao,MATCH(H28,Equipe_Nome,0))&amp;" · "&amp;INDEX('Equipe'!$D$2:$D$151,MATCH(H28,Equipe_Nome,0)),""))</f>
        <v/>
      </c>
      <c r="J28" s="34">
        <f>IF($A28="","",IFERROR(ROUND(LARGE('Calc_Afinidade'!AE$2:AE$151,2),2),""))</f>
        <v/>
      </c>
      <c r="K28" s="28">
        <f>IF($A28="","",IFERROR(INDEX('Calc_Afinidade'!$B$2:$B$151,MATCH(LARGE('Calc_Afinidade'!AE$2:AE$151,3),'Calc_Afinidade'!AE$2:AE$151,0)),"—"))</f>
        <v/>
      </c>
      <c r="L28" s="28">
        <f>IF(K28="—","",IFERROR(INDEX(Equipe_Funcao,MATCH(K28,Equipe_Nome,0))&amp;" · "&amp;INDEX('Equipe'!$D$2:$D$151,MATCH(K28,Equipe_Nome,0)),""))</f>
        <v/>
      </c>
      <c r="M28" s="34">
        <f>IF($A28="","",IFERROR(ROUND(LARGE('Calc_Afinidade'!AE$2:AE$151,3),2),""))</f>
        <v/>
      </c>
      <c r="N28" s="28">
        <f>IF($A28="","",IFERROR(INDEX('Calc_Afinidade'!$B$2:$B$151,MATCH(LARGE('Calc_Afinidade'!AE$2:AE$151,4),'Calc_Afinidade'!AE$2:AE$151,0)),"—"))</f>
        <v/>
      </c>
      <c r="O28" s="28">
        <f>IF(N28="—","",IFERROR(INDEX(Equipe_Funcao,MATCH(N28,Equipe_Nome,0))&amp;" · "&amp;INDEX('Equipe'!$D$2:$D$151,MATCH(N28,Equipe_Nome,0)),""))</f>
        <v/>
      </c>
      <c r="P28" s="34">
        <f>IF($A28="","",IFERROR(ROUND(LARGE('Calc_Afinidade'!AE$2:AE$151,4),2),""))</f>
        <v/>
      </c>
    </row>
    <row r="29">
      <c r="A29" s="15">
        <f>IF('Escala_Duplas'!$B29="","",'Escala_Duplas'!$B29)</f>
        <v/>
      </c>
      <c r="B29" s="15">
        <f>IF($A29="","",'Escala_Duplas'!$C29)</f>
        <v/>
      </c>
      <c r="C29" s="28">
        <f>IF($A29="","",IF('Calc_Mix'!$X29=0,"—",IFERROR(INDEX(Mix_Esp,MATCH(MAX('Calc_Mix'!$D29:$W29),'Calc_Mix'!$D29:$W29,0)),"—")))</f>
        <v/>
      </c>
      <c r="D29" s="32">
        <f>IF($A29="","",'Calc_Mix'!$X29)</f>
        <v/>
      </c>
      <c r="E29" s="28">
        <f>IF($A29="","",IFERROR(INDEX('Calc_Afinidade'!$B$2:$B$151,MATCH(LARGE('Calc_Afinidade'!AF$2:AF$151,1),'Calc_Afinidade'!AF$2:AF$151,0)),"—"))</f>
        <v/>
      </c>
      <c r="F29" s="28">
        <f>IF(E29="—","",IFERROR(INDEX(Equipe_Funcao,MATCH(E29,Equipe_Nome,0))&amp;" · "&amp;INDEX('Equipe'!$D$2:$D$151,MATCH(E29,Equipe_Nome,0)),""))</f>
        <v/>
      </c>
      <c r="G29" s="34">
        <f>IF($A29="","",IFERROR(ROUND(LARGE('Calc_Afinidade'!AF$2:AF$151,1),2),""))</f>
        <v/>
      </c>
      <c r="H29" s="28">
        <f>IF($A29="","",IFERROR(INDEX('Calc_Afinidade'!$B$2:$B$151,MATCH(LARGE('Calc_Afinidade'!AF$2:AF$151,2),'Calc_Afinidade'!AF$2:AF$151,0)),"—"))</f>
        <v/>
      </c>
      <c r="I29" s="28">
        <f>IF(H29="—","",IFERROR(INDEX(Equipe_Funcao,MATCH(H29,Equipe_Nome,0))&amp;" · "&amp;INDEX('Equipe'!$D$2:$D$151,MATCH(H29,Equipe_Nome,0)),""))</f>
        <v/>
      </c>
      <c r="J29" s="34">
        <f>IF($A29="","",IFERROR(ROUND(LARGE('Calc_Afinidade'!AF$2:AF$151,2),2),""))</f>
        <v/>
      </c>
      <c r="K29" s="28">
        <f>IF($A29="","",IFERROR(INDEX('Calc_Afinidade'!$B$2:$B$151,MATCH(LARGE('Calc_Afinidade'!AF$2:AF$151,3),'Calc_Afinidade'!AF$2:AF$151,0)),"—"))</f>
        <v/>
      </c>
      <c r="L29" s="28">
        <f>IF(K29="—","",IFERROR(INDEX(Equipe_Funcao,MATCH(K29,Equipe_Nome,0))&amp;" · "&amp;INDEX('Equipe'!$D$2:$D$151,MATCH(K29,Equipe_Nome,0)),""))</f>
        <v/>
      </c>
      <c r="M29" s="34">
        <f>IF($A29="","",IFERROR(ROUND(LARGE('Calc_Afinidade'!AF$2:AF$151,3),2),""))</f>
        <v/>
      </c>
      <c r="N29" s="28">
        <f>IF($A29="","",IFERROR(INDEX('Calc_Afinidade'!$B$2:$B$151,MATCH(LARGE('Calc_Afinidade'!AF$2:AF$151,4),'Calc_Afinidade'!AF$2:AF$151,0)),"—"))</f>
        <v/>
      </c>
      <c r="O29" s="28">
        <f>IF(N29="—","",IFERROR(INDEX(Equipe_Funcao,MATCH(N29,Equipe_Nome,0))&amp;" · "&amp;INDEX('Equipe'!$D$2:$D$151,MATCH(N29,Equipe_Nome,0)),""))</f>
        <v/>
      </c>
      <c r="P29" s="34">
        <f>IF($A29="","",IFERROR(ROUND(LARGE('Calc_Afinidade'!AF$2:AF$151,4),2),""))</f>
        <v/>
      </c>
    </row>
    <row r="30">
      <c r="A30" s="15">
        <f>IF('Escala_Duplas'!$B30="","",'Escala_Duplas'!$B30)</f>
        <v/>
      </c>
      <c r="B30" s="15">
        <f>IF($A30="","",'Escala_Duplas'!$C30)</f>
        <v/>
      </c>
      <c r="C30" s="28">
        <f>IF($A30="","",IF('Calc_Mix'!$X30=0,"—",IFERROR(INDEX(Mix_Esp,MATCH(MAX('Calc_Mix'!$D30:$W30),'Calc_Mix'!$D30:$W30,0)),"—")))</f>
        <v/>
      </c>
      <c r="D30" s="32">
        <f>IF($A30="","",'Calc_Mix'!$X30)</f>
        <v/>
      </c>
      <c r="E30" s="28">
        <f>IF($A30="","",IFERROR(INDEX('Calc_Afinidade'!$B$2:$B$151,MATCH(LARGE('Calc_Afinidade'!AG$2:AG$151,1),'Calc_Afinidade'!AG$2:AG$151,0)),"—"))</f>
        <v/>
      </c>
      <c r="F30" s="28">
        <f>IF(E30="—","",IFERROR(INDEX(Equipe_Funcao,MATCH(E30,Equipe_Nome,0))&amp;" · "&amp;INDEX('Equipe'!$D$2:$D$151,MATCH(E30,Equipe_Nome,0)),""))</f>
        <v/>
      </c>
      <c r="G30" s="34">
        <f>IF($A30="","",IFERROR(ROUND(LARGE('Calc_Afinidade'!AG$2:AG$151,1),2),""))</f>
        <v/>
      </c>
      <c r="H30" s="28">
        <f>IF($A30="","",IFERROR(INDEX('Calc_Afinidade'!$B$2:$B$151,MATCH(LARGE('Calc_Afinidade'!AG$2:AG$151,2),'Calc_Afinidade'!AG$2:AG$151,0)),"—"))</f>
        <v/>
      </c>
      <c r="I30" s="28">
        <f>IF(H30="—","",IFERROR(INDEX(Equipe_Funcao,MATCH(H30,Equipe_Nome,0))&amp;" · "&amp;INDEX('Equipe'!$D$2:$D$151,MATCH(H30,Equipe_Nome,0)),""))</f>
        <v/>
      </c>
      <c r="J30" s="34">
        <f>IF($A30="","",IFERROR(ROUND(LARGE('Calc_Afinidade'!AG$2:AG$151,2),2),""))</f>
        <v/>
      </c>
      <c r="K30" s="28">
        <f>IF($A30="","",IFERROR(INDEX('Calc_Afinidade'!$B$2:$B$151,MATCH(LARGE('Calc_Afinidade'!AG$2:AG$151,3),'Calc_Afinidade'!AG$2:AG$151,0)),"—"))</f>
        <v/>
      </c>
      <c r="L30" s="28">
        <f>IF(K30="—","",IFERROR(INDEX(Equipe_Funcao,MATCH(K30,Equipe_Nome,0))&amp;" · "&amp;INDEX('Equipe'!$D$2:$D$151,MATCH(K30,Equipe_Nome,0)),""))</f>
        <v/>
      </c>
      <c r="M30" s="34">
        <f>IF($A30="","",IFERROR(ROUND(LARGE('Calc_Afinidade'!AG$2:AG$151,3),2),""))</f>
        <v/>
      </c>
      <c r="N30" s="28">
        <f>IF($A30="","",IFERROR(INDEX('Calc_Afinidade'!$B$2:$B$151,MATCH(LARGE('Calc_Afinidade'!AG$2:AG$151,4),'Calc_Afinidade'!AG$2:AG$151,0)),"—"))</f>
        <v/>
      </c>
      <c r="O30" s="28">
        <f>IF(N30="—","",IFERROR(INDEX(Equipe_Funcao,MATCH(N30,Equipe_Nome,0))&amp;" · "&amp;INDEX('Equipe'!$D$2:$D$151,MATCH(N30,Equipe_Nome,0)),""))</f>
        <v/>
      </c>
      <c r="P30" s="34">
        <f>IF($A30="","",IFERROR(ROUND(LARGE('Calc_Afinidade'!AG$2:AG$151,4),2),""))</f>
        <v/>
      </c>
    </row>
    <row r="31">
      <c r="A31" s="15">
        <f>IF('Escala_Duplas'!$B31="","",'Escala_Duplas'!$B31)</f>
        <v/>
      </c>
      <c r="B31" s="15">
        <f>IF($A31="","",'Escala_Duplas'!$C31)</f>
        <v/>
      </c>
      <c r="C31" s="28">
        <f>IF($A31="","",IF('Calc_Mix'!$X31=0,"—",IFERROR(INDEX(Mix_Esp,MATCH(MAX('Calc_Mix'!$D31:$W31),'Calc_Mix'!$D31:$W31,0)),"—")))</f>
        <v/>
      </c>
      <c r="D31" s="32">
        <f>IF($A31="","",'Calc_Mix'!$X31)</f>
        <v/>
      </c>
      <c r="E31" s="28">
        <f>IF($A31="","",IFERROR(INDEX('Calc_Afinidade'!$B$2:$B$151,MATCH(LARGE('Calc_Afinidade'!AH$2:AH$151,1),'Calc_Afinidade'!AH$2:AH$151,0)),"—"))</f>
        <v/>
      </c>
      <c r="F31" s="28">
        <f>IF(E31="—","",IFERROR(INDEX(Equipe_Funcao,MATCH(E31,Equipe_Nome,0))&amp;" · "&amp;INDEX('Equipe'!$D$2:$D$151,MATCH(E31,Equipe_Nome,0)),""))</f>
        <v/>
      </c>
      <c r="G31" s="34">
        <f>IF($A31="","",IFERROR(ROUND(LARGE('Calc_Afinidade'!AH$2:AH$151,1),2),""))</f>
        <v/>
      </c>
      <c r="H31" s="28">
        <f>IF($A31="","",IFERROR(INDEX('Calc_Afinidade'!$B$2:$B$151,MATCH(LARGE('Calc_Afinidade'!AH$2:AH$151,2),'Calc_Afinidade'!AH$2:AH$151,0)),"—"))</f>
        <v/>
      </c>
      <c r="I31" s="28">
        <f>IF(H31="—","",IFERROR(INDEX(Equipe_Funcao,MATCH(H31,Equipe_Nome,0))&amp;" · "&amp;INDEX('Equipe'!$D$2:$D$151,MATCH(H31,Equipe_Nome,0)),""))</f>
        <v/>
      </c>
      <c r="J31" s="34">
        <f>IF($A31="","",IFERROR(ROUND(LARGE('Calc_Afinidade'!AH$2:AH$151,2),2),""))</f>
        <v/>
      </c>
      <c r="K31" s="28">
        <f>IF($A31="","",IFERROR(INDEX('Calc_Afinidade'!$B$2:$B$151,MATCH(LARGE('Calc_Afinidade'!AH$2:AH$151,3),'Calc_Afinidade'!AH$2:AH$151,0)),"—"))</f>
        <v/>
      </c>
      <c r="L31" s="28">
        <f>IF(K31="—","",IFERROR(INDEX(Equipe_Funcao,MATCH(K31,Equipe_Nome,0))&amp;" · "&amp;INDEX('Equipe'!$D$2:$D$151,MATCH(K31,Equipe_Nome,0)),""))</f>
        <v/>
      </c>
      <c r="M31" s="34">
        <f>IF($A31="","",IFERROR(ROUND(LARGE('Calc_Afinidade'!AH$2:AH$151,3),2),""))</f>
        <v/>
      </c>
      <c r="N31" s="28">
        <f>IF($A31="","",IFERROR(INDEX('Calc_Afinidade'!$B$2:$B$151,MATCH(LARGE('Calc_Afinidade'!AH$2:AH$151,4),'Calc_Afinidade'!AH$2:AH$151,0)),"—"))</f>
        <v/>
      </c>
      <c r="O31" s="28">
        <f>IF(N31="—","",IFERROR(INDEX(Equipe_Funcao,MATCH(N31,Equipe_Nome,0))&amp;" · "&amp;INDEX('Equipe'!$D$2:$D$151,MATCH(N31,Equipe_Nome,0)),""))</f>
        <v/>
      </c>
      <c r="P31" s="34">
        <f>IF($A31="","",IFERROR(ROUND(LARGE('Calc_Afinidade'!AH$2:AH$151,4),2),""))</f>
        <v/>
      </c>
    </row>
    <row r="32">
      <c r="A32" s="15">
        <f>IF('Escala_Duplas'!$B32="","",'Escala_Duplas'!$B32)</f>
        <v/>
      </c>
      <c r="B32" s="15">
        <f>IF($A32="","",'Escala_Duplas'!$C32)</f>
        <v/>
      </c>
      <c r="C32" s="28">
        <f>IF($A32="","",IF('Calc_Mix'!$X32=0,"—",IFERROR(INDEX(Mix_Esp,MATCH(MAX('Calc_Mix'!$D32:$W32),'Calc_Mix'!$D32:$W32,0)),"—")))</f>
        <v/>
      </c>
      <c r="D32" s="32">
        <f>IF($A32="","",'Calc_Mix'!$X32)</f>
        <v/>
      </c>
      <c r="E32" s="28">
        <f>IF($A32="","",IFERROR(INDEX('Calc_Afinidade'!$B$2:$B$151,MATCH(LARGE('Calc_Afinidade'!AI$2:AI$151,1),'Calc_Afinidade'!AI$2:AI$151,0)),"—"))</f>
        <v/>
      </c>
      <c r="F32" s="28">
        <f>IF(E32="—","",IFERROR(INDEX(Equipe_Funcao,MATCH(E32,Equipe_Nome,0))&amp;" · "&amp;INDEX('Equipe'!$D$2:$D$151,MATCH(E32,Equipe_Nome,0)),""))</f>
        <v/>
      </c>
      <c r="G32" s="34">
        <f>IF($A32="","",IFERROR(ROUND(LARGE('Calc_Afinidade'!AI$2:AI$151,1),2),""))</f>
        <v/>
      </c>
      <c r="H32" s="28">
        <f>IF($A32="","",IFERROR(INDEX('Calc_Afinidade'!$B$2:$B$151,MATCH(LARGE('Calc_Afinidade'!AI$2:AI$151,2),'Calc_Afinidade'!AI$2:AI$151,0)),"—"))</f>
        <v/>
      </c>
      <c r="I32" s="28">
        <f>IF(H32="—","",IFERROR(INDEX(Equipe_Funcao,MATCH(H32,Equipe_Nome,0))&amp;" · "&amp;INDEX('Equipe'!$D$2:$D$151,MATCH(H32,Equipe_Nome,0)),""))</f>
        <v/>
      </c>
      <c r="J32" s="34">
        <f>IF($A32="","",IFERROR(ROUND(LARGE('Calc_Afinidade'!AI$2:AI$151,2),2),""))</f>
        <v/>
      </c>
      <c r="K32" s="28">
        <f>IF($A32="","",IFERROR(INDEX('Calc_Afinidade'!$B$2:$B$151,MATCH(LARGE('Calc_Afinidade'!AI$2:AI$151,3),'Calc_Afinidade'!AI$2:AI$151,0)),"—"))</f>
        <v/>
      </c>
      <c r="L32" s="28">
        <f>IF(K32="—","",IFERROR(INDEX(Equipe_Funcao,MATCH(K32,Equipe_Nome,0))&amp;" · "&amp;INDEX('Equipe'!$D$2:$D$151,MATCH(K32,Equipe_Nome,0)),""))</f>
        <v/>
      </c>
      <c r="M32" s="34">
        <f>IF($A32="","",IFERROR(ROUND(LARGE('Calc_Afinidade'!AI$2:AI$151,3),2),""))</f>
        <v/>
      </c>
      <c r="N32" s="28">
        <f>IF($A32="","",IFERROR(INDEX('Calc_Afinidade'!$B$2:$B$151,MATCH(LARGE('Calc_Afinidade'!AI$2:AI$151,4),'Calc_Afinidade'!AI$2:AI$151,0)),"—"))</f>
        <v/>
      </c>
      <c r="O32" s="28">
        <f>IF(N32="—","",IFERROR(INDEX(Equipe_Funcao,MATCH(N32,Equipe_Nome,0))&amp;" · "&amp;INDEX('Equipe'!$D$2:$D$151,MATCH(N32,Equipe_Nome,0)),""))</f>
        <v/>
      </c>
      <c r="P32" s="34">
        <f>IF($A32="","",IFERROR(ROUND(LARGE('Calc_Afinidade'!AI$2:AI$151,4),2),""))</f>
        <v/>
      </c>
    </row>
    <row r="33">
      <c r="A33" s="15">
        <f>IF('Escala_Duplas'!$B33="","",'Escala_Duplas'!$B33)</f>
        <v/>
      </c>
      <c r="B33" s="15">
        <f>IF($A33="","",'Escala_Duplas'!$C33)</f>
        <v/>
      </c>
      <c r="C33" s="28">
        <f>IF($A33="","",IF('Calc_Mix'!$X33=0,"—",IFERROR(INDEX(Mix_Esp,MATCH(MAX('Calc_Mix'!$D33:$W33),'Calc_Mix'!$D33:$W33,0)),"—")))</f>
        <v/>
      </c>
      <c r="D33" s="32">
        <f>IF($A33="","",'Calc_Mix'!$X33)</f>
        <v/>
      </c>
      <c r="E33" s="28">
        <f>IF($A33="","",IFERROR(INDEX('Calc_Afinidade'!$B$2:$B$151,MATCH(LARGE('Calc_Afinidade'!AJ$2:AJ$151,1),'Calc_Afinidade'!AJ$2:AJ$151,0)),"—"))</f>
        <v/>
      </c>
      <c r="F33" s="28">
        <f>IF(E33="—","",IFERROR(INDEX(Equipe_Funcao,MATCH(E33,Equipe_Nome,0))&amp;" · "&amp;INDEX('Equipe'!$D$2:$D$151,MATCH(E33,Equipe_Nome,0)),""))</f>
        <v/>
      </c>
      <c r="G33" s="34">
        <f>IF($A33="","",IFERROR(ROUND(LARGE('Calc_Afinidade'!AJ$2:AJ$151,1),2),""))</f>
        <v/>
      </c>
      <c r="H33" s="28">
        <f>IF($A33="","",IFERROR(INDEX('Calc_Afinidade'!$B$2:$B$151,MATCH(LARGE('Calc_Afinidade'!AJ$2:AJ$151,2),'Calc_Afinidade'!AJ$2:AJ$151,0)),"—"))</f>
        <v/>
      </c>
      <c r="I33" s="28">
        <f>IF(H33="—","",IFERROR(INDEX(Equipe_Funcao,MATCH(H33,Equipe_Nome,0))&amp;" · "&amp;INDEX('Equipe'!$D$2:$D$151,MATCH(H33,Equipe_Nome,0)),""))</f>
        <v/>
      </c>
      <c r="J33" s="34">
        <f>IF($A33="","",IFERROR(ROUND(LARGE('Calc_Afinidade'!AJ$2:AJ$151,2),2),""))</f>
        <v/>
      </c>
      <c r="K33" s="28">
        <f>IF($A33="","",IFERROR(INDEX('Calc_Afinidade'!$B$2:$B$151,MATCH(LARGE('Calc_Afinidade'!AJ$2:AJ$151,3),'Calc_Afinidade'!AJ$2:AJ$151,0)),"—"))</f>
        <v/>
      </c>
      <c r="L33" s="28">
        <f>IF(K33="—","",IFERROR(INDEX(Equipe_Funcao,MATCH(K33,Equipe_Nome,0))&amp;" · "&amp;INDEX('Equipe'!$D$2:$D$151,MATCH(K33,Equipe_Nome,0)),""))</f>
        <v/>
      </c>
      <c r="M33" s="34">
        <f>IF($A33="","",IFERROR(ROUND(LARGE('Calc_Afinidade'!AJ$2:AJ$151,3),2),""))</f>
        <v/>
      </c>
      <c r="N33" s="28">
        <f>IF($A33="","",IFERROR(INDEX('Calc_Afinidade'!$B$2:$B$151,MATCH(LARGE('Calc_Afinidade'!AJ$2:AJ$151,4),'Calc_Afinidade'!AJ$2:AJ$151,0)),"—"))</f>
        <v/>
      </c>
      <c r="O33" s="28">
        <f>IF(N33="—","",IFERROR(INDEX(Equipe_Funcao,MATCH(N33,Equipe_Nome,0))&amp;" · "&amp;INDEX('Equipe'!$D$2:$D$151,MATCH(N33,Equipe_Nome,0)),""))</f>
        <v/>
      </c>
      <c r="P33" s="34">
        <f>IF($A33="","",IFERROR(ROUND(LARGE('Calc_Afinidade'!AJ$2:AJ$151,4),2),""))</f>
        <v/>
      </c>
    </row>
    <row r="34">
      <c r="A34" s="15">
        <f>IF('Escala_Duplas'!$B34="","",'Escala_Duplas'!$B34)</f>
        <v/>
      </c>
      <c r="B34" s="15">
        <f>IF($A34="","",'Escala_Duplas'!$C34)</f>
        <v/>
      </c>
      <c r="C34" s="28">
        <f>IF($A34="","",IF('Calc_Mix'!$X34=0,"—",IFERROR(INDEX(Mix_Esp,MATCH(MAX('Calc_Mix'!$D34:$W34),'Calc_Mix'!$D34:$W34,0)),"—")))</f>
        <v/>
      </c>
      <c r="D34" s="32">
        <f>IF($A34="","",'Calc_Mix'!$X34)</f>
        <v/>
      </c>
      <c r="E34" s="28">
        <f>IF($A34="","",IFERROR(INDEX('Calc_Afinidade'!$B$2:$B$151,MATCH(LARGE('Calc_Afinidade'!AK$2:AK$151,1),'Calc_Afinidade'!AK$2:AK$151,0)),"—"))</f>
        <v/>
      </c>
      <c r="F34" s="28">
        <f>IF(E34="—","",IFERROR(INDEX(Equipe_Funcao,MATCH(E34,Equipe_Nome,0))&amp;" · "&amp;INDEX('Equipe'!$D$2:$D$151,MATCH(E34,Equipe_Nome,0)),""))</f>
        <v/>
      </c>
      <c r="G34" s="34">
        <f>IF($A34="","",IFERROR(ROUND(LARGE('Calc_Afinidade'!AK$2:AK$151,1),2),""))</f>
        <v/>
      </c>
      <c r="H34" s="28">
        <f>IF($A34="","",IFERROR(INDEX('Calc_Afinidade'!$B$2:$B$151,MATCH(LARGE('Calc_Afinidade'!AK$2:AK$151,2),'Calc_Afinidade'!AK$2:AK$151,0)),"—"))</f>
        <v/>
      </c>
      <c r="I34" s="28">
        <f>IF(H34="—","",IFERROR(INDEX(Equipe_Funcao,MATCH(H34,Equipe_Nome,0))&amp;" · "&amp;INDEX('Equipe'!$D$2:$D$151,MATCH(H34,Equipe_Nome,0)),""))</f>
        <v/>
      </c>
      <c r="J34" s="34">
        <f>IF($A34="","",IFERROR(ROUND(LARGE('Calc_Afinidade'!AK$2:AK$151,2),2),""))</f>
        <v/>
      </c>
      <c r="K34" s="28">
        <f>IF($A34="","",IFERROR(INDEX('Calc_Afinidade'!$B$2:$B$151,MATCH(LARGE('Calc_Afinidade'!AK$2:AK$151,3),'Calc_Afinidade'!AK$2:AK$151,0)),"—"))</f>
        <v/>
      </c>
      <c r="L34" s="28">
        <f>IF(K34="—","",IFERROR(INDEX(Equipe_Funcao,MATCH(K34,Equipe_Nome,0))&amp;" · "&amp;INDEX('Equipe'!$D$2:$D$151,MATCH(K34,Equipe_Nome,0)),""))</f>
        <v/>
      </c>
      <c r="M34" s="34">
        <f>IF($A34="","",IFERROR(ROUND(LARGE('Calc_Afinidade'!AK$2:AK$151,3),2),""))</f>
        <v/>
      </c>
      <c r="N34" s="28">
        <f>IF($A34="","",IFERROR(INDEX('Calc_Afinidade'!$B$2:$B$151,MATCH(LARGE('Calc_Afinidade'!AK$2:AK$151,4),'Calc_Afinidade'!AK$2:AK$151,0)),"—"))</f>
        <v/>
      </c>
      <c r="O34" s="28">
        <f>IF(N34="—","",IFERROR(INDEX(Equipe_Funcao,MATCH(N34,Equipe_Nome,0))&amp;" · "&amp;INDEX('Equipe'!$D$2:$D$151,MATCH(N34,Equipe_Nome,0)),""))</f>
        <v/>
      </c>
      <c r="P34" s="34">
        <f>IF($A34="","",IFERROR(ROUND(LARGE('Calc_Afinidade'!AK$2:AK$151,4),2),""))</f>
        <v/>
      </c>
    </row>
    <row r="35">
      <c r="A35" s="15">
        <f>IF('Escala_Duplas'!$B35="","",'Escala_Duplas'!$B35)</f>
        <v/>
      </c>
      <c r="B35" s="15">
        <f>IF($A35="","",'Escala_Duplas'!$C35)</f>
        <v/>
      </c>
      <c r="C35" s="28">
        <f>IF($A35="","",IF('Calc_Mix'!$X35=0,"—",IFERROR(INDEX(Mix_Esp,MATCH(MAX('Calc_Mix'!$D35:$W35),'Calc_Mix'!$D35:$W35,0)),"—")))</f>
        <v/>
      </c>
      <c r="D35" s="32">
        <f>IF($A35="","",'Calc_Mix'!$X35)</f>
        <v/>
      </c>
      <c r="E35" s="28">
        <f>IF($A35="","",IFERROR(INDEX('Calc_Afinidade'!$B$2:$B$151,MATCH(LARGE('Calc_Afinidade'!AL$2:AL$151,1),'Calc_Afinidade'!AL$2:AL$151,0)),"—"))</f>
        <v/>
      </c>
      <c r="F35" s="28">
        <f>IF(E35="—","",IFERROR(INDEX(Equipe_Funcao,MATCH(E35,Equipe_Nome,0))&amp;" · "&amp;INDEX('Equipe'!$D$2:$D$151,MATCH(E35,Equipe_Nome,0)),""))</f>
        <v/>
      </c>
      <c r="G35" s="34">
        <f>IF($A35="","",IFERROR(ROUND(LARGE('Calc_Afinidade'!AL$2:AL$151,1),2),""))</f>
        <v/>
      </c>
      <c r="H35" s="28">
        <f>IF($A35="","",IFERROR(INDEX('Calc_Afinidade'!$B$2:$B$151,MATCH(LARGE('Calc_Afinidade'!AL$2:AL$151,2),'Calc_Afinidade'!AL$2:AL$151,0)),"—"))</f>
        <v/>
      </c>
      <c r="I35" s="28">
        <f>IF(H35="—","",IFERROR(INDEX(Equipe_Funcao,MATCH(H35,Equipe_Nome,0))&amp;" · "&amp;INDEX('Equipe'!$D$2:$D$151,MATCH(H35,Equipe_Nome,0)),""))</f>
        <v/>
      </c>
      <c r="J35" s="34">
        <f>IF($A35="","",IFERROR(ROUND(LARGE('Calc_Afinidade'!AL$2:AL$151,2),2),""))</f>
        <v/>
      </c>
      <c r="K35" s="28">
        <f>IF($A35="","",IFERROR(INDEX('Calc_Afinidade'!$B$2:$B$151,MATCH(LARGE('Calc_Afinidade'!AL$2:AL$151,3),'Calc_Afinidade'!AL$2:AL$151,0)),"—"))</f>
        <v/>
      </c>
      <c r="L35" s="28">
        <f>IF(K35="—","",IFERROR(INDEX(Equipe_Funcao,MATCH(K35,Equipe_Nome,0))&amp;" · "&amp;INDEX('Equipe'!$D$2:$D$151,MATCH(K35,Equipe_Nome,0)),""))</f>
        <v/>
      </c>
      <c r="M35" s="34">
        <f>IF($A35="","",IFERROR(ROUND(LARGE('Calc_Afinidade'!AL$2:AL$151,3),2),""))</f>
        <v/>
      </c>
      <c r="N35" s="28">
        <f>IF($A35="","",IFERROR(INDEX('Calc_Afinidade'!$B$2:$B$151,MATCH(LARGE('Calc_Afinidade'!AL$2:AL$151,4),'Calc_Afinidade'!AL$2:AL$151,0)),"—"))</f>
        <v/>
      </c>
      <c r="O35" s="28">
        <f>IF(N35="—","",IFERROR(INDEX(Equipe_Funcao,MATCH(N35,Equipe_Nome,0))&amp;" · "&amp;INDEX('Equipe'!$D$2:$D$151,MATCH(N35,Equipe_Nome,0)),""))</f>
        <v/>
      </c>
      <c r="P35" s="34">
        <f>IF($A35="","",IFERROR(ROUND(LARGE('Calc_Afinidade'!AL$2:AL$151,4),2),""))</f>
        <v/>
      </c>
    </row>
    <row r="36">
      <c r="A36" s="15">
        <f>IF('Escala_Duplas'!$B36="","",'Escala_Duplas'!$B36)</f>
        <v/>
      </c>
      <c r="B36" s="15">
        <f>IF($A36="","",'Escala_Duplas'!$C36)</f>
        <v/>
      </c>
      <c r="C36" s="28">
        <f>IF($A36="","",IF('Calc_Mix'!$X36=0,"—",IFERROR(INDEX(Mix_Esp,MATCH(MAX('Calc_Mix'!$D36:$W36),'Calc_Mix'!$D36:$W36,0)),"—")))</f>
        <v/>
      </c>
      <c r="D36" s="32">
        <f>IF($A36="","",'Calc_Mix'!$X36)</f>
        <v/>
      </c>
      <c r="E36" s="28">
        <f>IF($A36="","",IFERROR(INDEX('Calc_Afinidade'!$B$2:$B$151,MATCH(LARGE('Calc_Afinidade'!AM$2:AM$151,1),'Calc_Afinidade'!AM$2:AM$151,0)),"—"))</f>
        <v/>
      </c>
      <c r="F36" s="28">
        <f>IF(E36="—","",IFERROR(INDEX(Equipe_Funcao,MATCH(E36,Equipe_Nome,0))&amp;" · "&amp;INDEX('Equipe'!$D$2:$D$151,MATCH(E36,Equipe_Nome,0)),""))</f>
        <v/>
      </c>
      <c r="G36" s="34">
        <f>IF($A36="","",IFERROR(ROUND(LARGE('Calc_Afinidade'!AM$2:AM$151,1),2),""))</f>
        <v/>
      </c>
      <c r="H36" s="28">
        <f>IF($A36="","",IFERROR(INDEX('Calc_Afinidade'!$B$2:$B$151,MATCH(LARGE('Calc_Afinidade'!AM$2:AM$151,2),'Calc_Afinidade'!AM$2:AM$151,0)),"—"))</f>
        <v/>
      </c>
      <c r="I36" s="28">
        <f>IF(H36="—","",IFERROR(INDEX(Equipe_Funcao,MATCH(H36,Equipe_Nome,0))&amp;" · "&amp;INDEX('Equipe'!$D$2:$D$151,MATCH(H36,Equipe_Nome,0)),""))</f>
        <v/>
      </c>
      <c r="J36" s="34">
        <f>IF($A36="","",IFERROR(ROUND(LARGE('Calc_Afinidade'!AM$2:AM$151,2),2),""))</f>
        <v/>
      </c>
      <c r="K36" s="28">
        <f>IF($A36="","",IFERROR(INDEX('Calc_Afinidade'!$B$2:$B$151,MATCH(LARGE('Calc_Afinidade'!AM$2:AM$151,3),'Calc_Afinidade'!AM$2:AM$151,0)),"—"))</f>
        <v/>
      </c>
      <c r="L36" s="28">
        <f>IF(K36="—","",IFERROR(INDEX(Equipe_Funcao,MATCH(K36,Equipe_Nome,0))&amp;" · "&amp;INDEX('Equipe'!$D$2:$D$151,MATCH(K36,Equipe_Nome,0)),""))</f>
        <v/>
      </c>
      <c r="M36" s="34">
        <f>IF($A36="","",IFERROR(ROUND(LARGE('Calc_Afinidade'!AM$2:AM$151,3),2),""))</f>
        <v/>
      </c>
      <c r="N36" s="28">
        <f>IF($A36="","",IFERROR(INDEX('Calc_Afinidade'!$B$2:$B$151,MATCH(LARGE('Calc_Afinidade'!AM$2:AM$151,4),'Calc_Afinidade'!AM$2:AM$151,0)),"—"))</f>
        <v/>
      </c>
      <c r="O36" s="28">
        <f>IF(N36="—","",IFERROR(INDEX(Equipe_Funcao,MATCH(N36,Equipe_Nome,0))&amp;" · "&amp;INDEX('Equipe'!$D$2:$D$151,MATCH(N36,Equipe_Nome,0)),""))</f>
        <v/>
      </c>
      <c r="P36" s="34">
        <f>IF($A36="","",IFERROR(ROUND(LARGE('Calc_Afinidade'!AM$2:AM$151,4),2),""))</f>
        <v/>
      </c>
    </row>
    <row r="37">
      <c r="A37" s="15">
        <f>IF('Escala_Duplas'!$B37="","",'Escala_Duplas'!$B37)</f>
        <v/>
      </c>
      <c r="B37" s="15">
        <f>IF($A37="","",'Escala_Duplas'!$C37)</f>
        <v/>
      </c>
      <c r="C37" s="28">
        <f>IF($A37="","",IF('Calc_Mix'!$X37=0,"—",IFERROR(INDEX(Mix_Esp,MATCH(MAX('Calc_Mix'!$D37:$W37),'Calc_Mix'!$D37:$W37,0)),"—")))</f>
        <v/>
      </c>
      <c r="D37" s="32">
        <f>IF($A37="","",'Calc_Mix'!$X37)</f>
        <v/>
      </c>
      <c r="E37" s="28">
        <f>IF($A37="","",IFERROR(INDEX('Calc_Afinidade'!$B$2:$B$151,MATCH(LARGE('Calc_Afinidade'!AN$2:AN$151,1),'Calc_Afinidade'!AN$2:AN$151,0)),"—"))</f>
        <v/>
      </c>
      <c r="F37" s="28">
        <f>IF(E37="—","",IFERROR(INDEX(Equipe_Funcao,MATCH(E37,Equipe_Nome,0))&amp;" · "&amp;INDEX('Equipe'!$D$2:$D$151,MATCH(E37,Equipe_Nome,0)),""))</f>
        <v/>
      </c>
      <c r="G37" s="34">
        <f>IF($A37="","",IFERROR(ROUND(LARGE('Calc_Afinidade'!AN$2:AN$151,1),2),""))</f>
        <v/>
      </c>
      <c r="H37" s="28">
        <f>IF($A37="","",IFERROR(INDEX('Calc_Afinidade'!$B$2:$B$151,MATCH(LARGE('Calc_Afinidade'!AN$2:AN$151,2),'Calc_Afinidade'!AN$2:AN$151,0)),"—"))</f>
        <v/>
      </c>
      <c r="I37" s="28">
        <f>IF(H37="—","",IFERROR(INDEX(Equipe_Funcao,MATCH(H37,Equipe_Nome,0))&amp;" · "&amp;INDEX('Equipe'!$D$2:$D$151,MATCH(H37,Equipe_Nome,0)),""))</f>
        <v/>
      </c>
      <c r="J37" s="34">
        <f>IF($A37="","",IFERROR(ROUND(LARGE('Calc_Afinidade'!AN$2:AN$151,2),2),""))</f>
        <v/>
      </c>
      <c r="K37" s="28">
        <f>IF($A37="","",IFERROR(INDEX('Calc_Afinidade'!$B$2:$B$151,MATCH(LARGE('Calc_Afinidade'!AN$2:AN$151,3),'Calc_Afinidade'!AN$2:AN$151,0)),"—"))</f>
        <v/>
      </c>
      <c r="L37" s="28">
        <f>IF(K37="—","",IFERROR(INDEX(Equipe_Funcao,MATCH(K37,Equipe_Nome,0))&amp;" · "&amp;INDEX('Equipe'!$D$2:$D$151,MATCH(K37,Equipe_Nome,0)),""))</f>
        <v/>
      </c>
      <c r="M37" s="34">
        <f>IF($A37="","",IFERROR(ROUND(LARGE('Calc_Afinidade'!AN$2:AN$151,3),2),""))</f>
        <v/>
      </c>
      <c r="N37" s="28">
        <f>IF($A37="","",IFERROR(INDEX('Calc_Afinidade'!$B$2:$B$151,MATCH(LARGE('Calc_Afinidade'!AN$2:AN$151,4),'Calc_Afinidade'!AN$2:AN$151,0)),"—"))</f>
        <v/>
      </c>
      <c r="O37" s="28">
        <f>IF(N37="—","",IFERROR(INDEX(Equipe_Funcao,MATCH(N37,Equipe_Nome,0))&amp;" · "&amp;INDEX('Equipe'!$D$2:$D$151,MATCH(N37,Equipe_Nome,0)),""))</f>
        <v/>
      </c>
      <c r="P37" s="34">
        <f>IF($A37="","",IFERROR(ROUND(LARGE('Calc_Afinidade'!AN$2:AN$151,4),2),""))</f>
        <v/>
      </c>
    </row>
  </sheetData>
  <autoFilter ref="A1:P37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3" customWidth="1" min="9" max="9"/>
  </cols>
  <sheetData>
    <row r="1" ht="22" customHeight="1">
      <c r="A1" s="1" t="inlineStr">
        <is>
          <t>PAINEL DO CENTRO CIRÚRGICO</t>
        </is>
      </c>
    </row>
    <row r="2">
      <c r="A2" s="2" t="inlineStr">
        <is>
          <t>Camada executiva. Todos os números vêm de fórmulas vivas sobre Mapa_Cirurgico e Escala_Duplas — altere qualquer entrada e este painel se atualiza.</t>
        </is>
      </c>
    </row>
    <row r="4">
      <c r="A4" s="9" t="inlineStr">
        <is>
          <t>1. INDICADORES DO DIA</t>
        </is>
      </c>
    </row>
    <row r="5" ht="32" customHeight="1">
      <c r="A5" s="14" t="inlineStr">
        <is>
          <t>Data do mapa</t>
        </is>
      </c>
      <c r="B5" s="14" t="inlineStr">
        <is>
          <t>Cirurgias programadas</t>
        </is>
      </c>
      <c r="C5" s="14" t="inlineStr">
        <is>
          <t>Canceladas / suspensas</t>
        </is>
      </c>
      <c r="D5" s="14" t="inlineStr">
        <is>
          <t>Horas cirúrgicas</t>
        </is>
      </c>
      <c r="E5" s="14" t="inlineStr">
        <is>
          <t>Ocupação média das salas</t>
        </is>
      </c>
      <c r="F5" s="14" t="inlineStr">
        <is>
          <t>Afinidade média das duplas</t>
        </is>
      </c>
      <c r="G5" s="14" t="inlineStr">
        <is>
          <t>Duplas com alerta</t>
        </is>
      </c>
      <c r="H5" s="14" t="inlineStr">
        <is>
          <t>Técnicos escalados</t>
        </is>
      </c>
    </row>
    <row r="6" ht="26" customHeight="1">
      <c r="A6" s="38">
        <f>Data_Mapa</f>
        <v/>
      </c>
      <c r="B6" s="39">
        <f>COUNTIFS(Mapa_MinOcup,"&gt;0")</f>
        <v/>
      </c>
      <c r="C6" s="39">
        <f>COUNTIF(Mapa_Status,"Cancelada")+COUNTIF(Mapa_Status,"Suspensa")</f>
        <v/>
      </c>
      <c r="D6" s="40">
        <f>SUMIFS(Mapa_Dur,Mapa_MinOcup,"&gt;0")/60</f>
        <v/>
      </c>
      <c r="E6" s="41">
        <f>IFERROR(SUM(Esc_MinOcup)/SUM(Esc_MinTurno),"")</f>
        <v/>
      </c>
      <c r="F6" s="42">
        <f>IFERROR(SUMPRODUCT(Esc_AfinNum,Esc_Peso)/SUM(Esc_Peso),"")</f>
        <v/>
      </c>
      <c r="G6" s="39">
        <f>SUMPRODUCT((Esc_Alertas&lt;&gt;"OK")*(Esc_Alertas&lt;&gt;""))</f>
        <v/>
      </c>
      <c r="H6" s="39">
        <f>SUMPRODUCT((Equipe_Nome&lt;&gt;"")*((COUNTIF(Esc_Circ,Equipe_Nome)+COUNTIF(Esc_Instr,Equipe_Nome))&gt;0))</f>
        <v/>
      </c>
    </row>
    <row r="8">
      <c r="A8" s="9" t="inlineStr">
        <is>
          <t>2. DESEMPENHO POR SALA</t>
        </is>
      </c>
    </row>
    <row r="9" ht="30" customHeight="1">
      <c r="A9" s="14" t="inlineStr">
        <is>
          <t>Sala</t>
        </is>
      </c>
      <c r="B9" s="14" t="inlineStr">
        <is>
          <t>Descrição</t>
        </is>
      </c>
      <c r="C9" s="14" t="inlineStr">
        <is>
          <t>Nº cirurgias</t>
        </is>
      </c>
      <c r="D9" s="14" t="inlineStr">
        <is>
          <t>Horas de ocupação</t>
        </is>
      </c>
      <c r="E9" s="14" t="inlineStr">
        <is>
          <t>Ocupação média</t>
        </is>
      </c>
      <c r="F9" s="14" t="inlineStr">
        <is>
          <t>Afinidade média</t>
        </is>
      </c>
      <c r="G9" s="14" t="inlineStr">
        <is>
          <t>Duplas críticas</t>
        </is>
      </c>
      <c r="H9" s="14" t="inlineStr">
        <is>
          <t>Duplas com alerta</t>
        </is>
      </c>
    </row>
    <row r="10">
      <c r="A10" s="15">
        <f>IF('Salas'!$A$2="","",'Salas'!$A$2)</f>
        <v/>
      </c>
      <c r="B10" s="17">
        <f>IF($A10="","",'Salas'!$B$2)</f>
        <v/>
      </c>
      <c r="C10" s="15">
        <f>IF($A10="","",SUMIFS(Esc_NCir,Esc_Sala,$A10))</f>
        <v/>
      </c>
      <c r="D10" s="43">
        <f>IF($A10="","",SUMIFS(Esc_MinOcup,Esc_Sala,$A10)/60)</f>
        <v/>
      </c>
      <c r="E10" s="33">
        <f>IF(OR($A10="",SUMIFS(Esc_MinTurno,Esc_Sala,$A10)=0),"",SUMIFS(Esc_MinOcup,Esc_Sala,$A10)/SUMIFS(Esc_MinTurno,Esc_Sala,$A10))</f>
        <v/>
      </c>
      <c r="F10" s="34">
        <f>IF($A10="","",IFERROR(SUMPRODUCT((Esc_Sala=$A10)*Esc_AfinNum*Esc_Peso)/SUMPRODUCT((Esc_Sala=$A10)*Esc_Peso),""))</f>
        <v/>
      </c>
      <c r="G10" s="15">
        <f>IF($A10="","",COUNTIFS(Esc_Sala,$A10,Esc_Class,"CRÍTICA")+COUNTIFS(Esc_Sala,$A10,Esc_Class,"SEM DUPLA"))</f>
        <v/>
      </c>
      <c r="H10" s="15">
        <f>IF($A10="","",SUMPRODUCT((Esc_Sala=$A10)*(Esc_Alertas&lt;&gt;"OK")*(Esc_Alertas&lt;&gt;"")))</f>
        <v/>
      </c>
    </row>
    <row r="11">
      <c r="A11" s="15">
        <f>IF('Salas'!$A$3="","",'Salas'!$A$3)</f>
        <v/>
      </c>
      <c r="B11" s="17">
        <f>IF($A11="","",'Salas'!$B$3)</f>
        <v/>
      </c>
      <c r="C11" s="15">
        <f>IF($A11="","",SUMIFS(Esc_NCir,Esc_Sala,$A11))</f>
        <v/>
      </c>
      <c r="D11" s="43">
        <f>IF($A11="","",SUMIFS(Esc_MinOcup,Esc_Sala,$A11)/60)</f>
        <v/>
      </c>
      <c r="E11" s="33">
        <f>IF(OR($A11="",SUMIFS(Esc_MinTurno,Esc_Sala,$A11)=0),"",SUMIFS(Esc_MinOcup,Esc_Sala,$A11)/SUMIFS(Esc_MinTurno,Esc_Sala,$A11))</f>
        <v/>
      </c>
      <c r="F11" s="34">
        <f>IF($A11="","",IFERROR(SUMPRODUCT((Esc_Sala=$A11)*Esc_AfinNum*Esc_Peso)/SUMPRODUCT((Esc_Sala=$A11)*Esc_Peso),""))</f>
        <v/>
      </c>
      <c r="G11" s="15">
        <f>IF($A11="","",COUNTIFS(Esc_Sala,$A11,Esc_Class,"CRÍTICA")+COUNTIFS(Esc_Sala,$A11,Esc_Class,"SEM DUPLA"))</f>
        <v/>
      </c>
      <c r="H11" s="15">
        <f>IF($A11="","",SUMPRODUCT((Esc_Sala=$A11)*(Esc_Alertas&lt;&gt;"OK")*(Esc_Alertas&lt;&gt;"")))</f>
        <v/>
      </c>
    </row>
    <row r="12">
      <c r="A12" s="15">
        <f>IF('Salas'!$A$4="","",'Salas'!$A$4)</f>
        <v/>
      </c>
      <c r="B12" s="17">
        <f>IF($A12="","",'Salas'!$B$4)</f>
        <v/>
      </c>
      <c r="C12" s="15">
        <f>IF($A12="","",SUMIFS(Esc_NCir,Esc_Sala,$A12))</f>
        <v/>
      </c>
      <c r="D12" s="43">
        <f>IF($A12="","",SUMIFS(Esc_MinOcup,Esc_Sala,$A12)/60)</f>
        <v/>
      </c>
      <c r="E12" s="33">
        <f>IF(OR($A12="",SUMIFS(Esc_MinTurno,Esc_Sala,$A12)=0),"",SUMIFS(Esc_MinOcup,Esc_Sala,$A12)/SUMIFS(Esc_MinTurno,Esc_Sala,$A12))</f>
        <v/>
      </c>
      <c r="F12" s="34">
        <f>IF($A12="","",IFERROR(SUMPRODUCT((Esc_Sala=$A12)*Esc_AfinNum*Esc_Peso)/SUMPRODUCT((Esc_Sala=$A12)*Esc_Peso),""))</f>
        <v/>
      </c>
      <c r="G12" s="15">
        <f>IF($A12="","",COUNTIFS(Esc_Sala,$A12,Esc_Class,"CRÍTICA")+COUNTIFS(Esc_Sala,$A12,Esc_Class,"SEM DUPLA"))</f>
        <v/>
      </c>
      <c r="H12" s="15">
        <f>IF($A12="","",SUMPRODUCT((Esc_Sala=$A12)*(Esc_Alertas&lt;&gt;"OK")*(Esc_Alertas&lt;&gt;"")))</f>
        <v/>
      </c>
    </row>
    <row r="13">
      <c r="A13" s="15">
        <f>IF('Salas'!$A$5="","",'Salas'!$A$5)</f>
        <v/>
      </c>
      <c r="B13" s="17">
        <f>IF($A13="","",'Salas'!$B$5)</f>
        <v/>
      </c>
      <c r="C13" s="15">
        <f>IF($A13="","",SUMIFS(Esc_NCir,Esc_Sala,$A13))</f>
        <v/>
      </c>
      <c r="D13" s="43">
        <f>IF($A13="","",SUMIFS(Esc_MinOcup,Esc_Sala,$A13)/60)</f>
        <v/>
      </c>
      <c r="E13" s="33">
        <f>IF(OR($A13="",SUMIFS(Esc_MinTurno,Esc_Sala,$A13)=0),"",SUMIFS(Esc_MinOcup,Esc_Sala,$A13)/SUMIFS(Esc_MinTurno,Esc_Sala,$A13))</f>
        <v/>
      </c>
      <c r="F13" s="34">
        <f>IF($A13="","",IFERROR(SUMPRODUCT((Esc_Sala=$A13)*Esc_AfinNum*Esc_Peso)/SUMPRODUCT((Esc_Sala=$A13)*Esc_Peso),""))</f>
        <v/>
      </c>
      <c r="G13" s="15">
        <f>IF($A13="","",COUNTIFS(Esc_Sala,$A13,Esc_Class,"CRÍTICA")+COUNTIFS(Esc_Sala,$A13,Esc_Class,"SEM DUPLA"))</f>
        <v/>
      </c>
      <c r="H13" s="15">
        <f>IF($A13="","",SUMPRODUCT((Esc_Sala=$A13)*(Esc_Alertas&lt;&gt;"OK")*(Esc_Alertas&lt;&gt;"")))</f>
        <v/>
      </c>
    </row>
    <row r="14">
      <c r="A14" s="15">
        <f>IF('Salas'!$A$6="","",'Salas'!$A$6)</f>
        <v/>
      </c>
      <c r="B14" s="17">
        <f>IF($A14="","",'Salas'!$B$6)</f>
        <v/>
      </c>
      <c r="C14" s="15">
        <f>IF($A14="","",SUMIFS(Esc_NCir,Esc_Sala,$A14))</f>
        <v/>
      </c>
      <c r="D14" s="43">
        <f>IF($A14="","",SUMIFS(Esc_MinOcup,Esc_Sala,$A14)/60)</f>
        <v/>
      </c>
      <c r="E14" s="33">
        <f>IF(OR($A14="",SUMIFS(Esc_MinTurno,Esc_Sala,$A14)=0),"",SUMIFS(Esc_MinOcup,Esc_Sala,$A14)/SUMIFS(Esc_MinTurno,Esc_Sala,$A14))</f>
        <v/>
      </c>
      <c r="F14" s="34">
        <f>IF($A14="","",IFERROR(SUMPRODUCT((Esc_Sala=$A14)*Esc_AfinNum*Esc_Peso)/SUMPRODUCT((Esc_Sala=$A14)*Esc_Peso),""))</f>
        <v/>
      </c>
      <c r="G14" s="15">
        <f>IF($A14="","",COUNTIFS(Esc_Sala,$A14,Esc_Class,"CRÍTICA")+COUNTIFS(Esc_Sala,$A14,Esc_Class,"SEM DUPLA"))</f>
        <v/>
      </c>
      <c r="H14" s="15">
        <f>IF($A14="","",SUMPRODUCT((Esc_Sala=$A14)*(Esc_Alertas&lt;&gt;"OK")*(Esc_Alertas&lt;&gt;"")))</f>
        <v/>
      </c>
    </row>
    <row r="15">
      <c r="A15" s="15">
        <f>IF('Salas'!$A$7="","",'Salas'!$A$7)</f>
        <v/>
      </c>
      <c r="B15" s="17">
        <f>IF($A15="","",'Salas'!$B$7)</f>
        <v/>
      </c>
      <c r="C15" s="15">
        <f>IF($A15="","",SUMIFS(Esc_NCir,Esc_Sala,$A15))</f>
        <v/>
      </c>
      <c r="D15" s="43">
        <f>IF($A15="","",SUMIFS(Esc_MinOcup,Esc_Sala,$A15)/60)</f>
        <v/>
      </c>
      <c r="E15" s="33">
        <f>IF(OR($A15="",SUMIFS(Esc_MinTurno,Esc_Sala,$A15)=0),"",SUMIFS(Esc_MinOcup,Esc_Sala,$A15)/SUMIFS(Esc_MinTurno,Esc_Sala,$A15))</f>
        <v/>
      </c>
      <c r="F15" s="34">
        <f>IF($A15="","",IFERROR(SUMPRODUCT((Esc_Sala=$A15)*Esc_AfinNum*Esc_Peso)/SUMPRODUCT((Esc_Sala=$A15)*Esc_Peso),""))</f>
        <v/>
      </c>
      <c r="G15" s="15">
        <f>IF($A15="","",COUNTIFS(Esc_Sala,$A15,Esc_Class,"CRÍTICA")+COUNTIFS(Esc_Sala,$A15,Esc_Class,"SEM DUPLA"))</f>
        <v/>
      </c>
      <c r="H15" s="15">
        <f>IF($A15="","",SUMPRODUCT((Esc_Sala=$A15)*(Esc_Alertas&lt;&gt;"OK")*(Esc_Alertas&lt;&gt;"")))</f>
        <v/>
      </c>
    </row>
    <row r="16">
      <c r="A16" s="15">
        <f>IF('Salas'!$A$8="","",'Salas'!$A$8)</f>
        <v/>
      </c>
      <c r="B16" s="17">
        <f>IF($A16="","",'Salas'!$B$8)</f>
        <v/>
      </c>
      <c r="C16" s="15">
        <f>IF($A16="","",SUMIFS(Esc_NCir,Esc_Sala,$A16))</f>
        <v/>
      </c>
      <c r="D16" s="43">
        <f>IF($A16="","",SUMIFS(Esc_MinOcup,Esc_Sala,$A16)/60)</f>
        <v/>
      </c>
      <c r="E16" s="33">
        <f>IF(OR($A16="",SUMIFS(Esc_MinTurno,Esc_Sala,$A16)=0),"",SUMIFS(Esc_MinOcup,Esc_Sala,$A16)/SUMIFS(Esc_MinTurno,Esc_Sala,$A16))</f>
        <v/>
      </c>
      <c r="F16" s="34">
        <f>IF($A16="","",IFERROR(SUMPRODUCT((Esc_Sala=$A16)*Esc_AfinNum*Esc_Peso)/SUMPRODUCT((Esc_Sala=$A16)*Esc_Peso),""))</f>
        <v/>
      </c>
      <c r="G16" s="15">
        <f>IF($A16="","",COUNTIFS(Esc_Sala,$A16,Esc_Class,"CRÍTICA")+COUNTIFS(Esc_Sala,$A16,Esc_Class,"SEM DUPLA"))</f>
        <v/>
      </c>
      <c r="H16" s="15">
        <f>IF($A16="","",SUMPRODUCT((Esc_Sala=$A16)*(Esc_Alertas&lt;&gt;"OK")*(Esc_Alertas&lt;&gt;"")))</f>
        <v/>
      </c>
    </row>
    <row r="17">
      <c r="A17" s="15">
        <f>IF('Salas'!$A$9="","",'Salas'!$A$9)</f>
        <v/>
      </c>
      <c r="B17" s="17">
        <f>IF($A17="","",'Salas'!$B$9)</f>
        <v/>
      </c>
      <c r="C17" s="15">
        <f>IF($A17="","",SUMIFS(Esc_NCir,Esc_Sala,$A17))</f>
        <v/>
      </c>
      <c r="D17" s="43">
        <f>IF($A17="","",SUMIFS(Esc_MinOcup,Esc_Sala,$A17)/60)</f>
        <v/>
      </c>
      <c r="E17" s="33">
        <f>IF(OR($A17="",SUMIFS(Esc_MinTurno,Esc_Sala,$A17)=0),"",SUMIFS(Esc_MinOcup,Esc_Sala,$A17)/SUMIFS(Esc_MinTurno,Esc_Sala,$A17))</f>
        <v/>
      </c>
      <c r="F17" s="34">
        <f>IF($A17="","",IFERROR(SUMPRODUCT((Esc_Sala=$A17)*Esc_AfinNum*Esc_Peso)/SUMPRODUCT((Esc_Sala=$A17)*Esc_Peso),""))</f>
        <v/>
      </c>
      <c r="G17" s="15">
        <f>IF($A17="","",COUNTIFS(Esc_Sala,$A17,Esc_Class,"CRÍTICA")+COUNTIFS(Esc_Sala,$A17,Esc_Class,"SEM DUPLA"))</f>
        <v/>
      </c>
      <c r="H17" s="15">
        <f>IF($A17="","",SUMPRODUCT((Esc_Sala=$A17)*(Esc_Alertas&lt;&gt;"OK")*(Esc_Alertas&lt;&gt;"")))</f>
        <v/>
      </c>
    </row>
    <row r="18">
      <c r="A18" s="15">
        <f>IF('Salas'!$A$10="","",'Salas'!$A$10)</f>
        <v/>
      </c>
      <c r="B18" s="17">
        <f>IF($A18="","",'Salas'!$B$10)</f>
        <v/>
      </c>
      <c r="C18" s="15">
        <f>IF($A18="","",SUMIFS(Esc_NCir,Esc_Sala,$A18))</f>
        <v/>
      </c>
      <c r="D18" s="43">
        <f>IF($A18="","",SUMIFS(Esc_MinOcup,Esc_Sala,$A18)/60)</f>
        <v/>
      </c>
      <c r="E18" s="33">
        <f>IF(OR($A18="",SUMIFS(Esc_MinTurno,Esc_Sala,$A18)=0),"",SUMIFS(Esc_MinOcup,Esc_Sala,$A18)/SUMIFS(Esc_MinTurno,Esc_Sala,$A18))</f>
        <v/>
      </c>
      <c r="F18" s="34">
        <f>IF($A18="","",IFERROR(SUMPRODUCT((Esc_Sala=$A18)*Esc_AfinNum*Esc_Peso)/SUMPRODUCT((Esc_Sala=$A18)*Esc_Peso),""))</f>
        <v/>
      </c>
      <c r="G18" s="15">
        <f>IF($A18="","",COUNTIFS(Esc_Sala,$A18,Esc_Class,"CRÍTICA")+COUNTIFS(Esc_Sala,$A18,Esc_Class,"SEM DUPLA"))</f>
        <v/>
      </c>
      <c r="H18" s="15">
        <f>IF($A18="","",SUMPRODUCT((Esc_Sala=$A18)*(Esc_Alertas&lt;&gt;"OK")*(Esc_Alertas&lt;&gt;"")))</f>
        <v/>
      </c>
    </row>
    <row r="19">
      <c r="A19" s="15">
        <f>IF('Salas'!$A$11="","",'Salas'!$A$11)</f>
        <v/>
      </c>
      <c r="B19" s="17">
        <f>IF($A19="","",'Salas'!$B$11)</f>
        <v/>
      </c>
      <c r="C19" s="15">
        <f>IF($A19="","",SUMIFS(Esc_NCir,Esc_Sala,$A19))</f>
        <v/>
      </c>
      <c r="D19" s="43">
        <f>IF($A19="","",SUMIFS(Esc_MinOcup,Esc_Sala,$A19)/60)</f>
        <v/>
      </c>
      <c r="E19" s="33">
        <f>IF(OR($A19="",SUMIFS(Esc_MinTurno,Esc_Sala,$A19)=0),"",SUMIFS(Esc_MinOcup,Esc_Sala,$A19)/SUMIFS(Esc_MinTurno,Esc_Sala,$A19))</f>
        <v/>
      </c>
      <c r="F19" s="34">
        <f>IF($A19="","",IFERROR(SUMPRODUCT((Esc_Sala=$A19)*Esc_AfinNum*Esc_Peso)/SUMPRODUCT((Esc_Sala=$A19)*Esc_Peso),""))</f>
        <v/>
      </c>
      <c r="G19" s="15">
        <f>IF($A19="","",COUNTIFS(Esc_Sala,$A19,Esc_Class,"CRÍTICA")+COUNTIFS(Esc_Sala,$A19,Esc_Class,"SEM DUPLA"))</f>
        <v/>
      </c>
      <c r="H19" s="15">
        <f>IF($A19="","",SUMPRODUCT((Esc_Sala=$A19)*(Esc_Alertas&lt;&gt;"OK")*(Esc_Alertas&lt;&gt;"")))</f>
        <v/>
      </c>
    </row>
    <row r="20">
      <c r="A20" s="15">
        <f>IF('Salas'!$A$12="","",'Salas'!$A$12)</f>
        <v/>
      </c>
      <c r="B20" s="17">
        <f>IF($A20="","",'Salas'!$B$12)</f>
        <v/>
      </c>
      <c r="C20" s="15">
        <f>IF($A20="","",SUMIFS(Esc_NCir,Esc_Sala,$A20))</f>
        <v/>
      </c>
      <c r="D20" s="43">
        <f>IF($A20="","",SUMIFS(Esc_MinOcup,Esc_Sala,$A20)/60)</f>
        <v/>
      </c>
      <c r="E20" s="33">
        <f>IF(OR($A20="",SUMIFS(Esc_MinTurno,Esc_Sala,$A20)=0),"",SUMIFS(Esc_MinOcup,Esc_Sala,$A20)/SUMIFS(Esc_MinTurno,Esc_Sala,$A20))</f>
        <v/>
      </c>
      <c r="F20" s="34">
        <f>IF($A20="","",IFERROR(SUMPRODUCT((Esc_Sala=$A20)*Esc_AfinNum*Esc_Peso)/SUMPRODUCT((Esc_Sala=$A20)*Esc_Peso),""))</f>
        <v/>
      </c>
      <c r="G20" s="15">
        <f>IF($A20="","",COUNTIFS(Esc_Sala,$A20,Esc_Class,"CRÍTICA")+COUNTIFS(Esc_Sala,$A20,Esc_Class,"SEM DUPLA"))</f>
        <v/>
      </c>
      <c r="H20" s="15">
        <f>IF($A20="","",SUMPRODUCT((Esc_Sala=$A20)*(Esc_Alertas&lt;&gt;"OK")*(Esc_Alertas&lt;&gt;"")))</f>
        <v/>
      </c>
    </row>
    <row r="21">
      <c r="A21" s="15">
        <f>IF('Salas'!$A$13="","",'Salas'!$A$13)</f>
        <v/>
      </c>
      <c r="B21" s="17">
        <f>IF($A21="","",'Salas'!$B$13)</f>
        <v/>
      </c>
      <c r="C21" s="15">
        <f>IF($A21="","",SUMIFS(Esc_NCir,Esc_Sala,$A21))</f>
        <v/>
      </c>
      <c r="D21" s="43">
        <f>IF($A21="","",SUMIFS(Esc_MinOcup,Esc_Sala,$A21)/60)</f>
        <v/>
      </c>
      <c r="E21" s="33">
        <f>IF(OR($A21="",SUMIFS(Esc_MinTurno,Esc_Sala,$A21)=0),"",SUMIFS(Esc_MinOcup,Esc_Sala,$A21)/SUMIFS(Esc_MinTurno,Esc_Sala,$A21))</f>
        <v/>
      </c>
      <c r="F21" s="34">
        <f>IF($A21="","",IFERROR(SUMPRODUCT((Esc_Sala=$A21)*Esc_AfinNum*Esc_Peso)/SUMPRODUCT((Esc_Sala=$A21)*Esc_Peso),""))</f>
        <v/>
      </c>
      <c r="G21" s="15">
        <f>IF($A21="","",COUNTIFS(Esc_Sala,$A21,Esc_Class,"CRÍTICA")+COUNTIFS(Esc_Sala,$A21,Esc_Class,"SEM DUPLA"))</f>
        <v/>
      </c>
      <c r="H21" s="15">
        <f>IF($A21="","",SUMPRODUCT((Esc_Sala=$A21)*(Esc_Alertas&lt;&gt;"OK")*(Esc_Alertas&lt;&gt;"")))</f>
        <v/>
      </c>
    </row>
    <row r="23">
      <c r="A23" s="9" t="inlineStr">
        <is>
          <t>3. DESEMPENHO POR TURNO</t>
        </is>
      </c>
    </row>
    <row r="24" ht="30" customHeight="1">
      <c r="A24" s="14" t="inlineStr">
        <is>
          <t>Turno</t>
        </is>
      </c>
      <c r="B24" s="14" t="inlineStr">
        <is>
          <t>Nº cirurgias</t>
        </is>
      </c>
      <c r="C24" s="14" t="inlineStr">
        <is>
          <t>Horas de ocupação</t>
        </is>
      </c>
      <c r="D24" s="14" t="inlineStr">
        <is>
          <t>Ocupação média</t>
        </is>
      </c>
      <c r="E24" s="14" t="inlineStr">
        <is>
          <t>Afinidade média</t>
        </is>
      </c>
      <c r="F24" s="14" t="inlineStr">
        <is>
          <t>Duplas com alerta</t>
        </is>
      </c>
    </row>
    <row r="25">
      <c r="A25" s="15">
        <f>'Parâmetros'!$A$32</f>
        <v/>
      </c>
      <c r="B25" s="15">
        <f>SUMIFS(Esc_NCir,Esc_Turno,$A25)</f>
        <v/>
      </c>
      <c r="C25" s="43">
        <f>SUMIFS(Esc_MinOcup,Esc_Turno,$A25)/60</f>
        <v/>
      </c>
      <c r="D25" s="33">
        <f>IFERROR(SUMIFS(Esc_MinOcup,Esc_Turno,$A25)/SUMIFS(Esc_MinTurno,Esc_Turno,$A25),"")</f>
        <v/>
      </c>
      <c r="E25" s="34">
        <f>IFERROR(SUMPRODUCT((Esc_Turno=$A25)*Esc_AfinNum*Esc_Peso)/SUMPRODUCT((Esc_Turno=$A25)*Esc_Peso),"")</f>
        <v/>
      </c>
      <c r="F25" s="15">
        <f>SUMPRODUCT((Esc_Turno=$A25)*(Esc_Alertas&lt;&gt;"OK")*(Esc_Alertas&lt;&gt;""))</f>
        <v/>
      </c>
    </row>
    <row r="26">
      <c r="A26" s="15">
        <f>'Parâmetros'!$A$33</f>
        <v/>
      </c>
      <c r="B26" s="15">
        <f>SUMIFS(Esc_NCir,Esc_Turno,$A26)</f>
        <v/>
      </c>
      <c r="C26" s="43">
        <f>SUMIFS(Esc_MinOcup,Esc_Turno,$A26)/60</f>
        <v/>
      </c>
      <c r="D26" s="33">
        <f>IFERROR(SUMIFS(Esc_MinOcup,Esc_Turno,$A26)/SUMIFS(Esc_MinTurno,Esc_Turno,$A26),"")</f>
        <v/>
      </c>
      <c r="E26" s="34">
        <f>IFERROR(SUMPRODUCT((Esc_Turno=$A26)*Esc_AfinNum*Esc_Peso)/SUMPRODUCT((Esc_Turno=$A26)*Esc_Peso),"")</f>
        <v/>
      </c>
      <c r="F26" s="15">
        <f>SUMPRODUCT((Esc_Turno=$A26)*(Esc_Alertas&lt;&gt;"OK")*(Esc_Alertas&lt;&gt;""))</f>
        <v/>
      </c>
    </row>
    <row r="27">
      <c r="A27" s="15">
        <f>'Parâmetros'!$A$34</f>
        <v/>
      </c>
      <c r="B27" s="15">
        <f>SUMIFS(Esc_NCir,Esc_Turno,$A27)</f>
        <v/>
      </c>
      <c r="C27" s="43">
        <f>SUMIFS(Esc_MinOcup,Esc_Turno,$A27)/60</f>
        <v/>
      </c>
      <c r="D27" s="33">
        <f>IFERROR(SUMIFS(Esc_MinOcup,Esc_Turno,$A27)/SUMIFS(Esc_MinTurno,Esc_Turno,$A27),"")</f>
        <v/>
      </c>
      <c r="E27" s="34">
        <f>IFERROR(SUMPRODUCT((Esc_Turno=$A27)*Esc_AfinNum*Esc_Peso)/SUMPRODUCT((Esc_Turno=$A27)*Esc_Peso),"")</f>
        <v/>
      </c>
      <c r="F27" s="15">
        <f>SUMPRODUCT((Esc_Turno=$A27)*(Esc_Alertas&lt;&gt;"OK")*(Esc_Alertas&lt;&gt;""))</f>
        <v/>
      </c>
    </row>
    <row r="29">
      <c r="A29" s="9" t="inlineStr">
        <is>
          <t>4. DEMANDA × CAPACIDADE POR ESPECIALIDADE</t>
        </is>
      </c>
    </row>
    <row r="30" ht="42" customHeight="1">
      <c r="A30" s="14" t="inlineStr">
        <is>
          <t>Especialidade</t>
        </is>
      </c>
      <c r="B30" s="14" t="inlineStr">
        <is>
          <t>Nº cirurgias</t>
        </is>
      </c>
      <c r="C30" s="14" t="inlineStr">
        <is>
          <t>Horas cirúrgicas</t>
        </is>
      </c>
      <c r="D30" s="14" t="inlineStr">
        <is>
          <t>% das horas</t>
        </is>
      </c>
      <c r="E30" s="14" t="inlineStr">
        <is>
          <t>Técnicos aptos (nível ≥ 2)</t>
        </is>
      </c>
      <c r="F30" s="14" t="inlineStr">
        <is>
          <t>Técnicos referência (nível 3)</t>
        </is>
      </c>
      <c r="G30" s="14" t="inlineStr">
        <is>
          <t>Cobertura mínima (≥ 6 aptos)</t>
        </is>
      </c>
    </row>
    <row r="31">
      <c r="A31" s="17">
        <f>IF('Especialidades'!$B$2="","",'Especialidades'!$B$2)</f>
        <v/>
      </c>
      <c r="B31" s="15">
        <f>IF($A31="","",COUNTIFS(Mapa_Esp,$A31,Mapa_MinOcup,"&gt;0"))</f>
        <v/>
      </c>
      <c r="C31" s="43">
        <f>IF($A31="","",SUMIFS(Mapa_Dur,Mapa_Esp,$A31,Mapa_MinOcup,"&gt;0")/60)</f>
        <v/>
      </c>
      <c r="D31" s="33">
        <f>IF(OR($A31="",SUM($C$31:$C$50)=0),"",$C31/SUM($C$31:$C$50))</f>
        <v/>
      </c>
      <c r="E31" s="15">
        <f>IF($A31="","",SUMPRODUCT((Equipe_Status="Ativo")*('Matriz_Habilidades'!$D$2:$D$151&gt;=2)))</f>
        <v/>
      </c>
      <c r="F31" s="15">
        <f>IF($A31="","",SUMPRODUCT((Equipe_Status="Ativo")*('Matriz_Habilidades'!$D$2:$D$151=3)))</f>
        <v/>
      </c>
      <c r="G31" s="15">
        <f>IF($A31="","",IF($E31&gt;=6,"OK","ATENÇÃO"))</f>
        <v/>
      </c>
    </row>
    <row r="32">
      <c r="A32" s="17">
        <f>IF('Especialidades'!$B$3="","",'Especialidades'!$B$3)</f>
        <v/>
      </c>
      <c r="B32" s="15">
        <f>IF($A32="","",COUNTIFS(Mapa_Esp,$A32,Mapa_MinOcup,"&gt;0"))</f>
        <v/>
      </c>
      <c r="C32" s="43">
        <f>IF($A32="","",SUMIFS(Mapa_Dur,Mapa_Esp,$A32,Mapa_MinOcup,"&gt;0")/60)</f>
        <v/>
      </c>
      <c r="D32" s="33">
        <f>IF(OR($A32="",SUM($C$31:$C$50)=0),"",$C32/SUM($C$31:$C$50))</f>
        <v/>
      </c>
      <c r="E32" s="15">
        <f>IF($A32="","",SUMPRODUCT((Equipe_Status="Ativo")*('Matriz_Habilidades'!$E$2:$E$151&gt;=2)))</f>
        <v/>
      </c>
      <c r="F32" s="15">
        <f>IF($A32="","",SUMPRODUCT((Equipe_Status="Ativo")*('Matriz_Habilidades'!$E$2:$E$151=3)))</f>
        <v/>
      </c>
      <c r="G32" s="15">
        <f>IF($A32="","",IF($E32&gt;=6,"OK","ATENÇÃO"))</f>
        <v/>
      </c>
    </row>
    <row r="33">
      <c r="A33" s="17">
        <f>IF('Especialidades'!$B$4="","",'Especialidades'!$B$4)</f>
        <v/>
      </c>
      <c r="B33" s="15">
        <f>IF($A33="","",COUNTIFS(Mapa_Esp,$A33,Mapa_MinOcup,"&gt;0"))</f>
        <v/>
      </c>
      <c r="C33" s="43">
        <f>IF($A33="","",SUMIFS(Mapa_Dur,Mapa_Esp,$A33,Mapa_MinOcup,"&gt;0")/60)</f>
        <v/>
      </c>
      <c r="D33" s="33">
        <f>IF(OR($A33="",SUM($C$31:$C$50)=0),"",$C33/SUM($C$31:$C$50))</f>
        <v/>
      </c>
      <c r="E33" s="15">
        <f>IF($A33="","",SUMPRODUCT((Equipe_Status="Ativo")*('Matriz_Habilidades'!$F$2:$F$151&gt;=2)))</f>
        <v/>
      </c>
      <c r="F33" s="15">
        <f>IF($A33="","",SUMPRODUCT((Equipe_Status="Ativo")*('Matriz_Habilidades'!$F$2:$F$151=3)))</f>
        <v/>
      </c>
      <c r="G33" s="15">
        <f>IF($A33="","",IF($E33&gt;=6,"OK","ATENÇÃO"))</f>
        <v/>
      </c>
    </row>
    <row r="34">
      <c r="A34" s="17">
        <f>IF('Especialidades'!$B$5="","",'Especialidades'!$B$5)</f>
        <v/>
      </c>
      <c r="B34" s="15">
        <f>IF($A34="","",COUNTIFS(Mapa_Esp,$A34,Mapa_MinOcup,"&gt;0"))</f>
        <v/>
      </c>
      <c r="C34" s="43">
        <f>IF($A34="","",SUMIFS(Mapa_Dur,Mapa_Esp,$A34,Mapa_MinOcup,"&gt;0")/60)</f>
        <v/>
      </c>
      <c r="D34" s="33">
        <f>IF(OR($A34="",SUM($C$31:$C$50)=0),"",$C34/SUM($C$31:$C$50))</f>
        <v/>
      </c>
      <c r="E34" s="15">
        <f>IF($A34="","",SUMPRODUCT((Equipe_Status="Ativo")*('Matriz_Habilidades'!$G$2:$G$151&gt;=2)))</f>
        <v/>
      </c>
      <c r="F34" s="15">
        <f>IF($A34="","",SUMPRODUCT((Equipe_Status="Ativo")*('Matriz_Habilidades'!$G$2:$G$151=3)))</f>
        <v/>
      </c>
      <c r="G34" s="15">
        <f>IF($A34="","",IF($E34&gt;=6,"OK","ATENÇÃO"))</f>
        <v/>
      </c>
    </row>
    <row r="35">
      <c r="A35" s="17">
        <f>IF('Especialidades'!$B$6="","",'Especialidades'!$B$6)</f>
        <v/>
      </c>
      <c r="B35" s="15">
        <f>IF($A35="","",COUNTIFS(Mapa_Esp,$A35,Mapa_MinOcup,"&gt;0"))</f>
        <v/>
      </c>
      <c r="C35" s="43">
        <f>IF($A35="","",SUMIFS(Mapa_Dur,Mapa_Esp,$A35,Mapa_MinOcup,"&gt;0")/60)</f>
        <v/>
      </c>
      <c r="D35" s="33">
        <f>IF(OR($A35="",SUM($C$31:$C$50)=0),"",$C35/SUM($C$31:$C$50))</f>
        <v/>
      </c>
      <c r="E35" s="15">
        <f>IF($A35="","",SUMPRODUCT((Equipe_Status="Ativo")*('Matriz_Habilidades'!$H$2:$H$151&gt;=2)))</f>
        <v/>
      </c>
      <c r="F35" s="15">
        <f>IF($A35="","",SUMPRODUCT((Equipe_Status="Ativo")*('Matriz_Habilidades'!$H$2:$H$151=3)))</f>
        <v/>
      </c>
      <c r="G35" s="15">
        <f>IF($A35="","",IF($E35&gt;=6,"OK","ATENÇÃO"))</f>
        <v/>
      </c>
    </row>
    <row r="36">
      <c r="A36" s="17">
        <f>IF('Especialidades'!$B$7="","",'Especialidades'!$B$7)</f>
        <v/>
      </c>
      <c r="B36" s="15">
        <f>IF($A36="","",COUNTIFS(Mapa_Esp,$A36,Mapa_MinOcup,"&gt;0"))</f>
        <v/>
      </c>
      <c r="C36" s="43">
        <f>IF($A36="","",SUMIFS(Mapa_Dur,Mapa_Esp,$A36,Mapa_MinOcup,"&gt;0")/60)</f>
        <v/>
      </c>
      <c r="D36" s="33">
        <f>IF(OR($A36="",SUM($C$31:$C$50)=0),"",$C36/SUM($C$31:$C$50))</f>
        <v/>
      </c>
      <c r="E36" s="15">
        <f>IF($A36="","",SUMPRODUCT((Equipe_Status="Ativo")*('Matriz_Habilidades'!$I$2:$I$151&gt;=2)))</f>
        <v/>
      </c>
      <c r="F36" s="15">
        <f>IF($A36="","",SUMPRODUCT((Equipe_Status="Ativo")*('Matriz_Habilidades'!$I$2:$I$151=3)))</f>
        <v/>
      </c>
      <c r="G36" s="15">
        <f>IF($A36="","",IF($E36&gt;=6,"OK","ATENÇÃO"))</f>
        <v/>
      </c>
    </row>
    <row r="37">
      <c r="A37" s="17">
        <f>IF('Especialidades'!$B$8="","",'Especialidades'!$B$8)</f>
        <v/>
      </c>
      <c r="B37" s="15">
        <f>IF($A37="","",COUNTIFS(Mapa_Esp,$A37,Mapa_MinOcup,"&gt;0"))</f>
        <v/>
      </c>
      <c r="C37" s="43">
        <f>IF($A37="","",SUMIFS(Mapa_Dur,Mapa_Esp,$A37,Mapa_MinOcup,"&gt;0")/60)</f>
        <v/>
      </c>
      <c r="D37" s="33">
        <f>IF(OR($A37="",SUM($C$31:$C$50)=0),"",$C37/SUM($C$31:$C$50))</f>
        <v/>
      </c>
      <c r="E37" s="15">
        <f>IF($A37="","",SUMPRODUCT((Equipe_Status="Ativo")*('Matriz_Habilidades'!$J$2:$J$151&gt;=2)))</f>
        <v/>
      </c>
      <c r="F37" s="15">
        <f>IF($A37="","",SUMPRODUCT((Equipe_Status="Ativo")*('Matriz_Habilidades'!$J$2:$J$151=3)))</f>
        <v/>
      </c>
      <c r="G37" s="15">
        <f>IF($A37="","",IF($E37&gt;=6,"OK","ATENÇÃO"))</f>
        <v/>
      </c>
    </row>
    <row r="38">
      <c r="A38" s="17">
        <f>IF('Especialidades'!$B$9="","",'Especialidades'!$B$9)</f>
        <v/>
      </c>
      <c r="B38" s="15">
        <f>IF($A38="","",COUNTIFS(Mapa_Esp,$A38,Mapa_MinOcup,"&gt;0"))</f>
        <v/>
      </c>
      <c r="C38" s="43">
        <f>IF($A38="","",SUMIFS(Mapa_Dur,Mapa_Esp,$A38,Mapa_MinOcup,"&gt;0")/60)</f>
        <v/>
      </c>
      <c r="D38" s="33">
        <f>IF(OR($A38="",SUM($C$31:$C$50)=0),"",$C38/SUM($C$31:$C$50))</f>
        <v/>
      </c>
      <c r="E38" s="15">
        <f>IF($A38="","",SUMPRODUCT((Equipe_Status="Ativo")*('Matriz_Habilidades'!$K$2:$K$151&gt;=2)))</f>
        <v/>
      </c>
      <c r="F38" s="15">
        <f>IF($A38="","",SUMPRODUCT((Equipe_Status="Ativo")*('Matriz_Habilidades'!$K$2:$K$151=3)))</f>
        <v/>
      </c>
      <c r="G38" s="15">
        <f>IF($A38="","",IF($E38&gt;=6,"OK","ATENÇÃO"))</f>
        <v/>
      </c>
    </row>
    <row r="39">
      <c r="A39" s="17">
        <f>IF('Especialidades'!$B$10="","",'Especialidades'!$B$10)</f>
        <v/>
      </c>
      <c r="B39" s="15">
        <f>IF($A39="","",COUNTIFS(Mapa_Esp,$A39,Mapa_MinOcup,"&gt;0"))</f>
        <v/>
      </c>
      <c r="C39" s="43">
        <f>IF($A39="","",SUMIFS(Mapa_Dur,Mapa_Esp,$A39,Mapa_MinOcup,"&gt;0")/60)</f>
        <v/>
      </c>
      <c r="D39" s="33">
        <f>IF(OR($A39="",SUM($C$31:$C$50)=0),"",$C39/SUM($C$31:$C$50))</f>
        <v/>
      </c>
      <c r="E39" s="15">
        <f>IF($A39="","",SUMPRODUCT((Equipe_Status="Ativo")*('Matriz_Habilidades'!$L$2:$L$151&gt;=2)))</f>
        <v/>
      </c>
      <c r="F39" s="15">
        <f>IF($A39="","",SUMPRODUCT((Equipe_Status="Ativo")*('Matriz_Habilidades'!$L$2:$L$151=3)))</f>
        <v/>
      </c>
      <c r="G39" s="15">
        <f>IF($A39="","",IF($E39&gt;=6,"OK","ATENÇÃO"))</f>
        <v/>
      </c>
    </row>
    <row r="40">
      <c r="A40" s="17">
        <f>IF('Especialidades'!$B$11="","",'Especialidades'!$B$11)</f>
        <v/>
      </c>
      <c r="B40" s="15">
        <f>IF($A40="","",COUNTIFS(Mapa_Esp,$A40,Mapa_MinOcup,"&gt;0"))</f>
        <v/>
      </c>
      <c r="C40" s="43">
        <f>IF($A40="","",SUMIFS(Mapa_Dur,Mapa_Esp,$A40,Mapa_MinOcup,"&gt;0")/60)</f>
        <v/>
      </c>
      <c r="D40" s="33">
        <f>IF(OR($A40="",SUM($C$31:$C$50)=0),"",$C40/SUM($C$31:$C$50))</f>
        <v/>
      </c>
      <c r="E40" s="15">
        <f>IF($A40="","",SUMPRODUCT((Equipe_Status="Ativo")*('Matriz_Habilidades'!$M$2:$M$151&gt;=2)))</f>
        <v/>
      </c>
      <c r="F40" s="15">
        <f>IF($A40="","",SUMPRODUCT((Equipe_Status="Ativo")*('Matriz_Habilidades'!$M$2:$M$151=3)))</f>
        <v/>
      </c>
      <c r="G40" s="15">
        <f>IF($A40="","",IF($E40&gt;=6,"OK","ATENÇÃO"))</f>
        <v/>
      </c>
    </row>
    <row r="41">
      <c r="A41" s="17">
        <f>IF('Especialidades'!$B$12="","",'Especialidades'!$B$12)</f>
        <v/>
      </c>
      <c r="B41" s="15">
        <f>IF($A41="","",COUNTIFS(Mapa_Esp,$A41,Mapa_MinOcup,"&gt;0"))</f>
        <v/>
      </c>
      <c r="C41" s="43">
        <f>IF($A41="","",SUMIFS(Mapa_Dur,Mapa_Esp,$A41,Mapa_MinOcup,"&gt;0")/60)</f>
        <v/>
      </c>
      <c r="D41" s="33">
        <f>IF(OR($A41="",SUM($C$31:$C$50)=0),"",$C41/SUM($C$31:$C$50))</f>
        <v/>
      </c>
      <c r="E41" s="15">
        <f>IF($A41="","",SUMPRODUCT((Equipe_Status="Ativo")*('Matriz_Habilidades'!$N$2:$N$151&gt;=2)))</f>
        <v/>
      </c>
      <c r="F41" s="15">
        <f>IF($A41="","",SUMPRODUCT((Equipe_Status="Ativo")*('Matriz_Habilidades'!$N$2:$N$151=3)))</f>
        <v/>
      </c>
      <c r="G41" s="15">
        <f>IF($A41="","",IF($E41&gt;=6,"OK","ATENÇÃO"))</f>
        <v/>
      </c>
    </row>
    <row r="42">
      <c r="A42" s="17">
        <f>IF('Especialidades'!$B$13="","",'Especialidades'!$B$13)</f>
        <v/>
      </c>
      <c r="B42" s="15">
        <f>IF($A42="","",COUNTIFS(Mapa_Esp,$A42,Mapa_MinOcup,"&gt;0"))</f>
        <v/>
      </c>
      <c r="C42" s="43">
        <f>IF($A42="","",SUMIFS(Mapa_Dur,Mapa_Esp,$A42,Mapa_MinOcup,"&gt;0")/60)</f>
        <v/>
      </c>
      <c r="D42" s="33">
        <f>IF(OR($A42="",SUM($C$31:$C$50)=0),"",$C42/SUM($C$31:$C$50))</f>
        <v/>
      </c>
      <c r="E42" s="15">
        <f>IF($A42="","",SUMPRODUCT((Equipe_Status="Ativo")*('Matriz_Habilidades'!$O$2:$O$151&gt;=2)))</f>
        <v/>
      </c>
      <c r="F42" s="15">
        <f>IF($A42="","",SUMPRODUCT((Equipe_Status="Ativo")*('Matriz_Habilidades'!$O$2:$O$151=3)))</f>
        <v/>
      </c>
      <c r="G42" s="15">
        <f>IF($A42="","",IF($E42&gt;=6,"OK","ATENÇÃO"))</f>
        <v/>
      </c>
    </row>
    <row r="43">
      <c r="A43" s="17">
        <f>IF('Especialidades'!$B$14="","",'Especialidades'!$B$14)</f>
        <v/>
      </c>
      <c r="B43" s="15">
        <f>IF($A43="","",COUNTIFS(Mapa_Esp,$A43,Mapa_MinOcup,"&gt;0"))</f>
        <v/>
      </c>
      <c r="C43" s="43">
        <f>IF($A43="","",SUMIFS(Mapa_Dur,Mapa_Esp,$A43,Mapa_MinOcup,"&gt;0")/60)</f>
        <v/>
      </c>
      <c r="D43" s="33">
        <f>IF(OR($A43="",SUM($C$31:$C$50)=0),"",$C43/SUM($C$31:$C$50))</f>
        <v/>
      </c>
      <c r="E43" s="15">
        <f>IF($A43="","",SUMPRODUCT((Equipe_Status="Ativo")*('Matriz_Habilidades'!$P$2:$P$151&gt;=2)))</f>
        <v/>
      </c>
      <c r="F43" s="15">
        <f>IF($A43="","",SUMPRODUCT((Equipe_Status="Ativo")*('Matriz_Habilidades'!$P$2:$P$151=3)))</f>
        <v/>
      </c>
      <c r="G43" s="15">
        <f>IF($A43="","",IF($E43&gt;=6,"OK","ATENÇÃO"))</f>
        <v/>
      </c>
    </row>
    <row r="44">
      <c r="A44" s="17">
        <f>IF('Especialidades'!$B$15="","",'Especialidades'!$B$15)</f>
        <v/>
      </c>
      <c r="B44" s="15">
        <f>IF($A44="","",COUNTIFS(Mapa_Esp,$A44,Mapa_MinOcup,"&gt;0"))</f>
        <v/>
      </c>
      <c r="C44" s="43">
        <f>IF($A44="","",SUMIFS(Mapa_Dur,Mapa_Esp,$A44,Mapa_MinOcup,"&gt;0")/60)</f>
        <v/>
      </c>
      <c r="D44" s="33">
        <f>IF(OR($A44="",SUM($C$31:$C$50)=0),"",$C44/SUM($C$31:$C$50))</f>
        <v/>
      </c>
      <c r="E44" s="15">
        <f>IF($A44="","",SUMPRODUCT((Equipe_Status="Ativo")*('Matriz_Habilidades'!$Q$2:$Q$151&gt;=2)))</f>
        <v/>
      </c>
      <c r="F44" s="15">
        <f>IF($A44="","",SUMPRODUCT((Equipe_Status="Ativo")*('Matriz_Habilidades'!$Q$2:$Q$151=3)))</f>
        <v/>
      </c>
      <c r="G44" s="15">
        <f>IF($A44="","",IF($E44&gt;=6,"OK","ATENÇÃO"))</f>
        <v/>
      </c>
    </row>
    <row r="45">
      <c r="A45" s="17">
        <f>IF('Especialidades'!$B$16="","",'Especialidades'!$B$16)</f>
        <v/>
      </c>
      <c r="B45" s="15">
        <f>IF($A45="","",COUNTIFS(Mapa_Esp,$A45,Mapa_MinOcup,"&gt;0"))</f>
        <v/>
      </c>
      <c r="C45" s="43">
        <f>IF($A45="","",SUMIFS(Mapa_Dur,Mapa_Esp,$A45,Mapa_MinOcup,"&gt;0")/60)</f>
        <v/>
      </c>
      <c r="D45" s="33">
        <f>IF(OR($A45="",SUM($C$31:$C$50)=0),"",$C45/SUM($C$31:$C$50))</f>
        <v/>
      </c>
      <c r="E45" s="15">
        <f>IF($A45="","",SUMPRODUCT((Equipe_Status="Ativo")*('Matriz_Habilidades'!$R$2:$R$151&gt;=2)))</f>
        <v/>
      </c>
      <c r="F45" s="15">
        <f>IF($A45="","",SUMPRODUCT((Equipe_Status="Ativo")*('Matriz_Habilidades'!$R$2:$R$151=3)))</f>
        <v/>
      </c>
      <c r="G45" s="15">
        <f>IF($A45="","",IF($E45&gt;=6,"OK","ATENÇÃO"))</f>
        <v/>
      </c>
    </row>
    <row r="46">
      <c r="A46" s="17">
        <f>IF('Especialidades'!$B$17="","",'Especialidades'!$B$17)</f>
        <v/>
      </c>
      <c r="B46" s="15">
        <f>IF($A46="","",COUNTIFS(Mapa_Esp,$A46,Mapa_MinOcup,"&gt;0"))</f>
        <v/>
      </c>
      <c r="C46" s="43">
        <f>IF($A46="","",SUMIFS(Mapa_Dur,Mapa_Esp,$A46,Mapa_MinOcup,"&gt;0")/60)</f>
        <v/>
      </c>
      <c r="D46" s="33">
        <f>IF(OR($A46="",SUM($C$31:$C$50)=0),"",$C46/SUM($C$31:$C$50))</f>
        <v/>
      </c>
      <c r="E46" s="15">
        <f>IF($A46="","",SUMPRODUCT((Equipe_Status="Ativo")*('Matriz_Habilidades'!$S$2:$S$151&gt;=2)))</f>
        <v/>
      </c>
      <c r="F46" s="15">
        <f>IF($A46="","",SUMPRODUCT((Equipe_Status="Ativo")*('Matriz_Habilidades'!$S$2:$S$151=3)))</f>
        <v/>
      </c>
      <c r="G46" s="15">
        <f>IF($A46="","",IF($E46&gt;=6,"OK","ATENÇÃO"))</f>
        <v/>
      </c>
    </row>
    <row r="47">
      <c r="A47" s="17">
        <f>IF('Especialidades'!$B$18="","",'Especialidades'!$B$18)</f>
        <v/>
      </c>
      <c r="B47" s="15">
        <f>IF($A47="","",COUNTIFS(Mapa_Esp,$A47,Mapa_MinOcup,"&gt;0"))</f>
        <v/>
      </c>
      <c r="C47" s="43">
        <f>IF($A47="","",SUMIFS(Mapa_Dur,Mapa_Esp,$A47,Mapa_MinOcup,"&gt;0")/60)</f>
        <v/>
      </c>
      <c r="D47" s="33">
        <f>IF(OR($A47="",SUM($C$31:$C$50)=0),"",$C47/SUM($C$31:$C$50))</f>
        <v/>
      </c>
      <c r="E47" s="15">
        <f>IF($A47="","",SUMPRODUCT((Equipe_Status="Ativo")*('Matriz_Habilidades'!$T$2:$T$151&gt;=2)))</f>
        <v/>
      </c>
      <c r="F47" s="15">
        <f>IF($A47="","",SUMPRODUCT((Equipe_Status="Ativo")*('Matriz_Habilidades'!$T$2:$T$151=3)))</f>
        <v/>
      </c>
      <c r="G47" s="15">
        <f>IF($A47="","",IF($E47&gt;=6,"OK","ATENÇÃO"))</f>
        <v/>
      </c>
    </row>
    <row r="48">
      <c r="A48" s="17">
        <f>IF('Especialidades'!$B$19="","",'Especialidades'!$B$19)</f>
        <v/>
      </c>
      <c r="B48" s="15">
        <f>IF($A48="","",COUNTIFS(Mapa_Esp,$A48,Mapa_MinOcup,"&gt;0"))</f>
        <v/>
      </c>
      <c r="C48" s="43">
        <f>IF($A48="","",SUMIFS(Mapa_Dur,Mapa_Esp,$A48,Mapa_MinOcup,"&gt;0")/60)</f>
        <v/>
      </c>
      <c r="D48" s="33">
        <f>IF(OR($A48="",SUM($C$31:$C$50)=0),"",$C48/SUM($C$31:$C$50))</f>
        <v/>
      </c>
      <c r="E48" s="15">
        <f>IF($A48="","",SUMPRODUCT((Equipe_Status="Ativo")*('Matriz_Habilidades'!$U$2:$U$151&gt;=2)))</f>
        <v/>
      </c>
      <c r="F48" s="15">
        <f>IF($A48="","",SUMPRODUCT((Equipe_Status="Ativo")*('Matriz_Habilidades'!$U$2:$U$151=3)))</f>
        <v/>
      </c>
      <c r="G48" s="15">
        <f>IF($A48="","",IF($E48&gt;=6,"OK","ATENÇÃO"))</f>
        <v/>
      </c>
    </row>
    <row r="49">
      <c r="A49" s="17">
        <f>IF('Especialidades'!$B$20="","",'Especialidades'!$B$20)</f>
        <v/>
      </c>
      <c r="B49" s="15">
        <f>IF($A49="","",COUNTIFS(Mapa_Esp,$A49,Mapa_MinOcup,"&gt;0"))</f>
        <v/>
      </c>
      <c r="C49" s="43">
        <f>IF($A49="","",SUMIFS(Mapa_Dur,Mapa_Esp,$A49,Mapa_MinOcup,"&gt;0")/60)</f>
        <v/>
      </c>
      <c r="D49" s="33">
        <f>IF(OR($A49="",SUM($C$31:$C$50)=0),"",$C49/SUM($C$31:$C$50))</f>
        <v/>
      </c>
      <c r="E49" s="15">
        <f>IF($A49="","",SUMPRODUCT((Equipe_Status="Ativo")*('Matriz_Habilidades'!$V$2:$V$151&gt;=2)))</f>
        <v/>
      </c>
      <c r="F49" s="15">
        <f>IF($A49="","",SUMPRODUCT((Equipe_Status="Ativo")*('Matriz_Habilidades'!$V$2:$V$151=3)))</f>
        <v/>
      </c>
      <c r="G49" s="15">
        <f>IF($A49="","",IF($E49&gt;=6,"OK","ATENÇÃO"))</f>
        <v/>
      </c>
    </row>
    <row r="50">
      <c r="A50" s="17">
        <f>IF('Especialidades'!$B$21="","",'Especialidades'!$B$21)</f>
        <v/>
      </c>
      <c r="B50" s="15">
        <f>IF($A50="","",COUNTIFS(Mapa_Esp,$A50,Mapa_MinOcup,"&gt;0"))</f>
        <v/>
      </c>
      <c r="C50" s="43">
        <f>IF($A50="","",SUMIFS(Mapa_Dur,Mapa_Esp,$A50,Mapa_MinOcup,"&gt;0")/60)</f>
        <v/>
      </c>
      <c r="D50" s="33">
        <f>IF(OR($A50="",SUM($C$31:$C$50)=0),"",$C50/SUM($C$31:$C$50))</f>
        <v/>
      </c>
      <c r="E50" s="15">
        <f>IF($A50="","",SUMPRODUCT((Equipe_Status="Ativo")*('Matriz_Habilidades'!$W$2:$W$151&gt;=2)))</f>
        <v/>
      </c>
      <c r="F50" s="15">
        <f>IF($A50="","",SUMPRODUCT((Equipe_Status="Ativo")*('Matriz_Habilidades'!$W$2:$W$151=3)))</f>
        <v/>
      </c>
      <c r="G50" s="15">
        <f>IF($A50="","",IF($E50&gt;=6,"OK","ATENÇÃO"))</f>
        <v/>
      </c>
    </row>
    <row r="52">
      <c r="A52" s="9" t="inlineStr">
        <is>
          <t>5. VERIFICAÇÕES DE INTEGRIDADE</t>
        </is>
      </c>
    </row>
    <row r="53" ht="20" customHeight="1">
      <c r="A53" s="14" t="inlineStr">
        <is>
          <t>Verificação</t>
        </is>
      </c>
      <c r="B53" s="14" t="inlineStr"/>
      <c r="C53" s="14" t="inlineStr">
        <is>
          <t>Resultado</t>
        </is>
      </c>
      <c r="D53" s="14" t="inlineStr"/>
      <c r="E53" s="14" t="inlineStr"/>
      <c r="F53" s="14" t="inlineStr"/>
      <c r="G53" s="14" t="inlineStr"/>
      <c r="H53" s="14" t="inlineStr"/>
    </row>
    <row r="54">
      <c r="A54" s="17" t="inlineStr">
        <is>
          <t>Soma dos pesos de afinidade = 1,00</t>
        </is>
      </c>
      <c r="B54" s="13" t="n"/>
      <c r="C54" s="15">
        <f>IF(ROUND(Peso_Circulante+Peso_Instrumentador,6)=1,"OK","ERRO: os pesos não somam 1,00")</f>
        <v/>
      </c>
    </row>
    <row r="55">
      <c r="A55" s="17" t="inlineStr">
        <is>
          <t>Colunas de especialidade alinhadas (Matriz × Calc_Mix)</t>
        </is>
      </c>
      <c r="B55" s="13" t="n"/>
      <c r="C55" s="15">
        <f>IF(SUMPRODUCT(--(Matriz_Esp=Mix_Esp))=20,"OK","ERRO: colunas desalinhadas")</f>
        <v/>
      </c>
    </row>
    <row r="56">
      <c r="A56" s="17" t="inlineStr">
        <is>
          <t>Nomes duplicados no cadastro da equipe</t>
        </is>
      </c>
      <c r="B56" s="13" t="n"/>
      <c r="C56" s="15">
        <f>IF(SUMPRODUCT((Equipe_Nome&lt;&gt;"")*1)-SUMPRODUCT((Equipe_Nome&lt;&gt;"")/COUNTIF(Equipe_Nome,Equipe_Nome&amp;""))&gt;0.0001,"ERRO: há nomes repetidos na aba Equipe","OK")</f>
        <v/>
      </c>
    </row>
    <row r="57">
      <c r="A57" s="17" t="inlineStr">
        <is>
          <t>Cirurgias com alerta no mapa</t>
        </is>
      </c>
      <c r="B57" s="13" t="n"/>
      <c r="C57" s="15">
        <f>SUMPRODUCT((Mapa_Alerta&lt;&gt;"OK")*(Mapa_Alerta&lt;&gt;""))</f>
        <v/>
      </c>
    </row>
    <row r="58">
      <c r="A58" s="17" t="inlineStr">
        <is>
          <t>Salas/turnos com cirurgia e sem dupla escalada</t>
        </is>
      </c>
      <c r="B58" s="13" t="n"/>
      <c r="C58" s="15">
        <f>COUNTIF(Esc_Class,"SEM DUPLA")</f>
        <v/>
      </c>
    </row>
    <row r="59">
      <c r="A59" s="17" t="inlineStr">
        <is>
          <t>Duplas classificadas como CRÍTICA</t>
        </is>
      </c>
      <c r="B59" s="13" t="n"/>
      <c r="C59" s="15">
        <f>COUNTIF(Esc_Class,"CRÍTICA")</f>
        <v/>
      </c>
    </row>
    <row r="60">
      <c r="A60" s="17" t="inlineStr">
        <is>
          <t>Duplas classificadas como ATENÇÃO</t>
        </is>
      </c>
      <c r="B60" s="13" t="n"/>
      <c r="C60" s="15">
        <f>COUNTIF(Esc_Class,"ATENÇÃO")</f>
        <v/>
      </c>
    </row>
    <row r="61">
      <c r="A61" s="17" t="inlineStr">
        <is>
          <t>Técnicos ativos sem escala no dia</t>
        </is>
      </c>
      <c r="B61" s="13" t="n"/>
      <c r="C61" s="15">
        <f>SUMPRODUCT((Equipe_Nome&lt;&gt;"")*(Equipe_Status="Ativo")*((COUNTIF(Esc_Circ,Equipe_Nome)+COUNTIF(Esc_Instr,Equipe_Nome))=0))</f>
        <v/>
      </c>
    </row>
    <row r="62">
      <c r="A62" s="17" t="inlineStr">
        <is>
          <t>Técnicos escalados fora do turno preferencial</t>
        </is>
      </c>
      <c r="B62" s="13" t="n"/>
      <c r="C62" s="15">
        <f>SUMPRODUCT((Esc_Circ&lt;&gt;"")*(1-COUNTIFS(Equipe_Nome,Esc_Circ,Equipe_Turno,Esc_Turno)))+SUMPRODUCT((Esc_Instr&lt;&gt;"")*(1-COUNTIFS(Equipe_Nome,Esc_Instr,Equipe_Turno,Esc_Turno)))</f>
        <v/>
      </c>
    </row>
    <row r="63">
      <c r="A63" s="17" t="inlineStr">
        <is>
          <t>Salas cadastradas / especialidades cadastradas</t>
        </is>
      </c>
      <c r="B63" s="13" t="n"/>
      <c r="C63" s="15">
        <f>COUNTA(Salas_Cod)&amp;" / "&amp;COUNTA(Esp_Nome)</f>
        <v/>
      </c>
    </row>
  </sheetData>
  <mergeCells count="10">
    <mergeCell ref="A62:B62"/>
    <mergeCell ref="A54:B54"/>
    <mergeCell ref="A59:B59"/>
    <mergeCell ref="A57:B57"/>
    <mergeCell ref="A60:B60"/>
    <mergeCell ref="A63:B63"/>
    <mergeCell ref="A56:B56"/>
    <mergeCell ref="A61:B61"/>
    <mergeCell ref="A58:B58"/>
    <mergeCell ref="A55:B55"/>
  </mergeCells>
  <conditionalFormatting sqref="C54:C63">
    <cfRule type="expression" priority="1" dxfId="0">
      <formula>LEFT($C54,4)="ERRO"</formula>
    </cfRule>
    <cfRule type="expression" priority="2" dxfId="2">
      <formula>$C54="OK"</formula>
    </cfRule>
  </conditionalFormatting>
  <conditionalFormatting sqref="G31:G50">
    <cfRule type="cellIs" priority="3" operator="equal" dxfId="3">
      <formula>"ATENÇÃO"</formula>
    </cfRule>
    <cfRule type="cellIs" priority="4" operator="equal" dxfId="2">
      <formula>"OK"</formula>
    </cfRule>
  </conditionalFormatting>
  <conditionalFormatting sqref="E10:E21">
    <cfRule type="expression" priority="5" dxfId="0" stopIfTrue="1">
      <formula>AND($E10&lt;&gt;"",$E10&gt;Ocupacao_Max)</formula>
    </cfRule>
  </conditionalFormatting>
  <conditionalFormatting sqref="G10:G21">
    <cfRule type="cellIs" priority="6" operator="greaterThan" dxfId="0">
      <formula>0</formula>
    </cfRule>
  </conditionalFormatting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25" customWidth="1" min="4" max="4"/>
    <col width="25" customWidth="1" min="5" max="5"/>
    <col width="14" customWidth="1" min="6" max="6"/>
    <col width="12" customWidth="1" min="7" max="7"/>
    <col width="13" customWidth="1" min="8" max="8"/>
    <col width="12" customWidth="1" min="9" max="9"/>
    <col width="14" customWidth="1" min="10" max="10"/>
    <col width="46" customWidth="1" min="11" max="11"/>
    <col width="26" customWidth="1" min="13" max="13"/>
    <col width="14" customWidth="1" min="14" max="14"/>
  </cols>
  <sheetData>
    <row r="1" ht="30" customHeight="1">
      <c r="A1" s="14" t="inlineStr">
        <is>
          <t>Data</t>
        </is>
      </c>
      <c r="B1" s="14" t="inlineStr">
        <is>
          <t>Sala</t>
        </is>
      </c>
      <c r="C1" s="14" t="inlineStr">
        <is>
          <t>Turno</t>
        </is>
      </c>
      <c r="D1" s="14" t="inlineStr">
        <is>
          <t>Circulante</t>
        </is>
      </c>
      <c r="E1" s="14" t="inlineStr">
        <is>
          <t>Instrumentador</t>
        </is>
      </c>
      <c r="F1" s="14" t="inlineStr">
        <is>
          <t>Afinidade da dupla</t>
        </is>
      </c>
      <c r="G1" s="14" t="inlineStr">
        <is>
          <t>Nº cirurgias</t>
        </is>
      </c>
      <c r="H1" s="14" t="inlineStr">
        <is>
          <t>Min. ocupação</t>
        </is>
      </c>
      <c r="I1" s="14" t="inlineStr">
        <is>
          <t>Ocupação %</t>
        </is>
      </c>
      <c r="J1" s="14" t="inlineStr">
        <is>
          <t>Classificação</t>
        </is>
      </c>
      <c r="K1" s="14" t="inlineStr">
        <is>
          <t>Alertas</t>
        </is>
      </c>
      <c r="M1" s="9" t="inlineStr">
        <is>
          <t>RESUMO DO HISTÓRICO</t>
        </is>
      </c>
    </row>
    <row r="2">
      <c r="A2" s="35" t="n"/>
      <c r="B2" s="15" t="n"/>
      <c r="C2" s="15" t="n"/>
      <c r="D2" s="17" t="n"/>
      <c r="E2" s="17" t="n"/>
      <c r="F2" s="34" t="n"/>
      <c r="G2" s="15" t="n"/>
      <c r="H2" s="15" t="n"/>
      <c r="I2" s="33" t="n"/>
      <c r="J2" s="15" t="n"/>
      <c r="K2" s="17" t="n"/>
      <c r="M2" s="17" t="inlineStr">
        <is>
          <t>Registros acumulados</t>
        </is>
      </c>
      <c r="N2" s="44">
        <f>COUNTA($A$2:$A$2001)</f>
        <v/>
      </c>
    </row>
    <row r="3">
      <c r="A3" s="35" t="n"/>
      <c r="B3" s="15" t="n"/>
      <c r="C3" s="15" t="n"/>
      <c r="D3" s="17" t="n"/>
      <c r="E3" s="17" t="n"/>
      <c r="F3" s="34" t="n"/>
      <c r="G3" s="15" t="n"/>
      <c r="H3" s="15" t="n"/>
      <c r="I3" s="33" t="n"/>
      <c r="J3" s="15" t="n"/>
      <c r="K3" s="17" t="n"/>
      <c r="M3" s="17" t="inlineStr">
        <is>
          <t>Afinidade média</t>
        </is>
      </c>
      <c r="N3" s="45">
        <f>IFERROR(AVERAGE($F$2:$F$2001),"")</f>
        <v/>
      </c>
    </row>
    <row r="4">
      <c r="A4" s="35" t="n"/>
      <c r="B4" s="15" t="n"/>
      <c r="C4" s="15" t="n"/>
      <c r="D4" s="17" t="n"/>
      <c r="E4" s="17" t="n"/>
      <c r="F4" s="34" t="n"/>
      <c r="G4" s="15" t="n"/>
      <c r="H4" s="15" t="n"/>
      <c r="I4" s="33" t="n"/>
      <c r="J4" s="15" t="n"/>
      <c r="K4" s="17" t="n"/>
      <c r="M4" s="17" t="inlineStr">
        <is>
          <t>Ocupação média</t>
        </is>
      </c>
      <c r="N4" s="46">
        <f>IFERROR(AVERAGE($I$2:$I$2001),"")</f>
        <v/>
      </c>
    </row>
    <row r="5">
      <c r="A5" s="35" t="n"/>
      <c r="B5" s="15" t="n"/>
      <c r="C5" s="15" t="n"/>
      <c r="D5" s="17" t="n"/>
      <c r="E5" s="17" t="n"/>
      <c r="F5" s="34" t="n"/>
      <c r="G5" s="15" t="n"/>
      <c r="H5" s="15" t="n"/>
      <c r="I5" s="33" t="n"/>
      <c r="J5" s="15" t="n"/>
      <c r="K5" s="17" t="n"/>
      <c r="M5" s="17" t="inlineStr">
        <is>
          <t>Duplas críticas registradas</t>
        </is>
      </c>
      <c r="N5" s="44">
        <f>COUNTIF($J$2:$J$2001,"CRÍTICA")</f>
        <v/>
      </c>
    </row>
    <row r="6">
      <c r="A6" s="35" t="n"/>
      <c r="B6" s="15" t="n"/>
      <c r="C6" s="15" t="n"/>
      <c r="D6" s="17" t="n"/>
      <c r="E6" s="17" t="n"/>
      <c r="F6" s="34" t="n"/>
      <c r="G6" s="15" t="n"/>
      <c r="H6" s="15" t="n"/>
      <c r="I6" s="33" t="n"/>
      <c r="J6" s="15" t="n"/>
      <c r="K6" s="17" t="n"/>
    </row>
    <row r="7">
      <c r="A7" s="35" t="n"/>
      <c r="B7" s="15" t="n"/>
      <c r="C7" s="15" t="n"/>
      <c r="D7" s="17" t="n"/>
      <c r="E7" s="17" t="n"/>
      <c r="F7" s="34" t="n"/>
      <c r="G7" s="15" t="n"/>
      <c r="H7" s="15" t="n"/>
      <c r="I7" s="33" t="n"/>
      <c r="J7" s="15" t="n"/>
      <c r="K7" s="17" t="n"/>
    </row>
    <row r="8">
      <c r="A8" s="35" t="n"/>
      <c r="B8" s="15" t="n"/>
      <c r="C8" s="15" t="n"/>
      <c r="D8" s="17" t="n"/>
      <c r="E8" s="17" t="n"/>
      <c r="F8" s="34" t="n"/>
      <c r="G8" s="15" t="n"/>
      <c r="H8" s="15" t="n"/>
      <c r="I8" s="33" t="n"/>
      <c r="J8" s="15" t="n"/>
      <c r="K8" s="17" t="n"/>
    </row>
    <row r="9">
      <c r="A9" s="35" t="n"/>
      <c r="B9" s="15" t="n"/>
      <c r="C9" s="15" t="n"/>
      <c r="D9" s="17" t="n"/>
      <c r="E9" s="17" t="n"/>
      <c r="F9" s="34" t="n"/>
      <c r="G9" s="15" t="n"/>
      <c r="H9" s="15" t="n"/>
      <c r="I9" s="33" t="n"/>
      <c r="J9" s="15" t="n"/>
      <c r="K9" s="17" t="n"/>
    </row>
    <row r="10">
      <c r="A10" s="35" t="n"/>
      <c r="B10" s="15" t="n"/>
      <c r="C10" s="15" t="n"/>
      <c r="D10" s="17" t="n"/>
      <c r="E10" s="17" t="n"/>
      <c r="F10" s="34" t="n"/>
      <c r="G10" s="15" t="n"/>
      <c r="H10" s="15" t="n"/>
      <c r="I10" s="33" t="n"/>
      <c r="J10" s="15" t="n"/>
      <c r="K10" s="17" t="n"/>
    </row>
    <row r="11">
      <c r="A11" s="35" t="n"/>
      <c r="B11" s="15" t="n"/>
      <c r="C11" s="15" t="n"/>
      <c r="D11" s="17" t="n"/>
      <c r="E11" s="17" t="n"/>
      <c r="F11" s="34" t="n"/>
      <c r="G11" s="15" t="n"/>
      <c r="H11" s="15" t="n"/>
      <c r="I11" s="33" t="n"/>
      <c r="J11" s="15" t="n"/>
      <c r="K11" s="17" t="n"/>
    </row>
    <row r="12">
      <c r="A12" s="35" t="n"/>
      <c r="B12" s="15" t="n"/>
      <c r="C12" s="15" t="n"/>
      <c r="D12" s="17" t="n"/>
      <c r="E12" s="17" t="n"/>
      <c r="F12" s="34" t="n"/>
      <c r="G12" s="15" t="n"/>
      <c r="H12" s="15" t="n"/>
      <c r="I12" s="33" t="n"/>
      <c r="J12" s="15" t="n"/>
      <c r="K12" s="17" t="n"/>
    </row>
    <row r="13">
      <c r="A13" s="35" t="n"/>
      <c r="B13" s="15" t="n"/>
      <c r="C13" s="15" t="n"/>
      <c r="D13" s="17" t="n"/>
      <c r="E13" s="17" t="n"/>
      <c r="F13" s="34" t="n"/>
      <c r="G13" s="15" t="n"/>
      <c r="H13" s="15" t="n"/>
      <c r="I13" s="33" t="n"/>
      <c r="J13" s="15" t="n"/>
      <c r="K13" s="17" t="n"/>
    </row>
    <row r="14">
      <c r="A14" s="35" t="n"/>
      <c r="B14" s="15" t="n"/>
      <c r="C14" s="15" t="n"/>
      <c r="D14" s="17" t="n"/>
      <c r="E14" s="17" t="n"/>
      <c r="F14" s="34" t="n"/>
      <c r="G14" s="15" t="n"/>
      <c r="H14" s="15" t="n"/>
      <c r="I14" s="33" t="n"/>
      <c r="J14" s="15" t="n"/>
      <c r="K14" s="17" t="n"/>
    </row>
    <row r="15">
      <c r="A15" s="35" t="n"/>
      <c r="B15" s="15" t="n"/>
      <c r="C15" s="15" t="n"/>
      <c r="D15" s="17" t="n"/>
      <c r="E15" s="17" t="n"/>
      <c r="F15" s="34" t="n"/>
      <c r="G15" s="15" t="n"/>
      <c r="H15" s="15" t="n"/>
      <c r="I15" s="33" t="n"/>
      <c r="J15" s="15" t="n"/>
      <c r="K15" s="17" t="n"/>
    </row>
    <row r="16">
      <c r="A16" s="35" t="n"/>
      <c r="B16" s="15" t="n"/>
      <c r="C16" s="15" t="n"/>
      <c r="D16" s="17" t="n"/>
      <c r="E16" s="17" t="n"/>
      <c r="F16" s="34" t="n"/>
      <c r="G16" s="15" t="n"/>
      <c r="H16" s="15" t="n"/>
      <c r="I16" s="33" t="n"/>
      <c r="J16" s="15" t="n"/>
      <c r="K16" s="17" t="n"/>
    </row>
    <row r="17">
      <c r="A17" s="35" t="n"/>
      <c r="B17" s="15" t="n"/>
      <c r="C17" s="15" t="n"/>
      <c r="D17" s="17" t="n"/>
      <c r="E17" s="17" t="n"/>
      <c r="F17" s="34" t="n"/>
      <c r="G17" s="15" t="n"/>
      <c r="H17" s="15" t="n"/>
      <c r="I17" s="33" t="n"/>
      <c r="J17" s="15" t="n"/>
      <c r="K17" s="17" t="n"/>
    </row>
    <row r="18">
      <c r="A18" s="35" t="n"/>
      <c r="B18" s="15" t="n"/>
      <c r="C18" s="15" t="n"/>
      <c r="D18" s="17" t="n"/>
      <c r="E18" s="17" t="n"/>
      <c r="F18" s="34" t="n"/>
      <c r="G18" s="15" t="n"/>
      <c r="H18" s="15" t="n"/>
      <c r="I18" s="33" t="n"/>
      <c r="J18" s="15" t="n"/>
      <c r="K18" s="17" t="n"/>
    </row>
    <row r="19">
      <c r="A19" s="35" t="n"/>
      <c r="B19" s="15" t="n"/>
      <c r="C19" s="15" t="n"/>
      <c r="D19" s="17" t="n"/>
      <c r="E19" s="17" t="n"/>
      <c r="F19" s="34" t="n"/>
      <c r="G19" s="15" t="n"/>
      <c r="H19" s="15" t="n"/>
      <c r="I19" s="33" t="n"/>
      <c r="J19" s="15" t="n"/>
      <c r="K19" s="17" t="n"/>
    </row>
    <row r="20">
      <c r="A20" s="35" t="n"/>
      <c r="B20" s="15" t="n"/>
      <c r="C20" s="15" t="n"/>
      <c r="D20" s="17" t="n"/>
      <c r="E20" s="17" t="n"/>
      <c r="F20" s="34" t="n"/>
      <c r="G20" s="15" t="n"/>
      <c r="H20" s="15" t="n"/>
      <c r="I20" s="33" t="n"/>
      <c r="J20" s="15" t="n"/>
      <c r="K20" s="17" t="n"/>
    </row>
    <row r="21">
      <c r="A21" s="35" t="n"/>
      <c r="B21" s="15" t="n"/>
      <c r="C21" s="15" t="n"/>
      <c r="D21" s="17" t="n"/>
      <c r="E21" s="17" t="n"/>
      <c r="F21" s="34" t="n"/>
      <c r="G21" s="15" t="n"/>
      <c r="H21" s="15" t="n"/>
      <c r="I21" s="33" t="n"/>
      <c r="J21" s="15" t="n"/>
      <c r="K21" s="17" t="n"/>
    </row>
    <row r="22">
      <c r="A22" s="35" t="n"/>
      <c r="B22" s="15" t="n"/>
      <c r="C22" s="15" t="n"/>
      <c r="D22" s="17" t="n"/>
      <c r="E22" s="17" t="n"/>
      <c r="F22" s="34" t="n"/>
      <c r="G22" s="15" t="n"/>
      <c r="H22" s="15" t="n"/>
      <c r="I22" s="33" t="n"/>
      <c r="J22" s="15" t="n"/>
      <c r="K22" s="17" t="n"/>
    </row>
    <row r="23">
      <c r="A23" s="35" t="n"/>
      <c r="B23" s="15" t="n"/>
      <c r="C23" s="15" t="n"/>
      <c r="D23" s="17" t="n"/>
      <c r="E23" s="17" t="n"/>
      <c r="F23" s="34" t="n"/>
      <c r="G23" s="15" t="n"/>
      <c r="H23" s="15" t="n"/>
      <c r="I23" s="33" t="n"/>
      <c r="J23" s="15" t="n"/>
      <c r="K23" s="17" t="n"/>
    </row>
    <row r="24">
      <c r="A24" s="35" t="n"/>
      <c r="B24" s="15" t="n"/>
      <c r="C24" s="15" t="n"/>
      <c r="D24" s="17" t="n"/>
      <c r="E24" s="17" t="n"/>
      <c r="F24" s="34" t="n"/>
      <c r="G24" s="15" t="n"/>
      <c r="H24" s="15" t="n"/>
      <c r="I24" s="33" t="n"/>
      <c r="J24" s="15" t="n"/>
      <c r="K24" s="17" t="n"/>
    </row>
    <row r="25">
      <c r="A25" s="35" t="n"/>
      <c r="B25" s="15" t="n"/>
      <c r="C25" s="15" t="n"/>
      <c r="D25" s="17" t="n"/>
      <c r="E25" s="17" t="n"/>
      <c r="F25" s="34" t="n"/>
      <c r="G25" s="15" t="n"/>
      <c r="H25" s="15" t="n"/>
      <c r="I25" s="33" t="n"/>
      <c r="J25" s="15" t="n"/>
      <c r="K25" s="17" t="n"/>
    </row>
    <row r="26">
      <c r="A26" s="35" t="n"/>
      <c r="B26" s="15" t="n"/>
      <c r="C26" s="15" t="n"/>
      <c r="D26" s="17" t="n"/>
      <c r="E26" s="17" t="n"/>
      <c r="F26" s="34" t="n"/>
      <c r="G26" s="15" t="n"/>
      <c r="H26" s="15" t="n"/>
      <c r="I26" s="33" t="n"/>
      <c r="J26" s="15" t="n"/>
      <c r="K26" s="17" t="n"/>
    </row>
    <row r="27">
      <c r="A27" s="35" t="n"/>
      <c r="B27" s="15" t="n"/>
      <c r="C27" s="15" t="n"/>
      <c r="D27" s="17" t="n"/>
      <c r="E27" s="17" t="n"/>
      <c r="F27" s="34" t="n"/>
      <c r="G27" s="15" t="n"/>
      <c r="H27" s="15" t="n"/>
      <c r="I27" s="33" t="n"/>
      <c r="J27" s="15" t="n"/>
      <c r="K27" s="17" t="n"/>
    </row>
    <row r="28">
      <c r="A28" s="35" t="n"/>
      <c r="B28" s="15" t="n"/>
      <c r="C28" s="15" t="n"/>
      <c r="D28" s="17" t="n"/>
      <c r="E28" s="17" t="n"/>
      <c r="F28" s="34" t="n"/>
      <c r="G28" s="15" t="n"/>
      <c r="H28" s="15" t="n"/>
      <c r="I28" s="33" t="n"/>
      <c r="J28" s="15" t="n"/>
      <c r="K28" s="17" t="n"/>
    </row>
    <row r="29">
      <c r="A29" s="35" t="n"/>
      <c r="B29" s="15" t="n"/>
      <c r="C29" s="15" t="n"/>
      <c r="D29" s="17" t="n"/>
      <c r="E29" s="17" t="n"/>
      <c r="F29" s="34" t="n"/>
      <c r="G29" s="15" t="n"/>
      <c r="H29" s="15" t="n"/>
      <c r="I29" s="33" t="n"/>
      <c r="J29" s="15" t="n"/>
      <c r="K29" s="17" t="n"/>
    </row>
    <row r="30">
      <c r="A30" s="35" t="n"/>
      <c r="B30" s="15" t="n"/>
      <c r="C30" s="15" t="n"/>
      <c r="D30" s="17" t="n"/>
      <c r="E30" s="17" t="n"/>
      <c r="F30" s="34" t="n"/>
      <c r="G30" s="15" t="n"/>
      <c r="H30" s="15" t="n"/>
      <c r="I30" s="33" t="n"/>
      <c r="J30" s="15" t="n"/>
      <c r="K30" s="17" t="n"/>
    </row>
    <row r="31">
      <c r="A31" s="35" t="n"/>
      <c r="B31" s="15" t="n"/>
      <c r="C31" s="15" t="n"/>
      <c r="D31" s="17" t="n"/>
      <c r="E31" s="17" t="n"/>
      <c r="F31" s="34" t="n"/>
      <c r="G31" s="15" t="n"/>
      <c r="H31" s="15" t="n"/>
      <c r="I31" s="33" t="n"/>
      <c r="J31" s="15" t="n"/>
      <c r="K31" s="17" t="n"/>
    </row>
    <row r="32">
      <c r="A32" s="35" t="n"/>
      <c r="B32" s="15" t="n"/>
      <c r="C32" s="15" t="n"/>
      <c r="D32" s="17" t="n"/>
      <c r="E32" s="17" t="n"/>
      <c r="F32" s="34" t="n"/>
      <c r="G32" s="15" t="n"/>
      <c r="H32" s="15" t="n"/>
      <c r="I32" s="33" t="n"/>
      <c r="J32" s="15" t="n"/>
      <c r="K32" s="17" t="n"/>
    </row>
    <row r="33">
      <c r="A33" s="35" t="n"/>
      <c r="B33" s="15" t="n"/>
      <c r="C33" s="15" t="n"/>
      <c r="D33" s="17" t="n"/>
      <c r="E33" s="17" t="n"/>
      <c r="F33" s="34" t="n"/>
      <c r="G33" s="15" t="n"/>
      <c r="H33" s="15" t="n"/>
      <c r="I33" s="33" t="n"/>
      <c r="J33" s="15" t="n"/>
      <c r="K33" s="17" t="n"/>
    </row>
    <row r="34">
      <c r="A34" s="35" t="n"/>
      <c r="B34" s="15" t="n"/>
      <c r="C34" s="15" t="n"/>
      <c r="D34" s="17" t="n"/>
      <c r="E34" s="17" t="n"/>
      <c r="F34" s="34" t="n"/>
      <c r="G34" s="15" t="n"/>
      <c r="H34" s="15" t="n"/>
      <c r="I34" s="33" t="n"/>
      <c r="J34" s="15" t="n"/>
      <c r="K34" s="17" t="n"/>
    </row>
    <row r="35">
      <c r="A35" s="35" t="n"/>
      <c r="B35" s="15" t="n"/>
      <c r="C35" s="15" t="n"/>
      <c r="D35" s="17" t="n"/>
      <c r="E35" s="17" t="n"/>
      <c r="F35" s="34" t="n"/>
      <c r="G35" s="15" t="n"/>
      <c r="H35" s="15" t="n"/>
      <c r="I35" s="33" t="n"/>
      <c r="J35" s="15" t="n"/>
      <c r="K35" s="17" t="n"/>
    </row>
    <row r="36">
      <c r="A36" s="35" t="n"/>
      <c r="B36" s="15" t="n"/>
      <c r="C36" s="15" t="n"/>
      <c r="D36" s="17" t="n"/>
      <c r="E36" s="17" t="n"/>
      <c r="F36" s="34" t="n"/>
      <c r="G36" s="15" t="n"/>
      <c r="H36" s="15" t="n"/>
      <c r="I36" s="33" t="n"/>
      <c r="J36" s="15" t="n"/>
      <c r="K36" s="17" t="n"/>
    </row>
    <row r="37">
      <c r="A37" s="35" t="n"/>
      <c r="B37" s="15" t="n"/>
      <c r="C37" s="15" t="n"/>
      <c r="D37" s="17" t="n"/>
      <c r="E37" s="17" t="n"/>
      <c r="F37" s="34" t="n"/>
      <c r="G37" s="15" t="n"/>
      <c r="H37" s="15" t="n"/>
      <c r="I37" s="33" t="n"/>
      <c r="J37" s="15" t="n"/>
      <c r="K37" s="17" t="n"/>
    </row>
    <row r="38">
      <c r="A38" s="35" t="n"/>
      <c r="B38" s="15" t="n"/>
      <c r="C38" s="15" t="n"/>
      <c r="D38" s="17" t="n"/>
      <c r="E38" s="17" t="n"/>
      <c r="F38" s="34" t="n"/>
      <c r="G38" s="15" t="n"/>
      <c r="H38" s="15" t="n"/>
      <c r="I38" s="33" t="n"/>
      <c r="J38" s="15" t="n"/>
      <c r="K38" s="17" t="n"/>
    </row>
    <row r="39">
      <c r="A39" s="35" t="n"/>
      <c r="B39" s="15" t="n"/>
      <c r="C39" s="15" t="n"/>
      <c r="D39" s="17" t="n"/>
      <c r="E39" s="17" t="n"/>
      <c r="F39" s="34" t="n"/>
      <c r="G39" s="15" t="n"/>
      <c r="H39" s="15" t="n"/>
      <c r="I39" s="33" t="n"/>
      <c r="J39" s="15" t="n"/>
      <c r="K39" s="17" t="n"/>
    </row>
    <row r="40">
      <c r="A40" s="35" t="n"/>
      <c r="B40" s="15" t="n"/>
      <c r="C40" s="15" t="n"/>
      <c r="D40" s="17" t="n"/>
      <c r="E40" s="17" t="n"/>
      <c r="F40" s="34" t="n"/>
      <c r="G40" s="15" t="n"/>
      <c r="H40" s="15" t="n"/>
      <c r="I40" s="33" t="n"/>
      <c r="J40" s="15" t="n"/>
      <c r="K40" s="17" t="n"/>
    </row>
    <row r="41">
      <c r="A41" s="35" t="n"/>
      <c r="B41" s="15" t="n"/>
      <c r="C41" s="15" t="n"/>
      <c r="D41" s="17" t="n"/>
      <c r="E41" s="17" t="n"/>
      <c r="F41" s="34" t="n"/>
      <c r="G41" s="15" t="n"/>
      <c r="H41" s="15" t="n"/>
      <c r="I41" s="33" t="n"/>
      <c r="J41" s="15" t="n"/>
      <c r="K41" s="17" t="n"/>
    </row>
    <row r="42">
      <c r="A42" s="35" t="n"/>
      <c r="B42" s="15" t="n"/>
      <c r="C42" s="15" t="n"/>
      <c r="D42" s="17" t="n"/>
      <c r="E42" s="17" t="n"/>
      <c r="F42" s="34" t="n"/>
      <c r="G42" s="15" t="n"/>
      <c r="H42" s="15" t="n"/>
      <c r="I42" s="33" t="n"/>
      <c r="J42" s="15" t="n"/>
      <c r="K42" s="17" t="n"/>
    </row>
    <row r="43">
      <c r="A43" s="35" t="n"/>
      <c r="B43" s="15" t="n"/>
      <c r="C43" s="15" t="n"/>
      <c r="D43" s="17" t="n"/>
      <c r="E43" s="17" t="n"/>
      <c r="F43" s="34" t="n"/>
      <c r="G43" s="15" t="n"/>
      <c r="H43" s="15" t="n"/>
      <c r="I43" s="33" t="n"/>
      <c r="J43" s="15" t="n"/>
      <c r="K43" s="17" t="n"/>
    </row>
    <row r="44">
      <c r="A44" s="35" t="n"/>
      <c r="B44" s="15" t="n"/>
      <c r="C44" s="15" t="n"/>
      <c r="D44" s="17" t="n"/>
      <c r="E44" s="17" t="n"/>
      <c r="F44" s="34" t="n"/>
      <c r="G44" s="15" t="n"/>
      <c r="H44" s="15" t="n"/>
      <c r="I44" s="33" t="n"/>
      <c r="J44" s="15" t="n"/>
      <c r="K44" s="17" t="n"/>
    </row>
    <row r="45">
      <c r="A45" s="35" t="n"/>
      <c r="B45" s="15" t="n"/>
      <c r="C45" s="15" t="n"/>
      <c r="D45" s="17" t="n"/>
      <c r="E45" s="17" t="n"/>
      <c r="F45" s="34" t="n"/>
      <c r="G45" s="15" t="n"/>
      <c r="H45" s="15" t="n"/>
      <c r="I45" s="33" t="n"/>
      <c r="J45" s="15" t="n"/>
      <c r="K45" s="17" t="n"/>
    </row>
    <row r="46">
      <c r="A46" s="35" t="n"/>
      <c r="B46" s="15" t="n"/>
      <c r="C46" s="15" t="n"/>
      <c r="D46" s="17" t="n"/>
      <c r="E46" s="17" t="n"/>
      <c r="F46" s="34" t="n"/>
      <c r="G46" s="15" t="n"/>
      <c r="H46" s="15" t="n"/>
      <c r="I46" s="33" t="n"/>
      <c r="J46" s="15" t="n"/>
      <c r="K46" s="17" t="n"/>
    </row>
    <row r="47">
      <c r="A47" s="35" t="n"/>
      <c r="B47" s="15" t="n"/>
      <c r="C47" s="15" t="n"/>
      <c r="D47" s="17" t="n"/>
      <c r="E47" s="17" t="n"/>
      <c r="F47" s="34" t="n"/>
      <c r="G47" s="15" t="n"/>
      <c r="H47" s="15" t="n"/>
      <c r="I47" s="33" t="n"/>
      <c r="J47" s="15" t="n"/>
      <c r="K47" s="17" t="n"/>
    </row>
    <row r="48">
      <c r="A48" s="35" t="n"/>
      <c r="B48" s="15" t="n"/>
      <c r="C48" s="15" t="n"/>
      <c r="D48" s="17" t="n"/>
      <c r="E48" s="17" t="n"/>
      <c r="F48" s="34" t="n"/>
      <c r="G48" s="15" t="n"/>
      <c r="H48" s="15" t="n"/>
      <c r="I48" s="33" t="n"/>
      <c r="J48" s="15" t="n"/>
      <c r="K48" s="17" t="n"/>
    </row>
    <row r="49">
      <c r="A49" s="35" t="n"/>
      <c r="B49" s="15" t="n"/>
      <c r="C49" s="15" t="n"/>
      <c r="D49" s="17" t="n"/>
      <c r="E49" s="17" t="n"/>
      <c r="F49" s="34" t="n"/>
      <c r="G49" s="15" t="n"/>
      <c r="H49" s="15" t="n"/>
      <c r="I49" s="33" t="n"/>
      <c r="J49" s="15" t="n"/>
      <c r="K49" s="17" t="n"/>
    </row>
    <row r="50">
      <c r="A50" s="35" t="n"/>
      <c r="B50" s="15" t="n"/>
      <c r="C50" s="15" t="n"/>
      <c r="D50" s="17" t="n"/>
      <c r="E50" s="17" t="n"/>
      <c r="F50" s="34" t="n"/>
      <c r="G50" s="15" t="n"/>
      <c r="H50" s="15" t="n"/>
      <c r="I50" s="33" t="n"/>
      <c r="J50" s="15" t="n"/>
      <c r="K50" s="17" t="n"/>
    </row>
    <row r="51">
      <c r="A51" s="35" t="n"/>
      <c r="B51" s="15" t="n"/>
      <c r="C51" s="15" t="n"/>
      <c r="D51" s="17" t="n"/>
      <c r="E51" s="17" t="n"/>
      <c r="F51" s="34" t="n"/>
      <c r="G51" s="15" t="n"/>
      <c r="H51" s="15" t="n"/>
      <c r="I51" s="33" t="n"/>
      <c r="J51" s="15" t="n"/>
      <c r="K51" s="17" t="n"/>
    </row>
    <row r="52">
      <c r="A52" s="35" t="n"/>
      <c r="B52" s="15" t="n"/>
      <c r="C52" s="15" t="n"/>
      <c r="D52" s="17" t="n"/>
      <c r="E52" s="17" t="n"/>
      <c r="F52" s="34" t="n"/>
      <c r="G52" s="15" t="n"/>
      <c r="H52" s="15" t="n"/>
      <c r="I52" s="33" t="n"/>
      <c r="J52" s="15" t="n"/>
      <c r="K52" s="17" t="n"/>
    </row>
    <row r="53">
      <c r="A53" s="35" t="n"/>
      <c r="B53" s="15" t="n"/>
      <c r="C53" s="15" t="n"/>
      <c r="D53" s="17" t="n"/>
      <c r="E53" s="17" t="n"/>
      <c r="F53" s="34" t="n"/>
      <c r="G53" s="15" t="n"/>
      <c r="H53" s="15" t="n"/>
      <c r="I53" s="33" t="n"/>
      <c r="J53" s="15" t="n"/>
      <c r="K53" s="17" t="n"/>
    </row>
    <row r="54">
      <c r="A54" s="35" t="n"/>
      <c r="B54" s="15" t="n"/>
      <c r="C54" s="15" t="n"/>
      <c r="D54" s="17" t="n"/>
      <c r="E54" s="17" t="n"/>
      <c r="F54" s="34" t="n"/>
      <c r="G54" s="15" t="n"/>
      <c r="H54" s="15" t="n"/>
      <c r="I54" s="33" t="n"/>
      <c r="J54" s="15" t="n"/>
      <c r="K54" s="17" t="n"/>
    </row>
    <row r="55">
      <c r="A55" s="35" t="n"/>
      <c r="B55" s="15" t="n"/>
      <c r="C55" s="15" t="n"/>
      <c r="D55" s="17" t="n"/>
      <c r="E55" s="17" t="n"/>
      <c r="F55" s="34" t="n"/>
      <c r="G55" s="15" t="n"/>
      <c r="H55" s="15" t="n"/>
      <c r="I55" s="33" t="n"/>
      <c r="J55" s="15" t="n"/>
      <c r="K55" s="17" t="n"/>
    </row>
    <row r="56">
      <c r="A56" s="35" t="n"/>
      <c r="B56" s="15" t="n"/>
      <c r="C56" s="15" t="n"/>
      <c r="D56" s="17" t="n"/>
      <c r="E56" s="17" t="n"/>
      <c r="F56" s="34" t="n"/>
      <c r="G56" s="15" t="n"/>
      <c r="H56" s="15" t="n"/>
      <c r="I56" s="33" t="n"/>
      <c r="J56" s="15" t="n"/>
      <c r="K56" s="17" t="n"/>
    </row>
    <row r="57">
      <c r="A57" s="35" t="n"/>
      <c r="B57" s="15" t="n"/>
      <c r="C57" s="15" t="n"/>
      <c r="D57" s="17" t="n"/>
      <c r="E57" s="17" t="n"/>
      <c r="F57" s="34" t="n"/>
      <c r="G57" s="15" t="n"/>
      <c r="H57" s="15" t="n"/>
      <c r="I57" s="33" t="n"/>
      <c r="J57" s="15" t="n"/>
      <c r="K57" s="17" t="n"/>
    </row>
    <row r="58">
      <c r="A58" s="35" t="n"/>
      <c r="B58" s="15" t="n"/>
      <c r="C58" s="15" t="n"/>
      <c r="D58" s="17" t="n"/>
      <c r="E58" s="17" t="n"/>
      <c r="F58" s="34" t="n"/>
      <c r="G58" s="15" t="n"/>
      <c r="H58" s="15" t="n"/>
      <c r="I58" s="33" t="n"/>
      <c r="J58" s="15" t="n"/>
      <c r="K58" s="17" t="n"/>
    </row>
    <row r="59">
      <c r="A59" s="35" t="n"/>
      <c r="B59" s="15" t="n"/>
      <c r="C59" s="15" t="n"/>
      <c r="D59" s="17" t="n"/>
      <c r="E59" s="17" t="n"/>
      <c r="F59" s="34" t="n"/>
      <c r="G59" s="15" t="n"/>
      <c r="H59" s="15" t="n"/>
      <c r="I59" s="33" t="n"/>
      <c r="J59" s="15" t="n"/>
      <c r="K59" s="17" t="n"/>
    </row>
    <row r="60">
      <c r="A60" s="35" t="n"/>
      <c r="B60" s="15" t="n"/>
      <c r="C60" s="15" t="n"/>
      <c r="D60" s="17" t="n"/>
      <c r="E60" s="17" t="n"/>
      <c r="F60" s="34" t="n"/>
      <c r="G60" s="15" t="n"/>
      <c r="H60" s="15" t="n"/>
      <c r="I60" s="33" t="n"/>
      <c r="J60" s="15" t="n"/>
      <c r="K60" s="17" t="n"/>
    </row>
    <row r="61">
      <c r="A61" s="35" t="n"/>
      <c r="B61" s="15" t="n"/>
      <c r="C61" s="15" t="n"/>
      <c r="D61" s="17" t="n"/>
      <c r="E61" s="17" t="n"/>
      <c r="F61" s="34" t="n"/>
      <c r="G61" s="15" t="n"/>
      <c r="H61" s="15" t="n"/>
      <c r="I61" s="33" t="n"/>
      <c r="J61" s="15" t="n"/>
      <c r="K61" s="17" t="n"/>
    </row>
    <row r="62">
      <c r="A62" s="35" t="n"/>
      <c r="B62" s="15" t="n"/>
      <c r="C62" s="15" t="n"/>
      <c r="D62" s="17" t="n"/>
      <c r="E62" s="17" t="n"/>
      <c r="F62" s="34" t="n"/>
      <c r="G62" s="15" t="n"/>
      <c r="H62" s="15" t="n"/>
      <c r="I62" s="33" t="n"/>
      <c r="J62" s="15" t="n"/>
      <c r="K62" s="17" t="n"/>
    </row>
    <row r="63">
      <c r="A63" s="35" t="n"/>
      <c r="B63" s="15" t="n"/>
      <c r="C63" s="15" t="n"/>
      <c r="D63" s="17" t="n"/>
      <c r="E63" s="17" t="n"/>
      <c r="F63" s="34" t="n"/>
      <c r="G63" s="15" t="n"/>
      <c r="H63" s="15" t="n"/>
      <c r="I63" s="33" t="n"/>
      <c r="J63" s="15" t="n"/>
      <c r="K63" s="17" t="n"/>
    </row>
    <row r="64">
      <c r="A64" s="35" t="n"/>
      <c r="B64" s="15" t="n"/>
      <c r="C64" s="15" t="n"/>
      <c r="D64" s="17" t="n"/>
      <c r="E64" s="17" t="n"/>
      <c r="F64" s="34" t="n"/>
      <c r="G64" s="15" t="n"/>
      <c r="H64" s="15" t="n"/>
      <c r="I64" s="33" t="n"/>
      <c r="J64" s="15" t="n"/>
      <c r="K64" s="17" t="n"/>
    </row>
    <row r="65">
      <c r="A65" s="35" t="n"/>
      <c r="B65" s="15" t="n"/>
      <c r="C65" s="15" t="n"/>
      <c r="D65" s="17" t="n"/>
      <c r="E65" s="17" t="n"/>
      <c r="F65" s="34" t="n"/>
      <c r="G65" s="15" t="n"/>
      <c r="H65" s="15" t="n"/>
      <c r="I65" s="33" t="n"/>
      <c r="J65" s="15" t="n"/>
      <c r="K65" s="17" t="n"/>
    </row>
    <row r="66">
      <c r="A66" s="35" t="n"/>
      <c r="B66" s="15" t="n"/>
      <c r="C66" s="15" t="n"/>
      <c r="D66" s="17" t="n"/>
      <c r="E66" s="17" t="n"/>
      <c r="F66" s="34" t="n"/>
      <c r="G66" s="15" t="n"/>
      <c r="H66" s="15" t="n"/>
      <c r="I66" s="33" t="n"/>
      <c r="J66" s="15" t="n"/>
      <c r="K66" s="17" t="n"/>
    </row>
    <row r="67">
      <c r="A67" s="35" t="n"/>
      <c r="B67" s="15" t="n"/>
      <c r="C67" s="15" t="n"/>
      <c r="D67" s="17" t="n"/>
      <c r="E67" s="17" t="n"/>
      <c r="F67" s="34" t="n"/>
      <c r="G67" s="15" t="n"/>
      <c r="H67" s="15" t="n"/>
      <c r="I67" s="33" t="n"/>
      <c r="J67" s="15" t="n"/>
      <c r="K67" s="17" t="n"/>
    </row>
    <row r="68">
      <c r="A68" s="35" t="n"/>
      <c r="B68" s="15" t="n"/>
      <c r="C68" s="15" t="n"/>
      <c r="D68" s="17" t="n"/>
      <c r="E68" s="17" t="n"/>
      <c r="F68" s="34" t="n"/>
      <c r="G68" s="15" t="n"/>
      <c r="H68" s="15" t="n"/>
      <c r="I68" s="33" t="n"/>
      <c r="J68" s="15" t="n"/>
      <c r="K68" s="17" t="n"/>
    </row>
    <row r="69">
      <c r="A69" s="35" t="n"/>
      <c r="B69" s="15" t="n"/>
      <c r="C69" s="15" t="n"/>
      <c r="D69" s="17" t="n"/>
      <c r="E69" s="17" t="n"/>
      <c r="F69" s="34" t="n"/>
      <c r="G69" s="15" t="n"/>
      <c r="H69" s="15" t="n"/>
      <c r="I69" s="33" t="n"/>
      <c r="J69" s="15" t="n"/>
      <c r="K69" s="17" t="n"/>
    </row>
    <row r="70">
      <c r="A70" s="35" t="n"/>
      <c r="B70" s="15" t="n"/>
      <c r="C70" s="15" t="n"/>
      <c r="D70" s="17" t="n"/>
      <c r="E70" s="17" t="n"/>
      <c r="F70" s="34" t="n"/>
      <c r="G70" s="15" t="n"/>
      <c r="H70" s="15" t="n"/>
      <c r="I70" s="33" t="n"/>
      <c r="J70" s="15" t="n"/>
      <c r="K70" s="17" t="n"/>
    </row>
    <row r="71">
      <c r="A71" s="35" t="n"/>
      <c r="B71" s="15" t="n"/>
      <c r="C71" s="15" t="n"/>
      <c r="D71" s="17" t="n"/>
      <c r="E71" s="17" t="n"/>
      <c r="F71" s="34" t="n"/>
      <c r="G71" s="15" t="n"/>
      <c r="H71" s="15" t="n"/>
      <c r="I71" s="33" t="n"/>
      <c r="J71" s="15" t="n"/>
      <c r="K71" s="17" t="n"/>
    </row>
    <row r="72">
      <c r="A72" s="35" t="n"/>
      <c r="B72" s="15" t="n"/>
      <c r="C72" s="15" t="n"/>
      <c r="D72" s="17" t="n"/>
      <c r="E72" s="17" t="n"/>
      <c r="F72" s="34" t="n"/>
      <c r="G72" s="15" t="n"/>
      <c r="H72" s="15" t="n"/>
      <c r="I72" s="33" t="n"/>
      <c r="J72" s="15" t="n"/>
      <c r="K72" s="17" t="n"/>
    </row>
    <row r="73">
      <c r="A73" s="35" t="n"/>
      <c r="B73" s="15" t="n"/>
      <c r="C73" s="15" t="n"/>
      <c r="D73" s="17" t="n"/>
      <c r="E73" s="17" t="n"/>
      <c r="F73" s="34" t="n"/>
      <c r="G73" s="15" t="n"/>
      <c r="H73" s="15" t="n"/>
      <c r="I73" s="33" t="n"/>
      <c r="J73" s="15" t="n"/>
      <c r="K73" s="17" t="n"/>
    </row>
    <row r="74">
      <c r="A74" s="35" t="n"/>
      <c r="B74" s="15" t="n"/>
      <c r="C74" s="15" t="n"/>
      <c r="D74" s="17" t="n"/>
      <c r="E74" s="17" t="n"/>
      <c r="F74" s="34" t="n"/>
      <c r="G74" s="15" t="n"/>
      <c r="H74" s="15" t="n"/>
      <c r="I74" s="33" t="n"/>
      <c r="J74" s="15" t="n"/>
      <c r="K74" s="17" t="n"/>
    </row>
    <row r="75">
      <c r="A75" s="35" t="n"/>
      <c r="B75" s="15" t="n"/>
      <c r="C75" s="15" t="n"/>
      <c r="D75" s="17" t="n"/>
      <c r="E75" s="17" t="n"/>
      <c r="F75" s="34" t="n"/>
      <c r="G75" s="15" t="n"/>
      <c r="H75" s="15" t="n"/>
      <c r="I75" s="33" t="n"/>
      <c r="J75" s="15" t="n"/>
      <c r="K75" s="17" t="n"/>
    </row>
    <row r="76">
      <c r="A76" s="35" t="n"/>
      <c r="B76" s="15" t="n"/>
      <c r="C76" s="15" t="n"/>
      <c r="D76" s="17" t="n"/>
      <c r="E76" s="17" t="n"/>
      <c r="F76" s="34" t="n"/>
      <c r="G76" s="15" t="n"/>
      <c r="H76" s="15" t="n"/>
      <c r="I76" s="33" t="n"/>
      <c r="J76" s="15" t="n"/>
      <c r="K76" s="17" t="n"/>
    </row>
    <row r="77">
      <c r="A77" s="35" t="n"/>
      <c r="B77" s="15" t="n"/>
      <c r="C77" s="15" t="n"/>
      <c r="D77" s="17" t="n"/>
      <c r="E77" s="17" t="n"/>
      <c r="F77" s="34" t="n"/>
      <c r="G77" s="15" t="n"/>
      <c r="H77" s="15" t="n"/>
      <c r="I77" s="33" t="n"/>
      <c r="J77" s="15" t="n"/>
      <c r="K77" s="17" t="n"/>
    </row>
    <row r="78">
      <c r="A78" s="35" t="n"/>
      <c r="B78" s="15" t="n"/>
      <c r="C78" s="15" t="n"/>
      <c r="D78" s="17" t="n"/>
      <c r="E78" s="17" t="n"/>
      <c r="F78" s="34" t="n"/>
      <c r="G78" s="15" t="n"/>
      <c r="H78" s="15" t="n"/>
      <c r="I78" s="33" t="n"/>
      <c r="J78" s="15" t="n"/>
      <c r="K78" s="17" t="n"/>
    </row>
    <row r="79">
      <c r="A79" s="35" t="n"/>
      <c r="B79" s="15" t="n"/>
      <c r="C79" s="15" t="n"/>
      <c r="D79" s="17" t="n"/>
      <c r="E79" s="17" t="n"/>
      <c r="F79" s="34" t="n"/>
      <c r="G79" s="15" t="n"/>
      <c r="H79" s="15" t="n"/>
      <c r="I79" s="33" t="n"/>
      <c r="J79" s="15" t="n"/>
      <c r="K79" s="17" t="n"/>
    </row>
    <row r="80">
      <c r="A80" s="35" t="n"/>
      <c r="B80" s="15" t="n"/>
      <c r="C80" s="15" t="n"/>
      <c r="D80" s="17" t="n"/>
      <c r="E80" s="17" t="n"/>
      <c r="F80" s="34" t="n"/>
      <c r="G80" s="15" t="n"/>
      <c r="H80" s="15" t="n"/>
      <c r="I80" s="33" t="n"/>
      <c r="J80" s="15" t="n"/>
      <c r="K80" s="17" t="n"/>
    </row>
    <row r="81">
      <c r="A81" s="35" t="n"/>
      <c r="B81" s="15" t="n"/>
      <c r="C81" s="15" t="n"/>
      <c r="D81" s="17" t="n"/>
      <c r="E81" s="17" t="n"/>
      <c r="F81" s="34" t="n"/>
      <c r="G81" s="15" t="n"/>
      <c r="H81" s="15" t="n"/>
      <c r="I81" s="33" t="n"/>
      <c r="J81" s="15" t="n"/>
      <c r="K81" s="17" t="n"/>
    </row>
    <row r="82">
      <c r="A82" s="35" t="n"/>
      <c r="B82" s="15" t="n"/>
      <c r="C82" s="15" t="n"/>
      <c r="D82" s="17" t="n"/>
      <c r="E82" s="17" t="n"/>
      <c r="F82" s="34" t="n"/>
      <c r="G82" s="15" t="n"/>
      <c r="H82" s="15" t="n"/>
      <c r="I82" s="33" t="n"/>
      <c r="J82" s="15" t="n"/>
      <c r="K82" s="17" t="n"/>
    </row>
    <row r="83">
      <c r="A83" s="35" t="n"/>
      <c r="B83" s="15" t="n"/>
      <c r="C83" s="15" t="n"/>
      <c r="D83" s="17" t="n"/>
      <c r="E83" s="17" t="n"/>
      <c r="F83" s="34" t="n"/>
      <c r="G83" s="15" t="n"/>
      <c r="H83" s="15" t="n"/>
      <c r="I83" s="33" t="n"/>
      <c r="J83" s="15" t="n"/>
      <c r="K83" s="17" t="n"/>
    </row>
    <row r="84">
      <c r="A84" s="35" t="n"/>
      <c r="B84" s="15" t="n"/>
      <c r="C84" s="15" t="n"/>
      <c r="D84" s="17" t="n"/>
      <c r="E84" s="17" t="n"/>
      <c r="F84" s="34" t="n"/>
      <c r="G84" s="15" t="n"/>
      <c r="H84" s="15" t="n"/>
      <c r="I84" s="33" t="n"/>
      <c r="J84" s="15" t="n"/>
      <c r="K84" s="17" t="n"/>
    </row>
    <row r="85">
      <c r="A85" s="35" t="n"/>
      <c r="B85" s="15" t="n"/>
      <c r="C85" s="15" t="n"/>
      <c r="D85" s="17" t="n"/>
      <c r="E85" s="17" t="n"/>
      <c r="F85" s="34" t="n"/>
      <c r="G85" s="15" t="n"/>
      <c r="H85" s="15" t="n"/>
      <c r="I85" s="33" t="n"/>
      <c r="J85" s="15" t="n"/>
      <c r="K85" s="17" t="n"/>
    </row>
    <row r="86">
      <c r="A86" s="35" t="n"/>
      <c r="B86" s="15" t="n"/>
      <c r="C86" s="15" t="n"/>
      <c r="D86" s="17" t="n"/>
      <c r="E86" s="17" t="n"/>
      <c r="F86" s="34" t="n"/>
      <c r="G86" s="15" t="n"/>
      <c r="H86" s="15" t="n"/>
      <c r="I86" s="33" t="n"/>
      <c r="J86" s="15" t="n"/>
      <c r="K86" s="17" t="n"/>
    </row>
    <row r="87">
      <c r="A87" s="35" t="n"/>
      <c r="B87" s="15" t="n"/>
      <c r="C87" s="15" t="n"/>
      <c r="D87" s="17" t="n"/>
      <c r="E87" s="17" t="n"/>
      <c r="F87" s="34" t="n"/>
      <c r="G87" s="15" t="n"/>
      <c r="H87" s="15" t="n"/>
      <c r="I87" s="33" t="n"/>
      <c r="J87" s="15" t="n"/>
      <c r="K87" s="17" t="n"/>
    </row>
    <row r="88">
      <c r="A88" s="35" t="n"/>
      <c r="B88" s="15" t="n"/>
      <c r="C88" s="15" t="n"/>
      <c r="D88" s="17" t="n"/>
      <c r="E88" s="17" t="n"/>
      <c r="F88" s="34" t="n"/>
      <c r="G88" s="15" t="n"/>
      <c r="H88" s="15" t="n"/>
      <c r="I88" s="33" t="n"/>
      <c r="J88" s="15" t="n"/>
      <c r="K88" s="17" t="n"/>
    </row>
    <row r="89">
      <c r="A89" s="35" t="n"/>
      <c r="B89" s="15" t="n"/>
      <c r="C89" s="15" t="n"/>
      <c r="D89" s="17" t="n"/>
      <c r="E89" s="17" t="n"/>
      <c r="F89" s="34" t="n"/>
      <c r="G89" s="15" t="n"/>
      <c r="H89" s="15" t="n"/>
      <c r="I89" s="33" t="n"/>
      <c r="J89" s="15" t="n"/>
      <c r="K89" s="17" t="n"/>
    </row>
    <row r="90">
      <c r="A90" s="35" t="n"/>
      <c r="B90" s="15" t="n"/>
      <c r="C90" s="15" t="n"/>
      <c r="D90" s="17" t="n"/>
      <c r="E90" s="17" t="n"/>
      <c r="F90" s="34" t="n"/>
      <c r="G90" s="15" t="n"/>
      <c r="H90" s="15" t="n"/>
      <c r="I90" s="33" t="n"/>
      <c r="J90" s="15" t="n"/>
      <c r="K90" s="17" t="n"/>
    </row>
    <row r="91">
      <c r="A91" s="35" t="n"/>
      <c r="B91" s="15" t="n"/>
      <c r="C91" s="15" t="n"/>
      <c r="D91" s="17" t="n"/>
      <c r="E91" s="17" t="n"/>
      <c r="F91" s="34" t="n"/>
      <c r="G91" s="15" t="n"/>
      <c r="H91" s="15" t="n"/>
      <c r="I91" s="33" t="n"/>
      <c r="J91" s="15" t="n"/>
      <c r="K91" s="17" t="n"/>
    </row>
    <row r="92">
      <c r="A92" s="35" t="n"/>
      <c r="B92" s="15" t="n"/>
      <c r="C92" s="15" t="n"/>
      <c r="D92" s="17" t="n"/>
      <c r="E92" s="17" t="n"/>
      <c r="F92" s="34" t="n"/>
      <c r="G92" s="15" t="n"/>
      <c r="H92" s="15" t="n"/>
      <c r="I92" s="33" t="n"/>
      <c r="J92" s="15" t="n"/>
      <c r="K92" s="17" t="n"/>
    </row>
    <row r="93">
      <c r="A93" s="35" t="n"/>
      <c r="B93" s="15" t="n"/>
      <c r="C93" s="15" t="n"/>
      <c r="D93" s="17" t="n"/>
      <c r="E93" s="17" t="n"/>
      <c r="F93" s="34" t="n"/>
      <c r="G93" s="15" t="n"/>
      <c r="H93" s="15" t="n"/>
      <c r="I93" s="33" t="n"/>
      <c r="J93" s="15" t="n"/>
      <c r="K93" s="17" t="n"/>
    </row>
    <row r="94">
      <c r="A94" s="35" t="n"/>
      <c r="B94" s="15" t="n"/>
      <c r="C94" s="15" t="n"/>
      <c r="D94" s="17" t="n"/>
      <c r="E94" s="17" t="n"/>
      <c r="F94" s="34" t="n"/>
      <c r="G94" s="15" t="n"/>
      <c r="H94" s="15" t="n"/>
      <c r="I94" s="33" t="n"/>
      <c r="J94" s="15" t="n"/>
      <c r="K94" s="17" t="n"/>
    </row>
    <row r="95">
      <c r="A95" s="35" t="n"/>
      <c r="B95" s="15" t="n"/>
      <c r="C95" s="15" t="n"/>
      <c r="D95" s="17" t="n"/>
      <c r="E95" s="17" t="n"/>
      <c r="F95" s="34" t="n"/>
      <c r="G95" s="15" t="n"/>
      <c r="H95" s="15" t="n"/>
      <c r="I95" s="33" t="n"/>
      <c r="J95" s="15" t="n"/>
      <c r="K95" s="17" t="n"/>
    </row>
    <row r="96">
      <c r="A96" s="35" t="n"/>
      <c r="B96" s="15" t="n"/>
      <c r="C96" s="15" t="n"/>
      <c r="D96" s="17" t="n"/>
      <c r="E96" s="17" t="n"/>
      <c r="F96" s="34" t="n"/>
      <c r="G96" s="15" t="n"/>
      <c r="H96" s="15" t="n"/>
      <c r="I96" s="33" t="n"/>
      <c r="J96" s="15" t="n"/>
      <c r="K96" s="17" t="n"/>
    </row>
    <row r="97">
      <c r="A97" s="35" t="n"/>
      <c r="B97" s="15" t="n"/>
      <c r="C97" s="15" t="n"/>
      <c r="D97" s="17" t="n"/>
      <c r="E97" s="17" t="n"/>
      <c r="F97" s="34" t="n"/>
      <c r="G97" s="15" t="n"/>
      <c r="H97" s="15" t="n"/>
      <c r="I97" s="33" t="n"/>
      <c r="J97" s="15" t="n"/>
      <c r="K97" s="17" t="n"/>
    </row>
    <row r="98">
      <c r="A98" s="35" t="n"/>
      <c r="B98" s="15" t="n"/>
      <c r="C98" s="15" t="n"/>
      <c r="D98" s="17" t="n"/>
      <c r="E98" s="17" t="n"/>
      <c r="F98" s="34" t="n"/>
      <c r="G98" s="15" t="n"/>
      <c r="H98" s="15" t="n"/>
      <c r="I98" s="33" t="n"/>
      <c r="J98" s="15" t="n"/>
      <c r="K98" s="17" t="n"/>
    </row>
    <row r="99">
      <c r="A99" s="35" t="n"/>
      <c r="B99" s="15" t="n"/>
      <c r="C99" s="15" t="n"/>
      <c r="D99" s="17" t="n"/>
      <c r="E99" s="17" t="n"/>
      <c r="F99" s="34" t="n"/>
      <c r="G99" s="15" t="n"/>
      <c r="H99" s="15" t="n"/>
      <c r="I99" s="33" t="n"/>
      <c r="J99" s="15" t="n"/>
      <c r="K99" s="17" t="n"/>
    </row>
    <row r="100">
      <c r="A100" s="35" t="n"/>
      <c r="B100" s="15" t="n"/>
      <c r="C100" s="15" t="n"/>
      <c r="D100" s="17" t="n"/>
      <c r="E100" s="17" t="n"/>
      <c r="F100" s="34" t="n"/>
      <c r="G100" s="15" t="n"/>
      <c r="H100" s="15" t="n"/>
      <c r="I100" s="33" t="n"/>
      <c r="J100" s="15" t="n"/>
      <c r="K100" s="17" t="n"/>
    </row>
    <row r="101">
      <c r="A101" s="35" t="n"/>
      <c r="B101" s="15" t="n"/>
      <c r="C101" s="15" t="n"/>
      <c r="D101" s="17" t="n"/>
      <c r="E101" s="17" t="n"/>
      <c r="F101" s="34" t="n"/>
      <c r="G101" s="15" t="n"/>
      <c r="H101" s="15" t="n"/>
      <c r="I101" s="33" t="n"/>
      <c r="J101" s="15" t="n"/>
      <c r="K101" s="17" t="n"/>
    </row>
    <row r="102">
      <c r="A102" s="35" t="n"/>
      <c r="B102" s="15" t="n"/>
      <c r="C102" s="15" t="n"/>
      <c r="D102" s="17" t="n"/>
      <c r="E102" s="17" t="n"/>
      <c r="F102" s="34" t="n"/>
      <c r="G102" s="15" t="n"/>
      <c r="H102" s="15" t="n"/>
      <c r="I102" s="33" t="n"/>
      <c r="J102" s="15" t="n"/>
      <c r="K102" s="17" t="n"/>
    </row>
    <row r="103">
      <c r="A103" s="35" t="n"/>
      <c r="B103" s="15" t="n"/>
      <c r="C103" s="15" t="n"/>
      <c r="D103" s="17" t="n"/>
      <c r="E103" s="17" t="n"/>
      <c r="F103" s="34" t="n"/>
      <c r="G103" s="15" t="n"/>
      <c r="H103" s="15" t="n"/>
      <c r="I103" s="33" t="n"/>
      <c r="J103" s="15" t="n"/>
      <c r="K103" s="17" t="n"/>
    </row>
    <row r="104">
      <c r="A104" s="35" t="n"/>
      <c r="B104" s="15" t="n"/>
      <c r="C104" s="15" t="n"/>
      <c r="D104" s="17" t="n"/>
      <c r="E104" s="17" t="n"/>
      <c r="F104" s="34" t="n"/>
      <c r="G104" s="15" t="n"/>
      <c r="H104" s="15" t="n"/>
      <c r="I104" s="33" t="n"/>
      <c r="J104" s="15" t="n"/>
      <c r="K104" s="17" t="n"/>
    </row>
    <row r="105">
      <c r="A105" s="35" t="n"/>
      <c r="B105" s="15" t="n"/>
      <c r="C105" s="15" t="n"/>
      <c r="D105" s="17" t="n"/>
      <c r="E105" s="17" t="n"/>
      <c r="F105" s="34" t="n"/>
      <c r="G105" s="15" t="n"/>
      <c r="H105" s="15" t="n"/>
      <c r="I105" s="33" t="n"/>
      <c r="J105" s="15" t="n"/>
      <c r="K105" s="17" t="n"/>
    </row>
    <row r="106">
      <c r="A106" s="35" t="n"/>
      <c r="B106" s="15" t="n"/>
      <c r="C106" s="15" t="n"/>
      <c r="D106" s="17" t="n"/>
      <c r="E106" s="17" t="n"/>
      <c r="F106" s="34" t="n"/>
      <c r="G106" s="15" t="n"/>
      <c r="H106" s="15" t="n"/>
      <c r="I106" s="33" t="n"/>
      <c r="J106" s="15" t="n"/>
      <c r="K106" s="17" t="n"/>
    </row>
    <row r="107">
      <c r="A107" s="35" t="n"/>
      <c r="B107" s="15" t="n"/>
      <c r="C107" s="15" t="n"/>
      <c r="D107" s="17" t="n"/>
      <c r="E107" s="17" t="n"/>
      <c r="F107" s="34" t="n"/>
      <c r="G107" s="15" t="n"/>
      <c r="H107" s="15" t="n"/>
      <c r="I107" s="33" t="n"/>
      <c r="J107" s="15" t="n"/>
      <c r="K107" s="17" t="n"/>
    </row>
    <row r="108">
      <c r="A108" s="35" t="n"/>
      <c r="B108" s="15" t="n"/>
      <c r="C108" s="15" t="n"/>
      <c r="D108" s="17" t="n"/>
      <c r="E108" s="17" t="n"/>
      <c r="F108" s="34" t="n"/>
      <c r="G108" s="15" t="n"/>
      <c r="H108" s="15" t="n"/>
      <c r="I108" s="33" t="n"/>
      <c r="J108" s="15" t="n"/>
      <c r="K108" s="17" t="n"/>
    </row>
    <row r="109">
      <c r="A109" s="35" t="n"/>
      <c r="B109" s="15" t="n"/>
      <c r="C109" s="15" t="n"/>
      <c r="D109" s="17" t="n"/>
      <c r="E109" s="17" t="n"/>
      <c r="F109" s="34" t="n"/>
      <c r="G109" s="15" t="n"/>
      <c r="H109" s="15" t="n"/>
      <c r="I109" s="33" t="n"/>
      <c r="J109" s="15" t="n"/>
      <c r="K109" s="17" t="n"/>
    </row>
    <row r="110">
      <c r="A110" s="35" t="n"/>
      <c r="B110" s="15" t="n"/>
      <c r="C110" s="15" t="n"/>
      <c r="D110" s="17" t="n"/>
      <c r="E110" s="17" t="n"/>
      <c r="F110" s="34" t="n"/>
      <c r="G110" s="15" t="n"/>
      <c r="H110" s="15" t="n"/>
      <c r="I110" s="33" t="n"/>
      <c r="J110" s="15" t="n"/>
      <c r="K110" s="17" t="n"/>
    </row>
    <row r="111">
      <c r="A111" s="35" t="n"/>
      <c r="B111" s="15" t="n"/>
      <c r="C111" s="15" t="n"/>
      <c r="D111" s="17" t="n"/>
      <c r="E111" s="17" t="n"/>
      <c r="F111" s="34" t="n"/>
      <c r="G111" s="15" t="n"/>
      <c r="H111" s="15" t="n"/>
      <c r="I111" s="33" t="n"/>
      <c r="J111" s="15" t="n"/>
      <c r="K111" s="17" t="n"/>
    </row>
    <row r="112">
      <c r="A112" s="35" t="n"/>
      <c r="B112" s="15" t="n"/>
      <c r="C112" s="15" t="n"/>
      <c r="D112" s="17" t="n"/>
      <c r="E112" s="17" t="n"/>
      <c r="F112" s="34" t="n"/>
      <c r="G112" s="15" t="n"/>
      <c r="H112" s="15" t="n"/>
      <c r="I112" s="33" t="n"/>
      <c r="J112" s="15" t="n"/>
      <c r="K112" s="17" t="n"/>
    </row>
    <row r="113">
      <c r="A113" s="35" t="n"/>
      <c r="B113" s="15" t="n"/>
      <c r="C113" s="15" t="n"/>
      <c r="D113" s="17" t="n"/>
      <c r="E113" s="17" t="n"/>
      <c r="F113" s="34" t="n"/>
      <c r="G113" s="15" t="n"/>
      <c r="H113" s="15" t="n"/>
      <c r="I113" s="33" t="n"/>
      <c r="J113" s="15" t="n"/>
      <c r="K113" s="17" t="n"/>
    </row>
    <row r="114">
      <c r="A114" s="35" t="n"/>
      <c r="B114" s="15" t="n"/>
      <c r="C114" s="15" t="n"/>
      <c r="D114" s="17" t="n"/>
      <c r="E114" s="17" t="n"/>
      <c r="F114" s="34" t="n"/>
      <c r="G114" s="15" t="n"/>
      <c r="H114" s="15" t="n"/>
      <c r="I114" s="33" t="n"/>
      <c r="J114" s="15" t="n"/>
      <c r="K114" s="17" t="n"/>
    </row>
    <row r="115">
      <c r="A115" s="35" t="n"/>
      <c r="B115" s="15" t="n"/>
      <c r="C115" s="15" t="n"/>
      <c r="D115" s="17" t="n"/>
      <c r="E115" s="17" t="n"/>
      <c r="F115" s="34" t="n"/>
      <c r="G115" s="15" t="n"/>
      <c r="H115" s="15" t="n"/>
      <c r="I115" s="33" t="n"/>
      <c r="J115" s="15" t="n"/>
      <c r="K115" s="17" t="n"/>
    </row>
    <row r="116">
      <c r="A116" s="35" t="n"/>
      <c r="B116" s="15" t="n"/>
      <c r="C116" s="15" t="n"/>
      <c r="D116" s="17" t="n"/>
      <c r="E116" s="17" t="n"/>
      <c r="F116" s="34" t="n"/>
      <c r="G116" s="15" t="n"/>
      <c r="H116" s="15" t="n"/>
      <c r="I116" s="33" t="n"/>
      <c r="J116" s="15" t="n"/>
      <c r="K116" s="17" t="n"/>
    </row>
    <row r="117">
      <c r="A117" s="35" t="n"/>
      <c r="B117" s="15" t="n"/>
      <c r="C117" s="15" t="n"/>
      <c r="D117" s="17" t="n"/>
      <c r="E117" s="17" t="n"/>
      <c r="F117" s="34" t="n"/>
      <c r="G117" s="15" t="n"/>
      <c r="H117" s="15" t="n"/>
      <c r="I117" s="33" t="n"/>
      <c r="J117" s="15" t="n"/>
      <c r="K117" s="17" t="n"/>
    </row>
    <row r="118">
      <c r="A118" s="35" t="n"/>
      <c r="B118" s="15" t="n"/>
      <c r="C118" s="15" t="n"/>
      <c r="D118" s="17" t="n"/>
      <c r="E118" s="17" t="n"/>
      <c r="F118" s="34" t="n"/>
      <c r="G118" s="15" t="n"/>
      <c r="H118" s="15" t="n"/>
      <c r="I118" s="33" t="n"/>
      <c r="J118" s="15" t="n"/>
      <c r="K118" s="17" t="n"/>
    </row>
    <row r="119">
      <c r="A119" s="35" t="n"/>
      <c r="B119" s="15" t="n"/>
      <c r="C119" s="15" t="n"/>
      <c r="D119" s="17" t="n"/>
      <c r="E119" s="17" t="n"/>
      <c r="F119" s="34" t="n"/>
      <c r="G119" s="15" t="n"/>
      <c r="H119" s="15" t="n"/>
      <c r="I119" s="33" t="n"/>
      <c r="J119" s="15" t="n"/>
      <c r="K119" s="17" t="n"/>
    </row>
    <row r="120">
      <c r="A120" s="35" t="n"/>
      <c r="B120" s="15" t="n"/>
      <c r="C120" s="15" t="n"/>
      <c r="D120" s="17" t="n"/>
      <c r="E120" s="17" t="n"/>
      <c r="F120" s="34" t="n"/>
      <c r="G120" s="15" t="n"/>
      <c r="H120" s="15" t="n"/>
      <c r="I120" s="33" t="n"/>
      <c r="J120" s="15" t="n"/>
      <c r="K120" s="17" t="n"/>
    </row>
    <row r="121">
      <c r="A121" s="35" t="n"/>
      <c r="B121" s="15" t="n"/>
      <c r="C121" s="15" t="n"/>
      <c r="D121" s="17" t="n"/>
      <c r="E121" s="17" t="n"/>
      <c r="F121" s="34" t="n"/>
      <c r="G121" s="15" t="n"/>
      <c r="H121" s="15" t="n"/>
      <c r="I121" s="33" t="n"/>
      <c r="J121" s="15" t="n"/>
      <c r="K121" s="17" t="n"/>
    </row>
    <row r="122">
      <c r="A122" s="35" t="n"/>
      <c r="B122" s="15" t="n"/>
      <c r="C122" s="15" t="n"/>
      <c r="D122" s="17" t="n"/>
      <c r="E122" s="17" t="n"/>
      <c r="F122" s="34" t="n"/>
      <c r="G122" s="15" t="n"/>
      <c r="H122" s="15" t="n"/>
      <c r="I122" s="33" t="n"/>
      <c r="J122" s="15" t="n"/>
      <c r="K122" s="17" t="n"/>
    </row>
    <row r="123">
      <c r="A123" s="35" t="n"/>
      <c r="B123" s="15" t="n"/>
      <c r="C123" s="15" t="n"/>
      <c r="D123" s="17" t="n"/>
      <c r="E123" s="17" t="n"/>
      <c r="F123" s="34" t="n"/>
      <c r="G123" s="15" t="n"/>
      <c r="H123" s="15" t="n"/>
      <c r="I123" s="33" t="n"/>
      <c r="J123" s="15" t="n"/>
      <c r="K123" s="17" t="n"/>
    </row>
    <row r="124">
      <c r="A124" s="35" t="n"/>
      <c r="B124" s="15" t="n"/>
      <c r="C124" s="15" t="n"/>
      <c r="D124" s="17" t="n"/>
      <c r="E124" s="17" t="n"/>
      <c r="F124" s="34" t="n"/>
      <c r="G124" s="15" t="n"/>
      <c r="H124" s="15" t="n"/>
      <c r="I124" s="33" t="n"/>
      <c r="J124" s="15" t="n"/>
      <c r="K124" s="17" t="n"/>
    </row>
    <row r="125">
      <c r="A125" s="35" t="n"/>
      <c r="B125" s="15" t="n"/>
      <c r="C125" s="15" t="n"/>
      <c r="D125" s="17" t="n"/>
      <c r="E125" s="17" t="n"/>
      <c r="F125" s="34" t="n"/>
      <c r="G125" s="15" t="n"/>
      <c r="H125" s="15" t="n"/>
      <c r="I125" s="33" t="n"/>
      <c r="J125" s="15" t="n"/>
      <c r="K125" s="17" t="n"/>
    </row>
    <row r="126">
      <c r="A126" s="35" t="n"/>
      <c r="B126" s="15" t="n"/>
      <c r="C126" s="15" t="n"/>
      <c r="D126" s="17" t="n"/>
      <c r="E126" s="17" t="n"/>
      <c r="F126" s="34" t="n"/>
      <c r="G126" s="15" t="n"/>
      <c r="H126" s="15" t="n"/>
      <c r="I126" s="33" t="n"/>
      <c r="J126" s="15" t="n"/>
      <c r="K126" s="17" t="n"/>
    </row>
    <row r="127">
      <c r="A127" s="35" t="n"/>
      <c r="B127" s="15" t="n"/>
      <c r="C127" s="15" t="n"/>
      <c r="D127" s="17" t="n"/>
      <c r="E127" s="17" t="n"/>
      <c r="F127" s="34" t="n"/>
      <c r="G127" s="15" t="n"/>
      <c r="H127" s="15" t="n"/>
      <c r="I127" s="33" t="n"/>
      <c r="J127" s="15" t="n"/>
      <c r="K127" s="17" t="n"/>
    </row>
    <row r="128">
      <c r="A128" s="35" t="n"/>
      <c r="B128" s="15" t="n"/>
      <c r="C128" s="15" t="n"/>
      <c r="D128" s="17" t="n"/>
      <c r="E128" s="17" t="n"/>
      <c r="F128" s="34" t="n"/>
      <c r="G128" s="15" t="n"/>
      <c r="H128" s="15" t="n"/>
      <c r="I128" s="33" t="n"/>
      <c r="J128" s="15" t="n"/>
      <c r="K128" s="17" t="n"/>
    </row>
    <row r="129">
      <c r="A129" s="35" t="n"/>
      <c r="B129" s="15" t="n"/>
      <c r="C129" s="15" t="n"/>
      <c r="D129" s="17" t="n"/>
      <c r="E129" s="17" t="n"/>
      <c r="F129" s="34" t="n"/>
      <c r="G129" s="15" t="n"/>
      <c r="H129" s="15" t="n"/>
      <c r="I129" s="33" t="n"/>
      <c r="J129" s="15" t="n"/>
      <c r="K129" s="17" t="n"/>
    </row>
    <row r="130">
      <c r="A130" s="35" t="n"/>
      <c r="B130" s="15" t="n"/>
      <c r="C130" s="15" t="n"/>
      <c r="D130" s="17" t="n"/>
      <c r="E130" s="17" t="n"/>
      <c r="F130" s="34" t="n"/>
      <c r="G130" s="15" t="n"/>
      <c r="H130" s="15" t="n"/>
      <c r="I130" s="33" t="n"/>
      <c r="J130" s="15" t="n"/>
      <c r="K130" s="17" t="n"/>
    </row>
    <row r="131">
      <c r="A131" s="35" t="n"/>
      <c r="B131" s="15" t="n"/>
      <c r="C131" s="15" t="n"/>
      <c r="D131" s="17" t="n"/>
      <c r="E131" s="17" t="n"/>
      <c r="F131" s="34" t="n"/>
      <c r="G131" s="15" t="n"/>
      <c r="H131" s="15" t="n"/>
      <c r="I131" s="33" t="n"/>
      <c r="J131" s="15" t="n"/>
      <c r="K131" s="17" t="n"/>
    </row>
    <row r="132">
      <c r="A132" s="35" t="n"/>
      <c r="B132" s="15" t="n"/>
      <c r="C132" s="15" t="n"/>
      <c r="D132" s="17" t="n"/>
      <c r="E132" s="17" t="n"/>
      <c r="F132" s="34" t="n"/>
      <c r="G132" s="15" t="n"/>
      <c r="H132" s="15" t="n"/>
      <c r="I132" s="33" t="n"/>
      <c r="J132" s="15" t="n"/>
      <c r="K132" s="17" t="n"/>
    </row>
    <row r="133">
      <c r="A133" s="35" t="n"/>
      <c r="B133" s="15" t="n"/>
      <c r="C133" s="15" t="n"/>
      <c r="D133" s="17" t="n"/>
      <c r="E133" s="17" t="n"/>
      <c r="F133" s="34" t="n"/>
      <c r="G133" s="15" t="n"/>
      <c r="H133" s="15" t="n"/>
      <c r="I133" s="33" t="n"/>
      <c r="J133" s="15" t="n"/>
      <c r="K133" s="17" t="n"/>
    </row>
    <row r="134">
      <c r="A134" s="35" t="n"/>
      <c r="B134" s="15" t="n"/>
      <c r="C134" s="15" t="n"/>
      <c r="D134" s="17" t="n"/>
      <c r="E134" s="17" t="n"/>
      <c r="F134" s="34" t="n"/>
      <c r="G134" s="15" t="n"/>
      <c r="H134" s="15" t="n"/>
      <c r="I134" s="33" t="n"/>
      <c r="J134" s="15" t="n"/>
      <c r="K134" s="17" t="n"/>
    </row>
    <row r="135">
      <c r="A135" s="35" t="n"/>
      <c r="B135" s="15" t="n"/>
      <c r="C135" s="15" t="n"/>
      <c r="D135" s="17" t="n"/>
      <c r="E135" s="17" t="n"/>
      <c r="F135" s="34" t="n"/>
      <c r="G135" s="15" t="n"/>
      <c r="H135" s="15" t="n"/>
      <c r="I135" s="33" t="n"/>
      <c r="J135" s="15" t="n"/>
      <c r="K135" s="17" t="n"/>
    </row>
    <row r="136">
      <c r="A136" s="35" t="n"/>
      <c r="B136" s="15" t="n"/>
      <c r="C136" s="15" t="n"/>
      <c r="D136" s="17" t="n"/>
      <c r="E136" s="17" t="n"/>
      <c r="F136" s="34" t="n"/>
      <c r="G136" s="15" t="n"/>
      <c r="H136" s="15" t="n"/>
      <c r="I136" s="33" t="n"/>
      <c r="J136" s="15" t="n"/>
      <c r="K136" s="17" t="n"/>
    </row>
    <row r="137">
      <c r="A137" s="35" t="n"/>
      <c r="B137" s="15" t="n"/>
      <c r="C137" s="15" t="n"/>
      <c r="D137" s="17" t="n"/>
      <c r="E137" s="17" t="n"/>
      <c r="F137" s="34" t="n"/>
      <c r="G137" s="15" t="n"/>
      <c r="H137" s="15" t="n"/>
      <c r="I137" s="33" t="n"/>
      <c r="J137" s="15" t="n"/>
      <c r="K137" s="17" t="n"/>
    </row>
    <row r="138">
      <c r="A138" s="35" t="n"/>
      <c r="B138" s="15" t="n"/>
      <c r="C138" s="15" t="n"/>
      <c r="D138" s="17" t="n"/>
      <c r="E138" s="17" t="n"/>
      <c r="F138" s="34" t="n"/>
      <c r="G138" s="15" t="n"/>
      <c r="H138" s="15" t="n"/>
      <c r="I138" s="33" t="n"/>
      <c r="J138" s="15" t="n"/>
      <c r="K138" s="17" t="n"/>
    </row>
    <row r="139">
      <c r="A139" s="35" t="n"/>
      <c r="B139" s="15" t="n"/>
      <c r="C139" s="15" t="n"/>
      <c r="D139" s="17" t="n"/>
      <c r="E139" s="17" t="n"/>
      <c r="F139" s="34" t="n"/>
      <c r="G139" s="15" t="n"/>
      <c r="H139" s="15" t="n"/>
      <c r="I139" s="33" t="n"/>
      <c r="J139" s="15" t="n"/>
      <c r="K139" s="17" t="n"/>
    </row>
    <row r="140">
      <c r="A140" s="35" t="n"/>
      <c r="B140" s="15" t="n"/>
      <c r="C140" s="15" t="n"/>
      <c r="D140" s="17" t="n"/>
      <c r="E140" s="17" t="n"/>
      <c r="F140" s="34" t="n"/>
      <c r="G140" s="15" t="n"/>
      <c r="H140" s="15" t="n"/>
      <c r="I140" s="33" t="n"/>
      <c r="J140" s="15" t="n"/>
      <c r="K140" s="17" t="n"/>
    </row>
    <row r="141">
      <c r="A141" s="35" t="n"/>
      <c r="B141" s="15" t="n"/>
      <c r="C141" s="15" t="n"/>
      <c r="D141" s="17" t="n"/>
      <c r="E141" s="17" t="n"/>
      <c r="F141" s="34" t="n"/>
      <c r="G141" s="15" t="n"/>
      <c r="H141" s="15" t="n"/>
      <c r="I141" s="33" t="n"/>
      <c r="J141" s="15" t="n"/>
      <c r="K141" s="17" t="n"/>
    </row>
    <row r="142">
      <c r="A142" s="35" t="n"/>
      <c r="B142" s="15" t="n"/>
      <c r="C142" s="15" t="n"/>
      <c r="D142" s="17" t="n"/>
      <c r="E142" s="17" t="n"/>
      <c r="F142" s="34" t="n"/>
      <c r="G142" s="15" t="n"/>
      <c r="H142" s="15" t="n"/>
      <c r="I142" s="33" t="n"/>
      <c r="J142" s="15" t="n"/>
      <c r="K142" s="17" t="n"/>
    </row>
    <row r="143">
      <c r="A143" s="35" t="n"/>
      <c r="B143" s="15" t="n"/>
      <c r="C143" s="15" t="n"/>
      <c r="D143" s="17" t="n"/>
      <c r="E143" s="17" t="n"/>
      <c r="F143" s="34" t="n"/>
      <c r="G143" s="15" t="n"/>
      <c r="H143" s="15" t="n"/>
      <c r="I143" s="33" t="n"/>
      <c r="J143" s="15" t="n"/>
      <c r="K143" s="17" t="n"/>
    </row>
    <row r="144">
      <c r="A144" s="35" t="n"/>
      <c r="B144" s="15" t="n"/>
      <c r="C144" s="15" t="n"/>
      <c r="D144" s="17" t="n"/>
      <c r="E144" s="17" t="n"/>
      <c r="F144" s="34" t="n"/>
      <c r="G144" s="15" t="n"/>
      <c r="H144" s="15" t="n"/>
      <c r="I144" s="33" t="n"/>
      <c r="J144" s="15" t="n"/>
      <c r="K144" s="17" t="n"/>
    </row>
    <row r="145">
      <c r="A145" s="35" t="n"/>
      <c r="B145" s="15" t="n"/>
      <c r="C145" s="15" t="n"/>
      <c r="D145" s="17" t="n"/>
      <c r="E145" s="17" t="n"/>
      <c r="F145" s="34" t="n"/>
      <c r="G145" s="15" t="n"/>
      <c r="H145" s="15" t="n"/>
      <c r="I145" s="33" t="n"/>
      <c r="J145" s="15" t="n"/>
      <c r="K145" s="17" t="n"/>
    </row>
    <row r="146">
      <c r="A146" s="35" t="n"/>
      <c r="B146" s="15" t="n"/>
      <c r="C146" s="15" t="n"/>
      <c r="D146" s="17" t="n"/>
      <c r="E146" s="17" t="n"/>
      <c r="F146" s="34" t="n"/>
      <c r="G146" s="15" t="n"/>
      <c r="H146" s="15" t="n"/>
      <c r="I146" s="33" t="n"/>
      <c r="J146" s="15" t="n"/>
      <c r="K146" s="17" t="n"/>
    </row>
    <row r="147">
      <c r="A147" s="35" t="n"/>
      <c r="B147" s="15" t="n"/>
      <c r="C147" s="15" t="n"/>
      <c r="D147" s="17" t="n"/>
      <c r="E147" s="17" t="n"/>
      <c r="F147" s="34" t="n"/>
      <c r="G147" s="15" t="n"/>
      <c r="H147" s="15" t="n"/>
      <c r="I147" s="33" t="n"/>
      <c r="J147" s="15" t="n"/>
      <c r="K147" s="17" t="n"/>
    </row>
    <row r="148">
      <c r="A148" s="35" t="n"/>
      <c r="B148" s="15" t="n"/>
      <c r="C148" s="15" t="n"/>
      <c r="D148" s="17" t="n"/>
      <c r="E148" s="17" t="n"/>
      <c r="F148" s="34" t="n"/>
      <c r="G148" s="15" t="n"/>
      <c r="H148" s="15" t="n"/>
      <c r="I148" s="33" t="n"/>
      <c r="J148" s="15" t="n"/>
      <c r="K148" s="17" t="n"/>
    </row>
    <row r="149">
      <c r="A149" s="35" t="n"/>
      <c r="B149" s="15" t="n"/>
      <c r="C149" s="15" t="n"/>
      <c r="D149" s="17" t="n"/>
      <c r="E149" s="17" t="n"/>
      <c r="F149" s="34" t="n"/>
      <c r="G149" s="15" t="n"/>
      <c r="H149" s="15" t="n"/>
      <c r="I149" s="33" t="n"/>
      <c r="J149" s="15" t="n"/>
      <c r="K149" s="17" t="n"/>
    </row>
    <row r="150">
      <c r="A150" s="35" t="n"/>
      <c r="B150" s="15" t="n"/>
      <c r="C150" s="15" t="n"/>
      <c r="D150" s="17" t="n"/>
      <c r="E150" s="17" t="n"/>
      <c r="F150" s="34" t="n"/>
      <c r="G150" s="15" t="n"/>
      <c r="H150" s="15" t="n"/>
      <c r="I150" s="33" t="n"/>
      <c r="J150" s="15" t="n"/>
      <c r="K150" s="17" t="n"/>
    </row>
    <row r="151">
      <c r="A151" s="35" t="n"/>
      <c r="B151" s="15" t="n"/>
      <c r="C151" s="15" t="n"/>
      <c r="D151" s="17" t="n"/>
      <c r="E151" s="17" t="n"/>
      <c r="F151" s="34" t="n"/>
      <c r="G151" s="15" t="n"/>
      <c r="H151" s="15" t="n"/>
      <c r="I151" s="33" t="n"/>
      <c r="J151" s="15" t="n"/>
      <c r="K151" s="17" t="n"/>
    </row>
    <row r="152">
      <c r="A152" s="35" t="n"/>
      <c r="B152" s="15" t="n"/>
      <c r="C152" s="15" t="n"/>
      <c r="D152" s="17" t="n"/>
      <c r="E152" s="17" t="n"/>
      <c r="F152" s="34" t="n"/>
      <c r="G152" s="15" t="n"/>
      <c r="H152" s="15" t="n"/>
      <c r="I152" s="33" t="n"/>
      <c r="J152" s="15" t="n"/>
      <c r="K152" s="17" t="n"/>
    </row>
    <row r="153">
      <c r="A153" s="35" t="n"/>
      <c r="B153" s="15" t="n"/>
      <c r="C153" s="15" t="n"/>
      <c r="D153" s="17" t="n"/>
      <c r="E153" s="17" t="n"/>
      <c r="F153" s="34" t="n"/>
      <c r="G153" s="15" t="n"/>
      <c r="H153" s="15" t="n"/>
      <c r="I153" s="33" t="n"/>
      <c r="J153" s="15" t="n"/>
      <c r="K153" s="17" t="n"/>
    </row>
    <row r="154">
      <c r="A154" s="35" t="n"/>
      <c r="B154" s="15" t="n"/>
      <c r="C154" s="15" t="n"/>
      <c r="D154" s="17" t="n"/>
      <c r="E154" s="17" t="n"/>
      <c r="F154" s="34" t="n"/>
      <c r="G154" s="15" t="n"/>
      <c r="H154" s="15" t="n"/>
      <c r="I154" s="33" t="n"/>
      <c r="J154" s="15" t="n"/>
      <c r="K154" s="17" t="n"/>
    </row>
    <row r="155">
      <c r="A155" s="35" t="n"/>
      <c r="B155" s="15" t="n"/>
      <c r="C155" s="15" t="n"/>
      <c r="D155" s="17" t="n"/>
      <c r="E155" s="17" t="n"/>
      <c r="F155" s="34" t="n"/>
      <c r="G155" s="15" t="n"/>
      <c r="H155" s="15" t="n"/>
      <c r="I155" s="33" t="n"/>
      <c r="J155" s="15" t="n"/>
      <c r="K155" s="17" t="n"/>
    </row>
    <row r="156">
      <c r="A156" s="35" t="n"/>
      <c r="B156" s="15" t="n"/>
      <c r="C156" s="15" t="n"/>
      <c r="D156" s="17" t="n"/>
      <c r="E156" s="17" t="n"/>
      <c r="F156" s="34" t="n"/>
      <c r="G156" s="15" t="n"/>
      <c r="H156" s="15" t="n"/>
      <c r="I156" s="33" t="n"/>
      <c r="J156" s="15" t="n"/>
      <c r="K156" s="17" t="n"/>
    </row>
    <row r="157">
      <c r="A157" s="35" t="n"/>
      <c r="B157" s="15" t="n"/>
      <c r="C157" s="15" t="n"/>
      <c r="D157" s="17" t="n"/>
      <c r="E157" s="17" t="n"/>
      <c r="F157" s="34" t="n"/>
      <c r="G157" s="15" t="n"/>
      <c r="H157" s="15" t="n"/>
      <c r="I157" s="33" t="n"/>
      <c r="J157" s="15" t="n"/>
      <c r="K157" s="17" t="n"/>
    </row>
    <row r="158">
      <c r="A158" s="35" t="n"/>
      <c r="B158" s="15" t="n"/>
      <c r="C158" s="15" t="n"/>
      <c r="D158" s="17" t="n"/>
      <c r="E158" s="17" t="n"/>
      <c r="F158" s="34" t="n"/>
      <c r="G158" s="15" t="n"/>
      <c r="H158" s="15" t="n"/>
      <c r="I158" s="33" t="n"/>
      <c r="J158" s="15" t="n"/>
      <c r="K158" s="17" t="n"/>
    </row>
    <row r="159">
      <c r="A159" s="35" t="n"/>
      <c r="B159" s="15" t="n"/>
      <c r="C159" s="15" t="n"/>
      <c r="D159" s="17" t="n"/>
      <c r="E159" s="17" t="n"/>
      <c r="F159" s="34" t="n"/>
      <c r="G159" s="15" t="n"/>
      <c r="H159" s="15" t="n"/>
      <c r="I159" s="33" t="n"/>
      <c r="J159" s="15" t="n"/>
      <c r="K159" s="17" t="n"/>
    </row>
    <row r="160">
      <c r="A160" s="35" t="n"/>
      <c r="B160" s="15" t="n"/>
      <c r="C160" s="15" t="n"/>
      <c r="D160" s="17" t="n"/>
      <c r="E160" s="17" t="n"/>
      <c r="F160" s="34" t="n"/>
      <c r="G160" s="15" t="n"/>
      <c r="H160" s="15" t="n"/>
      <c r="I160" s="33" t="n"/>
      <c r="J160" s="15" t="n"/>
      <c r="K160" s="17" t="n"/>
    </row>
    <row r="161">
      <c r="A161" s="35" t="n"/>
      <c r="B161" s="15" t="n"/>
      <c r="C161" s="15" t="n"/>
      <c r="D161" s="17" t="n"/>
      <c r="E161" s="17" t="n"/>
      <c r="F161" s="34" t="n"/>
      <c r="G161" s="15" t="n"/>
      <c r="H161" s="15" t="n"/>
      <c r="I161" s="33" t="n"/>
      <c r="J161" s="15" t="n"/>
      <c r="K161" s="17" t="n"/>
    </row>
    <row r="162">
      <c r="A162" s="35" t="n"/>
      <c r="B162" s="15" t="n"/>
      <c r="C162" s="15" t="n"/>
      <c r="D162" s="17" t="n"/>
      <c r="E162" s="17" t="n"/>
      <c r="F162" s="34" t="n"/>
      <c r="G162" s="15" t="n"/>
      <c r="H162" s="15" t="n"/>
      <c r="I162" s="33" t="n"/>
      <c r="J162" s="15" t="n"/>
      <c r="K162" s="17" t="n"/>
    </row>
    <row r="163">
      <c r="A163" s="35" t="n"/>
      <c r="B163" s="15" t="n"/>
      <c r="C163" s="15" t="n"/>
      <c r="D163" s="17" t="n"/>
      <c r="E163" s="17" t="n"/>
      <c r="F163" s="34" t="n"/>
      <c r="G163" s="15" t="n"/>
      <c r="H163" s="15" t="n"/>
      <c r="I163" s="33" t="n"/>
      <c r="J163" s="15" t="n"/>
      <c r="K163" s="17" t="n"/>
    </row>
    <row r="164">
      <c r="A164" s="35" t="n"/>
      <c r="B164" s="15" t="n"/>
      <c r="C164" s="15" t="n"/>
      <c r="D164" s="17" t="n"/>
      <c r="E164" s="17" t="n"/>
      <c r="F164" s="34" t="n"/>
      <c r="G164" s="15" t="n"/>
      <c r="H164" s="15" t="n"/>
      <c r="I164" s="33" t="n"/>
      <c r="J164" s="15" t="n"/>
      <c r="K164" s="17" t="n"/>
    </row>
    <row r="165">
      <c r="A165" s="35" t="n"/>
      <c r="B165" s="15" t="n"/>
      <c r="C165" s="15" t="n"/>
      <c r="D165" s="17" t="n"/>
      <c r="E165" s="17" t="n"/>
      <c r="F165" s="34" t="n"/>
      <c r="G165" s="15" t="n"/>
      <c r="H165" s="15" t="n"/>
      <c r="I165" s="33" t="n"/>
      <c r="J165" s="15" t="n"/>
      <c r="K165" s="17" t="n"/>
    </row>
    <row r="166">
      <c r="A166" s="35" t="n"/>
      <c r="B166" s="15" t="n"/>
      <c r="C166" s="15" t="n"/>
      <c r="D166" s="17" t="n"/>
      <c r="E166" s="17" t="n"/>
      <c r="F166" s="34" t="n"/>
      <c r="G166" s="15" t="n"/>
      <c r="H166" s="15" t="n"/>
      <c r="I166" s="33" t="n"/>
      <c r="J166" s="15" t="n"/>
      <c r="K166" s="17" t="n"/>
    </row>
    <row r="167">
      <c r="A167" s="35" t="n"/>
      <c r="B167" s="15" t="n"/>
      <c r="C167" s="15" t="n"/>
      <c r="D167" s="17" t="n"/>
      <c r="E167" s="17" t="n"/>
      <c r="F167" s="34" t="n"/>
      <c r="G167" s="15" t="n"/>
      <c r="H167" s="15" t="n"/>
      <c r="I167" s="33" t="n"/>
      <c r="J167" s="15" t="n"/>
      <c r="K167" s="17" t="n"/>
    </row>
    <row r="168">
      <c r="A168" s="35" t="n"/>
      <c r="B168" s="15" t="n"/>
      <c r="C168" s="15" t="n"/>
      <c r="D168" s="17" t="n"/>
      <c r="E168" s="17" t="n"/>
      <c r="F168" s="34" t="n"/>
      <c r="G168" s="15" t="n"/>
      <c r="H168" s="15" t="n"/>
      <c r="I168" s="33" t="n"/>
      <c r="J168" s="15" t="n"/>
      <c r="K168" s="17" t="n"/>
    </row>
    <row r="169">
      <c r="A169" s="35" t="n"/>
      <c r="B169" s="15" t="n"/>
      <c r="C169" s="15" t="n"/>
      <c r="D169" s="17" t="n"/>
      <c r="E169" s="17" t="n"/>
      <c r="F169" s="34" t="n"/>
      <c r="G169" s="15" t="n"/>
      <c r="H169" s="15" t="n"/>
      <c r="I169" s="33" t="n"/>
      <c r="J169" s="15" t="n"/>
      <c r="K169" s="17" t="n"/>
    </row>
    <row r="170">
      <c r="A170" s="35" t="n"/>
      <c r="B170" s="15" t="n"/>
      <c r="C170" s="15" t="n"/>
      <c r="D170" s="17" t="n"/>
      <c r="E170" s="17" t="n"/>
      <c r="F170" s="34" t="n"/>
      <c r="G170" s="15" t="n"/>
      <c r="H170" s="15" t="n"/>
      <c r="I170" s="33" t="n"/>
      <c r="J170" s="15" t="n"/>
      <c r="K170" s="17" t="n"/>
    </row>
    <row r="171">
      <c r="A171" s="35" t="n"/>
      <c r="B171" s="15" t="n"/>
      <c r="C171" s="15" t="n"/>
      <c r="D171" s="17" t="n"/>
      <c r="E171" s="17" t="n"/>
      <c r="F171" s="34" t="n"/>
      <c r="G171" s="15" t="n"/>
      <c r="H171" s="15" t="n"/>
      <c r="I171" s="33" t="n"/>
      <c r="J171" s="15" t="n"/>
      <c r="K171" s="17" t="n"/>
    </row>
    <row r="172">
      <c r="A172" s="35" t="n"/>
      <c r="B172" s="15" t="n"/>
      <c r="C172" s="15" t="n"/>
      <c r="D172" s="17" t="n"/>
      <c r="E172" s="17" t="n"/>
      <c r="F172" s="34" t="n"/>
      <c r="G172" s="15" t="n"/>
      <c r="H172" s="15" t="n"/>
      <c r="I172" s="33" t="n"/>
      <c r="J172" s="15" t="n"/>
      <c r="K172" s="17" t="n"/>
    </row>
    <row r="173">
      <c r="A173" s="35" t="n"/>
      <c r="B173" s="15" t="n"/>
      <c r="C173" s="15" t="n"/>
      <c r="D173" s="17" t="n"/>
      <c r="E173" s="17" t="n"/>
      <c r="F173" s="34" t="n"/>
      <c r="G173" s="15" t="n"/>
      <c r="H173" s="15" t="n"/>
      <c r="I173" s="33" t="n"/>
      <c r="J173" s="15" t="n"/>
      <c r="K173" s="17" t="n"/>
    </row>
    <row r="174">
      <c r="A174" s="35" t="n"/>
      <c r="B174" s="15" t="n"/>
      <c r="C174" s="15" t="n"/>
      <c r="D174" s="17" t="n"/>
      <c r="E174" s="17" t="n"/>
      <c r="F174" s="34" t="n"/>
      <c r="G174" s="15" t="n"/>
      <c r="H174" s="15" t="n"/>
      <c r="I174" s="33" t="n"/>
      <c r="J174" s="15" t="n"/>
      <c r="K174" s="17" t="n"/>
    </row>
    <row r="175">
      <c r="A175" s="35" t="n"/>
      <c r="B175" s="15" t="n"/>
      <c r="C175" s="15" t="n"/>
      <c r="D175" s="17" t="n"/>
      <c r="E175" s="17" t="n"/>
      <c r="F175" s="34" t="n"/>
      <c r="G175" s="15" t="n"/>
      <c r="H175" s="15" t="n"/>
      <c r="I175" s="33" t="n"/>
      <c r="J175" s="15" t="n"/>
      <c r="K175" s="17" t="n"/>
    </row>
    <row r="176">
      <c r="A176" s="35" t="n"/>
      <c r="B176" s="15" t="n"/>
      <c r="C176" s="15" t="n"/>
      <c r="D176" s="17" t="n"/>
      <c r="E176" s="17" t="n"/>
      <c r="F176" s="34" t="n"/>
      <c r="G176" s="15" t="n"/>
      <c r="H176" s="15" t="n"/>
      <c r="I176" s="33" t="n"/>
      <c r="J176" s="15" t="n"/>
      <c r="K176" s="17" t="n"/>
    </row>
    <row r="177">
      <c r="A177" s="35" t="n"/>
      <c r="B177" s="15" t="n"/>
      <c r="C177" s="15" t="n"/>
      <c r="D177" s="17" t="n"/>
      <c r="E177" s="17" t="n"/>
      <c r="F177" s="34" t="n"/>
      <c r="G177" s="15" t="n"/>
      <c r="H177" s="15" t="n"/>
      <c r="I177" s="33" t="n"/>
      <c r="J177" s="15" t="n"/>
      <c r="K177" s="17" t="n"/>
    </row>
    <row r="178">
      <c r="A178" s="35" t="n"/>
      <c r="B178" s="15" t="n"/>
      <c r="C178" s="15" t="n"/>
      <c r="D178" s="17" t="n"/>
      <c r="E178" s="17" t="n"/>
      <c r="F178" s="34" t="n"/>
      <c r="G178" s="15" t="n"/>
      <c r="H178" s="15" t="n"/>
      <c r="I178" s="33" t="n"/>
      <c r="J178" s="15" t="n"/>
      <c r="K178" s="17" t="n"/>
    </row>
    <row r="179">
      <c r="A179" s="35" t="n"/>
      <c r="B179" s="15" t="n"/>
      <c r="C179" s="15" t="n"/>
      <c r="D179" s="17" t="n"/>
      <c r="E179" s="17" t="n"/>
      <c r="F179" s="34" t="n"/>
      <c r="G179" s="15" t="n"/>
      <c r="H179" s="15" t="n"/>
      <c r="I179" s="33" t="n"/>
      <c r="J179" s="15" t="n"/>
      <c r="K179" s="17" t="n"/>
    </row>
    <row r="180">
      <c r="A180" s="35" t="n"/>
      <c r="B180" s="15" t="n"/>
      <c r="C180" s="15" t="n"/>
      <c r="D180" s="17" t="n"/>
      <c r="E180" s="17" t="n"/>
      <c r="F180" s="34" t="n"/>
      <c r="G180" s="15" t="n"/>
      <c r="H180" s="15" t="n"/>
      <c r="I180" s="33" t="n"/>
      <c r="J180" s="15" t="n"/>
      <c r="K180" s="17" t="n"/>
    </row>
    <row r="181">
      <c r="A181" s="35" t="n"/>
      <c r="B181" s="15" t="n"/>
      <c r="C181" s="15" t="n"/>
      <c r="D181" s="17" t="n"/>
      <c r="E181" s="17" t="n"/>
      <c r="F181" s="34" t="n"/>
      <c r="G181" s="15" t="n"/>
      <c r="H181" s="15" t="n"/>
      <c r="I181" s="33" t="n"/>
      <c r="J181" s="15" t="n"/>
      <c r="K181" s="17" t="n"/>
    </row>
    <row r="182">
      <c r="A182" s="35" t="n"/>
      <c r="B182" s="15" t="n"/>
      <c r="C182" s="15" t="n"/>
      <c r="D182" s="17" t="n"/>
      <c r="E182" s="17" t="n"/>
      <c r="F182" s="34" t="n"/>
      <c r="G182" s="15" t="n"/>
      <c r="H182" s="15" t="n"/>
      <c r="I182" s="33" t="n"/>
      <c r="J182" s="15" t="n"/>
      <c r="K182" s="17" t="n"/>
    </row>
    <row r="183">
      <c r="A183" s="35" t="n"/>
      <c r="B183" s="15" t="n"/>
      <c r="C183" s="15" t="n"/>
      <c r="D183" s="17" t="n"/>
      <c r="E183" s="17" t="n"/>
      <c r="F183" s="34" t="n"/>
      <c r="G183" s="15" t="n"/>
      <c r="H183" s="15" t="n"/>
      <c r="I183" s="33" t="n"/>
      <c r="J183" s="15" t="n"/>
      <c r="K183" s="17" t="n"/>
    </row>
    <row r="184">
      <c r="A184" s="35" t="n"/>
      <c r="B184" s="15" t="n"/>
      <c r="C184" s="15" t="n"/>
      <c r="D184" s="17" t="n"/>
      <c r="E184" s="17" t="n"/>
      <c r="F184" s="34" t="n"/>
      <c r="G184" s="15" t="n"/>
      <c r="H184" s="15" t="n"/>
      <c r="I184" s="33" t="n"/>
      <c r="J184" s="15" t="n"/>
      <c r="K184" s="17" t="n"/>
    </row>
    <row r="185">
      <c r="A185" s="35" t="n"/>
      <c r="B185" s="15" t="n"/>
      <c r="C185" s="15" t="n"/>
      <c r="D185" s="17" t="n"/>
      <c r="E185" s="17" t="n"/>
      <c r="F185" s="34" t="n"/>
      <c r="G185" s="15" t="n"/>
      <c r="H185" s="15" t="n"/>
      <c r="I185" s="33" t="n"/>
      <c r="J185" s="15" t="n"/>
      <c r="K185" s="17" t="n"/>
    </row>
    <row r="186">
      <c r="A186" s="35" t="n"/>
      <c r="B186" s="15" t="n"/>
      <c r="C186" s="15" t="n"/>
      <c r="D186" s="17" t="n"/>
      <c r="E186" s="17" t="n"/>
      <c r="F186" s="34" t="n"/>
      <c r="G186" s="15" t="n"/>
      <c r="H186" s="15" t="n"/>
      <c r="I186" s="33" t="n"/>
      <c r="J186" s="15" t="n"/>
      <c r="K186" s="17" t="n"/>
    </row>
    <row r="187">
      <c r="A187" s="35" t="n"/>
      <c r="B187" s="15" t="n"/>
      <c r="C187" s="15" t="n"/>
      <c r="D187" s="17" t="n"/>
      <c r="E187" s="17" t="n"/>
      <c r="F187" s="34" t="n"/>
      <c r="G187" s="15" t="n"/>
      <c r="H187" s="15" t="n"/>
      <c r="I187" s="33" t="n"/>
      <c r="J187" s="15" t="n"/>
      <c r="K187" s="17" t="n"/>
    </row>
    <row r="188">
      <c r="A188" s="35" t="n"/>
      <c r="B188" s="15" t="n"/>
      <c r="C188" s="15" t="n"/>
      <c r="D188" s="17" t="n"/>
      <c r="E188" s="17" t="n"/>
      <c r="F188" s="34" t="n"/>
      <c r="G188" s="15" t="n"/>
      <c r="H188" s="15" t="n"/>
      <c r="I188" s="33" t="n"/>
      <c r="J188" s="15" t="n"/>
      <c r="K188" s="17" t="n"/>
    </row>
    <row r="189">
      <c r="A189" s="35" t="n"/>
      <c r="B189" s="15" t="n"/>
      <c r="C189" s="15" t="n"/>
      <c r="D189" s="17" t="n"/>
      <c r="E189" s="17" t="n"/>
      <c r="F189" s="34" t="n"/>
      <c r="G189" s="15" t="n"/>
      <c r="H189" s="15" t="n"/>
      <c r="I189" s="33" t="n"/>
      <c r="J189" s="15" t="n"/>
      <c r="K189" s="17" t="n"/>
    </row>
    <row r="190">
      <c r="A190" s="35" t="n"/>
      <c r="B190" s="15" t="n"/>
      <c r="C190" s="15" t="n"/>
      <c r="D190" s="17" t="n"/>
      <c r="E190" s="17" t="n"/>
      <c r="F190" s="34" t="n"/>
      <c r="G190" s="15" t="n"/>
      <c r="H190" s="15" t="n"/>
      <c r="I190" s="33" t="n"/>
      <c r="J190" s="15" t="n"/>
      <c r="K190" s="17" t="n"/>
    </row>
    <row r="191">
      <c r="A191" s="35" t="n"/>
      <c r="B191" s="15" t="n"/>
      <c r="C191" s="15" t="n"/>
      <c r="D191" s="17" t="n"/>
      <c r="E191" s="17" t="n"/>
      <c r="F191" s="34" t="n"/>
      <c r="G191" s="15" t="n"/>
      <c r="H191" s="15" t="n"/>
      <c r="I191" s="33" t="n"/>
      <c r="J191" s="15" t="n"/>
      <c r="K191" s="17" t="n"/>
    </row>
    <row r="192">
      <c r="A192" s="35" t="n"/>
      <c r="B192" s="15" t="n"/>
      <c r="C192" s="15" t="n"/>
      <c r="D192" s="17" t="n"/>
      <c r="E192" s="17" t="n"/>
      <c r="F192" s="34" t="n"/>
      <c r="G192" s="15" t="n"/>
      <c r="H192" s="15" t="n"/>
      <c r="I192" s="33" t="n"/>
      <c r="J192" s="15" t="n"/>
      <c r="K192" s="17" t="n"/>
    </row>
    <row r="193">
      <c r="A193" s="35" t="n"/>
      <c r="B193" s="15" t="n"/>
      <c r="C193" s="15" t="n"/>
      <c r="D193" s="17" t="n"/>
      <c r="E193" s="17" t="n"/>
      <c r="F193" s="34" t="n"/>
      <c r="G193" s="15" t="n"/>
      <c r="H193" s="15" t="n"/>
      <c r="I193" s="33" t="n"/>
      <c r="J193" s="15" t="n"/>
      <c r="K193" s="17" t="n"/>
    </row>
    <row r="194">
      <c r="A194" s="35" t="n"/>
      <c r="B194" s="15" t="n"/>
      <c r="C194" s="15" t="n"/>
      <c r="D194" s="17" t="n"/>
      <c r="E194" s="17" t="n"/>
      <c r="F194" s="34" t="n"/>
      <c r="G194" s="15" t="n"/>
      <c r="H194" s="15" t="n"/>
      <c r="I194" s="33" t="n"/>
      <c r="J194" s="15" t="n"/>
      <c r="K194" s="17" t="n"/>
    </row>
    <row r="195">
      <c r="A195" s="35" t="n"/>
      <c r="B195" s="15" t="n"/>
      <c r="C195" s="15" t="n"/>
      <c r="D195" s="17" t="n"/>
      <c r="E195" s="17" t="n"/>
      <c r="F195" s="34" t="n"/>
      <c r="G195" s="15" t="n"/>
      <c r="H195" s="15" t="n"/>
      <c r="I195" s="33" t="n"/>
      <c r="J195" s="15" t="n"/>
      <c r="K195" s="17" t="n"/>
    </row>
    <row r="196">
      <c r="A196" s="35" t="n"/>
      <c r="B196" s="15" t="n"/>
      <c r="C196" s="15" t="n"/>
      <c r="D196" s="17" t="n"/>
      <c r="E196" s="17" t="n"/>
      <c r="F196" s="34" t="n"/>
      <c r="G196" s="15" t="n"/>
      <c r="H196" s="15" t="n"/>
      <c r="I196" s="33" t="n"/>
      <c r="J196" s="15" t="n"/>
      <c r="K196" s="17" t="n"/>
    </row>
    <row r="197">
      <c r="A197" s="35" t="n"/>
      <c r="B197" s="15" t="n"/>
      <c r="C197" s="15" t="n"/>
      <c r="D197" s="17" t="n"/>
      <c r="E197" s="17" t="n"/>
      <c r="F197" s="34" t="n"/>
      <c r="G197" s="15" t="n"/>
      <c r="H197" s="15" t="n"/>
      <c r="I197" s="33" t="n"/>
      <c r="J197" s="15" t="n"/>
      <c r="K197" s="17" t="n"/>
    </row>
    <row r="198">
      <c r="A198" s="35" t="n"/>
      <c r="B198" s="15" t="n"/>
      <c r="C198" s="15" t="n"/>
      <c r="D198" s="17" t="n"/>
      <c r="E198" s="17" t="n"/>
      <c r="F198" s="34" t="n"/>
      <c r="G198" s="15" t="n"/>
      <c r="H198" s="15" t="n"/>
      <c r="I198" s="33" t="n"/>
      <c r="J198" s="15" t="n"/>
      <c r="K198" s="17" t="n"/>
    </row>
    <row r="199">
      <c r="A199" s="35" t="n"/>
      <c r="B199" s="15" t="n"/>
      <c r="C199" s="15" t="n"/>
      <c r="D199" s="17" t="n"/>
      <c r="E199" s="17" t="n"/>
      <c r="F199" s="34" t="n"/>
      <c r="G199" s="15" t="n"/>
      <c r="H199" s="15" t="n"/>
      <c r="I199" s="33" t="n"/>
      <c r="J199" s="15" t="n"/>
      <c r="K199" s="17" t="n"/>
    </row>
    <row r="200">
      <c r="A200" s="35" t="n"/>
      <c r="B200" s="15" t="n"/>
      <c r="C200" s="15" t="n"/>
      <c r="D200" s="17" t="n"/>
      <c r="E200" s="17" t="n"/>
      <c r="F200" s="34" t="n"/>
      <c r="G200" s="15" t="n"/>
      <c r="H200" s="15" t="n"/>
      <c r="I200" s="33" t="n"/>
      <c r="J200" s="15" t="n"/>
      <c r="K200" s="17" t="n"/>
    </row>
    <row r="201">
      <c r="A201" s="35" t="n"/>
      <c r="B201" s="15" t="n"/>
      <c r="C201" s="15" t="n"/>
      <c r="D201" s="17" t="n"/>
      <c r="E201" s="17" t="n"/>
      <c r="F201" s="34" t="n"/>
      <c r="G201" s="15" t="n"/>
      <c r="H201" s="15" t="n"/>
      <c r="I201" s="33" t="n"/>
      <c r="J201" s="15" t="n"/>
      <c r="K201" s="17" t="n"/>
    </row>
  </sheetData>
  <autoFilter ref="A1:K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2026-08-19T20:56:29Z</dcterms:created>
  <dcterms:modified xsi:type="dcterms:W3CDTF">2026-08-19T20:56:30Z</dcterms:modified>
</cp:coreProperties>
</file>