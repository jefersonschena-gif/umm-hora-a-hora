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Parâmetros" sheetId="2" state="visible" r:id="rId2"/>
    <sheet name="Habilidades" sheetId="3" state="visible" r:id="rId3"/>
    <sheet name="Especialidades" sheetId="4" state="visible" r:id="rId4"/>
    <sheet name="Postos" sheetId="5" state="visible" r:id="rId5"/>
    <sheet name="Equipe" sheetId="6" state="visible" r:id="rId6"/>
    <sheet name="Matriz_Habilidades" sheetId="7" state="visible" r:id="rId7"/>
    <sheet name="Ausencias" sheetId="8" state="visible" r:id="rId8"/>
    <sheet name="Calendario_Ausencias" sheetId="9" state="visible" r:id="rId9"/>
    <sheet name="Mapa_Cirurgico" sheetId="10" state="visible" r:id="rId10"/>
    <sheet name="Calc_Mix" sheetId="11" state="visible" r:id="rId11"/>
    <sheet name="Calc_Afinidade" sheetId="12" state="visible" r:id="rId12"/>
    <sheet name="Escala_Dia" sheetId="13" state="visible" r:id="rId13"/>
    <sheet name="Sugestao_Tecnicos" sheetId="14" state="visible" r:id="rId14"/>
    <sheet name="Jogo_de_Sala" sheetId="15" state="visible" r:id="rId15"/>
    <sheet name="Painel" sheetId="16" state="visible" r:id="rId16"/>
    <sheet name="Base_Historico" sheetId="17" state="visible" r:id="rId17"/>
  </sheets>
  <definedNames>
    <definedName name="Data_Mapa">'Parâmetros'!$B$6</definedName>
    <definedName name="Turno_Ini">'Parâmetros'!$B$10</definedName>
    <definedName name="Turno_Fim">'Parâmetros'!$B$11</definedName>
    <definedName name="Turno_Min">'Parâmetros'!$B$12</definedName>
    <definedName name="Peso_Instrumentador">'Parâmetros'!$B$22</definedName>
    <definedName name="Peso_Circulante">'Parâmetros'!$B$23</definedName>
    <definedName name="Afinidade_Meta">'Parâmetros'!$B$25</definedName>
    <definedName name="Afinidade_Min">'Parâmetros'!$B$26</definedName>
    <definedName name="Nivel_Critico">'Parâmetros'!$B$27</definedName>
    <definedName name="Part_Min_Critica">'Parâmetros'!$B$28</definedName>
    <definedName name="Limpeza_Min">'Parâmetros'!$B$31</definedName>
    <definedName name="Janela_Min">'Parâmetros'!$B$32</definedName>
    <definedName name="Meta_Ocupacao">'Parâmetros'!$B$33</definedName>
    <definedName name="Ocupacao_Max">'Parâmetros'!$B$34</definedName>
    <definedName name="Aus_Tipos">'Parâmetros'!$A$38:$A$42</definedName>
    <definedName name="Aus_Siglas">'Parâmetros'!$B$38:$B$42</definedName>
    <definedName name="Lista_Funcoes">'Parâmetros'!$F$5:$F$7</definedName>
    <definedName name="Lista_StatusCad">'Parâmetros'!$G$5:$G$7</definedName>
    <definedName name="Lista_StatusCirurgia">'Parâmetros'!$H$5:$H$8</definedName>
    <definedName name="Lista_Porte">'Parâmetros'!$I$5:$I$7</definedName>
    <definedName name="Lista_TipoPosto">'Parâmetros'!$J$5:$J$6</definedName>
    <definedName name="Lista_TiposAusencia">'Parâmetros'!$A$38:$A$42</definedName>
    <definedName name="Hab_Nome">'Habilidades'!$B$2:$B$15</definedName>
    <definedName name="Esp_Nome">'Especialidades'!$A$2:$A$25</definedName>
    <definedName name="Esp_Hab">'Especialidades'!$B$2:$B$25</definedName>
    <definedName name="Esp_Dur">'Especialidades'!$C$2:$C$25</definedName>
    <definedName name="Postos_Cod">'Postos'!$A$2:$A$17</definedName>
    <definedName name="Postos_Nome">'Postos'!$B$2:$B$17</definedName>
    <definedName name="Postos_Tipo">'Postos'!$C$2:$C$17</definedName>
    <definedName name="Postos_Nec">'Postos'!$D$2:$D$17</definedName>
    <definedName name="Postos_Min">'Postos'!$E$2:$E$17</definedName>
    <definedName name="Postos_Prior">'Postos'!$F$2:$F$17</definedName>
    <definedName name="Postos_Hab">'Postos'!$G$2:$G$17</definedName>
    <definedName name="Postos_Status">'Postos'!$H$2:$H$17</definedName>
    <definedName name="Equipe_Mat">'Equipe'!$A$2:$A$31</definedName>
    <definedName name="Equipe_Nome">'Equipe'!$B$2:$B$31</definedName>
    <definedName name="Equipe_Funcao">'Equipe'!$C$2:$C$31</definedName>
    <definedName name="Equipe_StatusCad">'Equipe'!$D$2:$D$31</definedName>
    <definedName name="Equipe_Situacao">'Equipe'!$E$2:$E$31</definedName>
    <definedName name="Matriz_Nome">'Matriz_Habilidades'!$B$2:$B$31</definedName>
    <definedName name="Matriz_Niveis">'Matriz_Habilidades'!$D$2:$Q$31</definedName>
    <definedName name="Matriz_Hab">'Matriz_Habilidades'!$D$1:$Q$1</definedName>
    <definedName name="Aus_Tec">'Ausencias'!$A$2:$A$151</definedName>
    <definedName name="Aus_Tipo">'Ausencias'!$B$2:$B$151</definedName>
    <definedName name="Aus_Ini">'Ausencias'!$C$2:$C$151</definedName>
    <definedName name="Aus_Fim">'Ausencias'!$D$2:$D$151</definedName>
    <definedName name="Aus_Ativa">'Ausencias'!$G$2:$G$151</definedName>
    <definedName name="Aus_Cod">'Ausencias'!$H$2:$H$151</definedName>
    <definedName name="Mapa_Data">'Mapa_Cirurgico'!$A$2:$A$201</definedName>
    <definedName name="Mapa_Sala">'Mapa_Cirurgico'!$B$2:$B$201</definedName>
    <definedName name="Mapa_Ini">'Mapa_Cirurgico'!$C$2:$C$201</definedName>
    <definedName name="Mapa_Fim">'Mapa_Cirurgico'!$D$2:$D$201</definedName>
    <definedName name="Mapa_Esp">'Mapa_Cirurgico'!$E$2:$E$201</definedName>
    <definedName name="Mapa_Hab">'Mapa_Cirurgico'!$F$2:$F$201</definedName>
    <definedName name="Mapa_Status">'Mapa_Cirurgico'!$J$2:$J$201</definedName>
    <definedName name="Mapa_Dur">'Mapa_Cirurgico'!$K$2:$K$201</definedName>
    <definedName name="Mapa_MinOcup">'Mapa_Cirurgico'!$L$2:$L$201</definedName>
    <definedName name="Mapa_Ordem">'Mapa_Cirurgico'!$M$2:$M$201</definedName>
    <definedName name="Mapa_Livre">'Mapa_Cirurgico'!$O$2:$O$201</definedName>
    <definedName name="Mapa_Alerta">'Mapa_Cirurgico'!$P$2:$P$201</definedName>
    <definedName name="Mapa_RelIni">'Mapa_Cirurgico'!$R$2:$R$201</definedName>
    <definedName name="Mapa_RelFim">'Mapa_Cirurgico'!$S$2:$S$201</definedName>
    <definedName name="Mapa_Chave">'Mapa_Cirurgico'!$T$2:$T$201</definedName>
    <definedName name="Mapa_Row">'Mapa_Cirurgico'!$U$2:$U$201</definedName>
    <definedName name="Mix_Hab">'Calc_Mix'!$F$1:$S$1</definedName>
    <definedName name="Esc_Posto">'Escala_Dia'!$B$2:$B$17</definedName>
    <definedName name="Esc_Tipo">'Escala_Dia'!$D$2:$D$17</definedName>
    <definedName name="Esc_Nec">'Escala_Dia'!$F$2:$F$17</definedName>
    <definedName name="Esc_NCir">'Escala_Dia'!$G$2:$G$17</definedName>
    <definedName name="Esc_MinOcup">'Escala_Dia'!$H$2:$H$17</definedName>
    <definedName name="Esc_Ocup">'Escala_Dia'!$I$2:$I$17</definedName>
    <definedName name="Esc_Tec1">'Escala_Dia'!$J$2:$J$17</definedName>
    <definedName name="Esc_Tec2">'Escala_Dia'!$M$2:$M$17</definedName>
    <definedName name="Esc_Afin">'Escala_Dia'!$P$2:$P$17</definedName>
    <definedName name="Esc_Cobertura">'Escala_Dia'!$Q$2:$Q$17</definedName>
    <definedName name="Esc_Class">'Escala_Dia'!$R$2:$R$17</definedName>
    <definedName name="Esc_Alertas">'Escala_Dia'!$W$2:$W$17</definedName>
    <definedName name="Esc_AfinNum">'Escala_Dia'!$Y$2:$Y$17</definedName>
    <definedName name="Esc_Peso">'Escala_Dia'!$Z$2:$Z$17</definedName>
    <definedName name="Jogo_Sala">'Jogo_de_Sala'!$A$2:$A$209</definedName>
    <definedName name="Jogo_Dur">'Jogo_de_Sala'!$E$2:$E$209</definedName>
    <definedName name="Jogo_Cabe">'Jogo_de_Sala'!$F$2:$F$209</definedName>
    <definedName name="Lista_Habilidades">OFFSET('Habilidades'!$B$2,0,0,MAX(1,COUNTA('Habilidades'!$B$2:$B$15)),1)</definedName>
    <definedName name="Lista_Especialidades">OFFSET('Especialidades'!$A$2,0,0,MAX(1,COUNTA('Especialidades'!$A$2:$A$25)),1)</definedName>
    <definedName name="Lista_Postos">OFFSET('Postos'!$A$2,0,0,MAX(1,COUNTA('Postos'!$A$2:$A$17)),1)</definedName>
    <definedName name="Lista_Tecnicos">OFFSET('Equipe'!$B$2,0,0,MAX(1,COUNTA('Equipe'!$B$2:$B$31)),1)</definedName>
    <definedName name="_xlnm._FilterDatabase" localSheetId="2" hidden="1">'Habilidades'!$A$1:$D$15</definedName>
    <definedName name="_xlnm._FilterDatabase" localSheetId="3" hidden="1">'Especialidades'!$A$1:$E$25</definedName>
    <definedName name="_xlnm._FilterDatabase" localSheetId="4" hidden="1">'Postos'!$A$1:$I$17</definedName>
    <definedName name="_xlnm._FilterDatabase" localSheetId="5" hidden="1">'Equipe'!$A$1:$G$31</definedName>
    <definedName name="_xlnm._FilterDatabase" localSheetId="7" hidden="1">'Ausencias'!$A$1:$F$151</definedName>
    <definedName name="_xlnm.Print_Titles" localSheetId="8">'Calendario_Ausencias'!$1:$1</definedName>
    <definedName name="_xlnm.Print_Area" localSheetId="8">'Calendario_Ausencias'!$A$1:$AK$33</definedName>
    <definedName name="_xlnm._FilterDatabase" localSheetId="9" hidden="1">'Mapa_Cirurgico'!$A$1:$P$201</definedName>
    <definedName name="_xlnm.Print_Titles" localSheetId="9">'Mapa_Cirurgico'!$1:$1</definedName>
    <definedName name="_xlnm.Print_Area" localSheetId="9">'Mapa_Cirurgico'!$A$1:$P$34</definedName>
    <definedName name="_xlnm._FilterDatabase" localSheetId="12" hidden="1">'Escala_Dia'!$A$1:$W$17</definedName>
    <definedName name="_xlnm.Print_Titles" localSheetId="12">'Escala_Dia'!$1:$1</definedName>
    <definedName name="_xlnm.Print_Area" localSheetId="12">'Escala_Dia'!$A$1:$W$17</definedName>
    <definedName name="_xlnm._FilterDatabase" localSheetId="13" hidden="1">'Sugestao_Tecnicos'!$A$1:$P$17</definedName>
    <definedName name="_xlnm.Print_Titles" localSheetId="13">'Sugestao_Tecnicos'!$1:$1</definedName>
    <definedName name="_xlnm.Print_Area" localSheetId="13">'Sugestao_Tecnicos'!$A$1:$P$17</definedName>
    <definedName name="_xlnm._FilterDatabase" localSheetId="14" hidden="1">'Jogo_de_Sala'!$A$1:$G$209</definedName>
    <definedName name="_xlnm.Print_Titles" localSheetId="14">'Jogo_de_Sala'!$1:$1</definedName>
    <definedName name="_xlnm.Print_Area" localSheetId="14">'Jogo_de_Sala'!$A$1:$G$209</definedName>
    <definedName name="_xlnm.Print_Area" localSheetId="15">'Painel'!$A$1:$R$88</definedName>
    <definedName name="_xlnm._FilterDatabase" localSheetId="16" hidden="1">'Base_Historico'!$A$1:$M$2001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/MM/YYYY"/>
    <numFmt numFmtId="166" formatCode="HH:MM"/>
    <numFmt numFmtId="167" formatCode="DD/MM"/>
    <numFmt numFmtId="168" formatCode="MMMM/YYYY"/>
    <numFmt numFmtId="169" formatCode="D"/>
    <numFmt numFmtId="170" formatCode="0.0%"/>
    <numFmt numFmtId="171" formatCode="0.0"/>
  </numFmts>
  <fonts count="10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i val="1"/>
      <color rgb="007F7F7F"/>
      <sz val="9"/>
    </font>
    <font>
      <name val="Calibri"/>
      <b val="1"/>
      <color rgb="001F3864"/>
      <sz val="11"/>
    </font>
    <font>
      <name val="Calibri"/>
      <color rgb="00000000"/>
      <sz val="10"/>
    </font>
    <font>
      <name val="Calibri"/>
      <color rgb="000070C0"/>
      <sz val="10"/>
    </font>
    <font>
      <name val="Calibri"/>
      <b val="1"/>
      <color rgb="00FFFFFF"/>
      <sz val="10"/>
    </font>
    <font>
      <name val="Calibri"/>
      <i val="1"/>
      <color rgb="00006100"/>
      <sz val="10"/>
    </font>
    <font>
      <name val="Calibri"/>
      <b val="1"/>
      <color rgb="001F3864"/>
      <sz val="12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EB9C"/>
      </patternFill>
    </fill>
    <fill>
      <patternFill patternType="solid">
        <fgColor rgb="00E4DFEC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2" borderId="1" pivotButton="0" quotePrefix="0" xfId="0"/>
    <xf numFmtId="0" fontId="0" fillId="2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166" fontId="5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5" fillId="3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1" fontId="5" fillId="3" borderId="1" applyAlignment="1" pivotButton="0" quotePrefix="0" xfId="0">
      <alignment horizontal="center" vertical="center"/>
    </xf>
    <xf numFmtId="9" fontId="5" fillId="3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167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bottom" textRotation="90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" fontId="5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8" fontId="3" fillId="0" borderId="0" applyAlignment="1" pivotButton="0" quotePrefix="0" xfId="0">
      <alignment horizontal="left" vertical="center"/>
    </xf>
    <xf numFmtId="169" fontId="6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/>
    </xf>
    <xf numFmtId="170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165" fontId="8" fillId="6" borderId="1" applyAlignment="1" pivotButton="0" quotePrefix="0" xfId="0">
      <alignment horizontal="center" vertical="center"/>
    </xf>
    <xf numFmtId="1" fontId="8" fillId="6" borderId="1" applyAlignment="1" pivotButton="0" quotePrefix="0" xfId="0">
      <alignment horizontal="center" vertical="center"/>
    </xf>
    <xf numFmtId="171" fontId="8" fillId="6" borderId="1" applyAlignment="1" pivotButton="0" quotePrefix="0" xfId="0">
      <alignment horizontal="center" vertical="center"/>
    </xf>
    <xf numFmtId="170" fontId="8" fillId="6" borderId="1" applyAlignment="1" pivotButton="0" quotePrefix="0" xfId="0">
      <alignment horizontal="center" vertical="center"/>
    </xf>
    <xf numFmtId="2" fontId="8" fillId="6" borderId="1" applyAlignment="1" pivotButton="0" quotePrefix="0" xfId="0">
      <alignment horizontal="center" vertical="center"/>
    </xf>
    <xf numFmtId="171" fontId="4" fillId="0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2" fontId="4" fillId="6" borderId="1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71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dxfs count="10"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006100"/>
      </font>
      <fill>
        <patternFill patternType="solid">
          <fgColor rgb="00C6EF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  <dxf>
      <font>
        <b val="1"/>
        <sz val="9"/>
      </font>
      <fill>
        <patternFill patternType="solid">
          <fgColor rgb="00FFC7CE"/>
        </patternFill>
      </fill>
    </dxf>
    <dxf>
      <font>
        <b val="1"/>
        <sz val="9"/>
      </font>
      <fill>
        <patternFill patternType="solid">
          <fgColor rgb="00DDEBF7"/>
        </patternFill>
      </fill>
    </dxf>
    <dxf>
      <font>
        <b val="1"/>
        <sz val="9"/>
      </font>
      <fill>
        <patternFill patternType="solid">
          <fgColor rgb="00FFEB9C"/>
        </patternFill>
      </fill>
    </dxf>
    <dxf>
      <font>
        <b val="1"/>
        <sz val="9"/>
      </font>
      <fill>
        <patternFill patternType="solid">
          <fgColor rgb="00E4DFEC"/>
        </patternFill>
      </fill>
    </dxf>
    <dxf>
      <font>
        <b val="1"/>
        <sz val="9"/>
      </font>
      <fill>
        <patternFill patternType="solid">
          <fgColor rgb="00D9E1F2"/>
        </patternFill>
      </fill>
    </dxf>
    <dxf>
      <fill>
        <patternFill patternType="solid">
          <fgColor rgb="00EDEDED"/>
        </patternFill>
      </fill>
    </dxf>
    <dxf>
      <font>
        <i val="1"/>
        <color rgb="00808080"/>
      </font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Ocupação por sala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'Painel'!D21</f>
            </strRef>
          </tx>
          <spPr>
            <a:ln>
              <a:prstDash val="solid"/>
            </a:ln>
          </spPr>
          <cat>
            <numRef>
              <f>'Painel'!$A$22:$A$37</f>
            </numRef>
          </cat>
          <val>
            <numRef>
              <f>'Painel'!$D$22:$D$37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% de ocupação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Horas cirúrgicas por habilidade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'Painel'!C40</f>
            </strRef>
          </tx>
          <spPr>
            <a:ln>
              <a:prstDash val="solid"/>
            </a:ln>
          </spPr>
          <cat>
            <numRef>
              <f>'Painel'!$A$41:$A$54</f>
            </numRef>
          </cat>
          <val>
            <numRef>
              <f>'Painel'!$C$41:$C$54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Minutos livres por sala (espaço para encaixe)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'Painel'!B57</f>
            </strRef>
          </tx>
          <spPr>
            <a:ln>
              <a:prstDash val="solid"/>
            </a:ln>
          </spPr>
          <cat>
            <numRef>
              <f>'Painel'!$A$58:$A$73</f>
            </numRef>
          </cat>
          <val>
            <numRef>
              <f>'Painel'!$B$58:$B$73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Minutos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39</row>
      <rowOff>0</rowOff>
    </from>
    <ext cx="5400000" cy="34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56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04" customWidth="1" min="3" max="3"/>
  </cols>
  <sheetData>
    <row r="1" ht="22" customHeight="1">
      <c r="A1" s="1" t="inlineStr">
        <is>
          <t>CENTRO CIRÚRGICO — ESCALA DIÁRIA DE TÉCNICOS POR POSTO</t>
        </is>
      </c>
    </row>
    <row r="2">
      <c r="A2" s="2" t="inlineStr">
        <is>
          <t>8 salas (2 técnicos cada) + admissão (2) + box de preparo oftalmológico (1) + sala de recém-nascido (1) = 20 vagas por dia, para um quadro de 22 técnicos com férias, folgas e atestados.</t>
        </is>
      </c>
    </row>
    <row r="4" ht="18" customHeight="1">
      <c r="B4" s="3" t="inlineStr">
        <is>
          <t>1. PREMISSAS ADOTADAS — confira antes de usar</t>
        </is>
      </c>
      <c r="C4" s="4" t="n"/>
    </row>
    <row r="5" ht="27" customHeight="1">
      <c r="B5" s="5" t="inlineStr">
        <is>
          <t>Um plantão por dia</t>
        </is>
      </c>
      <c r="C5" s="6" t="inlineStr">
        <is>
          <t>A escala do dia cobre UM plantão (07:00–19:00, alterável em Parâmetros). Foi a única leitura compatível com 22 técnicos para 20 vagas. Se o serviço tiver mais de um turno, avise: a estrutura muda.</t>
        </is>
      </c>
    </row>
    <row r="6" ht="27" customHeight="1">
      <c r="B6" s="5" t="inlineStr">
        <is>
          <t>Papéis nas salas</t>
        </is>
      </c>
      <c r="C6" s="6" t="inlineStr">
        <is>
          <t>Nas salas cirúrgicas o Técnico 1 é o CIRCULANTE e o Técnico 2 é o INSTRUMENTADOR, com pesos diferentes na afinidade. Nos postos de apoio (admissão, box, RN) não há distinção de papel.</t>
        </is>
      </c>
    </row>
    <row r="7" ht="27" customHeight="1">
      <c r="B7" s="5" t="inlineStr">
        <is>
          <t>Déficit é o normal</t>
        </is>
      </c>
      <c r="C7" s="6" t="inlineStr">
        <is>
          <t>Como quase nunca há 20 técnicos disponíveis, a planilha trabalha com PRIORIDADE DE COBERTURA: cada posto tem uma prioridade e um mínimo aceitável, e o Painel mostra o déficit, os postos descobertos e quantas cirurgias precisam ser remanejadas.</t>
        </is>
      </c>
    </row>
    <row r="8" ht="27" customHeight="1">
      <c r="B8" s="5" t="inlineStr">
        <is>
          <t>Dados de exemplo</t>
        </is>
      </c>
      <c r="C8" s="6" t="inlineStr">
        <is>
          <t>Equipe, habilidades, ausências e agenda vêm preenchidos com um dia de demonstração (18 disponíveis para 20 vagas). Substitua pelos dados reais.</t>
        </is>
      </c>
    </row>
    <row r="9" ht="18" customHeight="1">
      <c r="B9" s="3" t="inlineStr">
        <is>
          <t>2. COMO A PLANILHA ESTÁ ORGANIZADA</t>
        </is>
      </c>
      <c r="C9" s="4" t="n"/>
    </row>
    <row r="10" ht="27" customHeight="1">
      <c r="B10" s="5" t="inlineStr">
        <is>
          <t>ENTRADAS (o que se digita)</t>
        </is>
      </c>
      <c r="C10" s="6" t="inlineStr">
        <is>
          <t>Parâmetros · Habilidades · Especialidades · Postos · Equipe · Matriz_Habilidades · Ausencias · Mapa_Cirurgico · colunas TÉCNICO 1 e TÉCNICO 2 da Escala_Dia</t>
        </is>
      </c>
    </row>
    <row r="11" ht="27" customHeight="1">
      <c r="B11" s="5" t="inlineStr">
        <is>
          <t>PROCESSAMENTO (não digitar)</t>
        </is>
      </c>
      <c r="C11" s="6" t="inlineStr">
        <is>
          <t>Calc_Mix (minutos por habilidade em cada posto) e Calc_Afinidade (afinidade dos técnicos disponíveis e ainda não escalados). Ficam visíveis para auditoria.</t>
        </is>
      </c>
    </row>
    <row r="12" ht="16" customHeight="1">
      <c r="B12" s="5" t="inlineStr">
        <is>
          <t>SAÍDAS</t>
        </is>
      </c>
      <c r="C12" s="6" t="inlineStr">
        <is>
          <t>Escala_Dia · Sugestao_Tecnicos · Jogo_de_Sala · Calendario_Ausencias · Painel · Base_Historico</t>
        </is>
      </c>
    </row>
    <row r="13" ht="18" customHeight="1">
      <c r="B13" s="3" t="inlineStr">
        <is>
          <t>3. A REGRA DE AFINIDADE</t>
        </is>
      </c>
      <c r="C13" s="4" t="n"/>
    </row>
    <row r="14" ht="27" customHeight="1">
      <c r="B14" s="5" t="inlineStr">
        <is>
          <t>Afinidade do técnico com o posto</t>
        </is>
      </c>
      <c r="C14" s="6" t="inlineStr">
        <is>
          <t>Média dos níveis do técnico nas habilidades exigidas pelo posto, PONDERADA PELOS MINUTOS de cada habilidade na agenda daquela sala. Habilidade que ocupa mais tempo pesa mais.</t>
        </is>
      </c>
    </row>
    <row r="15" ht="27" customHeight="1">
      <c r="B15" s="5" t="inlineStr">
        <is>
          <t>Postos sem agenda</t>
        </is>
      </c>
      <c r="C15" s="6" t="inlineStr">
        <is>
          <t>Admissão, box e sala de RN — e qualquer sala sem cirurgia marcada, como a de urgência — usam a HABILIDADE DE REFERÊNCIA cadastrada na aba Postos.</t>
        </is>
      </c>
    </row>
    <row r="16" ht="27" customHeight="1">
      <c r="B16" s="5" t="inlineStr">
        <is>
          <t>Afinidade do posto</t>
        </is>
      </c>
      <c r="C16" s="6" t="inlineStr">
        <is>
          <t>Sala: Peso_Circulante × técnico 1 + Peso_Instrumentador × técnico 2. Apoio: média simples. Com um só técnico, é a afinidade dele.</t>
        </is>
      </c>
    </row>
    <row r="17" ht="27" customHeight="1">
      <c r="B17" s="5" t="inlineStr">
        <is>
          <t>Classificação</t>
        </is>
      </c>
      <c r="C17" s="6" t="inlineStr">
        <is>
          <t>ADEQUADO ≥ Afinidade_Meta (2,50) · ATENÇÃO entre a meta e a mínima · CRÍTICO abaixo de Afinidade_Min (2,00) · SEM EQUIPE quando o posto está descoberto.</t>
        </is>
      </c>
    </row>
    <row r="18" ht="27" customHeight="1">
      <c r="B18" s="5" t="inlineStr">
        <is>
          <t>Alerta de inaptidão</t>
        </is>
      </c>
      <c r="C18" s="6" t="inlineStr">
        <is>
          <t>Se uma habilidade responder por ≥ Part_Min_Critica (20%) do tempo da sala e algum técnico da dupla tiver nível ≤ Nivel_Critico (1) nela, a linha é sinalizada mesmo com média boa.</t>
        </is>
      </c>
    </row>
    <row r="19" ht="18" customHeight="1">
      <c r="B19" s="3" t="inlineStr">
        <is>
          <t>4. ROTINA DO DIA</t>
        </is>
      </c>
      <c r="C19" s="4" t="n"/>
    </row>
    <row r="20" ht="16" customHeight="1">
      <c r="B20" s="5" t="inlineStr">
        <is>
          <t>Passo 1 — data</t>
        </is>
      </c>
      <c r="C20" s="6" t="inlineStr">
        <is>
          <t>Em Parâmetros, ajuste a Data da escala. Toda a planilha passa a olhar para esse dia.</t>
        </is>
      </c>
    </row>
    <row r="21" ht="27" customHeight="1">
      <c r="B21" s="5" t="inlineStr">
        <is>
          <t>Passo 2 — ausências</t>
        </is>
      </c>
      <c r="C21" s="6" t="inlineStr">
        <is>
          <t>Lance férias, folgas, atestados, licenças e treinamentos em Ausencias (período de/até). A aba Equipe mostra na hora quem está disponível, e o Calendario_Ausencias dá a visão do mês inteiro.</t>
        </is>
      </c>
    </row>
    <row r="22" ht="27" customHeight="1">
      <c r="B22" s="5" t="inlineStr">
        <is>
          <t>Passo 3 — agenda</t>
        </is>
      </c>
      <c r="C22" s="6" t="inlineStr">
        <is>
          <t>Lance as cirurgias em Mapa_Cirurgico. A coluna Alerta aponta sobreposição de horário, sala não cadastrada, duração inválida e horário fora da janela do plantão.</t>
        </is>
      </c>
    </row>
    <row r="23" ht="40.5" customHeight="1">
      <c r="B23" s="5" t="inlineStr">
        <is>
          <t>Passo 4 — escala</t>
        </is>
      </c>
      <c r="C23" s="6" t="inlineStr">
        <is>
          <t>Em Escala_Dia, escolha os técnicos de cada posto nas listas suspensas (células azuis), na ordem de prioridade dos postos. A aba Sugestao_Tecnicos mostra, para cada posto, quem ainda está livre em ordem de afinidade — a lista se atualiza a cada nome escalado.</t>
        </is>
      </c>
    </row>
    <row r="24" ht="27" customHeight="1">
      <c r="B24" s="5" t="inlineStr">
        <is>
          <t>Passo 5 — o que ficou descoberto</t>
        </is>
      </c>
      <c r="C24" s="6" t="inlineStr">
        <is>
          <t>O Painel (bloco 2) mostra o déficit, os postos descobertos e quantas cirurgias precisam ser remanejadas. Use o Jogo_de_Sala para achar em qual sala e em que horário elas cabem.</t>
        </is>
      </c>
    </row>
    <row r="25" ht="16" customHeight="1">
      <c r="B25" s="5" t="inlineStr">
        <is>
          <t>Passo 6 — fechamento</t>
        </is>
      </c>
      <c r="C25" s="6" t="inlineStr">
        <is>
          <t>Copie as linhas de Escala_Dia e cole COMO VALORES em Base_Historico para guardar o histórico do dia.</t>
        </is>
      </c>
    </row>
    <row r="26" ht="18" customHeight="1">
      <c r="B26" s="3" t="inlineStr">
        <is>
          <t>5. JOGO DE SALA (encaixes)</t>
        </is>
      </c>
      <c r="C26" s="4" t="n"/>
    </row>
    <row r="27" ht="27" customHeight="1">
      <c r="B27" s="5" t="inlineStr">
        <is>
          <t>O que é cada janela</t>
        </is>
      </c>
      <c r="C27" s="6" t="inlineStr">
        <is>
          <t>Janela 0 é o tempo livre antes da primeira cirurgia. As demais são o intervalo entre a liberação de uma cirurgia (fim + limpeza) e o início da seguinte. A última vai até o fim do plantão.</t>
        </is>
      </c>
    </row>
    <row r="28" ht="27" customHeight="1">
      <c r="B28" s="5" t="inlineStr">
        <is>
          <t>Cabe cirurgia de até</t>
        </is>
      </c>
      <c r="C28" s="6" t="inlineStr">
        <is>
          <t>É a duração da janela menos o tempo de limpeza — ou seja, o tamanho real do encaixe possível. A coluna Situação separa as janelas aproveitáveis (≥ Janela_Min, 30 min) das curtas.</t>
        </is>
      </c>
    </row>
    <row r="29" ht="27" customHeight="1">
      <c r="B29" s="5" t="inlineStr">
        <is>
          <t>No Mapa_Cirurgico</t>
        </is>
      </c>
      <c r="C29" s="6" t="inlineStr">
        <is>
          <t>As colunas 'Sala liberada às' e 'Livre até a próxima (min)' mostram o mesmo em linha, cirurgia a cirurgia; a célula fica verde quando o intervalo comporta um encaixe.</t>
        </is>
      </c>
    </row>
    <row r="30" ht="18" customHeight="1">
      <c r="B30" s="3" t="inlineStr">
        <is>
          <t>6. CONVENÇÕES VISUAIS</t>
        </is>
      </c>
      <c r="C30" s="4" t="n"/>
    </row>
    <row r="31" ht="16" customHeight="1">
      <c r="B31" s="5" t="inlineStr">
        <is>
          <t>Azul</t>
        </is>
      </c>
      <c r="C31" s="6" t="inlineStr">
        <is>
          <t>Célula de entrada — pode digitar.</t>
        </is>
      </c>
    </row>
    <row r="32" ht="16" customHeight="1">
      <c r="B32" s="5" t="inlineStr">
        <is>
          <t>Amarelo</t>
        </is>
      </c>
      <c r="C32" s="6" t="inlineStr">
        <is>
          <t>Premissa de negócio (Parâmetros). Alterar aqui recalcula toda a planilha.</t>
        </is>
      </c>
    </row>
    <row r="33" ht="16" customHeight="1">
      <c r="B33" s="5" t="inlineStr">
        <is>
          <t>Preto</t>
        </is>
      </c>
      <c r="C33" s="6" t="inlineStr">
        <is>
          <t>Resultado de fórmula — não digitar por cima.</t>
        </is>
      </c>
    </row>
    <row r="34" ht="16" customHeight="1">
      <c r="B34" s="5" t="inlineStr">
        <is>
          <t>Verde itálico</t>
        </is>
      </c>
      <c r="C34" s="6" t="inlineStr">
        <is>
          <t>Valor trazido de outra aba por fórmula.</t>
        </is>
      </c>
    </row>
    <row r="35" ht="16" customHeight="1">
      <c r="B35" s="5" t="inlineStr">
        <is>
          <t>Vermelho / âmbar / verde</t>
        </is>
      </c>
      <c r="C35" s="6" t="inlineStr">
        <is>
          <t>Semáforo de cobertura, afinidade, ocupação e alertas.</t>
        </is>
      </c>
    </row>
    <row r="36" ht="18" customHeight="1">
      <c r="B36" s="3" t="inlineStr">
        <is>
          <t>7. COMO EXPANDIR</t>
        </is>
      </c>
      <c r="C36" s="4" t="n"/>
    </row>
    <row r="37" ht="27" customHeight="1">
      <c r="B37" s="5" t="inlineStr">
        <is>
          <t>Novo técnico</t>
        </is>
      </c>
      <c r="C37" s="6" t="inlineStr">
        <is>
          <t>Acrescente a linha em Equipe (até 30). Matriz_Habilidades, Calc_Afinidade, Calendario_Ausencias e as listas suspensas acompanham sozinhos — só preencha os níveis na Matriz.</t>
        </is>
      </c>
    </row>
    <row r="38" ht="16" customHeight="1">
      <c r="B38" s="5" t="inlineStr">
        <is>
          <t>Nova habilidade</t>
        </is>
      </c>
      <c r="C38" s="6" t="inlineStr">
        <is>
          <t>Acrescente a linha em Habilidades (até 14 posições). As colunas da Matriz e do Calc_Mix pegam o nome automaticamente.</t>
        </is>
      </c>
    </row>
    <row r="39" ht="27" customHeight="1">
      <c r="B39" s="5" t="inlineStr">
        <is>
          <t>Novo posto ou nova sala</t>
        </is>
      </c>
      <c r="C39" s="6" t="inlineStr">
        <is>
          <t>Acrescente a linha em Postos (até 16). As linhas correspondentes já existem em Calc_Mix, Escala_Dia, Sugestao_Tecnicos e Jogo_de_Sala e passam a funcionar sozinhas.</t>
        </is>
      </c>
    </row>
    <row r="40" ht="16" customHeight="1">
      <c r="B40" s="5" t="inlineStr">
        <is>
          <t>Mais cirurgias / ausências</t>
        </is>
      </c>
      <c r="C40" s="6" t="inlineStr">
        <is>
          <t>O Mapa_Cirurgico comporta 200 cirurgias por dia e a aba Ausencias 150 registros; as fórmulas já cobrem esse intervalo.</t>
        </is>
      </c>
    </row>
    <row r="41" ht="18" customHeight="1">
      <c r="B41" s="3" t="inlineStr">
        <is>
          <t>8. OBSERVAÇÕES TÉCNICAS</t>
        </is>
      </c>
      <c r="C41" s="4" t="n"/>
    </row>
    <row r="42" ht="27" customHeight="1">
      <c r="B42" s="5" t="inlineStr">
        <is>
          <t>Ocupação da sala</t>
        </is>
      </c>
      <c r="C42" s="6" t="inlineStr">
        <is>
          <t>Cada cirurgia consome sua duração + o tempo de limpeza definido em Parâmetros (20 min). Cirurgias Canceladas ou Suspensas não entram na ocupação nem no cálculo de afinidade.</t>
        </is>
      </c>
    </row>
    <row r="43" ht="40.5" customHeight="1">
      <c r="B43" s="5" t="inlineStr">
        <is>
          <t>Colunas auxiliares ocultas</t>
        </is>
      </c>
      <c r="C43" s="6" t="inlineStr">
        <is>
          <t>Mapa_Cirurgico colunas Q a U, Escala_Dia X a Z, Ausencias G e H e Jogo_de_Sala H e I guardam cálculos intermediários. Na Escala_Dia as colunas S a V (Chk duplicidade, disponibilidade, função e inaptidão) também estão ocultas — o resultado delas aparece consolidado em ALERTAS; exiba-as se quiser auditar cada teste em separado. Não excluir nenhuma delas.</t>
        </is>
      </c>
    </row>
    <row r="44" ht="27" customHeight="1">
      <c r="B44" s="5" t="inlineStr">
        <is>
          <t>Desempate na sugestão</t>
        </is>
      </c>
      <c r="C44" s="6" t="inlineStr">
        <is>
          <t>O Calc_Afinidade soma 0,000001 × número da linha para evitar empates no ranking; o efeito é invisível nas duas casas exibidas.</t>
        </is>
      </c>
    </row>
    <row r="45" ht="27" customHeight="1">
      <c r="B45" s="5" t="inlineStr">
        <is>
          <t>Funções utilizadas</t>
        </is>
      </c>
      <c r="C45" s="6" t="inlineStr">
        <is>
          <t>SUMIFS, COUNTIFS, SUMPRODUCT, INDEX, MATCH, LARGE, IF e IFERROR — compatíveis com Excel e LibreOffice. Não há macros, Power Query nem matrizes dinâmicas.</t>
        </is>
      </c>
    </row>
    <row r="46" ht="16" customHeight="1">
      <c r="B46" s="5" t="inlineStr">
        <is>
          <t>Não se fazem cirurgias cardíacas</t>
        </is>
      </c>
      <c r="C46" s="6" t="inlineStr">
        <is>
          <t>A lista de especialidades da aba Especialidades reflete isso; inclua ou remova linhas conforme o serviço.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24" customWidth="1" min="4" max="4"/>
    <col width="3" customWidth="1" min="5" max="5"/>
    <col width="16" customWidth="1" min="6" max="6"/>
    <col width="16" customWidth="1" min="7" max="7"/>
    <col width="16" customWidth="1" min="8" max="8"/>
    <col width="7" customWidth="1" min="9" max="9"/>
    <col width="16" customWidth="1" min="10" max="10"/>
  </cols>
  <sheetData>
    <row r="1" ht="22" customHeight="1">
      <c r="A1" s="1" t="inlineStr">
        <is>
          <t>PARÂMETROS E PREMISSAS</t>
        </is>
      </c>
    </row>
    <row r="2">
      <c r="A2" s="2" t="inlineStr">
        <is>
          <t>Células amarelas são premissas de negócio. Alterá-las recalcula toda a planilha — nenhuma premissa está embutida em fórmula.</t>
        </is>
      </c>
    </row>
    <row r="3">
      <c r="A3" s="7" t="inlineStr">
        <is>
          <t>1. IDENTIFICAÇÃO</t>
        </is>
      </c>
      <c r="B3" s="8" t="n"/>
      <c r="C3" s="8" t="n"/>
      <c r="D3" s="8" t="n"/>
      <c r="F3" s="9" t="inlineStr">
        <is>
          <t>LISTAS AUXILIARES</t>
        </is>
      </c>
    </row>
    <row r="4" ht="30" customHeight="1">
      <c r="A4" s="10" t="inlineStr">
        <is>
          <t>Unidade / Hospital</t>
        </is>
      </c>
      <c r="B4" s="11" t="inlineStr">
        <is>
          <t>Hospital — preencher</t>
        </is>
      </c>
      <c r="C4" s="12" t="n"/>
      <c r="D4" s="13" t="n"/>
      <c r="F4" s="14" t="inlineStr">
        <is>
          <t>Função</t>
        </is>
      </c>
      <c r="G4" s="14" t="inlineStr">
        <is>
          <t>Status cadastral</t>
        </is>
      </c>
      <c r="H4" s="14" t="inlineStr">
        <is>
          <t>Status da cirurgia</t>
        </is>
      </c>
      <c r="I4" s="14" t="inlineStr">
        <is>
          <t>Porte</t>
        </is>
      </c>
      <c r="J4" s="14" t="inlineStr">
        <is>
          <t>Tipo de posto</t>
        </is>
      </c>
    </row>
    <row r="5">
      <c r="A5" s="10" t="inlineStr">
        <is>
          <t>Setor</t>
        </is>
      </c>
      <c r="B5" s="11" t="inlineStr">
        <is>
          <t>Centro Cirúrgico</t>
        </is>
      </c>
      <c r="C5" s="12" t="n"/>
      <c r="D5" s="13" t="n"/>
      <c r="F5" s="15" t="inlineStr">
        <is>
          <t>Circulante</t>
        </is>
      </c>
      <c r="G5" s="15" t="inlineStr">
        <is>
          <t>Ativo</t>
        </is>
      </c>
      <c r="H5" s="15" t="inlineStr">
        <is>
          <t>Agendada</t>
        </is>
      </c>
      <c r="I5" s="15" t="inlineStr">
        <is>
          <t>P</t>
        </is>
      </c>
      <c r="J5" s="15" t="inlineStr">
        <is>
          <t>Sala cirúrgica</t>
        </is>
      </c>
    </row>
    <row r="6">
      <c r="A6" s="10" t="inlineStr">
        <is>
          <t>Data da escala</t>
        </is>
      </c>
      <c r="B6" s="16" t="n">
        <v>46254</v>
      </c>
      <c r="D6" s="2" t="inlineStr">
        <is>
          <t>Data_Mapa</t>
        </is>
      </c>
      <c r="F6" s="15" t="inlineStr">
        <is>
          <t>Instrumentador</t>
        </is>
      </c>
      <c r="G6" s="15" t="inlineStr">
        <is>
          <t>Afastado</t>
        </is>
      </c>
      <c r="H6" s="15" t="inlineStr">
        <is>
          <t>Realizada</t>
        </is>
      </c>
      <c r="I6" s="15" t="inlineStr">
        <is>
          <t>M</t>
        </is>
      </c>
      <c r="J6" s="15" t="inlineStr">
        <is>
          <t>Apoio</t>
        </is>
      </c>
    </row>
    <row r="7">
      <c r="A7" s="10" t="inlineStr">
        <is>
          <t>Coordenação responsável</t>
        </is>
      </c>
      <c r="B7" s="11" t="inlineStr">
        <is>
          <t>Coordenação de Enfermagem</t>
        </is>
      </c>
      <c r="C7" s="12" t="n"/>
      <c r="D7" s="13" t="n"/>
      <c r="F7" s="15" t="inlineStr">
        <is>
          <t>Ambos</t>
        </is>
      </c>
      <c r="G7" s="15" t="inlineStr">
        <is>
          <t>Desligado</t>
        </is>
      </c>
      <c r="H7" s="15" t="inlineStr">
        <is>
          <t>Cancelada</t>
        </is>
      </c>
      <c r="I7" s="15" t="inlineStr">
        <is>
          <t>G</t>
        </is>
      </c>
    </row>
    <row r="8">
      <c r="H8" s="15" t="inlineStr">
        <is>
          <t>Suspensa</t>
        </is>
      </c>
    </row>
    <row r="9">
      <c r="A9" s="7" t="inlineStr">
        <is>
          <t>2. PLANTÃO (a escala do dia cobre um plantão)</t>
        </is>
      </c>
      <c r="B9" s="8" t="n"/>
      <c r="C9" s="8" t="n"/>
      <c r="D9" s="8" t="n"/>
    </row>
    <row r="10">
      <c r="A10" s="10" t="inlineStr">
        <is>
          <t>Início do plantão</t>
        </is>
      </c>
      <c r="B10" s="17" t="n">
        <v>0.2916666666666667</v>
      </c>
      <c r="D10" s="2" t="inlineStr">
        <is>
          <t>Turno_Ini</t>
        </is>
      </c>
    </row>
    <row r="11">
      <c r="A11" s="10" t="inlineStr">
        <is>
          <t>Fim do plantão</t>
        </is>
      </c>
      <c r="B11" s="17" t="n">
        <v>0.7916666666666666</v>
      </c>
      <c r="D11" s="2" t="inlineStr">
        <is>
          <t>Turno_Fim</t>
        </is>
      </c>
    </row>
    <row r="12">
      <c r="A12" s="10" t="inlineStr">
        <is>
          <t>Minutos do plantão</t>
        </is>
      </c>
      <c r="B12" s="18">
        <f>MOD(B11-B10,1)*1440</f>
        <v/>
      </c>
      <c r="D12" s="2" t="inlineStr">
        <is>
          <t>Turno_Min</t>
        </is>
      </c>
    </row>
    <row r="14">
      <c r="A14" s="7" t="inlineStr">
        <is>
          <t>3. ESCALA DE HABILIDADE (usada na Matriz_Habilidades)</t>
        </is>
      </c>
      <c r="B14" s="8" t="n"/>
      <c r="C14" s="8" t="n"/>
      <c r="D14" s="8" t="n"/>
    </row>
    <row r="15" ht="18" customHeight="1">
      <c r="A15" s="14" t="inlineStr">
        <is>
          <t>Nível</t>
        </is>
      </c>
      <c r="B15" s="14" t="inlineStr">
        <is>
          <t>Descrição</t>
        </is>
      </c>
      <c r="C15" s="14" t="inlineStr">
        <is>
          <t>Pontos</t>
        </is>
      </c>
      <c r="D15" s="14" t="inlineStr">
        <is>
          <t>Critério operacional</t>
        </is>
      </c>
    </row>
    <row r="16">
      <c r="A16" s="15" t="n">
        <v>0</v>
      </c>
      <c r="B16" s="19" t="inlineStr">
        <is>
          <t>Não apto</t>
        </is>
      </c>
      <c r="C16" s="15" t="n">
        <v>0</v>
      </c>
      <c r="D16" s="19" t="inlineStr">
        <is>
          <t>Não pode assumir o posto</t>
        </is>
      </c>
    </row>
    <row r="17">
      <c r="A17" s="15" t="n">
        <v>1</v>
      </c>
      <c r="B17" s="19" t="inlineStr">
        <is>
          <t>Em treinamento</t>
        </is>
      </c>
      <c r="C17" s="15" t="n">
        <v>1</v>
      </c>
      <c r="D17" s="19" t="inlineStr">
        <is>
          <t>Só atua acompanhado de técnico apto</t>
        </is>
      </c>
    </row>
    <row r="18">
      <c r="A18" s="15" t="n">
        <v>2</v>
      </c>
      <c r="B18" s="19" t="inlineStr">
        <is>
          <t>Apto</t>
        </is>
      </c>
      <c r="C18" s="15" t="n">
        <v>2</v>
      </c>
      <c r="D18" s="19" t="inlineStr">
        <is>
          <t>Atua com autonomia</t>
        </is>
      </c>
    </row>
    <row r="19">
      <c r="A19" s="15" t="n">
        <v>3</v>
      </c>
      <c r="B19" s="19" t="inlineStr">
        <is>
          <t>Referência</t>
        </is>
      </c>
      <c r="C19" s="15" t="n">
        <v>3</v>
      </c>
      <c r="D19" s="19" t="inlineStr">
        <is>
          <t>Atua em alta complexidade e treina a equipe</t>
        </is>
      </c>
    </row>
    <row r="21">
      <c r="A21" s="7" t="inlineStr">
        <is>
          <t>4. PARÂMETROS DE AFINIDADE</t>
        </is>
      </c>
      <c r="B21" s="8" t="n"/>
      <c r="C21" s="8" t="n"/>
      <c r="D21" s="8" t="n"/>
    </row>
    <row r="22">
      <c r="A22" s="10" t="inlineStr">
        <is>
          <t>Peso do INSTRUMENTADOR na afinidade da dupla</t>
        </is>
      </c>
      <c r="B22" s="20" t="n">
        <v>0.6</v>
      </c>
      <c r="D22" s="2" t="inlineStr">
        <is>
          <t>Peso_Instrumentador</t>
        </is>
      </c>
    </row>
    <row r="23">
      <c r="A23" s="10" t="inlineStr">
        <is>
          <t>Peso do CIRCULANTE na afinidade da dupla</t>
        </is>
      </c>
      <c r="B23" s="20" t="n">
        <v>0.4</v>
      </c>
      <c r="D23" s="2" t="inlineStr">
        <is>
          <t>Peso_Circulante</t>
        </is>
      </c>
    </row>
    <row r="24">
      <c r="A24" s="10" t="inlineStr">
        <is>
          <t>Soma dos pesos (precisa ser 1,00)</t>
        </is>
      </c>
      <c r="B24" s="21">
        <f>B22+B23</f>
        <v/>
      </c>
    </row>
    <row r="25">
      <c r="A25" s="10" t="inlineStr">
        <is>
          <t>Afinidade META — posto ADEQUADO quando ≥</t>
        </is>
      </c>
      <c r="B25" s="20" t="n">
        <v>2.5</v>
      </c>
      <c r="D25" s="2" t="inlineStr">
        <is>
          <t>Afinidade_Meta</t>
        </is>
      </c>
    </row>
    <row r="26">
      <c r="A26" s="10" t="inlineStr">
        <is>
          <t>Afinidade MÍNIMA aceitável — abaixo é CRÍTICO</t>
        </is>
      </c>
      <c r="B26" s="20" t="n">
        <v>2</v>
      </c>
      <c r="D26" s="2" t="inlineStr">
        <is>
          <t>Afinidade_Min</t>
        </is>
      </c>
    </row>
    <row r="27">
      <c r="A27" s="10" t="inlineStr">
        <is>
          <t>Nível considerado INAPTO (≤)</t>
        </is>
      </c>
      <c r="B27" s="22" t="n">
        <v>1</v>
      </c>
      <c r="D27" s="2" t="inlineStr">
        <is>
          <t>Nivel_Critico</t>
        </is>
      </c>
    </row>
    <row r="28">
      <c r="A28" s="10" t="inlineStr">
        <is>
          <t>Participação mínima da habilidade para alerta crítico</t>
        </is>
      </c>
      <c r="B28" s="23" t="n">
        <v>0.2</v>
      </c>
      <c r="D28" s="2" t="inlineStr">
        <is>
          <t>Part_Min_Critica</t>
        </is>
      </c>
    </row>
    <row r="30">
      <c r="A30" s="7" t="inlineStr">
        <is>
          <t>5. PARÂMETROS OPERACIONAIS</t>
        </is>
      </c>
      <c r="B30" s="8" t="n"/>
      <c r="C30" s="8" t="n"/>
      <c r="D30" s="8" t="n"/>
    </row>
    <row r="31">
      <c r="A31" s="10" t="inlineStr">
        <is>
          <t>Limpeza e preparação após cada cirurgia (min)</t>
        </is>
      </c>
      <c r="B31" s="22" t="n">
        <v>20</v>
      </c>
      <c r="D31" s="2" t="inlineStr">
        <is>
          <t>Limpeza_Min</t>
        </is>
      </c>
    </row>
    <row r="32">
      <c r="A32" s="10" t="inlineStr">
        <is>
          <t>Janela mínima para considerar encaixe (min)</t>
        </is>
      </c>
      <c r="B32" s="22" t="n">
        <v>30</v>
      </c>
      <c r="D32" s="2" t="inlineStr">
        <is>
          <t>Janela_Min</t>
        </is>
      </c>
    </row>
    <row r="33">
      <c r="A33" s="10" t="inlineStr">
        <is>
          <t>Meta de ocupação de sala</t>
        </is>
      </c>
      <c r="B33" s="23" t="n">
        <v>0.85</v>
      </c>
      <c r="D33" s="2" t="inlineStr">
        <is>
          <t>Meta_Ocupacao</t>
        </is>
      </c>
    </row>
    <row r="34">
      <c r="A34" s="10" t="inlineStr">
        <is>
          <t>Ocupação máxima admitida</t>
        </is>
      </c>
      <c r="B34" s="23" t="n">
        <v>1</v>
      </c>
      <c r="D34" s="2" t="inlineStr">
        <is>
          <t>Ocupacao_Max</t>
        </is>
      </c>
    </row>
    <row r="36">
      <c r="A36" s="7" t="inlineStr">
        <is>
          <t>6. TIPOS DE AUSÊNCIA</t>
        </is>
      </c>
      <c r="B36" s="8" t="n"/>
      <c r="C36" s="8" t="n"/>
      <c r="D36" s="8" t="n"/>
    </row>
    <row r="37" ht="18" customHeight="1">
      <c r="A37" s="14" t="inlineStr">
        <is>
          <t>Tipo</t>
        </is>
      </c>
      <c r="B37" s="14" t="inlineStr">
        <is>
          <t>Sigla</t>
        </is>
      </c>
      <c r="C37" s="14" t="inlineStr">
        <is>
          <t>Cor no calendário</t>
        </is>
      </c>
      <c r="D37" s="14" t="inlineStr"/>
    </row>
    <row r="38">
      <c r="A38" s="19" t="inlineStr">
        <is>
          <t>Férias</t>
        </is>
      </c>
      <c r="B38" s="15" t="inlineStr">
        <is>
          <t>F</t>
        </is>
      </c>
      <c r="C38" s="24" t="n"/>
    </row>
    <row r="39">
      <c r="A39" s="19" t="inlineStr">
        <is>
          <t>Folga</t>
        </is>
      </c>
      <c r="B39" s="15" t="inlineStr">
        <is>
          <t>D</t>
        </is>
      </c>
      <c r="C39" s="25" t="n"/>
    </row>
    <row r="40">
      <c r="A40" s="19" t="inlineStr">
        <is>
          <t>Atestado</t>
        </is>
      </c>
      <c r="B40" s="15" t="inlineStr">
        <is>
          <t>A</t>
        </is>
      </c>
      <c r="C40" s="26" t="n"/>
    </row>
    <row r="41">
      <c r="A41" s="19" t="inlineStr">
        <is>
          <t>Licença</t>
        </is>
      </c>
      <c r="B41" s="15" t="inlineStr">
        <is>
          <t>L</t>
        </is>
      </c>
      <c r="C41" s="27" t="n"/>
    </row>
    <row r="42">
      <c r="A42" s="19" t="inlineStr">
        <is>
          <t>Treinamento</t>
        </is>
      </c>
      <c r="B42" s="15" t="inlineStr">
        <is>
          <t>T</t>
        </is>
      </c>
      <c r="C42" s="28" t="n"/>
    </row>
  </sheetData>
  <mergeCells count="3">
    <mergeCell ref="B7:D7"/>
    <mergeCell ref="B5:D5"/>
    <mergeCell ref="B4:D4"/>
  </mergeCells>
  <conditionalFormatting sqref="B24">
    <cfRule type="expression" priority="1" dxfId="0">
      <formula>ROUND($B$24,6)&lt;&gt;1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46" customWidth="1" min="4" max="4"/>
  </cols>
  <sheetData>
    <row r="1" ht="30" customHeight="1">
      <c r="A1" s="14" t="inlineStr">
        <is>
          <t>Código</t>
        </is>
      </c>
      <c r="B1" s="14" t="inlineStr">
        <is>
          <t>Habilidade</t>
        </is>
      </c>
      <c r="C1" s="14" t="inlineStr">
        <is>
          <t>Tipo</t>
        </is>
      </c>
      <c r="D1" s="14" t="inlineStr">
        <is>
          <t>Observação</t>
        </is>
      </c>
    </row>
    <row r="2">
      <c r="A2" s="29" t="inlineStr">
        <is>
          <t>H01</t>
        </is>
      </c>
      <c r="B2" s="30" t="inlineStr">
        <is>
          <t>Ortopedia e Traumatologia</t>
        </is>
      </c>
      <c r="C2" s="29" t="inlineStr">
        <is>
          <t>Cirúrgica</t>
        </is>
      </c>
      <c r="D2" s="30" t="n"/>
    </row>
    <row r="3">
      <c r="A3" s="29" t="inlineStr">
        <is>
          <t>H02</t>
        </is>
      </c>
      <c r="B3" s="30" t="inlineStr">
        <is>
          <t>Cirurgia Geral e Videolaparoscopia</t>
        </is>
      </c>
      <c r="C3" s="29" t="inlineStr">
        <is>
          <t>Cirúrgica</t>
        </is>
      </c>
      <c r="D3" s="30" t="n"/>
    </row>
    <row r="4">
      <c r="A4" s="29" t="inlineStr">
        <is>
          <t>H03</t>
        </is>
      </c>
      <c r="B4" s="30" t="inlineStr">
        <is>
          <t>Neurocirurgia</t>
        </is>
      </c>
      <c r="C4" s="29" t="inlineStr">
        <is>
          <t>Cirúrgica</t>
        </is>
      </c>
      <c r="D4" s="30" t="n"/>
    </row>
    <row r="5">
      <c r="A5" s="29" t="inlineStr">
        <is>
          <t>H04</t>
        </is>
      </c>
      <c r="B5" s="30" t="inlineStr">
        <is>
          <t>Obstetrícia (cesariana)</t>
        </is>
      </c>
      <c r="C5" s="29" t="inlineStr">
        <is>
          <t>Cirúrgica</t>
        </is>
      </c>
      <c r="D5" s="30" t="n"/>
    </row>
    <row r="6">
      <c r="A6" s="29" t="inlineStr">
        <is>
          <t>H05</t>
        </is>
      </c>
      <c r="B6" s="30" t="inlineStr">
        <is>
          <t>Ginecologia e Urologia</t>
        </is>
      </c>
      <c r="C6" s="29" t="inlineStr">
        <is>
          <t>Cirúrgica</t>
        </is>
      </c>
      <c r="D6" s="30" t="n"/>
    </row>
    <row r="7">
      <c r="A7" s="29" t="inlineStr">
        <is>
          <t>H06</t>
        </is>
      </c>
      <c r="B7" s="30" t="inlineStr">
        <is>
          <t>Oftalmologia</t>
        </is>
      </c>
      <c r="C7" s="29" t="inlineStr">
        <is>
          <t>Cirúrgica</t>
        </is>
      </c>
      <c r="D7" s="30" t="n"/>
    </row>
    <row r="8">
      <c r="A8" s="29" t="inlineStr">
        <is>
          <t>H07</t>
        </is>
      </c>
      <c r="B8" s="30" t="inlineStr">
        <is>
          <t>Otorrinolaringologia e Buco-maxilo</t>
        </is>
      </c>
      <c r="C8" s="29" t="inlineStr">
        <is>
          <t>Cirúrgica</t>
        </is>
      </c>
      <c r="D8" s="30" t="n"/>
    </row>
    <row r="9">
      <c r="A9" s="29" t="inlineStr">
        <is>
          <t>H08</t>
        </is>
      </c>
      <c r="B9" s="30" t="inlineStr">
        <is>
          <t>Cirurgia Plástica e Vascular</t>
        </is>
      </c>
      <c r="C9" s="29" t="inlineStr">
        <is>
          <t>Cirúrgica</t>
        </is>
      </c>
      <c r="D9" s="30" t="n"/>
    </row>
    <row r="10">
      <c r="A10" s="29" t="inlineStr">
        <is>
          <t>H09</t>
        </is>
      </c>
      <c r="B10" s="30" t="inlineStr">
        <is>
          <t>Admissão</t>
        </is>
      </c>
      <c r="C10" s="29" t="inlineStr">
        <is>
          <t>Apoio</t>
        </is>
      </c>
      <c r="D10" s="30" t="n"/>
    </row>
    <row r="11">
      <c r="A11" s="29" t="inlineStr">
        <is>
          <t>H10</t>
        </is>
      </c>
      <c r="B11" s="30" t="inlineStr">
        <is>
          <t>Sala de recém-nascido</t>
        </is>
      </c>
      <c r="C11" s="29" t="inlineStr">
        <is>
          <t>Apoio</t>
        </is>
      </c>
      <c r="D11" s="30" t="n"/>
    </row>
    <row r="12">
      <c r="A12" s="29" t="n"/>
      <c r="B12" s="30" t="n"/>
      <c r="C12" s="29" t="n"/>
      <c r="D12" s="30" t="n"/>
    </row>
    <row r="13">
      <c r="A13" s="29" t="n"/>
      <c r="B13" s="30" t="n"/>
      <c r="C13" s="29" t="n"/>
      <c r="D13" s="30" t="n"/>
    </row>
    <row r="14">
      <c r="A14" s="29" t="n"/>
      <c r="B14" s="30" t="n"/>
      <c r="C14" s="29" t="n"/>
      <c r="D14" s="30" t="n"/>
    </row>
    <row r="15">
      <c r="A15" s="29" t="n"/>
      <c r="B15" s="30" t="n"/>
      <c r="C15" s="29" t="n"/>
      <c r="D15" s="30" t="n"/>
    </row>
    <row r="17">
      <c r="A17" s="2" t="inlineStr">
        <is>
          <t>A ORDEM desta lista define a ordem das colunas da Matriz_Habilidades e do Calc_Mix (ambas puxam o cabeçalho daqui). Há 14 posições; 10 em uso.</t>
        </is>
      </c>
    </row>
  </sheetData>
  <autoFilter ref="A1:D15"/>
  <dataValidations count="1">
    <dataValidation sqref="C2:C15" showDropDown="0" showInputMessage="0" showErrorMessage="1" allowBlank="1" type="list">
      <formula1>"Cirúrgica,Apoio"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8" customWidth="1" min="2" max="2"/>
    <col width="18" customWidth="1" min="3" max="3"/>
    <col width="9" customWidth="1" min="4" max="4"/>
    <col width="34" customWidth="1" min="5" max="5"/>
  </cols>
  <sheetData>
    <row r="1" ht="30" customHeight="1">
      <c r="A1" s="14" t="inlineStr">
        <is>
          <t>Especialidade (como vem na agenda)</t>
        </is>
      </c>
      <c r="B1" s="14" t="inlineStr">
        <is>
          <t>Habilidade correspondente</t>
        </is>
      </c>
      <c r="C1" s="14" t="inlineStr">
        <is>
          <t>Duração média (min)</t>
        </is>
      </c>
      <c r="D1" s="14" t="inlineStr">
        <is>
          <t>Ativa</t>
        </is>
      </c>
      <c r="E1" s="14" t="inlineStr">
        <is>
          <t>Observação</t>
        </is>
      </c>
    </row>
    <row r="2">
      <c r="A2" s="30" t="inlineStr">
        <is>
          <t>Ortopedia</t>
        </is>
      </c>
      <c r="B2" s="30" t="inlineStr">
        <is>
          <t>Ortopedia e Traumatologia</t>
        </is>
      </c>
      <c r="C2" s="29" t="n">
        <v>120</v>
      </c>
      <c r="D2" s="29" t="inlineStr">
        <is>
          <t>Sim</t>
        </is>
      </c>
      <c r="E2" s="30" t="n"/>
    </row>
    <row r="3">
      <c r="A3" s="30" t="inlineStr">
        <is>
          <t>Traumatologia</t>
        </is>
      </c>
      <c r="B3" s="30" t="inlineStr">
        <is>
          <t>Ortopedia e Traumatologia</t>
        </is>
      </c>
      <c r="C3" s="29" t="n">
        <v>90</v>
      </c>
      <c r="D3" s="29" t="inlineStr">
        <is>
          <t>Sim</t>
        </is>
      </c>
      <c r="E3" s="30" t="n"/>
    </row>
    <row r="4">
      <c r="A4" s="30" t="inlineStr">
        <is>
          <t>Cirurgia Geral</t>
        </is>
      </c>
      <c r="B4" s="30" t="inlineStr">
        <is>
          <t>Cirurgia Geral e Videolaparoscopia</t>
        </is>
      </c>
      <c r="C4" s="29" t="n">
        <v>90</v>
      </c>
      <c r="D4" s="29" t="inlineStr">
        <is>
          <t>Sim</t>
        </is>
      </c>
      <c r="E4" s="30" t="n"/>
    </row>
    <row r="5">
      <c r="A5" s="30" t="inlineStr">
        <is>
          <t>Cirurgia Bariátrica</t>
        </is>
      </c>
      <c r="B5" s="30" t="inlineStr">
        <is>
          <t>Cirurgia Geral e Videolaparoscopia</t>
        </is>
      </c>
      <c r="C5" s="29" t="n">
        <v>150</v>
      </c>
      <c r="D5" s="29" t="inlineStr">
        <is>
          <t>Sim</t>
        </is>
      </c>
      <c r="E5" s="30" t="n"/>
    </row>
    <row r="6">
      <c r="A6" s="30" t="inlineStr">
        <is>
          <t>Cirurgia Pediátrica</t>
        </is>
      </c>
      <c r="B6" s="30" t="inlineStr">
        <is>
          <t>Cirurgia Geral e Videolaparoscopia</t>
        </is>
      </c>
      <c r="C6" s="29" t="n">
        <v>75</v>
      </c>
      <c r="D6" s="29" t="inlineStr">
        <is>
          <t>Sim</t>
        </is>
      </c>
      <c r="E6" s="30" t="n"/>
    </row>
    <row r="7">
      <c r="A7" s="30" t="inlineStr">
        <is>
          <t>Neurocirurgia</t>
        </is>
      </c>
      <c r="B7" s="30" t="inlineStr">
        <is>
          <t>Neurocirurgia</t>
        </is>
      </c>
      <c r="C7" s="29" t="n">
        <v>210</v>
      </c>
      <c r="D7" s="29" t="inlineStr">
        <is>
          <t>Sim</t>
        </is>
      </c>
      <c r="E7" s="30" t="n"/>
    </row>
    <row r="8">
      <c r="A8" s="30" t="inlineStr">
        <is>
          <t>Cesariana</t>
        </is>
      </c>
      <c r="B8" s="30" t="inlineStr">
        <is>
          <t>Obstetrícia (cesariana)</t>
        </is>
      </c>
      <c r="C8" s="29" t="n">
        <v>60</v>
      </c>
      <c r="D8" s="29" t="inlineStr">
        <is>
          <t>Sim</t>
        </is>
      </c>
      <c r="E8" s="30" t="n"/>
    </row>
    <row r="9">
      <c r="A9" s="30" t="inlineStr">
        <is>
          <t>Ginecologia</t>
        </is>
      </c>
      <c r="B9" s="30" t="inlineStr">
        <is>
          <t>Ginecologia e Urologia</t>
        </is>
      </c>
      <c r="C9" s="29" t="n">
        <v>90</v>
      </c>
      <c r="D9" s="29" t="inlineStr">
        <is>
          <t>Sim</t>
        </is>
      </c>
      <c r="E9" s="30" t="n"/>
    </row>
    <row r="10">
      <c r="A10" s="30" t="inlineStr">
        <is>
          <t>Urologia</t>
        </is>
      </c>
      <c r="B10" s="30" t="inlineStr">
        <is>
          <t>Ginecologia e Urologia</t>
        </is>
      </c>
      <c r="C10" s="29" t="n">
        <v>90</v>
      </c>
      <c r="D10" s="29" t="inlineStr">
        <is>
          <t>Sim</t>
        </is>
      </c>
      <c r="E10" s="30" t="n"/>
    </row>
    <row r="11">
      <c r="A11" s="30" t="inlineStr">
        <is>
          <t>Oftalmologia</t>
        </is>
      </c>
      <c r="B11" s="30" t="inlineStr">
        <is>
          <t>Oftalmologia</t>
        </is>
      </c>
      <c r="C11" s="29" t="n">
        <v>45</v>
      </c>
      <c r="D11" s="29" t="inlineStr">
        <is>
          <t>Sim</t>
        </is>
      </c>
      <c r="E11" s="30" t="n"/>
    </row>
    <row r="12">
      <c r="A12" s="30" t="inlineStr">
        <is>
          <t>Otorrinolaringologia</t>
        </is>
      </c>
      <c r="B12" s="30" t="inlineStr">
        <is>
          <t>Otorrinolaringologia e Buco-maxilo</t>
        </is>
      </c>
      <c r="C12" s="29" t="n">
        <v>75</v>
      </c>
      <c r="D12" s="29" t="inlineStr">
        <is>
          <t>Sim</t>
        </is>
      </c>
      <c r="E12" s="30" t="n"/>
    </row>
    <row r="13">
      <c r="A13" s="30" t="inlineStr">
        <is>
          <t>Buco-Maxilo-Facial</t>
        </is>
      </c>
      <c r="B13" s="30" t="inlineStr">
        <is>
          <t>Otorrinolaringologia e Buco-maxilo</t>
        </is>
      </c>
      <c r="C13" s="29" t="n">
        <v>120</v>
      </c>
      <c r="D13" s="29" t="inlineStr">
        <is>
          <t>Sim</t>
        </is>
      </c>
      <c r="E13" s="30" t="n"/>
    </row>
    <row r="14">
      <c r="A14" s="30" t="inlineStr">
        <is>
          <t>Cirurgia Plástica</t>
        </is>
      </c>
      <c r="B14" s="30" t="inlineStr">
        <is>
          <t>Cirurgia Plástica e Vascular</t>
        </is>
      </c>
      <c r="C14" s="29" t="n">
        <v>120</v>
      </c>
      <c r="D14" s="29" t="inlineStr">
        <is>
          <t>Sim</t>
        </is>
      </c>
      <c r="E14" s="30" t="n"/>
    </row>
    <row r="15">
      <c r="A15" s="30" t="inlineStr">
        <is>
          <t>Cirurgia Vascular</t>
        </is>
      </c>
      <c r="B15" s="30" t="inlineStr">
        <is>
          <t>Cirurgia Plástica e Vascular</t>
        </is>
      </c>
      <c r="C15" s="29" t="n">
        <v>150</v>
      </c>
      <c r="D15" s="29" t="inlineStr">
        <is>
          <t>Sim</t>
        </is>
      </c>
      <c r="E15" s="30" t="n"/>
    </row>
    <row r="16">
      <c r="A16" s="30" t="n"/>
      <c r="B16" s="30" t="n"/>
      <c r="C16" s="29" t="n"/>
      <c r="D16" s="29" t="n"/>
      <c r="E16" s="30" t="n"/>
    </row>
    <row r="17">
      <c r="A17" s="30" t="n"/>
      <c r="B17" s="30" t="n"/>
      <c r="C17" s="29" t="n"/>
      <c r="D17" s="29" t="n"/>
      <c r="E17" s="30" t="n"/>
    </row>
    <row r="18">
      <c r="A18" s="30" t="n"/>
      <c r="B18" s="30" t="n"/>
      <c r="C18" s="29" t="n"/>
      <c r="D18" s="29" t="n"/>
      <c r="E18" s="30" t="n"/>
    </row>
    <row r="19">
      <c r="A19" s="30" t="n"/>
      <c r="B19" s="30" t="n"/>
      <c r="C19" s="29" t="n"/>
      <c r="D19" s="29" t="n"/>
      <c r="E19" s="30" t="n"/>
    </row>
    <row r="20">
      <c r="A20" s="30" t="n"/>
      <c r="B20" s="30" t="n"/>
      <c r="C20" s="29" t="n"/>
      <c r="D20" s="29" t="n"/>
      <c r="E20" s="30" t="n"/>
    </row>
    <row r="21">
      <c r="A21" s="30" t="n"/>
      <c r="B21" s="30" t="n"/>
      <c r="C21" s="29" t="n"/>
      <c r="D21" s="29" t="n"/>
      <c r="E21" s="30" t="n"/>
    </row>
    <row r="22">
      <c r="A22" s="30" t="n"/>
      <c r="B22" s="30" t="n"/>
      <c r="C22" s="29" t="n"/>
      <c r="D22" s="29" t="n"/>
      <c r="E22" s="30" t="n"/>
    </row>
    <row r="23">
      <c r="A23" s="30" t="n"/>
      <c r="B23" s="30" t="n"/>
      <c r="C23" s="29" t="n"/>
      <c r="D23" s="29" t="n"/>
      <c r="E23" s="30" t="n"/>
    </row>
    <row r="24">
      <c r="A24" s="30" t="n"/>
      <c r="B24" s="30" t="n"/>
      <c r="C24" s="29" t="n"/>
      <c r="D24" s="29" t="n"/>
      <c r="E24" s="30" t="n"/>
    </row>
    <row r="25">
      <c r="A25" s="30" t="n"/>
      <c r="B25" s="30" t="n"/>
      <c r="C25" s="29" t="n"/>
      <c r="D25" s="29" t="n"/>
      <c r="E25" s="30" t="n"/>
    </row>
    <row r="27">
      <c r="A27" s="2" t="inlineStr">
        <is>
          <t>Não se realizam cirurgias cardíacas nesta unidade. Cada especialidade da agenda aponta para uma das habilidades da equipe — é isso que liga o mapa cirúrgico à matriz de habilidades.</t>
        </is>
      </c>
    </row>
  </sheetData>
  <autoFilter ref="A1:E25"/>
  <dataValidations count="2">
    <dataValidation sqref="B2:B25" showDropDown="0" showInputMessage="0" showErrorMessage="1" allowBlank="1" type="list">
      <formula1>=Lista_Habilidades</formula1>
    </dataValidation>
    <dataValidation sqref="D2:D25" showDropDown="0" showInputMessage="0" showErrorMessage="1" allowBlank="1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8" customWidth="1" min="2" max="2"/>
    <col width="15" customWidth="1" min="3" max="3"/>
    <col width="13" customWidth="1" min="4" max="4"/>
    <col width="12" customWidth="1" min="5" max="5"/>
    <col width="13" customWidth="1" min="6" max="6"/>
    <col width="34" customWidth="1" min="7" max="7"/>
    <col width="12" customWidth="1" min="8" max="8"/>
    <col width="46" customWidth="1" min="9" max="9"/>
  </cols>
  <sheetData>
    <row r="1" ht="44" customHeight="1">
      <c r="A1" s="14" t="inlineStr">
        <is>
          <t>Código</t>
        </is>
      </c>
      <c r="B1" s="14" t="inlineStr">
        <is>
          <t>Posto</t>
        </is>
      </c>
      <c r="C1" s="14" t="inlineStr">
        <is>
          <t>Tipo</t>
        </is>
      </c>
      <c r="D1" s="14" t="inlineStr">
        <is>
          <t>Técnicos necessários</t>
        </is>
      </c>
      <c r="E1" s="14" t="inlineStr">
        <is>
          <t>Mínimo aceitável</t>
        </is>
      </c>
      <c r="F1" s="14" t="inlineStr">
        <is>
          <t>Prioridade de cobertura</t>
        </is>
      </c>
      <c r="G1" s="14" t="inlineStr">
        <is>
          <t>Habilidade de referência</t>
        </is>
      </c>
      <c r="H1" s="14" t="inlineStr">
        <is>
          <t>Status</t>
        </is>
      </c>
      <c r="I1" s="14" t="inlineStr">
        <is>
          <t>Observação</t>
        </is>
      </c>
    </row>
    <row r="2">
      <c r="A2" s="29" t="inlineStr">
        <is>
          <t>SO-01</t>
        </is>
      </c>
      <c r="B2" s="30" t="inlineStr">
        <is>
          <t>Sala 1</t>
        </is>
      </c>
      <c r="C2" s="29" t="inlineStr">
        <is>
          <t>Sala cirúrgica</t>
        </is>
      </c>
      <c r="D2" s="29" t="n">
        <v>2</v>
      </c>
      <c r="E2" s="29" t="n">
        <v>2</v>
      </c>
      <c r="F2" s="29" t="n">
        <v>5</v>
      </c>
      <c r="G2" s="30" t="inlineStr">
        <is>
          <t>Ortopedia e Traumatologia</t>
        </is>
      </c>
      <c r="H2" s="29" t="inlineStr">
        <is>
          <t>Ativo</t>
        </is>
      </c>
      <c r="I2" s="30" t="inlineStr">
        <is>
          <t>Eletivas de ortopedia</t>
        </is>
      </c>
    </row>
    <row r="3">
      <c r="A3" s="29" t="inlineStr">
        <is>
          <t>SO-02</t>
        </is>
      </c>
      <c r="B3" s="30" t="inlineStr">
        <is>
          <t>Sala 2</t>
        </is>
      </c>
      <c r="C3" s="29" t="inlineStr">
        <is>
          <t>Sala cirúrgica</t>
        </is>
      </c>
      <c r="D3" s="29" t="n">
        <v>2</v>
      </c>
      <c r="E3" s="29" t="n">
        <v>2</v>
      </c>
      <c r="F3" s="29" t="n">
        <v>6</v>
      </c>
      <c r="G3" s="30" t="inlineStr">
        <is>
          <t>Cirurgia Geral e Videolaparoscopia</t>
        </is>
      </c>
      <c r="H3" s="29" t="inlineStr">
        <is>
          <t>Ativo</t>
        </is>
      </c>
      <c r="I3" s="30" t="inlineStr">
        <is>
          <t>Eletivas de cirurgia geral</t>
        </is>
      </c>
    </row>
    <row r="4">
      <c r="A4" s="29" t="inlineStr">
        <is>
          <t>SO-03</t>
        </is>
      </c>
      <c r="B4" s="30" t="inlineStr">
        <is>
          <t>Sala 3</t>
        </is>
      </c>
      <c r="C4" s="29" t="inlineStr">
        <is>
          <t>Sala cirúrgica</t>
        </is>
      </c>
      <c r="D4" s="29" t="n">
        <v>2</v>
      </c>
      <c r="E4" s="29" t="n">
        <v>2</v>
      </c>
      <c r="F4" s="29" t="n">
        <v>9</v>
      </c>
      <c r="G4" s="30" t="inlineStr">
        <is>
          <t>Neurocirurgia</t>
        </is>
      </c>
      <c r="H4" s="29" t="inlineStr">
        <is>
          <t>Ativo</t>
        </is>
      </c>
      <c r="I4" s="30" t="inlineStr">
        <is>
          <t>Eletivas de neurocirurgia</t>
        </is>
      </c>
    </row>
    <row r="5">
      <c r="A5" s="29" t="inlineStr">
        <is>
          <t>SO-04</t>
        </is>
      </c>
      <c r="B5" s="30" t="inlineStr">
        <is>
          <t>Sala 4</t>
        </is>
      </c>
      <c r="C5" s="29" t="inlineStr">
        <is>
          <t>Sala cirúrgica</t>
        </is>
      </c>
      <c r="D5" s="29" t="n">
        <v>2</v>
      </c>
      <c r="E5" s="29" t="n">
        <v>2</v>
      </c>
      <c r="F5" s="29" t="n">
        <v>10</v>
      </c>
      <c r="G5" s="30" t="inlineStr">
        <is>
          <t>Cirurgia Plástica e Vascular</t>
        </is>
      </c>
      <c r="H5" s="29" t="inlineStr">
        <is>
          <t>Ativo</t>
        </is>
      </c>
      <c r="I5" s="30" t="inlineStr">
        <is>
          <t>Plástica e vascular</t>
        </is>
      </c>
    </row>
    <row r="6">
      <c r="A6" s="29" t="inlineStr">
        <is>
          <t>SO-05</t>
        </is>
      </c>
      <c r="B6" s="30" t="inlineStr">
        <is>
          <t>Sala 5</t>
        </is>
      </c>
      <c r="C6" s="29" t="inlineStr">
        <is>
          <t>Sala cirúrgica</t>
        </is>
      </c>
      <c r="D6" s="29" t="n">
        <v>2</v>
      </c>
      <c r="E6" s="29" t="n">
        <v>2</v>
      </c>
      <c r="F6" s="29" t="n">
        <v>7</v>
      </c>
      <c r="G6" s="30" t="inlineStr">
        <is>
          <t>Ginecologia e Urologia</t>
        </is>
      </c>
      <c r="H6" s="29" t="inlineStr">
        <is>
          <t>Ativo</t>
        </is>
      </c>
      <c r="I6" s="30" t="inlineStr">
        <is>
          <t>Gineco e urologia</t>
        </is>
      </c>
    </row>
    <row r="7">
      <c r="A7" s="29" t="inlineStr">
        <is>
          <t>SO-06</t>
        </is>
      </c>
      <c r="B7" s="30" t="inlineStr">
        <is>
          <t>Sala 6</t>
        </is>
      </c>
      <c r="C7" s="29" t="inlineStr">
        <is>
          <t>Sala cirúrgica</t>
        </is>
      </c>
      <c r="D7" s="29" t="n">
        <v>2</v>
      </c>
      <c r="E7" s="29" t="n">
        <v>2</v>
      </c>
      <c r="F7" s="29" t="n">
        <v>2</v>
      </c>
      <c r="G7" s="30" t="inlineStr">
        <is>
          <t>Obstetrícia (cesariana)</t>
        </is>
      </c>
      <c r="H7" s="29" t="inlineStr">
        <is>
          <t>Ativo</t>
        </is>
      </c>
      <c r="I7" s="30" t="inlineStr">
        <is>
          <t>EXCLUSIVA do centro obstétrico — cesarianas</t>
        </is>
      </c>
    </row>
    <row r="8">
      <c r="A8" s="29" t="inlineStr">
        <is>
          <t>SO-07</t>
        </is>
      </c>
      <c r="B8" s="30" t="inlineStr">
        <is>
          <t>Sala 7</t>
        </is>
      </c>
      <c r="C8" s="29" t="inlineStr">
        <is>
          <t>Sala cirúrgica</t>
        </is>
      </c>
      <c r="D8" s="29" t="n">
        <v>2</v>
      </c>
      <c r="E8" s="29" t="n">
        <v>2</v>
      </c>
      <c r="F8" s="29" t="n">
        <v>1</v>
      </c>
      <c r="G8" s="30" t="inlineStr">
        <is>
          <t>Cirurgia Geral e Videolaparoscopia</t>
        </is>
      </c>
      <c r="H8" s="29" t="inlineStr">
        <is>
          <t>Ativo</t>
        </is>
      </c>
      <c r="I8" s="30" t="inlineStr">
        <is>
          <t>RESERVADA a urgências — não pode ficar descoberta</t>
        </is>
      </c>
    </row>
    <row r="9">
      <c r="A9" s="29" t="inlineStr">
        <is>
          <t>SO-08</t>
        </is>
      </c>
      <c r="B9" s="30" t="inlineStr">
        <is>
          <t>Sala 8</t>
        </is>
      </c>
      <c r="C9" s="29" t="inlineStr">
        <is>
          <t>Sala cirúrgica</t>
        </is>
      </c>
      <c r="D9" s="29" t="n">
        <v>2</v>
      </c>
      <c r="E9" s="29" t="n">
        <v>2</v>
      </c>
      <c r="F9" s="29" t="n">
        <v>8</v>
      </c>
      <c r="G9" s="30" t="inlineStr">
        <is>
          <t>Oftalmologia</t>
        </is>
      </c>
      <c r="H9" s="29" t="inlineStr">
        <is>
          <t>Ativo</t>
        </is>
      </c>
      <c r="I9" s="30" t="inlineStr">
        <is>
          <t>Oftalmologia — apoiada pelo box de preparo</t>
        </is>
      </c>
    </row>
    <row r="10">
      <c r="A10" s="29" t="inlineStr">
        <is>
          <t>ADM</t>
        </is>
      </c>
      <c r="B10" s="30" t="inlineStr">
        <is>
          <t>Admissão</t>
        </is>
      </c>
      <c r="C10" s="29" t="inlineStr">
        <is>
          <t>Apoio</t>
        </is>
      </c>
      <c r="D10" s="29" t="n">
        <v>2</v>
      </c>
      <c r="E10" s="29" t="n">
        <v>1</v>
      </c>
      <c r="F10" s="29" t="n">
        <v>4</v>
      </c>
      <c r="G10" s="30" t="inlineStr">
        <is>
          <t>Admissão</t>
        </is>
      </c>
      <c r="H10" s="29" t="inlineStr">
        <is>
          <t>Ativo</t>
        </is>
      </c>
      <c r="I10" s="30" t="inlineStr">
        <is>
          <t>Recepção e preparo do paciente — opera com 1 no limite</t>
        </is>
      </c>
    </row>
    <row r="11">
      <c r="A11" s="29" t="inlineStr">
        <is>
          <t>BOX</t>
        </is>
      </c>
      <c r="B11" s="30" t="inlineStr">
        <is>
          <t>Box de preparo oftalmológico</t>
        </is>
      </c>
      <c r="C11" s="29" t="inlineStr">
        <is>
          <t>Apoio</t>
        </is>
      </c>
      <c r="D11" s="29" t="n">
        <v>1</v>
      </c>
      <c r="E11" s="29" t="n">
        <v>1</v>
      </c>
      <c r="F11" s="29" t="n">
        <v>11</v>
      </c>
      <c r="G11" s="30" t="inlineStr">
        <is>
          <t>Oftalmologia</t>
        </is>
      </c>
      <c r="H11" s="29" t="inlineStr">
        <is>
          <t>Ativo</t>
        </is>
      </c>
      <c r="I11" s="30" t="inlineStr">
        <is>
          <t>Apoio da Sala 8</t>
        </is>
      </c>
    </row>
    <row r="12">
      <c r="A12" s="29" t="inlineStr">
        <is>
          <t>RN</t>
        </is>
      </c>
      <c r="B12" s="30" t="inlineStr">
        <is>
          <t>Sala de recém-nascido</t>
        </is>
      </c>
      <c r="C12" s="29" t="inlineStr">
        <is>
          <t>Apoio</t>
        </is>
      </c>
      <c r="D12" s="29" t="n">
        <v>1</v>
      </c>
      <c r="E12" s="29" t="n">
        <v>1</v>
      </c>
      <c r="F12" s="29" t="n">
        <v>3</v>
      </c>
      <c r="G12" s="30" t="inlineStr">
        <is>
          <t>Sala de recém-nascido</t>
        </is>
      </c>
      <c r="H12" s="29" t="inlineStr">
        <is>
          <t>Ativo</t>
        </is>
      </c>
      <c r="I12" s="30" t="inlineStr">
        <is>
          <t>Bloco obstétrico</t>
        </is>
      </c>
    </row>
    <row r="13">
      <c r="A13" s="29" t="n"/>
      <c r="B13" s="30" t="n"/>
      <c r="C13" s="29" t="n"/>
      <c r="D13" s="29" t="n"/>
      <c r="E13" s="29" t="n"/>
      <c r="F13" s="29" t="n"/>
      <c r="G13" s="30" t="n"/>
      <c r="H13" s="29" t="n"/>
      <c r="I13" s="30" t="n"/>
    </row>
    <row r="14">
      <c r="A14" s="29" t="n"/>
      <c r="B14" s="30" t="n"/>
      <c r="C14" s="29" t="n"/>
      <c r="D14" s="29" t="n"/>
      <c r="E14" s="29" t="n"/>
      <c r="F14" s="29" t="n"/>
      <c r="G14" s="30" t="n"/>
      <c r="H14" s="29" t="n"/>
      <c r="I14" s="30" t="n"/>
    </row>
    <row r="15">
      <c r="A15" s="29" t="n"/>
      <c r="B15" s="30" t="n"/>
      <c r="C15" s="29" t="n"/>
      <c r="D15" s="29" t="n"/>
      <c r="E15" s="29" t="n"/>
      <c r="F15" s="29" t="n"/>
      <c r="G15" s="30" t="n"/>
      <c r="H15" s="29" t="n"/>
      <c r="I15" s="30" t="n"/>
    </row>
    <row r="16">
      <c r="A16" s="29" t="n"/>
      <c r="B16" s="30" t="n"/>
      <c r="C16" s="29" t="n"/>
      <c r="D16" s="29" t="n"/>
      <c r="E16" s="29" t="n"/>
      <c r="F16" s="29" t="n"/>
      <c r="G16" s="30" t="n"/>
      <c r="H16" s="29" t="n"/>
      <c r="I16" s="30" t="n"/>
    </row>
    <row r="17">
      <c r="A17" s="29" t="n"/>
      <c r="B17" s="30" t="n"/>
      <c r="C17" s="29" t="n"/>
      <c r="D17" s="29" t="n"/>
      <c r="E17" s="29" t="n"/>
      <c r="F17" s="29" t="n"/>
      <c r="G17" s="30" t="n"/>
      <c r="H17" s="29" t="n"/>
      <c r="I17" s="30" t="n"/>
    </row>
    <row r="19">
      <c r="A19" s="2" t="inlineStr">
        <is>
          <t>Prioridade 1 é coberta primeiro quando falta pessoal. 'Mínimo aceitável' é o número de técnicos com que o posto ainda pode abrir; abaixo disso o posto fica descoberto.</t>
        </is>
      </c>
    </row>
  </sheetData>
  <autoFilter ref="A1:I17"/>
  <dataValidations count="4">
    <dataValidation sqref="C2:C17" showDropDown="0" showInputMessage="0" showErrorMessage="1" allowBlank="1" type="list">
      <formula1>=Lista_TipoPosto</formula1>
    </dataValidation>
    <dataValidation sqref="D2:E17" showDropDown="0" showInputMessage="0" showErrorMessage="1" allowBlank="1" type="whole" operator="between">
      <formula1>1</formula1>
      <formula2>4</formula2>
    </dataValidation>
    <dataValidation sqref="G2:G17" showDropDown="0" showInputMessage="0" showErrorMessage="1" allowBlank="1" type="list">
      <formula1>=Lista_Habilidades</formula1>
    </dataValidation>
    <dataValidation sqref="H2:H17" showDropDown="0" showInputMessage="0" showErrorMessage="1" allowBlank="1" type="list">
      <formula1>"Ativo,Inativo"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15" customWidth="1" min="4" max="4"/>
    <col width="18" customWidth="1" min="5" max="5"/>
    <col width="13" customWidth="1" min="6" max="6"/>
    <col width="30" customWidth="1" min="7" max="7"/>
  </cols>
  <sheetData>
    <row r="1" ht="32" customHeight="1">
      <c r="A1" s="14" t="inlineStr">
        <is>
          <t>Matrícula</t>
        </is>
      </c>
      <c r="B1" s="14" t="inlineStr">
        <is>
          <t>Nome do técnico</t>
        </is>
      </c>
      <c r="C1" s="14" t="inlineStr">
        <is>
          <t>Função</t>
        </is>
      </c>
      <c r="D1" s="14" t="inlineStr">
        <is>
          <t>Status cadastral</t>
        </is>
      </c>
      <c r="E1" s="14" t="inlineStr">
        <is>
          <t>SITUAÇÃO NA DATA</t>
        </is>
      </c>
      <c r="F1" s="14" t="inlineStr">
        <is>
          <t>Ausente até</t>
        </is>
      </c>
      <c r="G1" s="14" t="inlineStr">
        <is>
          <t>Observação</t>
        </is>
      </c>
    </row>
    <row r="2">
      <c r="A2" s="29" t="inlineStr">
        <is>
          <t>TEC-001</t>
        </is>
      </c>
      <c r="B2" s="30" t="inlineStr">
        <is>
          <t>Adriana Salvi</t>
        </is>
      </c>
      <c r="C2" s="29" t="inlineStr">
        <is>
          <t>Circulante</t>
        </is>
      </c>
      <c r="D2" s="29" t="inlineStr">
        <is>
          <t>Ativo</t>
        </is>
      </c>
      <c r="E2" s="15">
        <f>IF($B2="","",IF($D2&lt;&gt;"Ativo",$D2,IFERROR(INDEX(Aus_Tipo,MATCH($B2,Aus_Ativa,0)),"Disponível")))</f>
        <v/>
      </c>
      <c r="F2" s="31">
        <f>IF(OR($B2="",$E2="Disponível"),"",IFERROR(INDEX(Aus_Fim,MATCH($B2,Aus_Ativa,0)),""))</f>
        <v/>
      </c>
      <c r="G2" s="30" t="n"/>
    </row>
    <row r="3">
      <c r="A3" s="29" t="inlineStr">
        <is>
          <t>TEC-002</t>
        </is>
      </c>
      <c r="B3" s="30" t="inlineStr">
        <is>
          <t>Bruna Cordeiro</t>
        </is>
      </c>
      <c r="C3" s="29" t="inlineStr">
        <is>
          <t>Circulante</t>
        </is>
      </c>
      <c r="D3" s="29" t="inlineStr">
        <is>
          <t>Ativo</t>
        </is>
      </c>
      <c r="E3" s="15">
        <f>IF($B3="","",IF($D3&lt;&gt;"Ativo",$D3,IFERROR(INDEX(Aus_Tipo,MATCH($B3,Aus_Ativa,0)),"Disponível")))</f>
        <v/>
      </c>
      <c r="F3" s="31">
        <f>IF(OR($B3="",$E3="Disponível"),"",IFERROR(INDEX(Aus_Fim,MATCH($B3,Aus_Ativa,0)),""))</f>
        <v/>
      </c>
      <c r="G3" s="30" t="n"/>
    </row>
    <row r="4">
      <c r="A4" s="29" t="inlineStr">
        <is>
          <t>TEC-003</t>
        </is>
      </c>
      <c r="B4" s="30" t="inlineStr">
        <is>
          <t>Camila Bertoldi</t>
        </is>
      </c>
      <c r="C4" s="29" t="inlineStr">
        <is>
          <t>Circulante</t>
        </is>
      </c>
      <c r="D4" s="29" t="inlineStr">
        <is>
          <t>Ativo</t>
        </is>
      </c>
      <c r="E4" s="15">
        <f>IF($B4="","",IF($D4&lt;&gt;"Ativo",$D4,IFERROR(INDEX(Aus_Tipo,MATCH($B4,Aus_Ativa,0)),"Disponível")))</f>
        <v/>
      </c>
      <c r="F4" s="31">
        <f>IF(OR($B4="",$E4="Disponível"),"",IFERROR(INDEX(Aus_Fim,MATCH($B4,Aus_Ativa,0)),""))</f>
        <v/>
      </c>
      <c r="G4" s="30" t="n"/>
    </row>
    <row r="5">
      <c r="A5" s="29" t="inlineStr">
        <is>
          <t>TEC-004</t>
        </is>
      </c>
      <c r="B5" s="30" t="inlineStr">
        <is>
          <t>Daiane Prestes</t>
        </is>
      </c>
      <c r="C5" s="29" t="inlineStr">
        <is>
          <t>Circulante</t>
        </is>
      </c>
      <c r="D5" s="29" t="inlineStr">
        <is>
          <t>Ativo</t>
        </is>
      </c>
      <c r="E5" s="15">
        <f>IF($B5="","",IF($D5&lt;&gt;"Ativo",$D5,IFERROR(INDEX(Aus_Tipo,MATCH($B5,Aus_Ativa,0)),"Disponível")))</f>
        <v/>
      </c>
      <c r="F5" s="31">
        <f>IF(OR($B5="",$E5="Disponível"),"",IFERROR(INDEX(Aus_Fim,MATCH($B5,Aus_Ativa,0)),""))</f>
        <v/>
      </c>
      <c r="G5" s="30" t="n"/>
    </row>
    <row r="6">
      <c r="A6" s="29" t="inlineStr">
        <is>
          <t>TEC-005</t>
        </is>
      </c>
      <c r="B6" s="30" t="inlineStr">
        <is>
          <t>Elaine Mafra</t>
        </is>
      </c>
      <c r="C6" s="29" t="inlineStr">
        <is>
          <t>Circulante</t>
        </is>
      </c>
      <c r="D6" s="29" t="inlineStr">
        <is>
          <t>Ativo</t>
        </is>
      </c>
      <c r="E6" s="15">
        <f>IF($B6="","",IF($D6&lt;&gt;"Ativo",$D6,IFERROR(INDEX(Aus_Tipo,MATCH($B6,Aus_Ativa,0)),"Disponível")))</f>
        <v/>
      </c>
      <c r="F6" s="31">
        <f>IF(OR($B6="",$E6="Disponível"),"",IFERROR(INDEX(Aus_Fim,MATCH($B6,Aus_Ativa,0)),""))</f>
        <v/>
      </c>
      <c r="G6" s="30" t="n"/>
    </row>
    <row r="7">
      <c r="A7" s="29" t="inlineStr">
        <is>
          <t>TEC-006</t>
        </is>
      </c>
      <c r="B7" s="30" t="inlineStr">
        <is>
          <t>Fernanda Klein</t>
        </is>
      </c>
      <c r="C7" s="29" t="inlineStr">
        <is>
          <t>Circulante</t>
        </is>
      </c>
      <c r="D7" s="29" t="inlineStr">
        <is>
          <t>Ativo</t>
        </is>
      </c>
      <c r="E7" s="15">
        <f>IF($B7="","",IF($D7&lt;&gt;"Ativo",$D7,IFERROR(INDEX(Aus_Tipo,MATCH($B7,Aus_Ativa,0)),"Disponível")))</f>
        <v/>
      </c>
      <c r="F7" s="31">
        <f>IF(OR($B7="",$E7="Disponível"),"",IFERROR(INDEX(Aus_Fim,MATCH($B7,Aus_Ativa,0)),""))</f>
        <v/>
      </c>
      <c r="G7" s="30" t="n"/>
    </row>
    <row r="8">
      <c r="A8" s="29" t="inlineStr">
        <is>
          <t>TEC-007</t>
        </is>
      </c>
      <c r="B8" s="30" t="inlineStr">
        <is>
          <t>Gisele Antunes</t>
        </is>
      </c>
      <c r="C8" s="29" t="inlineStr">
        <is>
          <t>Circulante</t>
        </is>
      </c>
      <c r="D8" s="29" t="inlineStr">
        <is>
          <t>Ativo</t>
        </is>
      </c>
      <c r="E8" s="15">
        <f>IF($B8="","",IF($D8&lt;&gt;"Ativo",$D8,IFERROR(INDEX(Aus_Tipo,MATCH($B8,Aus_Ativa,0)),"Disponível")))</f>
        <v/>
      </c>
      <c r="F8" s="31">
        <f>IF(OR($B8="",$E8="Disponível"),"",IFERROR(INDEX(Aus_Fim,MATCH($B8,Aus_Ativa,0)),""))</f>
        <v/>
      </c>
      <c r="G8" s="30" t="n"/>
    </row>
    <row r="9">
      <c r="A9" s="29" t="inlineStr">
        <is>
          <t>TEC-008</t>
        </is>
      </c>
      <c r="B9" s="30" t="inlineStr">
        <is>
          <t>Heloísa Perin</t>
        </is>
      </c>
      <c r="C9" s="29" t="inlineStr">
        <is>
          <t>Circulante</t>
        </is>
      </c>
      <c r="D9" s="29" t="inlineStr">
        <is>
          <t>Ativo</t>
        </is>
      </c>
      <c r="E9" s="15">
        <f>IF($B9="","",IF($D9&lt;&gt;"Ativo",$D9,IFERROR(INDEX(Aus_Tipo,MATCH($B9,Aus_Ativa,0)),"Disponível")))</f>
        <v/>
      </c>
      <c r="F9" s="31">
        <f>IF(OR($B9="",$E9="Disponível"),"",IFERROR(INDEX(Aus_Fim,MATCH($B9,Aus_Ativa,0)),""))</f>
        <v/>
      </c>
      <c r="G9" s="30" t="n"/>
    </row>
    <row r="10">
      <c r="A10" s="29" t="inlineStr">
        <is>
          <t>TEC-009</t>
        </is>
      </c>
      <c r="B10" s="30" t="inlineStr">
        <is>
          <t>Ismael Kanitz</t>
        </is>
      </c>
      <c r="C10" s="29" t="inlineStr">
        <is>
          <t>Circulante</t>
        </is>
      </c>
      <c r="D10" s="29" t="inlineStr">
        <is>
          <t>Ativo</t>
        </is>
      </c>
      <c r="E10" s="15">
        <f>IF($B10="","",IF($D10&lt;&gt;"Ativo",$D10,IFERROR(INDEX(Aus_Tipo,MATCH($B10,Aus_Ativa,0)),"Disponível")))</f>
        <v/>
      </c>
      <c r="F10" s="31">
        <f>IF(OR($B10="",$E10="Disponível"),"",IFERROR(INDEX(Aus_Fim,MATCH($B10,Aus_Ativa,0)),""))</f>
        <v/>
      </c>
      <c r="G10" s="30" t="n"/>
    </row>
    <row r="11">
      <c r="A11" s="29" t="inlineStr">
        <is>
          <t>TEC-010</t>
        </is>
      </c>
      <c r="B11" s="30" t="inlineStr">
        <is>
          <t>Joana Belincanta</t>
        </is>
      </c>
      <c r="C11" s="29" t="inlineStr">
        <is>
          <t>Instrumentador</t>
        </is>
      </c>
      <c r="D11" s="29" t="inlineStr">
        <is>
          <t>Ativo</t>
        </is>
      </c>
      <c r="E11" s="15">
        <f>IF($B11="","",IF($D11&lt;&gt;"Ativo",$D11,IFERROR(INDEX(Aus_Tipo,MATCH($B11,Aus_Ativa,0)),"Disponível")))</f>
        <v/>
      </c>
      <c r="F11" s="31">
        <f>IF(OR($B11="",$E11="Disponível"),"",IFERROR(INDEX(Aus_Fim,MATCH($B11,Aus_Ativa,0)),""))</f>
        <v/>
      </c>
      <c r="G11" s="30" t="n"/>
    </row>
    <row r="12">
      <c r="A12" s="29" t="inlineStr">
        <is>
          <t>TEC-011</t>
        </is>
      </c>
      <c r="B12" s="30" t="inlineStr">
        <is>
          <t>Kelly Marchi</t>
        </is>
      </c>
      <c r="C12" s="29" t="inlineStr">
        <is>
          <t>Instrumentador</t>
        </is>
      </c>
      <c r="D12" s="29" t="inlineStr">
        <is>
          <t>Ativo</t>
        </is>
      </c>
      <c r="E12" s="15">
        <f>IF($B12="","",IF($D12&lt;&gt;"Ativo",$D12,IFERROR(INDEX(Aus_Tipo,MATCH($B12,Aus_Ativa,0)),"Disponível")))</f>
        <v/>
      </c>
      <c r="F12" s="31">
        <f>IF(OR($B12="",$E12="Disponível"),"",IFERROR(INDEX(Aus_Fim,MATCH($B12,Aus_Ativa,0)),""))</f>
        <v/>
      </c>
      <c r="G12" s="30" t="n"/>
    </row>
    <row r="13">
      <c r="A13" s="29" t="inlineStr">
        <is>
          <t>TEC-012</t>
        </is>
      </c>
      <c r="B13" s="30" t="inlineStr">
        <is>
          <t>Luciano Bordin</t>
        </is>
      </c>
      <c r="C13" s="29" t="inlineStr">
        <is>
          <t>Instrumentador</t>
        </is>
      </c>
      <c r="D13" s="29" t="inlineStr">
        <is>
          <t>Ativo</t>
        </is>
      </c>
      <c r="E13" s="15">
        <f>IF($B13="","",IF($D13&lt;&gt;"Ativo",$D13,IFERROR(INDEX(Aus_Tipo,MATCH($B13,Aus_Ativa,0)),"Disponível")))</f>
        <v/>
      </c>
      <c r="F13" s="31">
        <f>IF(OR($B13="",$E13="Disponível"),"",IFERROR(INDEX(Aus_Fim,MATCH($B13,Aus_Ativa,0)),""))</f>
        <v/>
      </c>
      <c r="G13" s="30" t="n"/>
    </row>
    <row r="14">
      <c r="A14" s="29" t="inlineStr">
        <is>
          <t>TEC-013</t>
        </is>
      </c>
      <c r="B14" s="30" t="inlineStr">
        <is>
          <t>Marcia Tonet</t>
        </is>
      </c>
      <c r="C14" s="29" t="inlineStr">
        <is>
          <t>Instrumentador</t>
        </is>
      </c>
      <c r="D14" s="29" t="inlineStr">
        <is>
          <t>Ativo</t>
        </is>
      </c>
      <c r="E14" s="15">
        <f>IF($B14="","",IF($D14&lt;&gt;"Ativo",$D14,IFERROR(INDEX(Aus_Tipo,MATCH($B14,Aus_Ativa,0)),"Disponível")))</f>
        <v/>
      </c>
      <c r="F14" s="31">
        <f>IF(OR($B14="",$E14="Disponível"),"",IFERROR(INDEX(Aus_Fim,MATCH($B14,Aus_Ativa,0)),""))</f>
        <v/>
      </c>
      <c r="G14" s="30" t="n"/>
    </row>
    <row r="15">
      <c r="A15" s="29" t="inlineStr">
        <is>
          <t>TEC-014</t>
        </is>
      </c>
      <c r="B15" s="30" t="inlineStr">
        <is>
          <t>Nádia Fávero</t>
        </is>
      </c>
      <c r="C15" s="29" t="inlineStr">
        <is>
          <t>Instrumentador</t>
        </is>
      </c>
      <c r="D15" s="29" t="inlineStr">
        <is>
          <t>Ativo</t>
        </is>
      </c>
      <c r="E15" s="15">
        <f>IF($B15="","",IF($D15&lt;&gt;"Ativo",$D15,IFERROR(INDEX(Aus_Tipo,MATCH($B15,Aus_Ativa,0)),"Disponível")))</f>
        <v/>
      </c>
      <c r="F15" s="31">
        <f>IF(OR($B15="",$E15="Disponível"),"",IFERROR(INDEX(Aus_Fim,MATCH($B15,Aus_Ativa,0)),""))</f>
        <v/>
      </c>
      <c r="G15" s="30" t="n"/>
    </row>
    <row r="16">
      <c r="A16" s="29" t="inlineStr">
        <is>
          <t>TEC-015</t>
        </is>
      </c>
      <c r="B16" s="30" t="inlineStr">
        <is>
          <t>Odair Bianchi</t>
        </is>
      </c>
      <c r="C16" s="29" t="inlineStr">
        <is>
          <t>Instrumentador</t>
        </is>
      </c>
      <c r="D16" s="29" t="inlineStr">
        <is>
          <t>Ativo</t>
        </is>
      </c>
      <c r="E16" s="15">
        <f>IF($B16="","",IF($D16&lt;&gt;"Ativo",$D16,IFERROR(INDEX(Aus_Tipo,MATCH($B16,Aus_Ativa,0)),"Disponível")))</f>
        <v/>
      </c>
      <c r="F16" s="31">
        <f>IF(OR($B16="",$E16="Disponível"),"",IFERROR(INDEX(Aus_Fim,MATCH($B16,Aus_Ativa,0)),""))</f>
        <v/>
      </c>
      <c r="G16" s="30" t="n"/>
    </row>
    <row r="17">
      <c r="A17" s="29" t="inlineStr">
        <is>
          <t>TEC-016</t>
        </is>
      </c>
      <c r="B17" s="30" t="inlineStr">
        <is>
          <t>Patrícia Zortéa</t>
        </is>
      </c>
      <c r="C17" s="29" t="inlineStr">
        <is>
          <t>Instrumentador</t>
        </is>
      </c>
      <c r="D17" s="29" t="inlineStr">
        <is>
          <t>Ativo</t>
        </is>
      </c>
      <c r="E17" s="15">
        <f>IF($B17="","",IF($D17&lt;&gt;"Ativo",$D17,IFERROR(INDEX(Aus_Tipo,MATCH($B17,Aus_Ativa,0)),"Disponível")))</f>
        <v/>
      </c>
      <c r="F17" s="31">
        <f>IF(OR($B17="",$E17="Disponível"),"",IFERROR(INDEX(Aus_Fim,MATCH($B17,Aus_Ativa,0)),""))</f>
        <v/>
      </c>
      <c r="G17" s="30" t="n"/>
    </row>
    <row r="18">
      <c r="A18" s="29" t="inlineStr">
        <is>
          <t>TEC-017</t>
        </is>
      </c>
      <c r="B18" s="30" t="inlineStr">
        <is>
          <t>Rafaela Gubert</t>
        </is>
      </c>
      <c r="C18" s="29" t="inlineStr">
        <is>
          <t>Instrumentador</t>
        </is>
      </c>
      <c r="D18" s="29" t="inlineStr">
        <is>
          <t>Ativo</t>
        </is>
      </c>
      <c r="E18" s="15">
        <f>IF($B18="","",IF($D18&lt;&gt;"Ativo",$D18,IFERROR(INDEX(Aus_Tipo,MATCH($B18,Aus_Ativa,0)),"Disponível")))</f>
        <v/>
      </c>
      <c r="F18" s="31">
        <f>IF(OR($B18="",$E18="Disponível"),"",IFERROR(INDEX(Aus_Fim,MATCH($B18,Aus_Ativa,0)),""))</f>
        <v/>
      </c>
      <c r="G18" s="30" t="n"/>
    </row>
    <row r="19">
      <c r="A19" s="29" t="inlineStr">
        <is>
          <t>TEC-018</t>
        </is>
      </c>
      <c r="B19" s="30" t="inlineStr">
        <is>
          <t>Simone Dalpra</t>
        </is>
      </c>
      <c r="C19" s="29" t="inlineStr">
        <is>
          <t>Instrumentador</t>
        </is>
      </c>
      <c r="D19" s="29" t="inlineStr">
        <is>
          <t>Ativo</t>
        </is>
      </c>
      <c r="E19" s="15">
        <f>IF($B19="","",IF($D19&lt;&gt;"Ativo",$D19,IFERROR(INDEX(Aus_Tipo,MATCH($B19,Aus_Ativa,0)),"Disponível")))</f>
        <v/>
      </c>
      <c r="F19" s="31">
        <f>IF(OR($B19="",$E19="Disponível"),"",IFERROR(INDEX(Aus_Fim,MATCH($B19,Aus_Ativa,0)),""))</f>
        <v/>
      </c>
      <c r="G19" s="30" t="n"/>
    </row>
    <row r="20">
      <c r="A20" s="29" t="inlineStr">
        <is>
          <t>TEC-019</t>
        </is>
      </c>
      <c r="B20" s="30" t="inlineStr">
        <is>
          <t>Tatiane Bolzan</t>
        </is>
      </c>
      <c r="C20" s="29" t="inlineStr">
        <is>
          <t>Ambos</t>
        </is>
      </c>
      <c r="D20" s="29" t="inlineStr">
        <is>
          <t>Ativo</t>
        </is>
      </c>
      <c r="E20" s="15">
        <f>IF($B20="","",IF($D20&lt;&gt;"Ativo",$D20,IFERROR(INDEX(Aus_Tipo,MATCH($B20,Aus_Ativa,0)),"Disponível")))</f>
        <v/>
      </c>
      <c r="F20" s="31">
        <f>IF(OR($B20="",$E20="Disponível"),"",IFERROR(INDEX(Aus_Fim,MATCH($B20,Aus_Ativa,0)),""))</f>
        <v/>
      </c>
      <c r="G20" s="30" t="n"/>
    </row>
    <row r="21">
      <c r="A21" s="29" t="inlineStr">
        <is>
          <t>TEC-020</t>
        </is>
      </c>
      <c r="B21" s="30" t="inlineStr">
        <is>
          <t>Vagner Sartori</t>
        </is>
      </c>
      <c r="C21" s="29" t="inlineStr">
        <is>
          <t>Ambos</t>
        </is>
      </c>
      <c r="D21" s="29" t="inlineStr">
        <is>
          <t>Ativo</t>
        </is>
      </c>
      <c r="E21" s="15">
        <f>IF($B21="","",IF($D21&lt;&gt;"Ativo",$D21,IFERROR(INDEX(Aus_Tipo,MATCH($B21,Aus_Ativa,0)),"Disponível")))</f>
        <v/>
      </c>
      <c r="F21" s="31">
        <f>IF(OR($B21="",$E21="Disponível"),"",IFERROR(INDEX(Aus_Fim,MATCH($B21,Aus_Ativa,0)),""))</f>
        <v/>
      </c>
      <c r="G21" s="30" t="n"/>
    </row>
    <row r="22">
      <c r="A22" s="29" t="inlineStr">
        <is>
          <t>TEC-021</t>
        </is>
      </c>
      <c r="B22" s="30" t="inlineStr">
        <is>
          <t>Wanessa Piccoli</t>
        </is>
      </c>
      <c r="C22" s="29" t="inlineStr">
        <is>
          <t>Ambos</t>
        </is>
      </c>
      <c r="D22" s="29" t="inlineStr">
        <is>
          <t>Ativo</t>
        </is>
      </c>
      <c r="E22" s="15">
        <f>IF($B22="","",IF($D22&lt;&gt;"Ativo",$D22,IFERROR(INDEX(Aus_Tipo,MATCH($B22,Aus_Ativa,0)),"Disponível")))</f>
        <v/>
      </c>
      <c r="F22" s="31">
        <f>IF(OR($B22="",$E22="Disponível"),"",IFERROR(INDEX(Aus_Fim,MATCH($B22,Aus_Ativa,0)),""))</f>
        <v/>
      </c>
      <c r="G22" s="30" t="n"/>
    </row>
    <row r="23">
      <c r="A23" s="29" t="inlineStr">
        <is>
          <t>TEC-022</t>
        </is>
      </c>
      <c r="B23" s="30" t="inlineStr">
        <is>
          <t>Zuleide Marcon</t>
        </is>
      </c>
      <c r="C23" s="29" t="inlineStr">
        <is>
          <t>Ambos</t>
        </is>
      </c>
      <c r="D23" s="29" t="inlineStr">
        <is>
          <t>Ativo</t>
        </is>
      </c>
      <c r="E23" s="15">
        <f>IF($B23="","",IF($D23&lt;&gt;"Ativo",$D23,IFERROR(INDEX(Aus_Tipo,MATCH($B23,Aus_Ativa,0)),"Disponível")))</f>
        <v/>
      </c>
      <c r="F23" s="31">
        <f>IF(OR($B23="",$E23="Disponível"),"",IFERROR(INDEX(Aus_Fim,MATCH($B23,Aus_Ativa,0)),""))</f>
        <v/>
      </c>
      <c r="G23" s="30" t="n"/>
    </row>
    <row r="24">
      <c r="A24" s="29" t="n"/>
      <c r="B24" s="30" t="n"/>
      <c r="C24" s="29" t="n"/>
      <c r="D24" s="29" t="n"/>
      <c r="E24" s="15">
        <f>IF($B24="","",IF($D24&lt;&gt;"Ativo",$D24,IFERROR(INDEX(Aus_Tipo,MATCH($B24,Aus_Ativa,0)),"Disponível")))</f>
        <v/>
      </c>
      <c r="F24" s="31">
        <f>IF(OR($B24="",$E24="Disponível"),"",IFERROR(INDEX(Aus_Fim,MATCH($B24,Aus_Ativa,0)),""))</f>
        <v/>
      </c>
      <c r="G24" s="30" t="n"/>
    </row>
    <row r="25">
      <c r="A25" s="29" t="n"/>
      <c r="B25" s="30" t="n"/>
      <c r="C25" s="29" t="n"/>
      <c r="D25" s="29" t="n"/>
      <c r="E25" s="15">
        <f>IF($B25="","",IF($D25&lt;&gt;"Ativo",$D25,IFERROR(INDEX(Aus_Tipo,MATCH($B25,Aus_Ativa,0)),"Disponível")))</f>
        <v/>
      </c>
      <c r="F25" s="31">
        <f>IF(OR($B25="",$E25="Disponível"),"",IFERROR(INDEX(Aus_Fim,MATCH($B25,Aus_Ativa,0)),""))</f>
        <v/>
      </c>
      <c r="G25" s="30" t="n"/>
    </row>
    <row r="26">
      <c r="A26" s="29" t="n"/>
      <c r="B26" s="30" t="n"/>
      <c r="C26" s="29" t="n"/>
      <c r="D26" s="29" t="n"/>
      <c r="E26" s="15">
        <f>IF($B26="","",IF($D26&lt;&gt;"Ativo",$D26,IFERROR(INDEX(Aus_Tipo,MATCH($B26,Aus_Ativa,0)),"Disponível")))</f>
        <v/>
      </c>
      <c r="F26" s="31">
        <f>IF(OR($B26="",$E26="Disponível"),"",IFERROR(INDEX(Aus_Fim,MATCH($B26,Aus_Ativa,0)),""))</f>
        <v/>
      </c>
      <c r="G26" s="30" t="n"/>
    </row>
    <row r="27">
      <c r="A27" s="29" t="n"/>
      <c r="B27" s="30" t="n"/>
      <c r="C27" s="29" t="n"/>
      <c r="D27" s="29" t="n"/>
      <c r="E27" s="15">
        <f>IF($B27="","",IF($D27&lt;&gt;"Ativo",$D27,IFERROR(INDEX(Aus_Tipo,MATCH($B27,Aus_Ativa,0)),"Disponível")))</f>
        <v/>
      </c>
      <c r="F27" s="31">
        <f>IF(OR($B27="",$E27="Disponível"),"",IFERROR(INDEX(Aus_Fim,MATCH($B27,Aus_Ativa,0)),""))</f>
        <v/>
      </c>
      <c r="G27" s="30" t="n"/>
    </row>
    <row r="28">
      <c r="A28" s="29" t="n"/>
      <c r="B28" s="30" t="n"/>
      <c r="C28" s="29" t="n"/>
      <c r="D28" s="29" t="n"/>
      <c r="E28" s="15">
        <f>IF($B28="","",IF($D28&lt;&gt;"Ativo",$D28,IFERROR(INDEX(Aus_Tipo,MATCH($B28,Aus_Ativa,0)),"Disponível")))</f>
        <v/>
      </c>
      <c r="F28" s="31">
        <f>IF(OR($B28="",$E28="Disponível"),"",IFERROR(INDEX(Aus_Fim,MATCH($B28,Aus_Ativa,0)),""))</f>
        <v/>
      </c>
      <c r="G28" s="30" t="n"/>
    </row>
    <row r="29">
      <c r="A29" s="29" t="n"/>
      <c r="B29" s="30" t="n"/>
      <c r="C29" s="29" t="n"/>
      <c r="D29" s="29" t="n"/>
      <c r="E29" s="15">
        <f>IF($B29="","",IF($D29&lt;&gt;"Ativo",$D29,IFERROR(INDEX(Aus_Tipo,MATCH($B29,Aus_Ativa,0)),"Disponível")))</f>
        <v/>
      </c>
      <c r="F29" s="31">
        <f>IF(OR($B29="",$E29="Disponível"),"",IFERROR(INDEX(Aus_Fim,MATCH($B29,Aus_Ativa,0)),""))</f>
        <v/>
      </c>
      <c r="G29" s="30" t="n"/>
    </row>
    <row r="30">
      <c r="A30" s="29" t="n"/>
      <c r="B30" s="30" t="n"/>
      <c r="C30" s="29" t="n"/>
      <c r="D30" s="29" t="n"/>
      <c r="E30" s="15">
        <f>IF($B30="","",IF($D30&lt;&gt;"Ativo",$D30,IFERROR(INDEX(Aus_Tipo,MATCH($B30,Aus_Ativa,0)),"Disponível")))</f>
        <v/>
      </c>
      <c r="F30" s="31">
        <f>IF(OR($B30="",$E30="Disponível"),"",IFERROR(INDEX(Aus_Fim,MATCH($B30,Aus_Ativa,0)),""))</f>
        <v/>
      </c>
      <c r="G30" s="30" t="n"/>
    </row>
    <row r="31">
      <c r="A31" s="29" t="n"/>
      <c r="B31" s="30" t="n"/>
      <c r="C31" s="29" t="n"/>
      <c r="D31" s="29" t="n"/>
      <c r="E31" s="15">
        <f>IF($B31="","",IF($D31&lt;&gt;"Ativo",$D31,IFERROR(INDEX(Aus_Tipo,MATCH($B31,Aus_Ativa,0)),"Disponível")))</f>
        <v/>
      </c>
      <c r="F31" s="31">
        <f>IF(OR($B31="",$E31="Disponível"),"",IFERROR(INDEX(Aus_Fim,MATCH($B31,Aus_Ativa,0)),""))</f>
        <v/>
      </c>
      <c r="G31" s="30" t="n"/>
    </row>
  </sheetData>
  <autoFilter ref="A1:G31"/>
  <conditionalFormatting sqref="E2:E31">
    <cfRule type="cellIs" priority="1" operator="equal" dxfId="1">
      <formula>"Disponível"</formula>
    </cfRule>
    <cfRule type="expression" priority="2" dxfId="2">
      <formula>AND($E2&lt;&gt;"",$E2&lt;&gt;"Disponível")</formula>
    </cfRule>
  </conditionalFormatting>
  <dataValidations count="2">
    <dataValidation sqref="C2:C31" showDropDown="0" showInputMessage="0" showErrorMessage="1" allowBlank="1" type="list">
      <formula1>=Lista_Funcoes</formula1>
    </dataValidation>
    <dataValidation sqref="D2:D31" showDropDown="0" showInputMessage="0" showErrorMessage="1" allowBlank="1" type="list">
      <formula1>=Lista_StatusCad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12" customWidth="1" min="18" max="18"/>
    <col width="13" customWidth="1" min="19" max="19"/>
  </cols>
  <sheetData>
    <row r="1" ht="176" customHeight="1">
      <c r="A1" s="14" t="inlineStr">
        <is>
          <t>Matrícula</t>
        </is>
      </c>
      <c r="B1" s="14" t="inlineStr">
        <is>
          <t>Nome do técnico</t>
        </is>
      </c>
      <c r="C1" s="14" t="inlineStr">
        <is>
          <t>Função</t>
        </is>
      </c>
      <c r="D1" s="32">
        <f>IF('Habilidades'!$B$2="","",'Habilidades'!$B$2)</f>
        <v/>
      </c>
      <c r="E1" s="32">
        <f>IF('Habilidades'!$B$3="","",'Habilidades'!$B$3)</f>
        <v/>
      </c>
      <c r="F1" s="32">
        <f>IF('Habilidades'!$B$4="","",'Habilidades'!$B$4)</f>
        <v/>
      </c>
      <c r="G1" s="32">
        <f>IF('Habilidades'!$B$5="","",'Habilidades'!$B$5)</f>
        <v/>
      </c>
      <c r="H1" s="32">
        <f>IF('Habilidades'!$B$6="","",'Habilidades'!$B$6)</f>
        <v/>
      </c>
      <c r="I1" s="32">
        <f>IF('Habilidades'!$B$7="","",'Habilidades'!$B$7)</f>
        <v/>
      </c>
      <c r="J1" s="32">
        <f>IF('Habilidades'!$B$8="","",'Habilidades'!$B$8)</f>
        <v/>
      </c>
      <c r="K1" s="32">
        <f>IF('Habilidades'!$B$9="","",'Habilidades'!$B$9)</f>
        <v/>
      </c>
      <c r="L1" s="32">
        <f>IF('Habilidades'!$B$10="","",'Habilidades'!$B$10)</f>
        <v/>
      </c>
      <c r="M1" s="32">
        <f>IF('Habilidades'!$B$11="","",'Habilidades'!$B$11)</f>
        <v/>
      </c>
      <c r="N1" s="32">
        <f>IF('Habilidades'!$B$12="","",'Habilidades'!$B$12)</f>
        <v/>
      </c>
      <c r="O1" s="32">
        <f>IF('Habilidades'!$B$13="","",'Habilidades'!$B$13)</f>
        <v/>
      </c>
      <c r="P1" s="32">
        <f>IF('Habilidades'!$B$14="","",'Habilidades'!$B$14)</f>
        <v/>
      </c>
      <c r="Q1" s="32">
        <f>IF('Habilidades'!$B$15="","",'Habilidades'!$B$15)</f>
        <v/>
      </c>
      <c r="R1" s="14" t="inlineStr">
        <is>
          <t>Nível médio (geral)</t>
        </is>
      </c>
      <c r="S1" s="14" t="inlineStr">
        <is>
          <t>Nº habilidades aptas (≥2)</t>
        </is>
      </c>
    </row>
    <row r="2">
      <c r="A2" s="33">
        <f>IF('Equipe'!A2="","",'Equipe'!A2)</f>
        <v/>
      </c>
      <c r="B2" s="34">
        <f>IF('Equipe'!B2="","",'Equipe'!B2)</f>
        <v/>
      </c>
      <c r="C2" s="33">
        <f>IF('Equipe'!C2="","",'Equipe'!C2)</f>
        <v/>
      </c>
      <c r="D2" s="35" t="n">
        <v>3</v>
      </c>
      <c r="E2" s="35" t="n">
        <v>2</v>
      </c>
      <c r="F2" s="35" t="n">
        <v>1</v>
      </c>
      <c r="G2" s="35" t="n">
        <v>1</v>
      </c>
      <c r="H2" s="35" t="n">
        <v>0</v>
      </c>
      <c r="I2" s="35" t="n">
        <v>0</v>
      </c>
      <c r="J2" s="35" t="n">
        <v>0</v>
      </c>
      <c r="K2" s="35" t="n">
        <v>1</v>
      </c>
      <c r="L2" s="35" t="n">
        <v>1</v>
      </c>
      <c r="M2" s="35" t="n">
        <v>1</v>
      </c>
      <c r="N2" s="35" t="n"/>
      <c r="O2" s="35" t="n"/>
      <c r="P2" s="35" t="n"/>
      <c r="Q2" s="35" t="n"/>
      <c r="R2" s="36">
        <f>IF($B2="","",IFERROR(SUMPRODUCT((Matriz_Hab&lt;&gt;"")*$D2:$Q2)/SUMPRODUCT(--(Matriz_Hab&lt;&gt;"")),""))</f>
        <v/>
      </c>
      <c r="S2" s="37">
        <f>IF($B2="","",SUMPRODUCT((Matriz_Hab&lt;&gt;"")*($D2:$Q2&gt;=2)))</f>
        <v/>
      </c>
    </row>
    <row r="3">
      <c r="A3" s="33">
        <f>IF('Equipe'!A3="","",'Equipe'!A3)</f>
        <v/>
      </c>
      <c r="B3" s="34">
        <f>IF('Equipe'!B3="","",'Equipe'!B3)</f>
        <v/>
      </c>
      <c r="C3" s="33">
        <f>IF('Equipe'!C3="","",'Equipe'!C3)</f>
        <v/>
      </c>
      <c r="D3" s="35" t="n">
        <v>3</v>
      </c>
      <c r="E3" s="35" t="n">
        <v>1</v>
      </c>
      <c r="F3" s="35" t="n">
        <v>1</v>
      </c>
      <c r="G3" s="35" t="n">
        <v>0</v>
      </c>
      <c r="H3" s="35" t="n">
        <v>1</v>
      </c>
      <c r="I3" s="35" t="n">
        <v>0</v>
      </c>
      <c r="J3" s="35" t="n">
        <v>0</v>
      </c>
      <c r="K3" s="35" t="n">
        <v>1</v>
      </c>
      <c r="L3" s="35" t="n">
        <v>2</v>
      </c>
      <c r="M3" s="35" t="n">
        <v>0</v>
      </c>
      <c r="N3" s="35" t="n"/>
      <c r="O3" s="35" t="n"/>
      <c r="P3" s="35" t="n"/>
      <c r="Q3" s="35" t="n"/>
      <c r="R3" s="36">
        <f>IF($B3="","",IFERROR(SUMPRODUCT((Matriz_Hab&lt;&gt;"")*$D3:$Q3)/SUMPRODUCT(--(Matriz_Hab&lt;&gt;"")),""))</f>
        <v/>
      </c>
      <c r="S3" s="37">
        <f>IF($B3="","",SUMPRODUCT((Matriz_Hab&lt;&gt;"")*($D3:$Q3&gt;=2)))</f>
        <v/>
      </c>
    </row>
    <row r="4">
      <c r="A4" s="33">
        <f>IF('Equipe'!A4="","",'Equipe'!A4)</f>
        <v/>
      </c>
      <c r="B4" s="34">
        <f>IF('Equipe'!B4="","",'Equipe'!B4)</f>
        <v/>
      </c>
      <c r="C4" s="33">
        <f>IF('Equipe'!C4="","",'Equipe'!C4)</f>
        <v/>
      </c>
      <c r="D4" s="35" t="n">
        <v>1</v>
      </c>
      <c r="E4" s="35" t="n">
        <v>3</v>
      </c>
      <c r="F4" s="35" t="n">
        <v>2</v>
      </c>
      <c r="G4" s="35" t="n">
        <v>2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1</v>
      </c>
      <c r="M4" s="35" t="n">
        <v>1</v>
      </c>
      <c r="N4" s="35" t="n"/>
      <c r="O4" s="35" t="n"/>
      <c r="P4" s="35" t="n"/>
      <c r="Q4" s="35" t="n"/>
      <c r="R4" s="36">
        <f>IF($B4="","",IFERROR(SUMPRODUCT((Matriz_Hab&lt;&gt;"")*$D4:$Q4)/SUMPRODUCT(--(Matriz_Hab&lt;&gt;"")),""))</f>
        <v/>
      </c>
      <c r="S4" s="37">
        <f>IF($B4="","",SUMPRODUCT((Matriz_Hab&lt;&gt;"")*($D4:$Q4&gt;=2)))</f>
        <v/>
      </c>
    </row>
    <row r="5">
      <c r="A5" s="33">
        <f>IF('Equipe'!A5="","",'Equipe'!A5)</f>
        <v/>
      </c>
      <c r="B5" s="34">
        <f>IF('Equipe'!B5="","",'Equipe'!B5)</f>
        <v/>
      </c>
      <c r="C5" s="33">
        <f>IF('Equipe'!C5="","",'Equipe'!C5)</f>
        <v/>
      </c>
      <c r="D5" s="35" t="n">
        <v>0</v>
      </c>
      <c r="E5" s="35" t="n">
        <v>3</v>
      </c>
      <c r="F5" s="35" t="n">
        <v>2</v>
      </c>
      <c r="G5" s="35" t="n">
        <v>1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2</v>
      </c>
      <c r="M5" s="35" t="n">
        <v>1</v>
      </c>
      <c r="N5" s="35" t="n"/>
      <c r="O5" s="35" t="n"/>
      <c r="P5" s="35" t="n"/>
      <c r="Q5" s="35" t="n"/>
      <c r="R5" s="36">
        <f>IF($B5="","",IFERROR(SUMPRODUCT((Matriz_Hab&lt;&gt;"")*$D5:$Q5)/SUMPRODUCT(--(Matriz_Hab&lt;&gt;"")),""))</f>
        <v/>
      </c>
      <c r="S5" s="37">
        <f>IF($B5="","",SUMPRODUCT((Matriz_Hab&lt;&gt;"")*($D5:$Q5&gt;=2)))</f>
        <v/>
      </c>
    </row>
    <row r="6">
      <c r="A6" s="33">
        <f>IF('Equipe'!A6="","",'Equipe'!A6)</f>
        <v/>
      </c>
      <c r="B6" s="34">
        <f>IF('Equipe'!B6="","",'Equipe'!B6)</f>
        <v/>
      </c>
      <c r="C6" s="33">
        <f>IF('Equipe'!C6="","",'Equipe'!C6)</f>
        <v/>
      </c>
      <c r="D6" s="35" t="n">
        <v>0</v>
      </c>
      <c r="E6" s="35" t="n">
        <v>0</v>
      </c>
      <c r="F6" s="35" t="n">
        <v>3</v>
      </c>
      <c r="G6" s="35" t="n">
        <v>2</v>
      </c>
      <c r="H6" s="35" t="n">
        <v>2</v>
      </c>
      <c r="I6" s="35" t="n">
        <v>0</v>
      </c>
      <c r="J6" s="35" t="n">
        <v>0</v>
      </c>
      <c r="K6" s="35" t="n">
        <v>0</v>
      </c>
      <c r="L6" s="35" t="n">
        <v>1</v>
      </c>
      <c r="M6" s="35" t="n">
        <v>0</v>
      </c>
      <c r="N6" s="35" t="n"/>
      <c r="O6" s="35" t="n"/>
      <c r="P6" s="35" t="n"/>
      <c r="Q6" s="35" t="n"/>
      <c r="R6" s="36">
        <f>IF($B6="","",IFERROR(SUMPRODUCT((Matriz_Hab&lt;&gt;"")*$D6:$Q6)/SUMPRODUCT(--(Matriz_Hab&lt;&gt;"")),""))</f>
        <v/>
      </c>
      <c r="S6" s="37">
        <f>IF($B6="","",SUMPRODUCT((Matriz_Hab&lt;&gt;"")*($D6:$Q6&gt;=2)))</f>
        <v/>
      </c>
    </row>
    <row r="7">
      <c r="A7" s="33">
        <f>IF('Equipe'!A7="","",'Equipe'!A7)</f>
        <v/>
      </c>
      <c r="B7" s="34">
        <f>IF('Equipe'!B7="","",'Equipe'!B7)</f>
        <v/>
      </c>
      <c r="C7" s="33">
        <f>IF('Equipe'!C7="","",'Equipe'!C7)</f>
        <v/>
      </c>
      <c r="D7" s="35" t="n">
        <v>1</v>
      </c>
      <c r="E7" s="35" t="n">
        <v>0</v>
      </c>
      <c r="F7" s="35" t="n">
        <v>3</v>
      </c>
      <c r="G7" s="35" t="n">
        <v>2</v>
      </c>
      <c r="H7" s="35" t="n">
        <v>2</v>
      </c>
      <c r="I7" s="35" t="n">
        <v>0</v>
      </c>
      <c r="J7" s="35" t="n">
        <v>0</v>
      </c>
      <c r="K7" s="35" t="n">
        <v>1</v>
      </c>
      <c r="L7" s="35" t="n">
        <v>1</v>
      </c>
      <c r="M7" s="35" t="n">
        <v>0</v>
      </c>
      <c r="N7" s="35" t="n"/>
      <c r="O7" s="35" t="n"/>
      <c r="P7" s="35" t="n"/>
      <c r="Q7" s="35" t="n"/>
      <c r="R7" s="36">
        <f>IF($B7="","",IFERROR(SUMPRODUCT((Matriz_Hab&lt;&gt;"")*$D7:$Q7)/SUMPRODUCT(--(Matriz_Hab&lt;&gt;"")),""))</f>
        <v/>
      </c>
      <c r="S7" s="37">
        <f>IF($B7="","",SUMPRODUCT((Matriz_Hab&lt;&gt;"")*($D7:$Q7&gt;=2)))</f>
        <v/>
      </c>
    </row>
    <row r="8">
      <c r="A8" s="33">
        <f>IF('Equipe'!A8="","",'Equipe'!A8)</f>
        <v/>
      </c>
      <c r="B8" s="34">
        <f>IF('Equipe'!B8="","",'Equipe'!B8)</f>
        <v/>
      </c>
      <c r="C8" s="33">
        <f>IF('Equipe'!C8="","",'Equipe'!C8)</f>
        <v/>
      </c>
      <c r="D8" s="35" t="n">
        <v>0</v>
      </c>
      <c r="E8" s="35" t="n">
        <v>1</v>
      </c>
      <c r="F8" s="35" t="n">
        <v>1</v>
      </c>
      <c r="G8" s="35" t="n">
        <v>0</v>
      </c>
      <c r="H8" s="35" t="n">
        <v>0</v>
      </c>
      <c r="I8" s="35" t="n">
        <v>1</v>
      </c>
      <c r="J8" s="35" t="n">
        <v>1</v>
      </c>
      <c r="K8" s="35" t="n">
        <v>3</v>
      </c>
      <c r="L8" s="35" t="n">
        <v>2</v>
      </c>
      <c r="M8" s="35" t="n">
        <v>2</v>
      </c>
      <c r="N8" s="35" t="n"/>
      <c r="O8" s="35" t="n"/>
      <c r="P8" s="35" t="n"/>
      <c r="Q8" s="35" t="n"/>
      <c r="R8" s="36">
        <f>IF($B8="","",IFERROR(SUMPRODUCT((Matriz_Hab&lt;&gt;"")*$D8:$Q8)/SUMPRODUCT(--(Matriz_Hab&lt;&gt;"")),""))</f>
        <v/>
      </c>
      <c r="S8" s="37">
        <f>IF($B8="","",SUMPRODUCT((Matriz_Hab&lt;&gt;"")*($D8:$Q8&gt;=2)))</f>
        <v/>
      </c>
    </row>
    <row r="9">
      <c r="A9" s="33">
        <f>IF('Equipe'!A9="","",'Equipe'!A9)</f>
        <v/>
      </c>
      <c r="B9" s="34">
        <f>IF('Equipe'!B9="","",'Equipe'!B9)</f>
        <v/>
      </c>
      <c r="C9" s="33">
        <f>IF('Equipe'!C9="","",'Equipe'!C9)</f>
        <v/>
      </c>
      <c r="D9" s="35" t="n">
        <v>1</v>
      </c>
      <c r="E9" s="35" t="n">
        <v>1</v>
      </c>
      <c r="F9" s="35" t="n">
        <v>1</v>
      </c>
      <c r="G9" s="35" t="n">
        <v>0</v>
      </c>
      <c r="H9" s="35" t="n">
        <v>0</v>
      </c>
      <c r="I9" s="35" t="n">
        <v>0</v>
      </c>
      <c r="J9" s="35" t="n">
        <v>1</v>
      </c>
      <c r="K9" s="35" t="n">
        <v>3</v>
      </c>
      <c r="L9" s="35" t="n">
        <v>2</v>
      </c>
      <c r="M9" s="35" t="n">
        <v>1</v>
      </c>
      <c r="N9" s="35" t="n"/>
      <c r="O9" s="35" t="n"/>
      <c r="P9" s="35" t="n"/>
      <c r="Q9" s="35" t="n"/>
      <c r="R9" s="36">
        <f>IF($B9="","",IFERROR(SUMPRODUCT((Matriz_Hab&lt;&gt;"")*$D9:$Q9)/SUMPRODUCT(--(Matriz_Hab&lt;&gt;"")),""))</f>
        <v/>
      </c>
      <c r="S9" s="37">
        <f>IF($B9="","",SUMPRODUCT((Matriz_Hab&lt;&gt;"")*($D9:$Q9&gt;=2)))</f>
        <v/>
      </c>
    </row>
    <row r="10">
      <c r="A10" s="33">
        <f>IF('Equipe'!A10="","",'Equipe'!A10)</f>
        <v/>
      </c>
      <c r="B10" s="34">
        <f>IF('Equipe'!B10="","",'Equipe'!B10)</f>
        <v/>
      </c>
      <c r="C10" s="33">
        <f>IF('Equipe'!C10="","",'Equipe'!C10)</f>
        <v/>
      </c>
      <c r="D10" s="35" t="n">
        <v>1</v>
      </c>
      <c r="E10" s="35" t="n">
        <v>0</v>
      </c>
      <c r="F10" s="35" t="n">
        <v>1</v>
      </c>
      <c r="G10" s="35" t="n">
        <v>0</v>
      </c>
      <c r="H10" s="35" t="n">
        <v>3</v>
      </c>
      <c r="I10" s="35" t="n">
        <v>2</v>
      </c>
      <c r="J10" s="35" t="n">
        <v>2</v>
      </c>
      <c r="K10" s="35" t="n">
        <v>1</v>
      </c>
      <c r="L10" s="35" t="n">
        <v>2</v>
      </c>
      <c r="M10" s="35" t="n">
        <v>1</v>
      </c>
      <c r="N10" s="35" t="n"/>
      <c r="O10" s="35" t="n"/>
      <c r="P10" s="35" t="n"/>
      <c r="Q10" s="35" t="n"/>
      <c r="R10" s="36">
        <f>IF($B10="","",IFERROR(SUMPRODUCT((Matriz_Hab&lt;&gt;"")*$D10:$Q10)/SUMPRODUCT(--(Matriz_Hab&lt;&gt;"")),""))</f>
        <v/>
      </c>
      <c r="S10" s="37">
        <f>IF($B10="","",SUMPRODUCT((Matriz_Hab&lt;&gt;"")*($D10:$Q10&gt;=2)))</f>
        <v/>
      </c>
    </row>
    <row r="11">
      <c r="A11" s="33">
        <f>IF('Equipe'!A11="","",'Equipe'!A11)</f>
        <v/>
      </c>
      <c r="B11" s="34">
        <f>IF('Equipe'!B11="","",'Equipe'!B11)</f>
        <v/>
      </c>
      <c r="C11" s="33">
        <f>IF('Equipe'!C11="","",'Equipe'!C11)</f>
        <v/>
      </c>
      <c r="D11" s="35" t="n">
        <v>1</v>
      </c>
      <c r="E11" s="35" t="n">
        <v>1</v>
      </c>
      <c r="F11" s="35" t="n">
        <v>0</v>
      </c>
      <c r="G11" s="35" t="n">
        <v>1</v>
      </c>
      <c r="H11" s="35" t="n">
        <v>3</v>
      </c>
      <c r="I11" s="35" t="n">
        <v>1</v>
      </c>
      <c r="J11" s="35" t="n">
        <v>2</v>
      </c>
      <c r="K11" s="35" t="n">
        <v>1</v>
      </c>
      <c r="L11" s="35" t="n">
        <v>1</v>
      </c>
      <c r="M11" s="35" t="n">
        <v>1</v>
      </c>
      <c r="N11" s="35" t="n"/>
      <c r="O11" s="35" t="n"/>
      <c r="P11" s="35" t="n"/>
      <c r="Q11" s="35" t="n"/>
      <c r="R11" s="36">
        <f>IF($B11="","",IFERROR(SUMPRODUCT((Matriz_Hab&lt;&gt;"")*$D11:$Q11)/SUMPRODUCT(--(Matriz_Hab&lt;&gt;"")),""))</f>
        <v/>
      </c>
      <c r="S11" s="37">
        <f>IF($B11="","",SUMPRODUCT((Matriz_Hab&lt;&gt;"")*($D11:$Q11&gt;=2)))</f>
        <v/>
      </c>
    </row>
    <row r="12">
      <c r="A12" s="33">
        <f>IF('Equipe'!A12="","",'Equipe'!A12)</f>
        <v/>
      </c>
      <c r="B12" s="34">
        <f>IF('Equipe'!B12="","",'Equipe'!B12)</f>
        <v/>
      </c>
      <c r="C12" s="33">
        <f>IF('Equipe'!C12="","",'Equipe'!C12)</f>
        <v/>
      </c>
      <c r="D12" s="35" t="n">
        <v>0</v>
      </c>
      <c r="E12" s="35" t="n">
        <v>0</v>
      </c>
      <c r="F12" s="35" t="n">
        <v>0</v>
      </c>
      <c r="G12" s="35" t="n">
        <v>0</v>
      </c>
      <c r="H12" s="35" t="n">
        <v>0</v>
      </c>
      <c r="I12" s="35" t="n">
        <v>3</v>
      </c>
      <c r="J12" s="35" t="n">
        <v>1</v>
      </c>
      <c r="K12" s="35" t="n">
        <v>1</v>
      </c>
      <c r="L12" s="35" t="n">
        <v>1</v>
      </c>
      <c r="M12" s="35" t="n">
        <v>0</v>
      </c>
      <c r="N12" s="35" t="n"/>
      <c r="O12" s="35" t="n"/>
      <c r="P12" s="35" t="n"/>
      <c r="Q12" s="35" t="n"/>
      <c r="R12" s="36">
        <f>IF($B12="","",IFERROR(SUMPRODUCT((Matriz_Hab&lt;&gt;"")*$D12:$Q12)/SUMPRODUCT(--(Matriz_Hab&lt;&gt;"")),""))</f>
        <v/>
      </c>
      <c r="S12" s="37">
        <f>IF($B12="","",SUMPRODUCT((Matriz_Hab&lt;&gt;"")*($D12:$Q12&gt;=2)))</f>
        <v/>
      </c>
    </row>
    <row r="13">
      <c r="A13" s="33">
        <f>IF('Equipe'!A13="","",'Equipe'!A13)</f>
        <v/>
      </c>
      <c r="B13" s="34">
        <f>IF('Equipe'!B13="","",'Equipe'!B13)</f>
        <v/>
      </c>
      <c r="C13" s="33">
        <f>IF('Equipe'!C13="","",'Equipe'!C13)</f>
        <v/>
      </c>
      <c r="D13" s="35" t="n">
        <v>0</v>
      </c>
      <c r="E13" s="35" t="n">
        <v>0</v>
      </c>
      <c r="F13" s="35" t="n">
        <v>0</v>
      </c>
      <c r="G13" s="35" t="n">
        <v>1</v>
      </c>
      <c r="H13" s="35" t="n">
        <v>1</v>
      </c>
      <c r="I13" s="35" t="n">
        <v>3</v>
      </c>
      <c r="J13" s="35" t="n">
        <v>2</v>
      </c>
      <c r="K13" s="35" t="n">
        <v>1</v>
      </c>
      <c r="L13" s="35" t="n">
        <v>2</v>
      </c>
      <c r="M13" s="35" t="n">
        <v>1</v>
      </c>
      <c r="N13" s="35" t="n"/>
      <c r="O13" s="35" t="n"/>
      <c r="P13" s="35" t="n"/>
      <c r="Q13" s="35" t="n"/>
      <c r="R13" s="36">
        <f>IF($B13="","",IFERROR(SUMPRODUCT((Matriz_Hab&lt;&gt;"")*$D13:$Q13)/SUMPRODUCT(--(Matriz_Hab&lt;&gt;"")),""))</f>
        <v/>
      </c>
      <c r="S13" s="37">
        <f>IF($B13="","",SUMPRODUCT((Matriz_Hab&lt;&gt;"")*($D13:$Q13&gt;=2)))</f>
        <v/>
      </c>
    </row>
    <row r="14">
      <c r="A14" s="33">
        <f>IF('Equipe'!A14="","",'Equipe'!A14)</f>
        <v/>
      </c>
      <c r="B14" s="34">
        <f>IF('Equipe'!B14="","",'Equipe'!B14)</f>
        <v/>
      </c>
      <c r="C14" s="33">
        <f>IF('Equipe'!C14="","",'Equipe'!C14)</f>
        <v/>
      </c>
      <c r="D14" s="35" t="n">
        <v>1</v>
      </c>
      <c r="E14" s="35" t="n">
        <v>1</v>
      </c>
      <c r="F14" s="35" t="n">
        <v>1</v>
      </c>
      <c r="G14" s="35" t="n">
        <v>3</v>
      </c>
      <c r="H14" s="35" t="n">
        <v>2</v>
      </c>
      <c r="I14" s="35" t="n">
        <v>1</v>
      </c>
      <c r="J14" s="35" t="n">
        <v>1</v>
      </c>
      <c r="K14" s="35" t="n">
        <v>1</v>
      </c>
      <c r="L14" s="35" t="n">
        <v>2</v>
      </c>
      <c r="M14" s="35" t="n">
        <v>0</v>
      </c>
      <c r="N14" s="35" t="n"/>
      <c r="O14" s="35" t="n"/>
      <c r="P14" s="35" t="n"/>
      <c r="Q14" s="35" t="n"/>
      <c r="R14" s="36">
        <f>IF($B14="","",IFERROR(SUMPRODUCT((Matriz_Hab&lt;&gt;"")*$D14:$Q14)/SUMPRODUCT(--(Matriz_Hab&lt;&gt;"")),""))</f>
        <v/>
      </c>
      <c r="S14" s="37">
        <f>IF($B14="","",SUMPRODUCT((Matriz_Hab&lt;&gt;"")*($D14:$Q14&gt;=2)))</f>
        <v/>
      </c>
    </row>
    <row r="15">
      <c r="A15" s="33">
        <f>IF('Equipe'!A15="","",'Equipe'!A15)</f>
        <v/>
      </c>
      <c r="B15" s="34">
        <f>IF('Equipe'!B15="","",'Equipe'!B15)</f>
        <v/>
      </c>
      <c r="C15" s="33">
        <f>IF('Equipe'!C15="","",'Equipe'!C15)</f>
        <v/>
      </c>
      <c r="D15" s="35" t="n">
        <v>0</v>
      </c>
      <c r="E15" s="35" t="n">
        <v>1</v>
      </c>
      <c r="F15" s="35" t="n">
        <v>0</v>
      </c>
      <c r="G15" s="35" t="n">
        <v>3</v>
      </c>
      <c r="H15" s="35" t="n">
        <v>1</v>
      </c>
      <c r="I15" s="35" t="n">
        <v>2</v>
      </c>
      <c r="J15" s="35" t="n">
        <v>0</v>
      </c>
      <c r="K15" s="35" t="n">
        <v>1</v>
      </c>
      <c r="L15" s="35" t="n">
        <v>1</v>
      </c>
      <c r="M15" s="35" t="n">
        <v>0</v>
      </c>
      <c r="N15" s="35" t="n"/>
      <c r="O15" s="35" t="n"/>
      <c r="P15" s="35" t="n"/>
      <c r="Q15" s="35" t="n"/>
      <c r="R15" s="36">
        <f>IF($B15="","",IFERROR(SUMPRODUCT((Matriz_Hab&lt;&gt;"")*$D15:$Q15)/SUMPRODUCT(--(Matriz_Hab&lt;&gt;"")),""))</f>
        <v/>
      </c>
      <c r="S15" s="37">
        <f>IF($B15="","",SUMPRODUCT((Matriz_Hab&lt;&gt;"")*($D15:$Q15&gt;=2)))</f>
        <v/>
      </c>
    </row>
    <row r="16">
      <c r="A16" s="33">
        <f>IF('Equipe'!A16="","",'Equipe'!A16)</f>
        <v/>
      </c>
      <c r="B16" s="34">
        <f>IF('Equipe'!B16="","",'Equipe'!B16)</f>
        <v/>
      </c>
      <c r="C16" s="33">
        <f>IF('Equipe'!C16="","",'Equipe'!C16)</f>
        <v/>
      </c>
      <c r="D16" s="35" t="n">
        <v>2</v>
      </c>
      <c r="E16" s="35" t="n">
        <v>1</v>
      </c>
      <c r="F16" s="35" t="n">
        <v>1</v>
      </c>
      <c r="G16" s="35" t="n">
        <v>1</v>
      </c>
      <c r="H16" s="35" t="n">
        <v>1</v>
      </c>
      <c r="I16" s="35" t="n">
        <v>0</v>
      </c>
      <c r="J16" s="35" t="n">
        <v>0</v>
      </c>
      <c r="K16" s="35" t="n">
        <v>1</v>
      </c>
      <c r="L16" s="35" t="n">
        <v>3</v>
      </c>
      <c r="M16" s="35" t="n">
        <v>2</v>
      </c>
      <c r="N16" s="35" t="n"/>
      <c r="O16" s="35" t="n"/>
      <c r="P16" s="35" t="n"/>
      <c r="Q16" s="35" t="n"/>
      <c r="R16" s="36">
        <f>IF($B16="","",IFERROR(SUMPRODUCT((Matriz_Hab&lt;&gt;"")*$D16:$Q16)/SUMPRODUCT(--(Matriz_Hab&lt;&gt;"")),""))</f>
        <v/>
      </c>
      <c r="S16" s="37">
        <f>IF($B16="","",SUMPRODUCT((Matriz_Hab&lt;&gt;"")*($D16:$Q16&gt;=2)))</f>
        <v/>
      </c>
    </row>
    <row r="17">
      <c r="A17" s="33">
        <f>IF('Equipe'!A17="","",'Equipe'!A17)</f>
        <v/>
      </c>
      <c r="B17" s="34">
        <f>IF('Equipe'!B17="","",'Equipe'!B17)</f>
        <v/>
      </c>
      <c r="C17" s="33">
        <f>IF('Equipe'!C17="","",'Equipe'!C17)</f>
        <v/>
      </c>
      <c r="D17" s="35" t="n">
        <v>1</v>
      </c>
      <c r="E17" s="35" t="n">
        <v>0</v>
      </c>
      <c r="F17" s="35" t="n">
        <v>0</v>
      </c>
      <c r="G17" s="35" t="n">
        <v>1</v>
      </c>
      <c r="H17" s="35" t="n">
        <v>0</v>
      </c>
      <c r="I17" s="35" t="n">
        <v>1</v>
      </c>
      <c r="J17" s="35" t="n">
        <v>0</v>
      </c>
      <c r="K17" s="35" t="n">
        <v>1</v>
      </c>
      <c r="L17" s="35" t="n">
        <v>3</v>
      </c>
      <c r="M17" s="35" t="n">
        <v>1</v>
      </c>
      <c r="N17" s="35" t="n"/>
      <c r="O17" s="35" t="n"/>
      <c r="P17" s="35" t="n"/>
      <c r="Q17" s="35" t="n"/>
      <c r="R17" s="36">
        <f>IF($B17="","",IFERROR(SUMPRODUCT((Matriz_Hab&lt;&gt;"")*$D17:$Q17)/SUMPRODUCT(--(Matriz_Hab&lt;&gt;"")),""))</f>
        <v/>
      </c>
      <c r="S17" s="37">
        <f>IF($B17="","",SUMPRODUCT((Matriz_Hab&lt;&gt;"")*($D17:$Q17&gt;=2)))</f>
        <v/>
      </c>
    </row>
    <row r="18">
      <c r="A18" s="33">
        <f>IF('Equipe'!A18="","",'Equipe'!A18)</f>
        <v/>
      </c>
      <c r="B18" s="34">
        <f>IF('Equipe'!B18="","",'Equipe'!B18)</f>
        <v/>
      </c>
      <c r="C18" s="33">
        <f>IF('Equipe'!C18="","",'Equipe'!C18)</f>
        <v/>
      </c>
      <c r="D18" s="35" t="n">
        <v>2</v>
      </c>
      <c r="E18" s="35" t="n">
        <v>2</v>
      </c>
      <c r="F18" s="35" t="n">
        <v>1</v>
      </c>
      <c r="G18" s="35" t="n">
        <v>0</v>
      </c>
      <c r="H18" s="35" t="n">
        <v>0</v>
      </c>
      <c r="I18" s="35" t="n">
        <v>0</v>
      </c>
      <c r="J18" s="35" t="n">
        <v>0</v>
      </c>
      <c r="K18" s="35" t="n">
        <v>1</v>
      </c>
      <c r="L18" s="35" t="n">
        <v>2</v>
      </c>
      <c r="M18" s="35" t="n">
        <v>3</v>
      </c>
      <c r="N18" s="35" t="n"/>
      <c r="O18" s="35" t="n"/>
      <c r="P18" s="35" t="n"/>
      <c r="Q18" s="35" t="n"/>
      <c r="R18" s="36">
        <f>IF($B18="","",IFERROR(SUMPRODUCT((Matriz_Hab&lt;&gt;"")*$D18:$Q18)/SUMPRODUCT(--(Matriz_Hab&lt;&gt;"")),""))</f>
        <v/>
      </c>
      <c r="S18" s="37">
        <f>IF($B18="","",SUMPRODUCT((Matriz_Hab&lt;&gt;"")*($D18:$Q18&gt;=2)))</f>
        <v/>
      </c>
    </row>
    <row r="19">
      <c r="A19" s="33">
        <f>IF('Equipe'!A19="","",'Equipe'!A19)</f>
        <v/>
      </c>
      <c r="B19" s="34">
        <f>IF('Equipe'!B19="","",'Equipe'!B19)</f>
        <v/>
      </c>
      <c r="C19" s="33">
        <f>IF('Equipe'!C19="","",'Equipe'!C19)</f>
        <v/>
      </c>
      <c r="D19" s="35" t="n">
        <v>0</v>
      </c>
      <c r="E19" s="35" t="n">
        <v>3</v>
      </c>
      <c r="F19" s="35" t="n">
        <v>2</v>
      </c>
      <c r="G19" s="35" t="n">
        <v>2</v>
      </c>
      <c r="H19" s="35" t="n">
        <v>1</v>
      </c>
      <c r="I19" s="35" t="n">
        <v>0</v>
      </c>
      <c r="J19" s="35" t="n">
        <v>0</v>
      </c>
      <c r="K19" s="35" t="n">
        <v>0</v>
      </c>
      <c r="L19" s="35" t="n">
        <v>1</v>
      </c>
      <c r="M19" s="35" t="n">
        <v>0</v>
      </c>
      <c r="N19" s="35" t="n"/>
      <c r="O19" s="35" t="n"/>
      <c r="P19" s="35" t="n"/>
      <c r="Q19" s="35" t="n"/>
      <c r="R19" s="36">
        <f>IF($B19="","",IFERROR(SUMPRODUCT((Matriz_Hab&lt;&gt;"")*$D19:$Q19)/SUMPRODUCT(--(Matriz_Hab&lt;&gt;"")),""))</f>
        <v/>
      </c>
      <c r="S19" s="37">
        <f>IF($B19="","",SUMPRODUCT((Matriz_Hab&lt;&gt;"")*($D19:$Q19&gt;=2)))</f>
        <v/>
      </c>
    </row>
    <row r="20">
      <c r="A20" s="33">
        <f>IF('Equipe'!A20="","",'Equipe'!A20)</f>
        <v/>
      </c>
      <c r="B20" s="34">
        <f>IF('Equipe'!B20="","",'Equipe'!B20)</f>
        <v/>
      </c>
      <c r="C20" s="33">
        <f>IF('Equipe'!C20="","",'Equipe'!C20)</f>
        <v/>
      </c>
      <c r="D20" s="35" t="n">
        <v>3</v>
      </c>
      <c r="E20" s="35" t="n">
        <v>1</v>
      </c>
      <c r="F20" s="35" t="n">
        <v>1</v>
      </c>
      <c r="G20" s="35" t="n">
        <v>0</v>
      </c>
      <c r="H20" s="35" t="n">
        <v>1</v>
      </c>
      <c r="I20" s="35" t="n">
        <v>0</v>
      </c>
      <c r="J20" s="35" t="n">
        <v>0</v>
      </c>
      <c r="K20" s="35" t="n">
        <v>0</v>
      </c>
      <c r="L20" s="35" t="n">
        <v>1</v>
      </c>
      <c r="M20" s="35" t="n">
        <v>1</v>
      </c>
      <c r="N20" s="35" t="n"/>
      <c r="O20" s="35" t="n"/>
      <c r="P20" s="35" t="n"/>
      <c r="Q20" s="35" t="n"/>
      <c r="R20" s="36">
        <f>IF($B20="","",IFERROR(SUMPRODUCT((Matriz_Hab&lt;&gt;"")*$D20:$Q20)/SUMPRODUCT(--(Matriz_Hab&lt;&gt;"")),""))</f>
        <v/>
      </c>
      <c r="S20" s="37">
        <f>IF($B20="","",SUMPRODUCT((Matriz_Hab&lt;&gt;"")*($D20:$Q20&gt;=2)))</f>
        <v/>
      </c>
    </row>
    <row r="21">
      <c r="A21" s="33">
        <f>IF('Equipe'!A21="","",'Equipe'!A21)</f>
        <v/>
      </c>
      <c r="B21" s="34">
        <f>IF('Equipe'!B21="","",'Equipe'!B21)</f>
        <v/>
      </c>
      <c r="C21" s="33">
        <f>IF('Equipe'!C21="","",'Equipe'!C21)</f>
        <v/>
      </c>
      <c r="D21" s="35" t="n">
        <v>1</v>
      </c>
      <c r="E21" s="35" t="n">
        <v>1</v>
      </c>
      <c r="F21" s="35" t="n">
        <v>0</v>
      </c>
      <c r="G21" s="35" t="n">
        <v>1</v>
      </c>
      <c r="H21" s="35" t="n">
        <v>0</v>
      </c>
      <c r="I21" s="35" t="n">
        <v>0</v>
      </c>
      <c r="J21" s="35" t="n">
        <v>3</v>
      </c>
      <c r="K21" s="35" t="n">
        <v>1</v>
      </c>
      <c r="L21" s="35" t="n">
        <v>2</v>
      </c>
      <c r="M21" s="35" t="n">
        <v>1</v>
      </c>
      <c r="N21" s="35" t="n"/>
      <c r="O21" s="35" t="n"/>
      <c r="P21" s="35" t="n"/>
      <c r="Q21" s="35" t="n"/>
      <c r="R21" s="36">
        <f>IF($B21="","",IFERROR(SUMPRODUCT((Matriz_Hab&lt;&gt;"")*$D21:$Q21)/SUMPRODUCT(--(Matriz_Hab&lt;&gt;"")),""))</f>
        <v/>
      </c>
      <c r="S21" s="37">
        <f>IF($B21="","",SUMPRODUCT((Matriz_Hab&lt;&gt;"")*($D21:$Q21&gt;=2)))</f>
        <v/>
      </c>
    </row>
    <row r="22">
      <c r="A22" s="33">
        <f>IF('Equipe'!A22="","",'Equipe'!A22)</f>
        <v/>
      </c>
      <c r="B22" s="34">
        <f>IF('Equipe'!B22="","",'Equipe'!B22)</f>
        <v/>
      </c>
      <c r="C22" s="33">
        <f>IF('Equipe'!C22="","",'Equipe'!C22)</f>
        <v/>
      </c>
      <c r="D22" s="35" t="n">
        <v>0</v>
      </c>
      <c r="E22" s="35" t="n">
        <v>1</v>
      </c>
      <c r="F22" s="35" t="n">
        <v>1</v>
      </c>
      <c r="G22" s="35" t="n">
        <v>1</v>
      </c>
      <c r="H22" s="35" t="n">
        <v>1</v>
      </c>
      <c r="I22" s="35" t="n">
        <v>1</v>
      </c>
      <c r="J22" s="35" t="n">
        <v>3</v>
      </c>
      <c r="K22" s="35" t="n">
        <v>1</v>
      </c>
      <c r="L22" s="35" t="n">
        <v>2</v>
      </c>
      <c r="M22" s="35" t="n">
        <v>1</v>
      </c>
      <c r="N22" s="35" t="n"/>
      <c r="O22" s="35" t="n"/>
      <c r="P22" s="35" t="n"/>
      <c r="Q22" s="35" t="n"/>
      <c r="R22" s="36">
        <f>IF($B22="","",IFERROR(SUMPRODUCT((Matriz_Hab&lt;&gt;"")*$D22:$Q22)/SUMPRODUCT(--(Matriz_Hab&lt;&gt;"")),""))</f>
        <v/>
      </c>
      <c r="S22" s="37">
        <f>IF($B22="","",SUMPRODUCT((Matriz_Hab&lt;&gt;"")*($D22:$Q22&gt;=2)))</f>
        <v/>
      </c>
    </row>
    <row r="23">
      <c r="A23" s="33">
        <f>IF('Equipe'!A23="","",'Equipe'!A23)</f>
        <v/>
      </c>
      <c r="B23" s="34">
        <f>IF('Equipe'!B23="","",'Equipe'!B23)</f>
        <v/>
      </c>
      <c r="C23" s="33">
        <f>IF('Equipe'!C23="","",'Equipe'!C23)</f>
        <v/>
      </c>
      <c r="D23" s="35" t="n">
        <v>1</v>
      </c>
      <c r="E23" s="35" t="n">
        <v>1</v>
      </c>
      <c r="F23" s="35" t="n">
        <v>1</v>
      </c>
      <c r="G23" s="35" t="n">
        <v>0</v>
      </c>
      <c r="H23" s="35" t="n">
        <v>1</v>
      </c>
      <c r="I23" s="35" t="n">
        <v>1</v>
      </c>
      <c r="J23" s="35" t="n">
        <v>0</v>
      </c>
      <c r="K23" s="35" t="n">
        <v>0</v>
      </c>
      <c r="L23" s="35" t="n">
        <v>3</v>
      </c>
      <c r="M23" s="35" t="n">
        <v>1</v>
      </c>
      <c r="N23" s="35" t="n"/>
      <c r="O23" s="35" t="n"/>
      <c r="P23" s="35" t="n"/>
      <c r="Q23" s="35" t="n"/>
      <c r="R23" s="36">
        <f>IF($B23="","",IFERROR(SUMPRODUCT((Matriz_Hab&lt;&gt;"")*$D23:$Q23)/SUMPRODUCT(--(Matriz_Hab&lt;&gt;"")),""))</f>
        <v/>
      </c>
      <c r="S23" s="37">
        <f>IF($B23="","",SUMPRODUCT((Matriz_Hab&lt;&gt;"")*($D23:$Q23&gt;=2)))</f>
        <v/>
      </c>
    </row>
    <row r="24">
      <c r="A24" s="33">
        <f>IF('Equipe'!A24="","",'Equipe'!A24)</f>
        <v/>
      </c>
      <c r="B24" s="34">
        <f>IF('Equipe'!B24="","",'Equipe'!B24)</f>
        <v/>
      </c>
      <c r="C24" s="33">
        <f>IF('Equipe'!C24="","",'Equipe'!C24)</f>
        <v/>
      </c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>
        <f>IF($B24="","",IFERROR(SUMPRODUCT((Matriz_Hab&lt;&gt;"")*$D24:$Q24)/SUMPRODUCT(--(Matriz_Hab&lt;&gt;"")),""))</f>
        <v/>
      </c>
      <c r="S24" s="37">
        <f>IF($B24="","",SUMPRODUCT((Matriz_Hab&lt;&gt;"")*($D24:$Q24&gt;=2)))</f>
        <v/>
      </c>
    </row>
    <row r="25">
      <c r="A25" s="33">
        <f>IF('Equipe'!A25="","",'Equipe'!A25)</f>
        <v/>
      </c>
      <c r="B25" s="34">
        <f>IF('Equipe'!B25="","",'Equipe'!B25)</f>
        <v/>
      </c>
      <c r="C25" s="33">
        <f>IF('Equipe'!C25="","",'Equipe'!C25)</f>
        <v/>
      </c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35" t="n"/>
      <c r="R25" s="36">
        <f>IF($B25="","",IFERROR(SUMPRODUCT((Matriz_Hab&lt;&gt;"")*$D25:$Q25)/SUMPRODUCT(--(Matriz_Hab&lt;&gt;"")),""))</f>
        <v/>
      </c>
      <c r="S25" s="37">
        <f>IF($B25="","",SUMPRODUCT((Matriz_Hab&lt;&gt;"")*($D25:$Q25&gt;=2)))</f>
        <v/>
      </c>
    </row>
    <row r="26">
      <c r="A26" s="33">
        <f>IF('Equipe'!A26="","",'Equipe'!A26)</f>
        <v/>
      </c>
      <c r="B26" s="34">
        <f>IF('Equipe'!B26="","",'Equipe'!B26)</f>
        <v/>
      </c>
      <c r="C26" s="33">
        <f>IF('Equipe'!C26="","",'Equipe'!C26)</f>
        <v/>
      </c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35" t="n"/>
      <c r="R26" s="36">
        <f>IF($B26="","",IFERROR(SUMPRODUCT((Matriz_Hab&lt;&gt;"")*$D26:$Q26)/SUMPRODUCT(--(Matriz_Hab&lt;&gt;"")),""))</f>
        <v/>
      </c>
      <c r="S26" s="37">
        <f>IF($B26="","",SUMPRODUCT((Matriz_Hab&lt;&gt;"")*($D26:$Q26&gt;=2)))</f>
        <v/>
      </c>
    </row>
    <row r="27">
      <c r="A27" s="33">
        <f>IF('Equipe'!A27="","",'Equipe'!A27)</f>
        <v/>
      </c>
      <c r="B27" s="34">
        <f>IF('Equipe'!B27="","",'Equipe'!B27)</f>
        <v/>
      </c>
      <c r="C27" s="33">
        <f>IF('Equipe'!C27="","",'Equipe'!C27)</f>
        <v/>
      </c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35" t="n"/>
      <c r="R27" s="36">
        <f>IF($B27="","",IFERROR(SUMPRODUCT((Matriz_Hab&lt;&gt;"")*$D27:$Q27)/SUMPRODUCT(--(Matriz_Hab&lt;&gt;"")),""))</f>
        <v/>
      </c>
      <c r="S27" s="37">
        <f>IF($B27="","",SUMPRODUCT((Matriz_Hab&lt;&gt;"")*($D27:$Q27&gt;=2)))</f>
        <v/>
      </c>
    </row>
    <row r="28">
      <c r="A28" s="33">
        <f>IF('Equipe'!A28="","",'Equipe'!A28)</f>
        <v/>
      </c>
      <c r="B28" s="34">
        <f>IF('Equipe'!B28="","",'Equipe'!B28)</f>
        <v/>
      </c>
      <c r="C28" s="33">
        <f>IF('Equipe'!C28="","",'Equipe'!C28)</f>
        <v/>
      </c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35" t="n"/>
      <c r="R28" s="36">
        <f>IF($B28="","",IFERROR(SUMPRODUCT((Matriz_Hab&lt;&gt;"")*$D28:$Q28)/SUMPRODUCT(--(Matriz_Hab&lt;&gt;"")),""))</f>
        <v/>
      </c>
      <c r="S28" s="37">
        <f>IF($B28="","",SUMPRODUCT((Matriz_Hab&lt;&gt;"")*($D28:$Q28&gt;=2)))</f>
        <v/>
      </c>
    </row>
    <row r="29">
      <c r="A29" s="33">
        <f>IF('Equipe'!A29="","",'Equipe'!A29)</f>
        <v/>
      </c>
      <c r="B29" s="34">
        <f>IF('Equipe'!B29="","",'Equipe'!B29)</f>
        <v/>
      </c>
      <c r="C29" s="33">
        <f>IF('Equipe'!C29="","",'Equipe'!C29)</f>
        <v/>
      </c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35" t="n"/>
      <c r="R29" s="36">
        <f>IF($B29="","",IFERROR(SUMPRODUCT((Matriz_Hab&lt;&gt;"")*$D29:$Q29)/SUMPRODUCT(--(Matriz_Hab&lt;&gt;"")),""))</f>
        <v/>
      </c>
      <c r="S29" s="37">
        <f>IF($B29="","",SUMPRODUCT((Matriz_Hab&lt;&gt;"")*($D29:$Q29&gt;=2)))</f>
        <v/>
      </c>
    </row>
    <row r="30">
      <c r="A30" s="33">
        <f>IF('Equipe'!A30="","",'Equipe'!A30)</f>
        <v/>
      </c>
      <c r="B30" s="34">
        <f>IF('Equipe'!B30="","",'Equipe'!B30)</f>
        <v/>
      </c>
      <c r="C30" s="33">
        <f>IF('Equipe'!C30="","",'Equipe'!C30)</f>
        <v/>
      </c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35" t="n"/>
      <c r="R30" s="36">
        <f>IF($B30="","",IFERROR(SUMPRODUCT((Matriz_Hab&lt;&gt;"")*$D30:$Q30)/SUMPRODUCT(--(Matriz_Hab&lt;&gt;"")),""))</f>
        <v/>
      </c>
      <c r="S30" s="37">
        <f>IF($B30="","",SUMPRODUCT((Matriz_Hab&lt;&gt;"")*($D30:$Q30&gt;=2)))</f>
        <v/>
      </c>
    </row>
    <row r="31">
      <c r="A31" s="33">
        <f>IF('Equipe'!A31="","",'Equipe'!A31)</f>
        <v/>
      </c>
      <c r="B31" s="34">
        <f>IF('Equipe'!B31="","",'Equipe'!B31)</f>
        <v/>
      </c>
      <c r="C31" s="33">
        <f>IF('Equipe'!C31="","",'Equipe'!C31)</f>
        <v/>
      </c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35" t="n"/>
      <c r="R31" s="36">
        <f>IF($B31="","",IFERROR(SUMPRODUCT((Matriz_Hab&lt;&gt;"")*$D31:$Q31)/SUMPRODUCT(--(Matriz_Hab&lt;&gt;"")),""))</f>
        <v/>
      </c>
      <c r="S31" s="37">
        <f>IF($B31="","",SUMPRODUCT((Matriz_Hab&lt;&gt;"")*($D31:$Q31&gt;=2)))</f>
        <v/>
      </c>
    </row>
  </sheetData>
  <conditionalFormatting sqref="D2:Q31">
    <cfRule type="colorScale" priority="1">
      <colorScale>
        <cfvo type="num" val="0"/>
        <cfvo type="num" val="1.5"/>
        <cfvo type="num" val="3"/>
        <color rgb="00FFFFFF"/>
        <color rgb="00D9E9D2"/>
        <color rgb="004CAF50"/>
      </colorScale>
    </cfRule>
  </conditionalFormatting>
  <dataValidations count="1">
    <dataValidation sqref="D2:Q31" showDropDown="0" showInputMessage="0" showErrorMessage="1" allowBlank="1" errorTitle="Nível inválido" error="Use 0 (não apto), 1 (em treinamento), 2 (apto) ou 3 (referência)." type="whole" operator="between">
      <formula1>0</formula1>
      <formula2>3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5" customWidth="1" min="2" max="2"/>
    <col width="13" customWidth="1" min="3" max="3"/>
    <col width="13" customWidth="1" min="4" max="4"/>
    <col width="8" customWidth="1" min="5" max="5"/>
    <col width="34" customWidth="1" min="6" max="6"/>
    <col hidden="1" width="10" customWidth="1" min="7" max="7"/>
    <col hidden="1" width="8" customWidth="1" min="8" max="8"/>
  </cols>
  <sheetData>
    <row r="1" ht="22" customHeight="1">
      <c r="A1" s="14" t="inlineStr">
        <is>
          <t>Técnico</t>
        </is>
      </c>
      <c r="B1" s="14" t="inlineStr">
        <is>
          <t>Tipo</t>
        </is>
      </c>
      <c r="C1" s="14" t="inlineStr">
        <is>
          <t>Data início</t>
        </is>
      </c>
      <c r="D1" s="14" t="inlineStr">
        <is>
          <t>Data fim</t>
        </is>
      </c>
      <c r="E1" s="14" t="inlineStr">
        <is>
          <t>Dias</t>
        </is>
      </c>
      <c r="F1" s="14" t="inlineStr">
        <is>
          <t>Observação</t>
        </is>
      </c>
      <c r="G1" s="14" t="inlineStr">
        <is>
          <t>aux_ativa</t>
        </is>
      </c>
      <c r="H1" s="14" t="inlineStr">
        <is>
          <t>aux_cod</t>
        </is>
      </c>
    </row>
    <row r="2">
      <c r="A2" s="30" t="inlineStr">
        <is>
          <t>Zuleide Marcon</t>
        </is>
      </c>
      <c r="B2" s="29" t="inlineStr">
        <is>
          <t>Férias</t>
        </is>
      </c>
      <c r="C2" s="38" t="n">
        <v>46244</v>
      </c>
      <c r="D2" s="38" t="n">
        <v>46258</v>
      </c>
      <c r="E2" s="37">
        <f>IF(OR($A2="",NOT(ISNUMBER($C2)),NOT(ISNUMBER($D2))),"",$D2-$C2+1)</f>
        <v/>
      </c>
      <c r="F2" s="30" t="inlineStr">
        <is>
          <t>Férias programadas</t>
        </is>
      </c>
      <c r="G2" s="10">
        <f>IF(AND($A2&lt;&gt;"",ISNUMBER($C2),ISNUMBER($D2),$C2&lt;=Data_Mapa,$D2&gt;=Data_Mapa),$A2,"")</f>
        <v/>
      </c>
      <c r="H2" s="10">
        <f>IF($A2="",0,IFERROR(MATCH($B2,Aus_Tipos,0),0))</f>
        <v/>
      </c>
    </row>
    <row r="3">
      <c r="A3" s="30" t="inlineStr">
        <is>
          <t>Ismael Kanitz</t>
        </is>
      </c>
      <c r="B3" s="29" t="inlineStr">
        <is>
          <t>Férias</t>
        </is>
      </c>
      <c r="C3" s="38" t="n">
        <v>46240</v>
      </c>
      <c r="D3" s="38" t="n">
        <v>46254</v>
      </c>
      <c r="E3" s="37">
        <f>IF(OR($A3="",NOT(ISNUMBER($C3)),NOT(ISNUMBER($D3))),"",$D3-$C3+1)</f>
        <v/>
      </c>
      <c r="F3" s="30" t="inlineStr">
        <is>
          <t>Férias programadas</t>
        </is>
      </c>
      <c r="G3" s="10">
        <f>IF(AND($A3&lt;&gt;"",ISNUMBER($C3),ISNUMBER($D3),$C3&lt;=Data_Mapa,$D3&gt;=Data_Mapa),$A3,"")</f>
        <v/>
      </c>
      <c r="H3" s="10">
        <f>IF($A3="",0,IFERROR(MATCH($B3,Aus_Tipos,0),0))</f>
        <v/>
      </c>
    </row>
    <row r="4">
      <c r="A4" s="30" t="inlineStr">
        <is>
          <t>Wanessa Piccoli</t>
        </is>
      </c>
      <c r="B4" s="29" t="inlineStr">
        <is>
          <t>Atestado</t>
        </is>
      </c>
      <c r="C4" s="38" t="n">
        <v>46253</v>
      </c>
      <c r="D4" s="38" t="n">
        <v>46255</v>
      </c>
      <c r="E4" s="37">
        <f>IF(OR($A4="",NOT(ISNUMBER($C4)),NOT(ISNUMBER($D4))),"",$D4-$C4+1)</f>
        <v/>
      </c>
      <c r="F4" s="30" t="inlineStr">
        <is>
          <t>Atestado médico — 3 dias</t>
        </is>
      </c>
      <c r="G4" s="10">
        <f>IF(AND($A4&lt;&gt;"",ISNUMBER($C4),ISNUMBER($D4),$C4&lt;=Data_Mapa,$D4&gt;=Data_Mapa),$A4,"")</f>
        <v/>
      </c>
      <c r="H4" s="10">
        <f>IF($A4="",0,IFERROR(MATCH($B4,Aus_Tipos,0),0))</f>
        <v/>
      </c>
    </row>
    <row r="5">
      <c r="A5" s="30" t="inlineStr">
        <is>
          <t>Elaine Mafra</t>
        </is>
      </c>
      <c r="B5" s="29" t="inlineStr">
        <is>
          <t>Folga</t>
        </is>
      </c>
      <c r="C5" s="38" t="n">
        <v>46254</v>
      </c>
      <c r="D5" s="38" t="n">
        <v>46254</v>
      </c>
      <c r="E5" s="37">
        <f>IF(OR($A5="",NOT(ISNUMBER($C5)),NOT(ISNUMBER($D5))),"",$D5-$C5+1)</f>
        <v/>
      </c>
      <c r="F5" s="30" t="inlineStr">
        <is>
          <t>Folga da escala</t>
        </is>
      </c>
      <c r="G5" s="10">
        <f>IF(AND($A5&lt;&gt;"",ISNUMBER($C5),ISNUMBER($D5),$C5&lt;=Data_Mapa,$D5&gt;=Data_Mapa),$A5,"")</f>
        <v/>
      </c>
      <c r="H5" s="10">
        <f>IF($A5="",0,IFERROR(MATCH($B5,Aus_Tipos,0),0))</f>
        <v/>
      </c>
    </row>
    <row r="6">
      <c r="A6" s="30" t="inlineStr">
        <is>
          <t>Adriana Salvi</t>
        </is>
      </c>
      <c r="B6" s="29" t="inlineStr">
        <is>
          <t>Folga</t>
        </is>
      </c>
      <c r="C6" s="38" t="n">
        <v>46246</v>
      </c>
      <c r="D6" s="38" t="n">
        <v>46246</v>
      </c>
      <c r="E6" s="37">
        <f>IF(OR($A6="",NOT(ISNUMBER($C6)),NOT(ISNUMBER($D6))),"",$D6-$C6+1)</f>
        <v/>
      </c>
      <c r="F6" s="30" t="inlineStr"/>
      <c r="G6" s="10">
        <f>IF(AND($A6&lt;&gt;"",ISNUMBER($C6),ISNUMBER($D6),$C6&lt;=Data_Mapa,$D6&gt;=Data_Mapa),$A6,"")</f>
        <v/>
      </c>
      <c r="H6" s="10">
        <f>IF($A6="",0,IFERROR(MATCH($B6,Aus_Tipos,0),0))</f>
        <v/>
      </c>
    </row>
    <row r="7">
      <c r="A7" s="30" t="inlineStr">
        <is>
          <t>Bruna Cordeiro</t>
        </is>
      </c>
      <c r="B7" s="29" t="inlineStr">
        <is>
          <t>Folga</t>
        </is>
      </c>
      <c r="C7" s="38" t="n">
        <v>46247</v>
      </c>
      <c r="D7" s="38" t="n">
        <v>46247</v>
      </c>
      <c r="E7" s="37">
        <f>IF(OR($A7="",NOT(ISNUMBER($C7)),NOT(ISNUMBER($D7))),"",$D7-$C7+1)</f>
        <v/>
      </c>
      <c r="F7" s="30" t="inlineStr"/>
      <c r="G7" s="10">
        <f>IF(AND($A7&lt;&gt;"",ISNUMBER($C7),ISNUMBER($D7),$C7&lt;=Data_Mapa,$D7&gt;=Data_Mapa),$A7,"")</f>
        <v/>
      </c>
      <c r="H7" s="10">
        <f>IF($A7="",0,IFERROR(MATCH($B7,Aus_Tipos,0),0))</f>
        <v/>
      </c>
    </row>
    <row r="8">
      <c r="A8" s="30" t="inlineStr">
        <is>
          <t>Camila Bertoldi</t>
        </is>
      </c>
      <c r="B8" s="29" t="inlineStr">
        <is>
          <t>Folga</t>
        </is>
      </c>
      <c r="C8" s="38" t="n">
        <v>46251</v>
      </c>
      <c r="D8" s="38" t="n">
        <v>46251</v>
      </c>
      <c r="E8" s="37">
        <f>IF(OR($A8="",NOT(ISNUMBER($C8)),NOT(ISNUMBER($D8))),"",$D8-$C8+1)</f>
        <v/>
      </c>
      <c r="F8" s="30" t="inlineStr"/>
      <c r="G8" s="10">
        <f>IF(AND($A8&lt;&gt;"",ISNUMBER($C8),ISNUMBER($D8),$C8&lt;=Data_Mapa,$D8&gt;=Data_Mapa),$A8,"")</f>
        <v/>
      </c>
      <c r="H8" s="10">
        <f>IF($A8="",0,IFERROR(MATCH($B8,Aus_Tipos,0),0))</f>
        <v/>
      </c>
    </row>
    <row r="9">
      <c r="A9" s="30" t="inlineStr">
        <is>
          <t>Daiane Prestes</t>
        </is>
      </c>
      <c r="B9" s="29" t="inlineStr">
        <is>
          <t>Folga</t>
        </is>
      </c>
      <c r="C9" s="38" t="n">
        <v>46252</v>
      </c>
      <c r="D9" s="38" t="n">
        <v>46252</v>
      </c>
      <c r="E9" s="37">
        <f>IF(OR($A9="",NOT(ISNUMBER($C9)),NOT(ISNUMBER($D9))),"",$D9-$C9+1)</f>
        <v/>
      </c>
      <c r="F9" s="30" t="inlineStr"/>
      <c r="G9" s="10">
        <f>IF(AND($A9&lt;&gt;"",ISNUMBER($C9),ISNUMBER($D9),$C9&lt;=Data_Mapa,$D9&gt;=Data_Mapa),$A9,"")</f>
        <v/>
      </c>
      <c r="H9" s="10">
        <f>IF($A9="",0,IFERROR(MATCH($B9,Aus_Tipos,0),0))</f>
        <v/>
      </c>
    </row>
    <row r="10">
      <c r="A10" s="30" t="inlineStr">
        <is>
          <t>Fernanda Klein</t>
        </is>
      </c>
      <c r="B10" s="29" t="inlineStr">
        <is>
          <t>Folga</t>
        </is>
      </c>
      <c r="C10" s="38" t="n">
        <v>46258</v>
      </c>
      <c r="D10" s="38" t="n">
        <v>46258</v>
      </c>
      <c r="E10" s="37">
        <f>IF(OR($A10="",NOT(ISNUMBER($C10)),NOT(ISNUMBER($D10))),"",$D10-$C10+1)</f>
        <v/>
      </c>
      <c r="F10" s="30" t="inlineStr"/>
      <c r="G10" s="10">
        <f>IF(AND($A10&lt;&gt;"",ISNUMBER($C10),ISNUMBER($D10),$C10&lt;=Data_Mapa,$D10&gt;=Data_Mapa),$A10,"")</f>
        <v/>
      </c>
      <c r="H10" s="10">
        <f>IF($A10="",0,IFERROR(MATCH($B10,Aus_Tipos,0),0))</f>
        <v/>
      </c>
    </row>
    <row r="11">
      <c r="A11" s="30" t="inlineStr">
        <is>
          <t>Gisele Antunes</t>
        </is>
      </c>
      <c r="B11" s="29" t="inlineStr">
        <is>
          <t>Treinamento</t>
        </is>
      </c>
      <c r="C11" s="38" t="n">
        <v>46260</v>
      </c>
      <c r="D11" s="38" t="n">
        <v>46261</v>
      </c>
      <c r="E11" s="37">
        <f>IF(OR($A11="",NOT(ISNUMBER($C11)),NOT(ISNUMBER($D11))),"",$D11-$C11+1)</f>
        <v/>
      </c>
      <c r="F11" s="30" t="inlineStr">
        <is>
          <t>Curso de CME</t>
        </is>
      </c>
      <c r="G11" s="10">
        <f>IF(AND($A11&lt;&gt;"",ISNUMBER($C11),ISNUMBER($D11),$C11&lt;=Data_Mapa,$D11&gt;=Data_Mapa),$A11,"")</f>
        <v/>
      </c>
      <c r="H11" s="10">
        <f>IF($A11="",0,IFERROR(MATCH($B11,Aus_Tipos,0),0))</f>
        <v/>
      </c>
    </row>
    <row r="12">
      <c r="A12" s="30" t="inlineStr">
        <is>
          <t>Marcia Tonet</t>
        </is>
      </c>
      <c r="B12" s="29" t="inlineStr">
        <is>
          <t>Folga</t>
        </is>
      </c>
      <c r="C12" s="38" t="n">
        <v>46259</v>
      </c>
      <c r="D12" s="38" t="n">
        <v>46259</v>
      </c>
      <c r="E12" s="37">
        <f>IF(OR($A12="",NOT(ISNUMBER($C12)),NOT(ISNUMBER($D12))),"",$D12-$C12+1)</f>
        <v/>
      </c>
      <c r="F12" s="30" t="inlineStr"/>
      <c r="G12" s="10">
        <f>IF(AND($A12&lt;&gt;"",ISNUMBER($C12),ISNUMBER($D12),$C12&lt;=Data_Mapa,$D12&gt;=Data_Mapa),$A12,"")</f>
        <v/>
      </c>
      <c r="H12" s="10">
        <f>IF($A12="",0,IFERROR(MATCH($B12,Aus_Tipos,0),0))</f>
        <v/>
      </c>
    </row>
    <row r="13">
      <c r="A13" s="30" t="inlineStr">
        <is>
          <t>Odair Bianchi</t>
        </is>
      </c>
      <c r="B13" s="29" t="inlineStr">
        <is>
          <t>Licença</t>
        </is>
      </c>
      <c r="C13" s="38" t="n">
        <v>46262</v>
      </c>
      <c r="D13" s="38" t="n">
        <v>46265</v>
      </c>
      <c r="E13" s="37">
        <f>IF(OR($A13="",NOT(ISNUMBER($C13)),NOT(ISNUMBER($D13))),"",$D13-$C13+1)</f>
        <v/>
      </c>
      <c r="F13" s="30" t="inlineStr">
        <is>
          <t>Licença nojo</t>
        </is>
      </c>
      <c r="G13" s="10">
        <f>IF(AND($A13&lt;&gt;"",ISNUMBER($C13),ISNUMBER($D13),$C13&lt;=Data_Mapa,$D13&gt;=Data_Mapa),$A13,"")</f>
        <v/>
      </c>
      <c r="H13" s="10">
        <f>IF($A13="",0,IFERROR(MATCH($B13,Aus_Tipos,0),0))</f>
        <v/>
      </c>
    </row>
    <row r="14">
      <c r="A14" s="30" t="inlineStr">
        <is>
          <t>Patrícia Zortéa</t>
        </is>
      </c>
      <c r="B14" s="29" t="inlineStr">
        <is>
          <t>Atestado</t>
        </is>
      </c>
      <c r="C14" s="38" t="n">
        <v>46239</v>
      </c>
      <c r="D14" s="38" t="n">
        <v>46240</v>
      </c>
      <c r="E14" s="37">
        <f>IF(OR($A14="",NOT(ISNUMBER($C14)),NOT(ISNUMBER($D14))),"",$D14-$C14+1)</f>
        <v/>
      </c>
      <c r="F14" s="30" t="inlineStr">
        <is>
          <t>Atestado médico</t>
        </is>
      </c>
      <c r="G14" s="10">
        <f>IF(AND($A14&lt;&gt;"",ISNUMBER($C14),ISNUMBER($D14),$C14&lt;=Data_Mapa,$D14&gt;=Data_Mapa),$A14,"")</f>
        <v/>
      </c>
      <c r="H14" s="10">
        <f>IF($A14="",0,IFERROR(MATCH($B14,Aus_Tipos,0),0))</f>
        <v/>
      </c>
    </row>
    <row r="15">
      <c r="A15" s="30" t="n"/>
      <c r="B15" s="29" t="n"/>
      <c r="C15" s="38" t="n"/>
      <c r="D15" s="38" t="n"/>
      <c r="E15" s="37">
        <f>IF(OR($A15="",NOT(ISNUMBER($C15)),NOT(ISNUMBER($D15))),"",$D15-$C15+1)</f>
        <v/>
      </c>
      <c r="F15" s="30" t="n"/>
      <c r="G15" s="10">
        <f>IF(AND($A15&lt;&gt;"",ISNUMBER($C15),ISNUMBER($D15),$C15&lt;=Data_Mapa,$D15&gt;=Data_Mapa),$A15,"")</f>
        <v/>
      </c>
      <c r="H15" s="10">
        <f>IF($A15="",0,IFERROR(MATCH($B15,Aus_Tipos,0),0))</f>
        <v/>
      </c>
    </row>
    <row r="16">
      <c r="A16" s="30" t="n"/>
      <c r="B16" s="29" t="n"/>
      <c r="C16" s="38" t="n"/>
      <c r="D16" s="38" t="n"/>
      <c r="E16" s="37">
        <f>IF(OR($A16="",NOT(ISNUMBER($C16)),NOT(ISNUMBER($D16))),"",$D16-$C16+1)</f>
        <v/>
      </c>
      <c r="F16" s="30" t="n"/>
      <c r="G16" s="10">
        <f>IF(AND($A16&lt;&gt;"",ISNUMBER($C16),ISNUMBER($D16),$C16&lt;=Data_Mapa,$D16&gt;=Data_Mapa),$A16,"")</f>
        <v/>
      </c>
      <c r="H16" s="10">
        <f>IF($A16="",0,IFERROR(MATCH($B16,Aus_Tipos,0),0))</f>
        <v/>
      </c>
    </row>
    <row r="17">
      <c r="A17" s="30" t="n"/>
      <c r="B17" s="29" t="n"/>
      <c r="C17" s="38" t="n"/>
      <c r="D17" s="38" t="n"/>
      <c r="E17" s="37">
        <f>IF(OR($A17="",NOT(ISNUMBER($C17)),NOT(ISNUMBER($D17))),"",$D17-$C17+1)</f>
        <v/>
      </c>
      <c r="F17" s="30" t="n"/>
      <c r="G17" s="10">
        <f>IF(AND($A17&lt;&gt;"",ISNUMBER($C17),ISNUMBER($D17),$C17&lt;=Data_Mapa,$D17&gt;=Data_Mapa),$A17,"")</f>
        <v/>
      </c>
      <c r="H17" s="10">
        <f>IF($A17="",0,IFERROR(MATCH($B17,Aus_Tipos,0),0))</f>
        <v/>
      </c>
    </row>
    <row r="18">
      <c r="A18" s="30" t="n"/>
      <c r="B18" s="29" t="n"/>
      <c r="C18" s="38" t="n"/>
      <c r="D18" s="38" t="n"/>
      <c r="E18" s="37">
        <f>IF(OR($A18="",NOT(ISNUMBER($C18)),NOT(ISNUMBER($D18))),"",$D18-$C18+1)</f>
        <v/>
      </c>
      <c r="F18" s="30" t="n"/>
      <c r="G18" s="10">
        <f>IF(AND($A18&lt;&gt;"",ISNUMBER($C18),ISNUMBER($D18),$C18&lt;=Data_Mapa,$D18&gt;=Data_Mapa),$A18,"")</f>
        <v/>
      </c>
      <c r="H18" s="10">
        <f>IF($A18="",0,IFERROR(MATCH($B18,Aus_Tipos,0),0))</f>
        <v/>
      </c>
    </row>
    <row r="19">
      <c r="A19" s="30" t="n"/>
      <c r="B19" s="29" t="n"/>
      <c r="C19" s="38" t="n"/>
      <c r="D19" s="38" t="n"/>
      <c r="E19" s="37">
        <f>IF(OR($A19="",NOT(ISNUMBER($C19)),NOT(ISNUMBER($D19))),"",$D19-$C19+1)</f>
        <v/>
      </c>
      <c r="F19" s="30" t="n"/>
      <c r="G19" s="10">
        <f>IF(AND($A19&lt;&gt;"",ISNUMBER($C19),ISNUMBER($D19),$C19&lt;=Data_Mapa,$D19&gt;=Data_Mapa),$A19,"")</f>
        <v/>
      </c>
      <c r="H19" s="10">
        <f>IF($A19="",0,IFERROR(MATCH($B19,Aus_Tipos,0),0))</f>
        <v/>
      </c>
    </row>
    <row r="20">
      <c r="A20" s="30" t="n"/>
      <c r="B20" s="29" t="n"/>
      <c r="C20" s="38" t="n"/>
      <c r="D20" s="38" t="n"/>
      <c r="E20" s="37">
        <f>IF(OR($A20="",NOT(ISNUMBER($C20)),NOT(ISNUMBER($D20))),"",$D20-$C20+1)</f>
        <v/>
      </c>
      <c r="F20" s="30" t="n"/>
      <c r="G20" s="10">
        <f>IF(AND($A20&lt;&gt;"",ISNUMBER($C20),ISNUMBER($D20),$C20&lt;=Data_Mapa,$D20&gt;=Data_Mapa),$A20,"")</f>
        <v/>
      </c>
      <c r="H20" s="10">
        <f>IF($A20="",0,IFERROR(MATCH($B20,Aus_Tipos,0),0))</f>
        <v/>
      </c>
    </row>
    <row r="21">
      <c r="A21" s="30" t="n"/>
      <c r="B21" s="29" t="n"/>
      <c r="C21" s="38" t="n"/>
      <c r="D21" s="38" t="n"/>
      <c r="E21" s="37">
        <f>IF(OR($A21="",NOT(ISNUMBER($C21)),NOT(ISNUMBER($D21))),"",$D21-$C21+1)</f>
        <v/>
      </c>
      <c r="F21" s="30" t="n"/>
      <c r="G21" s="10">
        <f>IF(AND($A21&lt;&gt;"",ISNUMBER($C21),ISNUMBER($D21),$C21&lt;=Data_Mapa,$D21&gt;=Data_Mapa),$A21,"")</f>
        <v/>
      </c>
      <c r="H21" s="10">
        <f>IF($A21="",0,IFERROR(MATCH($B21,Aus_Tipos,0),0))</f>
        <v/>
      </c>
    </row>
    <row r="22">
      <c r="A22" s="30" t="n"/>
      <c r="B22" s="29" t="n"/>
      <c r="C22" s="38" t="n"/>
      <c r="D22" s="38" t="n"/>
      <c r="E22" s="37">
        <f>IF(OR($A22="",NOT(ISNUMBER($C22)),NOT(ISNUMBER($D22))),"",$D22-$C22+1)</f>
        <v/>
      </c>
      <c r="F22" s="30" t="n"/>
      <c r="G22" s="10">
        <f>IF(AND($A22&lt;&gt;"",ISNUMBER($C22),ISNUMBER($D22),$C22&lt;=Data_Mapa,$D22&gt;=Data_Mapa),$A22,"")</f>
        <v/>
      </c>
      <c r="H22" s="10">
        <f>IF($A22="",0,IFERROR(MATCH($B22,Aus_Tipos,0),0))</f>
        <v/>
      </c>
    </row>
    <row r="23">
      <c r="A23" s="30" t="n"/>
      <c r="B23" s="29" t="n"/>
      <c r="C23" s="38" t="n"/>
      <c r="D23" s="38" t="n"/>
      <c r="E23" s="37">
        <f>IF(OR($A23="",NOT(ISNUMBER($C23)),NOT(ISNUMBER($D23))),"",$D23-$C23+1)</f>
        <v/>
      </c>
      <c r="F23" s="30" t="n"/>
      <c r="G23" s="10">
        <f>IF(AND($A23&lt;&gt;"",ISNUMBER($C23),ISNUMBER($D23),$C23&lt;=Data_Mapa,$D23&gt;=Data_Mapa),$A23,"")</f>
        <v/>
      </c>
      <c r="H23" s="10">
        <f>IF($A23="",0,IFERROR(MATCH($B23,Aus_Tipos,0),0))</f>
        <v/>
      </c>
    </row>
    <row r="24">
      <c r="A24" s="30" t="n"/>
      <c r="B24" s="29" t="n"/>
      <c r="C24" s="38" t="n"/>
      <c r="D24" s="38" t="n"/>
      <c r="E24" s="37">
        <f>IF(OR($A24="",NOT(ISNUMBER($C24)),NOT(ISNUMBER($D24))),"",$D24-$C24+1)</f>
        <v/>
      </c>
      <c r="F24" s="30" t="n"/>
      <c r="G24" s="10">
        <f>IF(AND($A24&lt;&gt;"",ISNUMBER($C24),ISNUMBER($D24),$C24&lt;=Data_Mapa,$D24&gt;=Data_Mapa),$A24,"")</f>
        <v/>
      </c>
      <c r="H24" s="10">
        <f>IF($A24="",0,IFERROR(MATCH($B24,Aus_Tipos,0),0))</f>
        <v/>
      </c>
    </row>
    <row r="25">
      <c r="A25" s="30" t="n"/>
      <c r="B25" s="29" t="n"/>
      <c r="C25" s="38" t="n"/>
      <c r="D25" s="38" t="n"/>
      <c r="E25" s="37">
        <f>IF(OR($A25="",NOT(ISNUMBER($C25)),NOT(ISNUMBER($D25))),"",$D25-$C25+1)</f>
        <v/>
      </c>
      <c r="F25" s="30" t="n"/>
      <c r="G25" s="10">
        <f>IF(AND($A25&lt;&gt;"",ISNUMBER($C25),ISNUMBER($D25),$C25&lt;=Data_Mapa,$D25&gt;=Data_Mapa),$A25,"")</f>
        <v/>
      </c>
      <c r="H25" s="10">
        <f>IF($A25="",0,IFERROR(MATCH($B25,Aus_Tipos,0),0))</f>
        <v/>
      </c>
    </row>
    <row r="26">
      <c r="A26" s="30" t="n"/>
      <c r="B26" s="29" t="n"/>
      <c r="C26" s="38" t="n"/>
      <c r="D26" s="38" t="n"/>
      <c r="E26" s="37">
        <f>IF(OR($A26="",NOT(ISNUMBER($C26)),NOT(ISNUMBER($D26))),"",$D26-$C26+1)</f>
        <v/>
      </c>
      <c r="F26" s="30" t="n"/>
      <c r="G26" s="10">
        <f>IF(AND($A26&lt;&gt;"",ISNUMBER($C26),ISNUMBER($D26),$C26&lt;=Data_Mapa,$D26&gt;=Data_Mapa),$A26,"")</f>
        <v/>
      </c>
      <c r="H26" s="10">
        <f>IF($A26="",0,IFERROR(MATCH($B26,Aus_Tipos,0),0))</f>
        <v/>
      </c>
    </row>
    <row r="27">
      <c r="A27" s="30" t="n"/>
      <c r="B27" s="29" t="n"/>
      <c r="C27" s="38" t="n"/>
      <c r="D27" s="38" t="n"/>
      <c r="E27" s="37">
        <f>IF(OR($A27="",NOT(ISNUMBER($C27)),NOT(ISNUMBER($D27))),"",$D27-$C27+1)</f>
        <v/>
      </c>
      <c r="F27" s="30" t="n"/>
      <c r="G27" s="10">
        <f>IF(AND($A27&lt;&gt;"",ISNUMBER($C27),ISNUMBER($D27),$C27&lt;=Data_Mapa,$D27&gt;=Data_Mapa),$A27,"")</f>
        <v/>
      </c>
      <c r="H27" s="10">
        <f>IF($A27="",0,IFERROR(MATCH($B27,Aus_Tipos,0),0))</f>
        <v/>
      </c>
    </row>
    <row r="28">
      <c r="A28" s="30" t="n"/>
      <c r="B28" s="29" t="n"/>
      <c r="C28" s="38" t="n"/>
      <c r="D28" s="38" t="n"/>
      <c r="E28" s="37">
        <f>IF(OR($A28="",NOT(ISNUMBER($C28)),NOT(ISNUMBER($D28))),"",$D28-$C28+1)</f>
        <v/>
      </c>
      <c r="F28" s="30" t="n"/>
      <c r="G28" s="10">
        <f>IF(AND($A28&lt;&gt;"",ISNUMBER($C28),ISNUMBER($D28),$C28&lt;=Data_Mapa,$D28&gt;=Data_Mapa),$A28,"")</f>
        <v/>
      </c>
      <c r="H28" s="10">
        <f>IF($A28="",0,IFERROR(MATCH($B28,Aus_Tipos,0),0))</f>
        <v/>
      </c>
    </row>
    <row r="29">
      <c r="A29" s="30" t="n"/>
      <c r="B29" s="29" t="n"/>
      <c r="C29" s="38" t="n"/>
      <c r="D29" s="38" t="n"/>
      <c r="E29" s="37">
        <f>IF(OR($A29="",NOT(ISNUMBER($C29)),NOT(ISNUMBER($D29))),"",$D29-$C29+1)</f>
        <v/>
      </c>
      <c r="F29" s="30" t="n"/>
      <c r="G29" s="10">
        <f>IF(AND($A29&lt;&gt;"",ISNUMBER($C29),ISNUMBER($D29),$C29&lt;=Data_Mapa,$D29&gt;=Data_Mapa),$A29,"")</f>
        <v/>
      </c>
      <c r="H29" s="10">
        <f>IF($A29="",0,IFERROR(MATCH($B29,Aus_Tipos,0),0))</f>
        <v/>
      </c>
    </row>
    <row r="30">
      <c r="A30" s="30" t="n"/>
      <c r="B30" s="29" t="n"/>
      <c r="C30" s="38" t="n"/>
      <c r="D30" s="38" t="n"/>
      <c r="E30" s="37">
        <f>IF(OR($A30="",NOT(ISNUMBER($C30)),NOT(ISNUMBER($D30))),"",$D30-$C30+1)</f>
        <v/>
      </c>
      <c r="F30" s="30" t="n"/>
      <c r="G30" s="10">
        <f>IF(AND($A30&lt;&gt;"",ISNUMBER($C30),ISNUMBER($D30),$C30&lt;=Data_Mapa,$D30&gt;=Data_Mapa),$A30,"")</f>
        <v/>
      </c>
      <c r="H30" s="10">
        <f>IF($A30="",0,IFERROR(MATCH($B30,Aus_Tipos,0),0))</f>
        <v/>
      </c>
    </row>
    <row r="31">
      <c r="A31" s="30" t="n"/>
      <c r="B31" s="29" t="n"/>
      <c r="C31" s="38" t="n"/>
      <c r="D31" s="38" t="n"/>
      <c r="E31" s="37">
        <f>IF(OR($A31="",NOT(ISNUMBER($C31)),NOT(ISNUMBER($D31))),"",$D31-$C31+1)</f>
        <v/>
      </c>
      <c r="F31" s="30" t="n"/>
      <c r="G31" s="10">
        <f>IF(AND($A31&lt;&gt;"",ISNUMBER($C31),ISNUMBER($D31),$C31&lt;=Data_Mapa,$D31&gt;=Data_Mapa),$A31,"")</f>
        <v/>
      </c>
      <c r="H31" s="10">
        <f>IF($A31="",0,IFERROR(MATCH($B31,Aus_Tipos,0),0))</f>
        <v/>
      </c>
    </row>
    <row r="32">
      <c r="A32" s="30" t="n"/>
      <c r="B32" s="29" t="n"/>
      <c r="C32" s="38" t="n"/>
      <c r="D32" s="38" t="n"/>
      <c r="E32" s="37">
        <f>IF(OR($A32="",NOT(ISNUMBER($C32)),NOT(ISNUMBER($D32))),"",$D32-$C32+1)</f>
        <v/>
      </c>
      <c r="F32" s="30" t="n"/>
      <c r="G32" s="10">
        <f>IF(AND($A32&lt;&gt;"",ISNUMBER($C32),ISNUMBER($D32),$C32&lt;=Data_Mapa,$D32&gt;=Data_Mapa),$A32,"")</f>
        <v/>
      </c>
      <c r="H32" s="10">
        <f>IF($A32="",0,IFERROR(MATCH($B32,Aus_Tipos,0),0))</f>
        <v/>
      </c>
    </row>
    <row r="33">
      <c r="A33" s="30" t="n"/>
      <c r="B33" s="29" t="n"/>
      <c r="C33" s="38" t="n"/>
      <c r="D33" s="38" t="n"/>
      <c r="E33" s="37">
        <f>IF(OR($A33="",NOT(ISNUMBER($C33)),NOT(ISNUMBER($D33))),"",$D33-$C33+1)</f>
        <v/>
      </c>
      <c r="F33" s="30" t="n"/>
      <c r="G33" s="10">
        <f>IF(AND($A33&lt;&gt;"",ISNUMBER($C33),ISNUMBER($D33),$C33&lt;=Data_Mapa,$D33&gt;=Data_Mapa),$A33,"")</f>
        <v/>
      </c>
      <c r="H33" s="10">
        <f>IF($A33="",0,IFERROR(MATCH($B33,Aus_Tipos,0),0))</f>
        <v/>
      </c>
    </row>
    <row r="34">
      <c r="A34" s="30" t="n"/>
      <c r="B34" s="29" t="n"/>
      <c r="C34" s="38" t="n"/>
      <c r="D34" s="38" t="n"/>
      <c r="E34" s="37">
        <f>IF(OR($A34="",NOT(ISNUMBER($C34)),NOT(ISNUMBER($D34))),"",$D34-$C34+1)</f>
        <v/>
      </c>
      <c r="F34" s="30" t="n"/>
      <c r="G34" s="10">
        <f>IF(AND($A34&lt;&gt;"",ISNUMBER($C34),ISNUMBER($D34),$C34&lt;=Data_Mapa,$D34&gt;=Data_Mapa),$A34,"")</f>
        <v/>
      </c>
      <c r="H34" s="10">
        <f>IF($A34="",0,IFERROR(MATCH($B34,Aus_Tipos,0),0))</f>
        <v/>
      </c>
    </row>
    <row r="35">
      <c r="A35" s="30" t="n"/>
      <c r="B35" s="29" t="n"/>
      <c r="C35" s="38" t="n"/>
      <c r="D35" s="38" t="n"/>
      <c r="E35" s="37">
        <f>IF(OR($A35="",NOT(ISNUMBER($C35)),NOT(ISNUMBER($D35))),"",$D35-$C35+1)</f>
        <v/>
      </c>
      <c r="F35" s="30" t="n"/>
      <c r="G35" s="10">
        <f>IF(AND($A35&lt;&gt;"",ISNUMBER($C35),ISNUMBER($D35),$C35&lt;=Data_Mapa,$D35&gt;=Data_Mapa),$A35,"")</f>
        <v/>
      </c>
      <c r="H35" s="10">
        <f>IF($A35="",0,IFERROR(MATCH($B35,Aus_Tipos,0),0))</f>
        <v/>
      </c>
    </row>
    <row r="36">
      <c r="A36" s="30" t="n"/>
      <c r="B36" s="29" t="n"/>
      <c r="C36" s="38" t="n"/>
      <c r="D36" s="38" t="n"/>
      <c r="E36" s="37">
        <f>IF(OR($A36="",NOT(ISNUMBER($C36)),NOT(ISNUMBER($D36))),"",$D36-$C36+1)</f>
        <v/>
      </c>
      <c r="F36" s="30" t="n"/>
      <c r="G36" s="10">
        <f>IF(AND($A36&lt;&gt;"",ISNUMBER($C36),ISNUMBER($D36),$C36&lt;=Data_Mapa,$D36&gt;=Data_Mapa),$A36,"")</f>
        <v/>
      </c>
      <c r="H36" s="10">
        <f>IF($A36="",0,IFERROR(MATCH($B36,Aus_Tipos,0),0))</f>
        <v/>
      </c>
    </row>
    <row r="37">
      <c r="A37" s="30" t="n"/>
      <c r="B37" s="29" t="n"/>
      <c r="C37" s="38" t="n"/>
      <c r="D37" s="38" t="n"/>
      <c r="E37" s="37">
        <f>IF(OR($A37="",NOT(ISNUMBER($C37)),NOT(ISNUMBER($D37))),"",$D37-$C37+1)</f>
        <v/>
      </c>
      <c r="F37" s="30" t="n"/>
      <c r="G37" s="10">
        <f>IF(AND($A37&lt;&gt;"",ISNUMBER($C37),ISNUMBER($D37),$C37&lt;=Data_Mapa,$D37&gt;=Data_Mapa),$A37,"")</f>
        <v/>
      </c>
      <c r="H37" s="10">
        <f>IF($A37="",0,IFERROR(MATCH($B37,Aus_Tipos,0),0))</f>
        <v/>
      </c>
    </row>
    <row r="38">
      <c r="A38" s="30" t="n"/>
      <c r="B38" s="29" t="n"/>
      <c r="C38" s="38" t="n"/>
      <c r="D38" s="38" t="n"/>
      <c r="E38" s="37">
        <f>IF(OR($A38="",NOT(ISNUMBER($C38)),NOT(ISNUMBER($D38))),"",$D38-$C38+1)</f>
        <v/>
      </c>
      <c r="F38" s="30" t="n"/>
      <c r="G38" s="10">
        <f>IF(AND($A38&lt;&gt;"",ISNUMBER($C38),ISNUMBER($D38),$C38&lt;=Data_Mapa,$D38&gt;=Data_Mapa),$A38,"")</f>
        <v/>
      </c>
      <c r="H38" s="10">
        <f>IF($A38="",0,IFERROR(MATCH($B38,Aus_Tipos,0),0))</f>
        <v/>
      </c>
    </row>
    <row r="39">
      <c r="A39" s="30" t="n"/>
      <c r="B39" s="29" t="n"/>
      <c r="C39" s="38" t="n"/>
      <c r="D39" s="38" t="n"/>
      <c r="E39" s="37">
        <f>IF(OR($A39="",NOT(ISNUMBER($C39)),NOT(ISNUMBER($D39))),"",$D39-$C39+1)</f>
        <v/>
      </c>
      <c r="F39" s="30" t="n"/>
      <c r="G39" s="10">
        <f>IF(AND($A39&lt;&gt;"",ISNUMBER($C39),ISNUMBER($D39),$C39&lt;=Data_Mapa,$D39&gt;=Data_Mapa),$A39,"")</f>
        <v/>
      </c>
      <c r="H39" s="10">
        <f>IF($A39="",0,IFERROR(MATCH($B39,Aus_Tipos,0),0))</f>
        <v/>
      </c>
    </row>
    <row r="40">
      <c r="A40" s="30" t="n"/>
      <c r="B40" s="29" t="n"/>
      <c r="C40" s="38" t="n"/>
      <c r="D40" s="38" t="n"/>
      <c r="E40" s="37">
        <f>IF(OR($A40="",NOT(ISNUMBER($C40)),NOT(ISNUMBER($D40))),"",$D40-$C40+1)</f>
        <v/>
      </c>
      <c r="F40" s="30" t="n"/>
      <c r="G40" s="10">
        <f>IF(AND($A40&lt;&gt;"",ISNUMBER($C40),ISNUMBER($D40),$C40&lt;=Data_Mapa,$D40&gt;=Data_Mapa),$A40,"")</f>
        <v/>
      </c>
      <c r="H40" s="10">
        <f>IF($A40="",0,IFERROR(MATCH($B40,Aus_Tipos,0),0))</f>
        <v/>
      </c>
    </row>
    <row r="41">
      <c r="A41" s="30" t="n"/>
      <c r="B41" s="29" t="n"/>
      <c r="C41" s="38" t="n"/>
      <c r="D41" s="38" t="n"/>
      <c r="E41" s="37">
        <f>IF(OR($A41="",NOT(ISNUMBER($C41)),NOT(ISNUMBER($D41))),"",$D41-$C41+1)</f>
        <v/>
      </c>
      <c r="F41" s="30" t="n"/>
      <c r="G41" s="10">
        <f>IF(AND($A41&lt;&gt;"",ISNUMBER($C41),ISNUMBER($D41),$C41&lt;=Data_Mapa,$D41&gt;=Data_Mapa),$A41,"")</f>
        <v/>
      </c>
      <c r="H41" s="10">
        <f>IF($A41="",0,IFERROR(MATCH($B41,Aus_Tipos,0),0))</f>
        <v/>
      </c>
    </row>
    <row r="42">
      <c r="A42" s="30" t="n"/>
      <c r="B42" s="29" t="n"/>
      <c r="C42" s="38" t="n"/>
      <c r="D42" s="38" t="n"/>
      <c r="E42" s="37">
        <f>IF(OR($A42="",NOT(ISNUMBER($C42)),NOT(ISNUMBER($D42))),"",$D42-$C42+1)</f>
        <v/>
      </c>
      <c r="F42" s="30" t="n"/>
      <c r="G42" s="10">
        <f>IF(AND($A42&lt;&gt;"",ISNUMBER($C42),ISNUMBER($D42),$C42&lt;=Data_Mapa,$D42&gt;=Data_Mapa),$A42,"")</f>
        <v/>
      </c>
      <c r="H42" s="10">
        <f>IF($A42="",0,IFERROR(MATCH($B42,Aus_Tipos,0),0))</f>
        <v/>
      </c>
    </row>
    <row r="43">
      <c r="A43" s="30" t="n"/>
      <c r="B43" s="29" t="n"/>
      <c r="C43" s="38" t="n"/>
      <c r="D43" s="38" t="n"/>
      <c r="E43" s="37">
        <f>IF(OR($A43="",NOT(ISNUMBER($C43)),NOT(ISNUMBER($D43))),"",$D43-$C43+1)</f>
        <v/>
      </c>
      <c r="F43" s="30" t="n"/>
      <c r="G43" s="10">
        <f>IF(AND($A43&lt;&gt;"",ISNUMBER($C43),ISNUMBER($D43),$C43&lt;=Data_Mapa,$D43&gt;=Data_Mapa),$A43,"")</f>
        <v/>
      </c>
      <c r="H43" s="10">
        <f>IF($A43="",0,IFERROR(MATCH($B43,Aus_Tipos,0),0))</f>
        <v/>
      </c>
    </row>
    <row r="44">
      <c r="A44" s="30" t="n"/>
      <c r="B44" s="29" t="n"/>
      <c r="C44" s="38" t="n"/>
      <c r="D44" s="38" t="n"/>
      <c r="E44" s="37">
        <f>IF(OR($A44="",NOT(ISNUMBER($C44)),NOT(ISNUMBER($D44))),"",$D44-$C44+1)</f>
        <v/>
      </c>
      <c r="F44" s="30" t="n"/>
      <c r="G44" s="10">
        <f>IF(AND($A44&lt;&gt;"",ISNUMBER($C44),ISNUMBER($D44),$C44&lt;=Data_Mapa,$D44&gt;=Data_Mapa),$A44,"")</f>
        <v/>
      </c>
      <c r="H44" s="10">
        <f>IF($A44="",0,IFERROR(MATCH($B44,Aus_Tipos,0),0))</f>
        <v/>
      </c>
    </row>
    <row r="45">
      <c r="A45" s="30" t="n"/>
      <c r="B45" s="29" t="n"/>
      <c r="C45" s="38" t="n"/>
      <c r="D45" s="38" t="n"/>
      <c r="E45" s="37">
        <f>IF(OR($A45="",NOT(ISNUMBER($C45)),NOT(ISNUMBER($D45))),"",$D45-$C45+1)</f>
        <v/>
      </c>
      <c r="F45" s="30" t="n"/>
      <c r="G45" s="10">
        <f>IF(AND($A45&lt;&gt;"",ISNUMBER($C45),ISNUMBER($D45),$C45&lt;=Data_Mapa,$D45&gt;=Data_Mapa),$A45,"")</f>
        <v/>
      </c>
      <c r="H45" s="10">
        <f>IF($A45="",0,IFERROR(MATCH($B45,Aus_Tipos,0),0))</f>
        <v/>
      </c>
    </row>
    <row r="46">
      <c r="A46" s="30" t="n"/>
      <c r="B46" s="29" t="n"/>
      <c r="C46" s="38" t="n"/>
      <c r="D46" s="38" t="n"/>
      <c r="E46" s="37">
        <f>IF(OR($A46="",NOT(ISNUMBER($C46)),NOT(ISNUMBER($D46))),"",$D46-$C46+1)</f>
        <v/>
      </c>
      <c r="F46" s="30" t="n"/>
      <c r="G46" s="10">
        <f>IF(AND($A46&lt;&gt;"",ISNUMBER($C46),ISNUMBER($D46),$C46&lt;=Data_Mapa,$D46&gt;=Data_Mapa),$A46,"")</f>
        <v/>
      </c>
      <c r="H46" s="10">
        <f>IF($A46="",0,IFERROR(MATCH($B46,Aus_Tipos,0),0))</f>
        <v/>
      </c>
    </row>
    <row r="47">
      <c r="A47" s="30" t="n"/>
      <c r="B47" s="29" t="n"/>
      <c r="C47" s="38" t="n"/>
      <c r="D47" s="38" t="n"/>
      <c r="E47" s="37">
        <f>IF(OR($A47="",NOT(ISNUMBER($C47)),NOT(ISNUMBER($D47))),"",$D47-$C47+1)</f>
        <v/>
      </c>
      <c r="F47" s="30" t="n"/>
      <c r="G47" s="10">
        <f>IF(AND($A47&lt;&gt;"",ISNUMBER($C47),ISNUMBER($D47),$C47&lt;=Data_Mapa,$D47&gt;=Data_Mapa),$A47,"")</f>
        <v/>
      </c>
      <c r="H47" s="10">
        <f>IF($A47="",0,IFERROR(MATCH($B47,Aus_Tipos,0),0))</f>
        <v/>
      </c>
    </row>
    <row r="48">
      <c r="A48" s="30" t="n"/>
      <c r="B48" s="29" t="n"/>
      <c r="C48" s="38" t="n"/>
      <c r="D48" s="38" t="n"/>
      <c r="E48" s="37">
        <f>IF(OR($A48="",NOT(ISNUMBER($C48)),NOT(ISNUMBER($D48))),"",$D48-$C48+1)</f>
        <v/>
      </c>
      <c r="F48" s="30" t="n"/>
      <c r="G48" s="10">
        <f>IF(AND($A48&lt;&gt;"",ISNUMBER($C48),ISNUMBER($D48),$C48&lt;=Data_Mapa,$D48&gt;=Data_Mapa),$A48,"")</f>
        <v/>
      </c>
      <c r="H48" s="10">
        <f>IF($A48="",0,IFERROR(MATCH($B48,Aus_Tipos,0),0))</f>
        <v/>
      </c>
    </row>
    <row r="49">
      <c r="A49" s="30" t="n"/>
      <c r="B49" s="29" t="n"/>
      <c r="C49" s="38" t="n"/>
      <c r="D49" s="38" t="n"/>
      <c r="E49" s="37">
        <f>IF(OR($A49="",NOT(ISNUMBER($C49)),NOT(ISNUMBER($D49))),"",$D49-$C49+1)</f>
        <v/>
      </c>
      <c r="F49" s="30" t="n"/>
      <c r="G49" s="10">
        <f>IF(AND($A49&lt;&gt;"",ISNUMBER($C49),ISNUMBER($D49),$C49&lt;=Data_Mapa,$D49&gt;=Data_Mapa),$A49,"")</f>
        <v/>
      </c>
      <c r="H49" s="10">
        <f>IF($A49="",0,IFERROR(MATCH($B49,Aus_Tipos,0),0))</f>
        <v/>
      </c>
    </row>
    <row r="50">
      <c r="A50" s="30" t="n"/>
      <c r="B50" s="29" t="n"/>
      <c r="C50" s="38" t="n"/>
      <c r="D50" s="38" t="n"/>
      <c r="E50" s="37">
        <f>IF(OR($A50="",NOT(ISNUMBER($C50)),NOT(ISNUMBER($D50))),"",$D50-$C50+1)</f>
        <v/>
      </c>
      <c r="F50" s="30" t="n"/>
      <c r="G50" s="10">
        <f>IF(AND($A50&lt;&gt;"",ISNUMBER($C50),ISNUMBER($D50),$C50&lt;=Data_Mapa,$D50&gt;=Data_Mapa),$A50,"")</f>
        <v/>
      </c>
      <c r="H50" s="10">
        <f>IF($A50="",0,IFERROR(MATCH($B50,Aus_Tipos,0),0))</f>
        <v/>
      </c>
    </row>
    <row r="51">
      <c r="A51" s="30" t="n"/>
      <c r="B51" s="29" t="n"/>
      <c r="C51" s="38" t="n"/>
      <c r="D51" s="38" t="n"/>
      <c r="E51" s="37">
        <f>IF(OR($A51="",NOT(ISNUMBER($C51)),NOT(ISNUMBER($D51))),"",$D51-$C51+1)</f>
        <v/>
      </c>
      <c r="F51" s="30" t="n"/>
      <c r="G51" s="10">
        <f>IF(AND($A51&lt;&gt;"",ISNUMBER($C51),ISNUMBER($D51),$C51&lt;=Data_Mapa,$D51&gt;=Data_Mapa),$A51,"")</f>
        <v/>
      </c>
      <c r="H51" s="10">
        <f>IF($A51="",0,IFERROR(MATCH($B51,Aus_Tipos,0),0))</f>
        <v/>
      </c>
    </row>
    <row r="52">
      <c r="A52" s="30" t="n"/>
      <c r="B52" s="29" t="n"/>
      <c r="C52" s="38" t="n"/>
      <c r="D52" s="38" t="n"/>
      <c r="E52" s="37">
        <f>IF(OR($A52="",NOT(ISNUMBER($C52)),NOT(ISNUMBER($D52))),"",$D52-$C52+1)</f>
        <v/>
      </c>
      <c r="F52" s="30" t="n"/>
      <c r="G52" s="10">
        <f>IF(AND($A52&lt;&gt;"",ISNUMBER($C52),ISNUMBER($D52),$C52&lt;=Data_Mapa,$D52&gt;=Data_Mapa),$A52,"")</f>
        <v/>
      </c>
      <c r="H52" s="10">
        <f>IF($A52="",0,IFERROR(MATCH($B52,Aus_Tipos,0),0))</f>
        <v/>
      </c>
    </row>
    <row r="53">
      <c r="A53" s="30" t="n"/>
      <c r="B53" s="29" t="n"/>
      <c r="C53" s="38" t="n"/>
      <c r="D53" s="38" t="n"/>
      <c r="E53" s="37">
        <f>IF(OR($A53="",NOT(ISNUMBER($C53)),NOT(ISNUMBER($D53))),"",$D53-$C53+1)</f>
        <v/>
      </c>
      <c r="F53" s="30" t="n"/>
      <c r="G53" s="10">
        <f>IF(AND($A53&lt;&gt;"",ISNUMBER($C53),ISNUMBER($D53),$C53&lt;=Data_Mapa,$D53&gt;=Data_Mapa),$A53,"")</f>
        <v/>
      </c>
      <c r="H53" s="10">
        <f>IF($A53="",0,IFERROR(MATCH($B53,Aus_Tipos,0),0))</f>
        <v/>
      </c>
    </row>
    <row r="54">
      <c r="A54" s="30" t="n"/>
      <c r="B54" s="29" t="n"/>
      <c r="C54" s="38" t="n"/>
      <c r="D54" s="38" t="n"/>
      <c r="E54" s="37">
        <f>IF(OR($A54="",NOT(ISNUMBER($C54)),NOT(ISNUMBER($D54))),"",$D54-$C54+1)</f>
        <v/>
      </c>
      <c r="F54" s="30" t="n"/>
      <c r="G54" s="10">
        <f>IF(AND($A54&lt;&gt;"",ISNUMBER($C54),ISNUMBER($D54),$C54&lt;=Data_Mapa,$D54&gt;=Data_Mapa),$A54,"")</f>
        <v/>
      </c>
      <c r="H54" s="10">
        <f>IF($A54="",0,IFERROR(MATCH($B54,Aus_Tipos,0),0))</f>
        <v/>
      </c>
    </row>
    <row r="55">
      <c r="A55" s="30" t="n"/>
      <c r="B55" s="29" t="n"/>
      <c r="C55" s="38" t="n"/>
      <c r="D55" s="38" t="n"/>
      <c r="E55" s="37">
        <f>IF(OR($A55="",NOT(ISNUMBER($C55)),NOT(ISNUMBER($D55))),"",$D55-$C55+1)</f>
        <v/>
      </c>
      <c r="F55" s="30" t="n"/>
      <c r="G55" s="10">
        <f>IF(AND($A55&lt;&gt;"",ISNUMBER($C55),ISNUMBER($D55),$C55&lt;=Data_Mapa,$D55&gt;=Data_Mapa),$A55,"")</f>
        <v/>
      </c>
      <c r="H55" s="10">
        <f>IF($A55="",0,IFERROR(MATCH($B55,Aus_Tipos,0),0))</f>
        <v/>
      </c>
    </row>
    <row r="56">
      <c r="A56" s="30" t="n"/>
      <c r="B56" s="29" t="n"/>
      <c r="C56" s="38" t="n"/>
      <c r="D56" s="38" t="n"/>
      <c r="E56" s="37">
        <f>IF(OR($A56="",NOT(ISNUMBER($C56)),NOT(ISNUMBER($D56))),"",$D56-$C56+1)</f>
        <v/>
      </c>
      <c r="F56" s="30" t="n"/>
      <c r="G56" s="10">
        <f>IF(AND($A56&lt;&gt;"",ISNUMBER($C56),ISNUMBER($D56),$C56&lt;=Data_Mapa,$D56&gt;=Data_Mapa),$A56,"")</f>
        <v/>
      </c>
      <c r="H56" s="10">
        <f>IF($A56="",0,IFERROR(MATCH($B56,Aus_Tipos,0),0))</f>
        <v/>
      </c>
    </row>
    <row r="57">
      <c r="A57" s="30" t="n"/>
      <c r="B57" s="29" t="n"/>
      <c r="C57" s="38" t="n"/>
      <c r="D57" s="38" t="n"/>
      <c r="E57" s="37">
        <f>IF(OR($A57="",NOT(ISNUMBER($C57)),NOT(ISNUMBER($D57))),"",$D57-$C57+1)</f>
        <v/>
      </c>
      <c r="F57" s="30" t="n"/>
      <c r="G57" s="10">
        <f>IF(AND($A57&lt;&gt;"",ISNUMBER($C57),ISNUMBER($D57),$C57&lt;=Data_Mapa,$D57&gt;=Data_Mapa),$A57,"")</f>
        <v/>
      </c>
      <c r="H57" s="10">
        <f>IF($A57="",0,IFERROR(MATCH($B57,Aus_Tipos,0),0))</f>
        <v/>
      </c>
    </row>
    <row r="58">
      <c r="A58" s="30" t="n"/>
      <c r="B58" s="29" t="n"/>
      <c r="C58" s="38" t="n"/>
      <c r="D58" s="38" t="n"/>
      <c r="E58" s="37">
        <f>IF(OR($A58="",NOT(ISNUMBER($C58)),NOT(ISNUMBER($D58))),"",$D58-$C58+1)</f>
        <v/>
      </c>
      <c r="F58" s="30" t="n"/>
      <c r="G58" s="10">
        <f>IF(AND($A58&lt;&gt;"",ISNUMBER($C58),ISNUMBER($D58),$C58&lt;=Data_Mapa,$D58&gt;=Data_Mapa),$A58,"")</f>
        <v/>
      </c>
      <c r="H58" s="10">
        <f>IF($A58="",0,IFERROR(MATCH($B58,Aus_Tipos,0),0))</f>
        <v/>
      </c>
    </row>
    <row r="59">
      <c r="A59" s="30" t="n"/>
      <c r="B59" s="29" t="n"/>
      <c r="C59" s="38" t="n"/>
      <c r="D59" s="38" t="n"/>
      <c r="E59" s="37">
        <f>IF(OR($A59="",NOT(ISNUMBER($C59)),NOT(ISNUMBER($D59))),"",$D59-$C59+1)</f>
        <v/>
      </c>
      <c r="F59" s="30" t="n"/>
      <c r="G59" s="10">
        <f>IF(AND($A59&lt;&gt;"",ISNUMBER($C59),ISNUMBER($D59),$C59&lt;=Data_Mapa,$D59&gt;=Data_Mapa),$A59,"")</f>
        <v/>
      </c>
      <c r="H59" s="10">
        <f>IF($A59="",0,IFERROR(MATCH($B59,Aus_Tipos,0),0))</f>
        <v/>
      </c>
    </row>
    <row r="60">
      <c r="A60" s="30" t="n"/>
      <c r="B60" s="29" t="n"/>
      <c r="C60" s="38" t="n"/>
      <c r="D60" s="38" t="n"/>
      <c r="E60" s="37">
        <f>IF(OR($A60="",NOT(ISNUMBER($C60)),NOT(ISNUMBER($D60))),"",$D60-$C60+1)</f>
        <v/>
      </c>
      <c r="F60" s="30" t="n"/>
      <c r="G60" s="10">
        <f>IF(AND($A60&lt;&gt;"",ISNUMBER($C60),ISNUMBER($D60),$C60&lt;=Data_Mapa,$D60&gt;=Data_Mapa),$A60,"")</f>
        <v/>
      </c>
      <c r="H60" s="10">
        <f>IF($A60="",0,IFERROR(MATCH($B60,Aus_Tipos,0),0))</f>
        <v/>
      </c>
    </row>
    <row r="61">
      <c r="A61" s="30" t="n"/>
      <c r="B61" s="29" t="n"/>
      <c r="C61" s="38" t="n"/>
      <c r="D61" s="38" t="n"/>
      <c r="E61" s="37">
        <f>IF(OR($A61="",NOT(ISNUMBER($C61)),NOT(ISNUMBER($D61))),"",$D61-$C61+1)</f>
        <v/>
      </c>
      <c r="F61" s="30" t="n"/>
      <c r="G61" s="10">
        <f>IF(AND($A61&lt;&gt;"",ISNUMBER($C61),ISNUMBER($D61),$C61&lt;=Data_Mapa,$D61&gt;=Data_Mapa),$A61,"")</f>
        <v/>
      </c>
      <c r="H61" s="10">
        <f>IF($A61="",0,IFERROR(MATCH($B61,Aus_Tipos,0),0))</f>
        <v/>
      </c>
    </row>
    <row r="62">
      <c r="A62" s="30" t="n"/>
      <c r="B62" s="29" t="n"/>
      <c r="C62" s="38" t="n"/>
      <c r="D62" s="38" t="n"/>
      <c r="E62" s="37">
        <f>IF(OR($A62="",NOT(ISNUMBER($C62)),NOT(ISNUMBER($D62))),"",$D62-$C62+1)</f>
        <v/>
      </c>
      <c r="F62" s="30" t="n"/>
      <c r="G62" s="10">
        <f>IF(AND($A62&lt;&gt;"",ISNUMBER($C62),ISNUMBER($D62),$C62&lt;=Data_Mapa,$D62&gt;=Data_Mapa),$A62,"")</f>
        <v/>
      </c>
      <c r="H62" s="10">
        <f>IF($A62="",0,IFERROR(MATCH($B62,Aus_Tipos,0),0))</f>
        <v/>
      </c>
    </row>
    <row r="63">
      <c r="A63" s="30" t="n"/>
      <c r="B63" s="29" t="n"/>
      <c r="C63" s="38" t="n"/>
      <c r="D63" s="38" t="n"/>
      <c r="E63" s="37">
        <f>IF(OR($A63="",NOT(ISNUMBER($C63)),NOT(ISNUMBER($D63))),"",$D63-$C63+1)</f>
        <v/>
      </c>
      <c r="F63" s="30" t="n"/>
      <c r="G63" s="10">
        <f>IF(AND($A63&lt;&gt;"",ISNUMBER($C63),ISNUMBER($D63),$C63&lt;=Data_Mapa,$D63&gt;=Data_Mapa),$A63,"")</f>
        <v/>
      </c>
      <c r="H63" s="10">
        <f>IF($A63="",0,IFERROR(MATCH($B63,Aus_Tipos,0),0))</f>
        <v/>
      </c>
    </row>
    <row r="64">
      <c r="A64" s="30" t="n"/>
      <c r="B64" s="29" t="n"/>
      <c r="C64" s="38" t="n"/>
      <c r="D64" s="38" t="n"/>
      <c r="E64" s="37">
        <f>IF(OR($A64="",NOT(ISNUMBER($C64)),NOT(ISNUMBER($D64))),"",$D64-$C64+1)</f>
        <v/>
      </c>
      <c r="F64" s="30" t="n"/>
      <c r="G64" s="10">
        <f>IF(AND($A64&lt;&gt;"",ISNUMBER($C64),ISNUMBER($D64),$C64&lt;=Data_Mapa,$D64&gt;=Data_Mapa),$A64,"")</f>
        <v/>
      </c>
      <c r="H64" s="10">
        <f>IF($A64="",0,IFERROR(MATCH($B64,Aus_Tipos,0),0))</f>
        <v/>
      </c>
    </row>
    <row r="65">
      <c r="A65" s="30" t="n"/>
      <c r="B65" s="29" t="n"/>
      <c r="C65" s="38" t="n"/>
      <c r="D65" s="38" t="n"/>
      <c r="E65" s="37">
        <f>IF(OR($A65="",NOT(ISNUMBER($C65)),NOT(ISNUMBER($D65))),"",$D65-$C65+1)</f>
        <v/>
      </c>
      <c r="F65" s="30" t="n"/>
      <c r="G65" s="10">
        <f>IF(AND($A65&lt;&gt;"",ISNUMBER($C65),ISNUMBER($D65),$C65&lt;=Data_Mapa,$D65&gt;=Data_Mapa),$A65,"")</f>
        <v/>
      </c>
      <c r="H65" s="10">
        <f>IF($A65="",0,IFERROR(MATCH($B65,Aus_Tipos,0),0))</f>
        <v/>
      </c>
    </row>
    <row r="66">
      <c r="A66" s="30" t="n"/>
      <c r="B66" s="29" t="n"/>
      <c r="C66" s="38" t="n"/>
      <c r="D66" s="38" t="n"/>
      <c r="E66" s="37">
        <f>IF(OR($A66="",NOT(ISNUMBER($C66)),NOT(ISNUMBER($D66))),"",$D66-$C66+1)</f>
        <v/>
      </c>
      <c r="F66" s="30" t="n"/>
      <c r="G66" s="10">
        <f>IF(AND($A66&lt;&gt;"",ISNUMBER($C66),ISNUMBER($D66),$C66&lt;=Data_Mapa,$D66&gt;=Data_Mapa),$A66,"")</f>
        <v/>
      </c>
      <c r="H66" s="10">
        <f>IF($A66="",0,IFERROR(MATCH($B66,Aus_Tipos,0),0))</f>
        <v/>
      </c>
    </row>
    <row r="67">
      <c r="A67" s="30" t="n"/>
      <c r="B67" s="29" t="n"/>
      <c r="C67" s="38" t="n"/>
      <c r="D67" s="38" t="n"/>
      <c r="E67" s="37">
        <f>IF(OR($A67="",NOT(ISNUMBER($C67)),NOT(ISNUMBER($D67))),"",$D67-$C67+1)</f>
        <v/>
      </c>
      <c r="F67" s="30" t="n"/>
      <c r="G67" s="10">
        <f>IF(AND($A67&lt;&gt;"",ISNUMBER($C67),ISNUMBER($D67),$C67&lt;=Data_Mapa,$D67&gt;=Data_Mapa),$A67,"")</f>
        <v/>
      </c>
      <c r="H67" s="10">
        <f>IF($A67="",0,IFERROR(MATCH($B67,Aus_Tipos,0),0))</f>
        <v/>
      </c>
    </row>
    <row r="68">
      <c r="A68" s="30" t="n"/>
      <c r="B68" s="29" t="n"/>
      <c r="C68" s="38" t="n"/>
      <c r="D68" s="38" t="n"/>
      <c r="E68" s="37">
        <f>IF(OR($A68="",NOT(ISNUMBER($C68)),NOT(ISNUMBER($D68))),"",$D68-$C68+1)</f>
        <v/>
      </c>
      <c r="F68" s="30" t="n"/>
      <c r="G68" s="10">
        <f>IF(AND($A68&lt;&gt;"",ISNUMBER($C68),ISNUMBER($D68),$C68&lt;=Data_Mapa,$D68&gt;=Data_Mapa),$A68,"")</f>
        <v/>
      </c>
      <c r="H68" s="10">
        <f>IF($A68="",0,IFERROR(MATCH($B68,Aus_Tipos,0),0))</f>
        <v/>
      </c>
    </row>
    <row r="69">
      <c r="A69" s="30" t="n"/>
      <c r="B69" s="29" t="n"/>
      <c r="C69" s="38" t="n"/>
      <c r="D69" s="38" t="n"/>
      <c r="E69" s="37">
        <f>IF(OR($A69="",NOT(ISNUMBER($C69)),NOT(ISNUMBER($D69))),"",$D69-$C69+1)</f>
        <v/>
      </c>
      <c r="F69" s="30" t="n"/>
      <c r="G69" s="10">
        <f>IF(AND($A69&lt;&gt;"",ISNUMBER($C69),ISNUMBER($D69),$C69&lt;=Data_Mapa,$D69&gt;=Data_Mapa),$A69,"")</f>
        <v/>
      </c>
      <c r="H69" s="10">
        <f>IF($A69="",0,IFERROR(MATCH($B69,Aus_Tipos,0),0))</f>
        <v/>
      </c>
    </row>
    <row r="70">
      <c r="A70" s="30" t="n"/>
      <c r="B70" s="29" t="n"/>
      <c r="C70" s="38" t="n"/>
      <c r="D70" s="38" t="n"/>
      <c r="E70" s="37">
        <f>IF(OR($A70="",NOT(ISNUMBER($C70)),NOT(ISNUMBER($D70))),"",$D70-$C70+1)</f>
        <v/>
      </c>
      <c r="F70" s="30" t="n"/>
      <c r="G70" s="10">
        <f>IF(AND($A70&lt;&gt;"",ISNUMBER($C70),ISNUMBER($D70),$C70&lt;=Data_Mapa,$D70&gt;=Data_Mapa),$A70,"")</f>
        <v/>
      </c>
      <c r="H70" s="10">
        <f>IF($A70="",0,IFERROR(MATCH($B70,Aus_Tipos,0),0))</f>
        <v/>
      </c>
    </row>
    <row r="71">
      <c r="A71" s="30" t="n"/>
      <c r="B71" s="29" t="n"/>
      <c r="C71" s="38" t="n"/>
      <c r="D71" s="38" t="n"/>
      <c r="E71" s="37">
        <f>IF(OR($A71="",NOT(ISNUMBER($C71)),NOT(ISNUMBER($D71))),"",$D71-$C71+1)</f>
        <v/>
      </c>
      <c r="F71" s="30" t="n"/>
      <c r="G71" s="10">
        <f>IF(AND($A71&lt;&gt;"",ISNUMBER($C71),ISNUMBER($D71),$C71&lt;=Data_Mapa,$D71&gt;=Data_Mapa),$A71,"")</f>
        <v/>
      </c>
      <c r="H71" s="10">
        <f>IF($A71="",0,IFERROR(MATCH($B71,Aus_Tipos,0),0))</f>
        <v/>
      </c>
    </row>
    <row r="72">
      <c r="A72" s="30" t="n"/>
      <c r="B72" s="29" t="n"/>
      <c r="C72" s="38" t="n"/>
      <c r="D72" s="38" t="n"/>
      <c r="E72" s="37">
        <f>IF(OR($A72="",NOT(ISNUMBER($C72)),NOT(ISNUMBER($D72))),"",$D72-$C72+1)</f>
        <v/>
      </c>
      <c r="F72" s="30" t="n"/>
      <c r="G72" s="10">
        <f>IF(AND($A72&lt;&gt;"",ISNUMBER($C72),ISNUMBER($D72),$C72&lt;=Data_Mapa,$D72&gt;=Data_Mapa),$A72,"")</f>
        <v/>
      </c>
      <c r="H72" s="10">
        <f>IF($A72="",0,IFERROR(MATCH($B72,Aus_Tipos,0),0))</f>
        <v/>
      </c>
    </row>
    <row r="73">
      <c r="A73" s="30" t="n"/>
      <c r="B73" s="29" t="n"/>
      <c r="C73" s="38" t="n"/>
      <c r="D73" s="38" t="n"/>
      <c r="E73" s="37">
        <f>IF(OR($A73="",NOT(ISNUMBER($C73)),NOT(ISNUMBER($D73))),"",$D73-$C73+1)</f>
        <v/>
      </c>
      <c r="F73" s="30" t="n"/>
      <c r="G73" s="10">
        <f>IF(AND($A73&lt;&gt;"",ISNUMBER($C73),ISNUMBER($D73),$C73&lt;=Data_Mapa,$D73&gt;=Data_Mapa),$A73,"")</f>
        <v/>
      </c>
      <c r="H73" s="10">
        <f>IF($A73="",0,IFERROR(MATCH($B73,Aus_Tipos,0),0))</f>
        <v/>
      </c>
    </row>
    <row r="74">
      <c r="A74" s="30" t="n"/>
      <c r="B74" s="29" t="n"/>
      <c r="C74" s="38" t="n"/>
      <c r="D74" s="38" t="n"/>
      <c r="E74" s="37">
        <f>IF(OR($A74="",NOT(ISNUMBER($C74)),NOT(ISNUMBER($D74))),"",$D74-$C74+1)</f>
        <v/>
      </c>
      <c r="F74" s="30" t="n"/>
      <c r="G74" s="10">
        <f>IF(AND($A74&lt;&gt;"",ISNUMBER($C74),ISNUMBER($D74),$C74&lt;=Data_Mapa,$D74&gt;=Data_Mapa),$A74,"")</f>
        <v/>
      </c>
      <c r="H74" s="10">
        <f>IF($A74="",0,IFERROR(MATCH($B74,Aus_Tipos,0),0))</f>
        <v/>
      </c>
    </row>
    <row r="75">
      <c r="A75" s="30" t="n"/>
      <c r="B75" s="29" t="n"/>
      <c r="C75" s="38" t="n"/>
      <c r="D75" s="38" t="n"/>
      <c r="E75" s="37">
        <f>IF(OR($A75="",NOT(ISNUMBER($C75)),NOT(ISNUMBER($D75))),"",$D75-$C75+1)</f>
        <v/>
      </c>
      <c r="F75" s="30" t="n"/>
      <c r="G75" s="10">
        <f>IF(AND($A75&lt;&gt;"",ISNUMBER($C75),ISNUMBER($D75),$C75&lt;=Data_Mapa,$D75&gt;=Data_Mapa),$A75,"")</f>
        <v/>
      </c>
      <c r="H75" s="10">
        <f>IF($A75="",0,IFERROR(MATCH($B75,Aus_Tipos,0),0))</f>
        <v/>
      </c>
    </row>
    <row r="76">
      <c r="A76" s="30" t="n"/>
      <c r="B76" s="29" t="n"/>
      <c r="C76" s="38" t="n"/>
      <c r="D76" s="38" t="n"/>
      <c r="E76" s="37">
        <f>IF(OR($A76="",NOT(ISNUMBER($C76)),NOT(ISNUMBER($D76))),"",$D76-$C76+1)</f>
        <v/>
      </c>
      <c r="F76" s="30" t="n"/>
      <c r="G76" s="10">
        <f>IF(AND($A76&lt;&gt;"",ISNUMBER($C76),ISNUMBER($D76),$C76&lt;=Data_Mapa,$D76&gt;=Data_Mapa),$A76,"")</f>
        <v/>
      </c>
      <c r="H76" s="10">
        <f>IF($A76="",0,IFERROR(MATCH($B76,Aus_Tipos,0),0))</f>
        <v/>
      </c>
    </row>
    <row r="77">
      <c r="A77" s="30" t="n"/>
      <c r="B77" s="29" t="n"/>
      <c r="C77" s="38" t="n"/>
      <c r="D77" s="38" t="n"/>
      <c r="E77" s="37">
        <f>IF(OR($A77="",NOT(ISNUMBER($C77)),NOT(ISNUMBER($D77))),"",$D77-$C77+1)</f>
        <v/>
      </c>
      <c r="F77" s="30" t="n"/>
      <c r="G77" s="10">
        <f>IF(AND($A77&lt;&gt;"",ISNUMBER($C77),ISNUMBER($D77),$C77&lt;=Data_Mapa,$D77&gt;=Data_Mapa),$A77,"")</f>
        <v/>
      </c>
      <c r="H77" s="10">
        <f>IF($A77="",0,IFERROR(MATCH($B77,Aus_Tipos,0),0))</f>
        <v/>
      </c>
    </row>
    <row r="78">
      <c r="A78" s="30" t="n"/>
      <c r="B78" s="29" t="n"/>
      <c r="C78" s="38" t="n"/>
      <c r="D78" s="38" t="n"/>
      <c r="E78" s="37">
        <f>IF(OR($A78="",NOT(ISNUMBER($C78)),NOT(ISNUMBER($D78))),"",$D78-$C78+1)</f>
        <v/>
      </c>
      <c r="F78" s="30" t="n"/>
      <c r="G78" s="10">
        <f>IF(AND($A78&lt;&gt;"",ISNUMBER($C78),ISNUMBER($D78),$C78&lt;=Data_Mapa,$D78&gt;=Data_Mapa),$A78,"")</f>
        <v/>
      </c>
      <c r="H78" s="10">
        <f>IF($A78="",0,IFERROR(MATCH($B78,Aus_Tipos,0),0))</f>
        <v/>
      </c>
    </row>
    <row r="79">
      <c r="A79" s="30" t="n"/>
      <c r="B79" s="29" t="n"/>
      <c r="C79" s="38" t="n"/>
      <c r="D79" s="38" t="n"/>
      <c r="E79" s="37">
        <f>IF(OR($A79="",NOT(ISNUMBER($C79)),NOT(ISNUMBER($D79))),"",$D79-$C79+1)</f>
        <v/>
      </c>
      <c r="F79" s="30" t="n"/>
      <c r="G79" s="10">
        <f>IF(AND($A79&lt;&gt;"",ISNUMBER($C79),ISNUMBER($D79),$C79&lt;=Data_Mapa,$D79&gt;=Data_Mapa),$A79,"")</f>
        <v/>
      </c>
      <c r="H79" s="10">
        <f>IF($A79="",0,IFERROR(MATCH($B79,Aus_Tipos,0),0))</f>
        <v/>
      </c>
    </row>
    <row r="80">
      <c r="A80" s="30" t="n"/>
      <c r="B80" s="29" t="n"/>
      <c r="C80" s="38" t="n"/>
      <c r="D80" s="38" t="n"/>
      <c r="E80" s="37">
        <f>IF(OR($A80="",NOT(ISNUMBER($C80)),NOT(ISNUMBER($D80))),"",$D80-$C80+1)</f>
        <v/>
      </c>
      <c r="F80" s="30" t="n"/>
      <c r="G80" s="10">
        <f>IF(AND($A80&lt;&gt;"",ISNUMBER($C80),ISNUMBER($D80),$C80&lt;=Data_Mapa,$D80&gt;=Data_Mapa),$A80,"")</f>
        <v/>
      </c>
      <c r="H80" s="10">
        <f>IF($A80="",0,IFERROR(MATCH($B80,Aus_Tipos,0),0))</f>
        <v/>
      </c>
    </row>
    <row r="81">
      <c r="A81" s="30" t="n"/>
      <c r="B81" s="29" t="n"/>
      <c r="C81" s="38" t="n"/>
      <c r="D81" s="38" t="n"/>
      <c r="E81" s="37">
        <f>IF(OR($A81="",NOT(ISNUMBER($C81)),NOT(ISNUMBER($D81))),"",$D81-$C81+1)</f>
        <v/>
      </c>
      <c r="F81" s="30" t="n"/>
      <c r="G81" s="10">
        <f>IF(AND($A81&lt;&gt;"",ISNUMBER($C81),ISNUMBER($D81),$C81&lt;=Data_Mapa,$D81&gt;=Data_Mapa),$A81,"")</f>
        <v/>
      </c>
      <c r="H81" s="10">
        <f>IF($A81="",0,IFERROR(MATCH($B81,Aus_Tipos,0),0))</f>
        <v/>
      </c>
    </row>
    <row r="82">
      <c r="A82" s="30" t="n"/>
      <c r="B82" s="29" t="n"/>
      <c r="C82" s="38" t="n"/>
      <c r="D82" s="38" t="n"/>
      <c r="E82" s="37">
        <f>IF(OR($A82="",NOT(ISNUMBER($C82)),NOT(ISNUMBER($D82))),"",$D82-$C82+1)</f>
        <v/>
      </c>
      <c r="F82" s="30" t="n"/>
      <c r="G82" s="10">
        <f>IF(AND($A82&lt;&gt;"",ISNUMBER($C82),ISNUMBER($D82),$C82&lt;=Data_Mapa,$D82&gt;=Data_Mapa),$A82,"")</f>
        <v/>
      </c>
      <c r="H82" s="10">
        <f>IF($A82="",0,IFERROR(MATCH($B82,Aus_Tipos,0),0))</f>
        <v/>
      </c>
    </row>
    <row r="83">
      <c r="A83" s="30" t="n"/>
      <c r="B83" s="29" t="n"/>
      <c r="C83" s="38" t="n"/>
      <c r="D83" s="38" t="n"/>
      <c r="E83" s="37">
        <f>IF(OR($A83="",NOT(ISNUMBER($C83)),NOT(ISNUMBER($D83))),"",$D83-$C83+1)</f>
        <v/>
      </c>
      <c r="F83" s="30" t="n"/>
      <c r="G83" s="10">
        <f>IF(AND($A83&lt;&gt;"",ISNUMBER($C83),ISNUMBER($D83),$C83&lt;=Data_Mapa,$D83&gt;=Data_Mapa),$A83,"")</f>
        <v/>
      </c>
      <c r="H83" s="10">
        <f>IF($A83="",0,IFERROR(MATCH($B83,Aus_Tipos,0),0))</f>
        <v/>
      </c>
    </row>
    <row r="84">
      <c r="A84" s="30" t="n"/>
      <c r="B84" s="29" t="n"/>
      <c r="C84" s="38" t="n"/>
      <c r="D84" s="38" t="n"/>
      <c r="E84" s="37">
        <f>IF(OR($A84="",NOT(ISNUMBER($C84)),NOT(ISNUMBER($D84))),"",$D84-$C84+1)</f>
        <v/>
      </c>
      <c r="F84" s="30" t="n"/>
      <c r="G84" s="10">
        <f>IF(AND($A84&lt;&gt;"",ISNUMBER($C84),ISNUMBER($D84),$C84&lt;=Data_Mapa,$D84&gt;=Data_Mapa),$A84,"")</f>
        <v/>
      </c>
      <c r="H84" s="10">
        <f>IF($A84="",0,IFERROR(MATCH($B84,Aus_Tipos,0),0))</f>
        <v/>
      </c>
    </row>
    <row r="85">
      <c r="A85" s="30" t="n"/>
      <c r="B85" s="29" t="n"/>
      <c r="C85" s="38" t="n"/>
      <c r="D85" s="38" t="n"/>
      <c r="E85" s="37">
        <f>IF(OR($A85="",NOT(ISNUMBER($C85)),NOT(ISNUMBER($D85))),"",$D85-$C85+1)</f>
        <v/>
      </c>
      <c r="F85" s="30" t="n"/>
      <c r="G85" s="10">
        <f>IF(AND($A85&lt;&gt;"",ISNUMBER($C85),ISNUMBER($D85),$C85&lt;=Data_Mapa,$D85&gt;=Data_Mapa),$A85,"")</f>
        <v/>
      </c>
      <c r="H85" s="10">
        <f>IF($A85="",0,IFERROR(MATCH($B85,Aus_Tipos,0),0))</f>
        <v/>
      </c>
    </row>
    <row r="86">
      <c r="A86" s="30" t="n"/>
      <c r="B86" s="29" t="n"/>
      <c r="C86" s="38" t="n"/>
      <c r="D86" s="38" t="n"/>
      <c r="E86" s="37">
        <f>IF(OR($A86="",NOT(ISNUMBER($C86)),NOT(ISNUMBER($D86))),"",$D86-$C86+1)</f>
        <v/>
      </c>
      <c r="F86" s="30" t="n"/>
      <c r="G86" s="10">
        <f>IF(AND($A86&lt;&gt;"",ISNUMBER($C86),ISNUMBER($D86),$C86&lt;=Data_Mapa,$D86&gt;=Data_Mapa),$A86,"")</f>
        <v/>
      </c>
      <c r="H86" s="10">
        <f>IF($A86="",0,IFERROR(MATCH($B86,Aus_Tipos,0),0))</f>
        <v/>
      </c>
    </row>
    <row r="87">
      <c r="A87" s="30" t="n"/>
      <c r="B87" s="29" t="n"/>
      <c r="C87" s="38" t="n"/>
      <c r="D87" s="38" t="n"/>
      <c r="E87" s="37">
        <f>IF(OR($A87="",NOT(ISNUMBER($C87)),NOT(ISNUMBER($D87))),"",$D87-$C87+1)</f>
        <v/>
      </c>
      <c r="F87" s="30" t="n"/>
      <c r="G87" s="10">
        <f>IF(AND($A87&lt;&gt;"",ISNUMBER($C87),ISNUMBER($D87),$C87&lt;=Data_Mapa,$D87&gt;=Data_Mapa),$A87,"")</f>
        <v/>
      </c>
      <c r="H87" s="10">
        <f>IF($A87="",0,IFERROR(MATCH($B87,Aus_Tipos,0),0))</f>
        <v/>
      </c>
    </row>
    <row r="88">
      <c r="A88" s="30" t="n"/>
      <c r="B88" s="29" t="n"/>
      <c r="C88" s="38" t="n"/>
      <c r="D88" s="38" t="n"/>
      <c r="E88" s="37">
        <f>IF(OR($A88="",NOT(ISNUMBER($C88)),NOT(ISNUMBER($D88))),"",$D88-$C88+1)</f>
        <v/>
      </c>
      <c r="F88" s="30" t="n"/>
      <c r="G88" s="10">
        <f>IF(AND($A88&lt;&gt;"",ISNUMBER($C88),ISNUMBER($D88),$C88&lt;=Data_Mapa,$D88&gt;=Data_Mapa),$A88,"")</f>
        <v/>
      </c>
      <c r="H88" s="10">
        <f>IF($A88="",0,IFERROR(MATCH($B88,Aus_Tipos,0),0))</f>
        <v/>
      </c>
    </row>
    <row r="89">
      <c r="A89" s="30" t="n"/>
      <c r="B89" s="29" t="n"/>
      <c r="C89" s="38" t="n"/>
      <c r="D89" s="38" t="n"/>
      <c r="E89" s="37">
        <f>IF(OR($A89="",NOT(ISNUMBER($C89)),NOT(ISNUMBER($D89))),"",$D89-$C89+1)</f>
        <v/>
      </c>
      <c r="F89" s="30" t="n"/>
      <c r="G89" s="10">
        <f>IF(AND($A89&lt;&gt;"",ISNUMBER($C89),ISNUMBER($D89),$C89&lt;=Data_Mapa,$D89&gt;=Data_Mapa),$A89,"")</f>
        <v/>
      </c>
      <c r="H89" s="10">
        <f>IF($A89="",0,IFERROR(MATCH($B89,Aus_Tipos,0),0))</f>
        <v/>
      </c>
    </row>
    <row r="90">
      <c r="A90" s="30" t="n"/>
      <c r="B90" s="29" t="n"/>
      <c r="C90" s="38" t="n"/>
      <c r="D90" s="38" t="n"/>
      <c r="E90" s="37">
        <f>IF(OR($A90="",NOT(ISNUMBER($C90)),NOT(ISNUMBER($D90))),"",$D90-$C90+1)</f>
        <v/>
      </c>
      <c r="F90" s="30" t="n"/>
      <c r="G90" s="10">
        <f>IF(AND($A90&lt;&gt;"",ISNUMBER($C90),ISNUMBER($D90),$C90&lt;=Data_Mapa,$D90&gt;=Data_Mapa),$A90,"")</f>
        <v/>
      </c>
      <c r="H90" s="10">
        <f>IF($A90="",0,IFERROR(MATCH($B90,Aus_Tipos,0),0))</f>
        <v/>
      </c>
    </row>
    <row r="91">
      <c r="A91" s="30" t="n"/>
      <c r="B91" s="29" t="n"/>
      <c r="C91" s="38" t="n"/>
      <c r="D91" s="38" t="n"/>
      <c r="E91" s="37">
        <f>IF(OR($A91="",NOT(ISNUMBER($C91)),NOT(ISNUMBER($D91))),"",$D91-$C91+1)</f>
        <v/>
      </c>
      <c r="F91" s="30" t="n"/>
      <c r="G91" s="10">
        <f>IF(AND($A91&lt;&gt;"",ISNUMBER($C91),ISNUMBER($D91),$C91&lt;=Data_Mapa,$D91&gt;=Data_Mapa),$A91,"")</f>
        <v/>
      </c>
      <c r="H91" s="10">
        <f>IF($A91="",0,IFERROR(MATCH($B91,Aus_Tipos,0),0))</f>
        <v/>
      </c>
    </row>
    <row r="92">
      <c r="A92" s="30" t="n"/>
      <c r="B92" s="29" t="n"/>
      <c r="C92" s="38" t="n"/>
      <c r="D92" s="38" t="n"/>
      <c r="E92" s="37">
        <f>IF(OR($A92="",NOT(ISNUMBER($C92)),NOT(ISNUMBER($D92))),"",$D92-$C92+1)</f>
        <v/>
      </c>
      <c r="F92" s="30" t="n"/>
      <c r="G92" s="10">
        <f>IF(AND($A92&lt;&gt;"",ISNUMBER($C92),ISNUMBER($D92),$C92&lt;=Data_Mapa,$D92&gt;=Data_Mapa),$A92,"")</f>
        <v/>
      </c>
      <c r="H92" s="10">
        <f>IF($A92="",0,IFERROR(MATCH($B92,Aus_Tipos,0),0))</f>
        <v/>
      </c>
    </row>
    <row r="93">
      <c r="A93" s="30" t="n"/>
      <c r="B93" s="29" t="n"/>
      <c r="C93" s="38" t="n"/>
      <c r="D93" s="38" t="n"/>
      <c r="E93" s="37">
        <f>IF(OR($A93="",NOT(ISNUMBER($C93)),NOT(ISNUMBER($D93))),"",$D93-$C93+1)</f>
        <v/>
      </c>
      <c r="F93" s="30" t="n"/>
      <c r="G93" s="10">
        <f>IF(AND($A93&lt;&gt;"",ISNUMBER($C93),ISNUMBER($D93),$C93&lt;=Data_Mapa,$D93&gt;=Data_Mapa),$A93,"")</f>
        <v/>
      </c>
      <c r="H93" s="10">
        <f>IF($A93="",0,IFERROR(MATCH($B93,Aus_Tipos,0),0))</f>
        <v/>
      </c>
    </row>
    <row r="94">
      <c r="A94" s="30" t="n"/>
      <c r="B94" s="29" t="n"/>
      <c r="C94" s="38" t="n"/>
      <c r="D94" s="38" t="n"/>
      <c r="E94" s="37">
        <f>IF(OR($A94="",NOT(ISNUMBER($C94)),NOT(ISNUMBER($D94))),"",$D94-$C94+1)</f>
        <v/>
      </c>
      <c r="F94" s="30" t="n"/>
      <c r="G94" s="10">
        <f>IF(AND($A94&lt;&gt;"",ISNUMBER($C94),ISNUMBER($D94),$C94&lt;=Data_Mapa,$D94&gt;=Data_Mapa),$A94,"")</f>
        <v/>
      </c>
      <c r="H94" s="10">
        <f>IF($A94="",0,IFERROR(MATCH($B94,Aus_Tipos,0),0))</f>
        <v/>
      </c>
    </row>
    <row r="95">
      <c r="A95" s="30" t="n"/>
      <c r="B95" s="29" t="n"/>
      <c r="C95" s="38" t="n"/>
      <c r="D95" s="38" t="n"/>
      <c r="E95" s="37">
        <f>IF(OR($A95="",NOT(ISNUMBER($C95)),NOT(ISNUMBER($D95))),"",$D95-$C95+1)</f>
        <v/>
      </c>
      <c r="F95" s="30" t="n"/>
      <c r="G95" s="10">
        <f>IF(AND($A95&lt;&gt;"",ISNUMBER($C95),ISNUMBER($D95),$C95&lt;=Data_Mapa,$D95&gt;=Data_Mapa),$A95,"")</f>
        <v/>
      </c>
      <c r="H95" s="10">
        <f>IF($A95="",0,IFERROR(MATCH($B95,Aus_Tipos,0),0))</f>
        <v/>
      </c>
    </row>
    <row r="96">
      <c r="A96" s="30" t="n"/>
      <c r="B96" s="29" t="n"/>
      <c r="C96" s="38" t="n"/>
      <c r="D96" s="38" t="n"/>
      <c r="E96" s="37">
        <f>IF(OR($A96="",NOT(ISNUMBER($C96)),NOT(ISNUMBER($D96))),"",$D96-$C96+1)</f>
        <v/>
      </c>
      <c r="F96" s="30" t="n"/>
      <c r="G96" s="10">
        <f>IF(AND($A96&lt;&gt;"",ISNUMBER($C96),ISNUMBER($D96),$C96&lt;=Data_Mapa,$D96&gt;=Data_Mapa),$A96,"")</f>
        <v/>
      </c>
      <c r="H96" s="10">
        <f>IF($A96="",0,IFERROR(MATCH($B96,Aus_Tipos,0),0))</f>
        <v/>
      </c>
    </row>
    <row r="97">
      <c r="A97" s="30" t="n"/>
      <c r="B97" s="29" t="n"/>
      <c r="C97" s="38" t="n"/>
      <c r="D97" s="38" t="n"/>
      <c r="E97" s="37">
        <f>IF(OR($A97="",NOT(ISNUMBER($C97)),NOT(ISNUMBER($D97))),"",$D97-$C97+1)</f>
        <v/>
      </c>
      <c r="F97" s="30" t="n"/>
      <c r="G97" s="10">
        <f>IF(AND($A97&lt;&gt;"",ISNUMBER($C97),ISNUMBER($D97),$C97&lt;=Data_Mapa,$D97&gt;=Data_Mapa),$A97,"")</f>
        <v/>
      </c>
      <c r="H97" s="10">
        <f>IF($A97="",0,IFERROR(MATCH($B97,Aus_Tipos,0),0))</f>
        <v/>
      </c>
    </row>
    <row r="98">
      <c r="A98" s="30" t="n"/>
      <c r="B98" s="29" t="n"/>
      <c r="C98" s="38" t="n"/>
      <c r="D98" s="38" t="n"/>
      <c r="E98" s="37">
        <f>IF(OR($A98="",NOT(ISNUMBER($C98)),NOT(ISNUMBER($D98))),"",$D98-$C98+1)</f>
        <v/>
      </c>
      <c r="F98" s="30" t="n"/>
      <c r="G98" s="10">
        <f>IF(AND($A98&lt;&gt;"",ISNUMBER($C98),ISNUMBER($D98),$C98&lt;=Data_Mapa,$D98&gt;=Data_Mapa),$A98,"")</f>
        <v/>
      </c>
      <c r="H98" s="10">
        <f>IF($A98="",0,IFERROR(MATCH($B98,Aus_Tipos,0),0))</f>
        <v/>
      </c>
    </row>
    <row r="99">
      <c r="A99" s="30" t="n"/>
      <c r="B99" s="29" t="n"/>
      <c r="C99" s="38" t="n"/>
      <c r="D99" s="38" t="n"/>
      <c r="E99" s="37">
        <f>IF(OR($A99="",NOT(ISNUMBER($C99)),NOT(ISNUMBER($D99))),"",$D99-$C99+1)</f>
        <v/>
      </c>
      <c r="F99" s="30" t="n"/>
      <c r="G99" s="10">
        <f>IF(AND($A99&lt;&gt;"",ISNUMBER($C99),ISNUMBER($D99),$C99&lt;=Data_Mapa,$D99&gt;=Data_Mapa),$A99,"")</f>
        <v/>
      </c>
      <c r="H99" s="10">
        <f>IF($A99="",0,IFERROR(MATCH($B99,Aus_Tipos,0),0))</f>
        <v/>
      </c>
    </row>
    <row r="100">
      <c r="A100" s="30" t="n"/>
      <c r="B100" s="29" t="n"/>
      <c r="C100" s="38" t="n"/>
      <c r="D100" s="38" t="n"/>
      <c r="E100" s="37">
        <f>IF(OR($A100="",NOT(ISNUMBER($C100)),NOT(ISNUMBER($D100))),"",$D100-$C100+1)</f>
        <v/>
      </c>
      <c r="F100" s="30" t="n"/>
      <c r="G100" s="10">
        <f>IF(AND($A100&lt;&gt;"",ISNUMBER($C100),ISNUMBER($D100),$C100&lt;=Data_Mapa,$D100&gt;=Data_Mapa),$A100,"")</f>
        <v/>
      </c>
      <c r="H100" s="10">
        <f>IF($A100="",0,IFERROR(MATCH($B100,Aus_Tipos,0),0))</f>
        <v/>
      </c>
    </row>
    <row r="101">
      <c r="A101" s="30" t="n"/>
      <c r="B101" s="29" t="n"/>
      <c r="C101" s="38" t="n"/>
      <c r="D101" s="38" t="n"/>
      <c r="E101" s="37">
        <f>IF(OR($A101="",NOT(ISNUMBER($C101)),NOT(ISNUMBER($D101))),"",$D101-$C101+1)</f>
        <v/>
      </c>
      <c r="F101" s="30" t="n"/>
      <c r="G101" s="10">
        <f>IF(AND($A101&lt;&gt;"",ISNUMBER($C101),ISNUMBER($D101),$C101&lt;=Data_Mapa,$D101&gt;=Data_Mapa),$A101,"")</f>
        <v/>
      </c>
      <c r="H101" s="10">
        <f>IF($A101="",0,IFERROR(MATCH($B101,Aus_Tipos,0),0))</f>
        <v/>
      </c>
    </row>
    <row r="102">
      <c r="A102" s="30" t="n"/>
      <c r="B102" s="29" t="n"/>
      <c r="C102" s="38" t="n"/>
      <c r="D102" s="38" t="n"/>
      <c r="E102" s="37">
        <f>IF(OR($A102="",NOT(ISNUMBER($C102)),NOT(ISNUMBER($D102))),"",$D102-$C102+1)</f>
        <v/>
      </c>
      <c r="F102" s="30" t="n"/>
      <c r="G102" s="10">
        <f>IF(AND($A102&lt;&gt;"",ISNUMBER($C102),ISNUMBER($D102),$C102&lt;=Data_Mapa,$D102&gt;=Data_Mapa),$A102,"")</f>
        <v/>
      </c>
      <c r="H102" s="10">
        <f>IF($A102="",0,IFERROR(MATCH($B102,Aus_Tipos,0),0))</f>
        <v/>
      </c>
    </row>
    <row r="103">
      <c r="A103" s="30" t="n"/>
      <c r="B103" s="29" t="n"/>
      <c r="C103" s="38" t="n"/>
      <c r="D103" s="38" t="n"/>
      <c r="E103" s="37">
        <f>IF(OR($A103="",NOT(ISNUMBER($C103)),NOT(ISNUMBER($D103))),"",$D103-$C103+1)</f>
        <v/>
      </c>
      <c r="F103" s="30" t="n"/>
      <c r="G103" s="10">
        <f>IF(AND($A103&lt;&gt;"",ISNUMBER($C103),ISNUMBER($D103),$C103&lt;=Data_Mapa,$D103&gt;=Data_Mapa),$A103,"")</f>
        <v/>
      </c>
      <c r="H103" s="10">
        <f>IF($A103="",0,IFERROR(MATCH($B103,Aus_Tipos,0),0))</f>
        <v/>
      </c>
    </row>
    <row r="104">
      <c r="A104" s="30" t="n"/>
      <c r="B104" s="29" t="n"/>
      <c r="C104" s="38" t="n"/>
      <c r="D104" s="38" t="n"/>
      <c r="E104" s="37">
        <f>IF(OR($A104="",NOT(ISNUMBER($C104)),NOT(ISNUMBER($D104))),"",$D104-$C104+1)</f>
        <v/>
      </c>
      <c r="F104" s="30" t="n"/>
      <c r="G104" s="10">
        <f>IF(AND($A104&lt;&gt;"",ISNUMBER($C104),ISNUMBER($D104),$C104&lt;=Data_Mapa,$D104&gt;=Data_Mapa),$A104,"")</f>
        <v/>
      </c>
      <c r="H104" s="10">
        <f>IF($A104="",0,IFERROR(MATCH($B104,Aus_Tipos,0),0))</f>
        <v/>
      </c>
    </row>
    <row r="105">
      <c r="A105" s="30" t="n"/>
      <c r="B105" s="29" t="n"/>
      <c r="C105" s="38" t="n"/>
      <c r="D105" s="38" t="n"/>
      <c r="E105" s="37">
        <f>IF(OR($A105="",NOT(ISNUMBER($C105)),NOT(ISNUMBER($D105))),"",$D105-$C105+1)</f>
        <v/>
      </c>
      <c r="F105" s="30" t="n"/>
      <c r="G105" s="10">
        <f>IF(AND($A105&lt;&gt;"",ISNUMBER($C105),ISNUMBER($D105),$C105&lt;=Data_Mapa,$D105&gt;=Data_Mapa),$A105,"")</f>
        <v/>
      </c>
      <c r="H105" s="10">
        <f>IF($A105="",0,IFERROR(MATCH($B105,Aus_Tipos,0),0))</f>
        <v/>
      </c>
    </row>
    <row r="106">
      <c r="A106" s="30" t="n"/>
      <c r="B106" s="29" t="n"/>
      <c r="C106" s="38" t="n"/>
      <c r="D106" s="38" t="n"/>
      <c r="E106" s="37">
        <f>IF(OR($A106="",NOT(ISNUMBER($C106)),NOT(ISNUMBER($D106))),"",$D106-$C106+1)</f>
        <v/>
      </c>
      <c r="F106" s="30" t="n"/>
      <c r="G106" s="10">
        <f>IF(AND($A106&lt;&gt;"",ISNUMBER($C106),ISNUMBER($D106),$C106&lt;=Data_Mapa,$D106&gt;=Data_Mapa),$A106,"")</f>
        <v/>
      </c>
      <c r="H106" s="10">
        <f>IF($A106="",0,IFERROR(MATCH($B106,Aus_Tipos,0),0))</f>
        <v/>
      </c>
    </row>
    <row r="107">
      <c r="A107" s="30" t="n"/>
      <c r="B107" s="29" t="n"/>
      <c r="C107" s="38" t="n"/>
      <c r="D107" s="38" t="n"/>
      <c r="E107" s="37">
        <f>IF(OR($A107="",NOT(ISNUMBER($C107)),NOT(ISNUMBER($D107))),"",$D107-$C107+1)</f>
        <v/>
      </c>
      <c r="F107" s="30" t="n"/>
      <c r="G107" s="10">
        <f>IF(AND($A107&lt;&gt;"",ISNUMBER($C107),ISNUMBER($D107),$C107&lt;=Data_Mapa,$D107&gt;=Data_Mapa),$A107,"")</f>
        <v/>
      </c>
      <c r="H107" s="10">
        <f>IF($A107="",0,IFERROR(MATCH($B107,Aus_Tipos,0),0))</f>
        <v/>
      </c>
    </row>
    <row r="108">
      <c r="A108" s="30" t="n"/>
      <c r="B108" s="29" t="n"/>
      <c r="C108" s="38" t="n"/>
      <c r="D108" s="38" t="n"/>
      <c r="E108" s="37">
        <f>IF(OR($A108="",NOT(ISNUMBER($C108)),NOT(ISNUMBER($D108))),"",$D108-$C108+1)</f>
        <v/>
      </c>
      <c r="F108" s="30" t="n"/>
      <c r="G108" s="10">
        <f>IF(AND($A108&lt;&gt;"",ISNUMBER($C108),ISNUMBER($D108),$C108&lt;=Data_Mapa,$D108&gt;=Data_Mapa),$A108,"")</f>
        <v/>
      </c>
      <c r="H108" s="10">
        <f>IF($A108="",0,IFERROR(MATCH($B108,Aus_Tipos,0),0))</f>
        <v/>
      </c>
    </row>
    <row r="109">
      <c r="A109" s="30" t="n"/>
      <c r="B109" s="29" t="n"/>
      <c r="C109" s="38" t="n"/>
      <c r="D109" s="38" t="n"/>
      <c r="E109" s="37">
        <f>IF(OR($A109="",NOT(ISNUMBER($C109)),NOT(ISNUMBER($D109))),"",$D109-$C109+1)</f>
        <v/>
      </c>
      <c r="F109" s="30" t="n"/>
      <c r="G109" s="10">
        <f>IF(AND($A109&lt;&gt;"",ISNUMBER($C109),ISNUMBER($D109),$C109&lt;=Data_Mapa,$D109&gt;=Data_Mapa),$A109,"")</f>
        <v/>
      </c>
      <c r="H109" s="10">
        <f>IF($A109="",0,IFERROR(MATCH($B109,Aus_Tipos,0),0))</f>
        <v/>
      </c>
    </row>
    <row r="110">
      <c r="A110" s="30" t="n"/>
      <c r="B110" s="29" t="n"/>
      <c r="C110" s="38" t="n"/>
      <c r="D110" s="38" t="n"/>
      <c r="E110" s="37">
        <f>IF(OR($A110="",NOT(ISNUMBER($C110)),NOT(ISNUMBER($D110))),"",$D110-$C110+1)</f>
        <v/>
      </c>
      <c r="F110" s="30" t="n"/>
      <c r="G110" s="10">
        <f>IF(AND($A110&lt;&gt;"",ISNUMBER($C110),ISNUMBER($D110),$C110&lt;=Data_Mapa,$D110&gt;=Data_Mapa),$A110,"")</f>
        <v/>
      </c>
      <c r="H110" s="10">
        <f>IF($A110="",0,IFERROR(MATCH($B110,Aus_Tipos,0),0))</f>
        <v/>
      </c>
    </row>
    <row r="111">
      <c r="A111" s="30" t="n"/>
      <c r="B111" s="29" t="n"/>
      <c r="C111" s="38" t="n"/>
      <c r="D111" s="38" t="n"/>
      <c r="E111" s="37">
        <f>IF(OR($A111="",NOT(ISNUMBER($C111)),NOT(ISNUMBER($D111))),"",$D111-$C111+1)</f>
        <v/>
      </c>
      <c r="F111" s="30" t="n"/>
      <c r="G111" s="10">
        <f>IF(AND($A111&lt;&gt;"",ISNUMBER($C111),ISNUMBER($D111),$C111&lt;=Data_Mapa,$D111&gt;=Data_Mapa),$A111,"")</f>
        <v/>
      </c>
      <c r="H111" s="10">
        <f>IF($A111="",0,IFERROR(MATCH($B111,Aus_Tipos,0),0))</f>
        <v/>
      </c>
    </row>
    <row r="112">
      <c r="A112" s="30" t="n"/>
      <c r="B112" s="29" t="n"/>
      <c r="C112" s="38" t="n"/>
      <c r="D112" s="38" t="n"/>
      <c r="E112" s="37">
        <f>IF(OR($A112="",NOT(ISNUMBER($C112)),NOT(ISNUMBER($D112))),"",$D112-$C112+1)</f>
        <v/>
      </c>
      <c r="F112" s="30" t="n"/>
      <c r="G112" s="10">
        <f>IF(AND($A112&lt;&gt;"",ISNUMBER($C112),ISNUMBER($D112),$C112&lt;=Data_Mapa,$D112&gt;=Data_Mapa),$A112,"")</f>
        <v/>
      </c>
      <c r="H112" s="10">
        <f>IF($A112="",0,IFERROR(MATCH($B112,Aus_Tipos,0),0))</f>
        <v/>
      </c>
    </row>
    <row r="113">
      <c r="A113" s="30" t="n"/>
      <c r="B113" s="29" t="n"/>
      <c r="C113" s="38" t="n"/>
      <c r="D113" s="38" t="n"/>
      <c r="E113" s="37">
        <f>IF(OR($A113="",NOT(ISNUMBER($C113)),NOT(ISNUMBER($D113))),"",$D113-$C113+1)</f>
        <v/>
      </c>
      <c r="F113" s="30" t="n"/>
      <c r="G113" s="10">
        <f>IF(AND($A113&lt;&gt;"",ISNUMBER($C113),ISNUMBER($D113),$C113&lt;=Data_Mapa,$D113&gt;=Data_Mapa),$A113,"")</f>
        <v/>
      </c>
      <c r="H113" s="10">
        <f>IF($A113="",0,IFERROR(MATCH($B113,Aus_Tipos,0),0))</f>
        <v/>
      </c>
    </row>
    <row r="114">
      <c r="A114" s="30" t="n"/>
      <c r="B114" s="29" t="n"/>
      <c r="C114" s="38" t="n"/>
      <c r="D114" s="38" t="n"/>
      <c r="E114" s="37">
        <f>IF(OR($A114="",NOT(ISNUMBER($C114)),NOT(ISNUMBER($D114))),"",$D114-$C114+1)</f>
        <v/>
      </c>
      <c r="F114" s="30" t="n"/>
      <c r="G114" s="10">
        <f>IF(AND($A114&lt;&gt;"",ISNUMBER($C114),ISNUMBER($D114),$C114&lt;=Data_Mapa,$D114&gt;=Data_Mapa),$A114,"")</f>
        <v/>
      </c>
      <c r="H114" s="10">
        <f>IF($A114="",0,IFERROR(MATCH($B114,Aus_Tipos,0),0))</f>
        <v/>
      </c>
    </row>
    <row r="115">
      <c r="A115" s="30" t="n"/>
      <c r="B115" s="29" t="n"/>
      <c r="C115" s="38" t="n"/>
      <c r="D115" s="38" t="n"/>
      <c r="E115" s="37">
        <f>IF(OR($A115="",NOT(ISNUMBER($C115)),NOT(ISNUMBER($D115))),"",$D115-$C115+1)</f>
        <v/>
      </c>
      <c r="F115" s="30" t="n"/>
      <c r="G115" s="10">
        <f>IF(AND($A115&lt;&gt;"",ISNUMBER($C115),ISNUMBER($D115),$C115&lt;=Data_Mapa,$D115&gt;=Data_Mapa),$A115,"")</f>
        <v/>
      </c>
      <c r="H115" s="10">
        <f>IF($A115="",0,IFERROR(MATCH($B115,Aus_Tipos,0),0))</f>
        <v/>
      </c>
    </row>
    <row r="116">
      <c r="A116" s="30" t="n"/>
      <c r="B116" s="29" t="n"/>
      <c r="C116" s="38" t="n"/>
      <c r="D116" s="38" t="n"/>
      <c r="E116" s="37">
        <f>IF(OR($A116="",NOT(ISNUMBER($C116)),NOT(ISNUMBER($D116))),"",$D116-$C116+1)</f>
        <v/>
      </c>
      <c r="F116" s="30" t="n"/>
      <c r="G116" s="10">
        <f>IF(AND($A116&lt;&gt;"",ISNUMBER($C116),ISNUMBER($D116),$C116&lt;=Data_Mapa,$D116&gt;=Data_Mapa),$A116,"")</f>
        <v/>
      </c>
      <c r="H116" s="10">
        <f>IF($A116="",0,IFERROR(MATCH($B116,Aus_Tipos,0),0))</f>
        <v/>
      </c>
    </row>
    <row r="117">
      <c r="A117" s="30" t="n"/>
      <c r="B117" s="29" t="n"/>
      <c r="C117" s="38" t="n"/>
      <c r="D117" s="38" t="n"/>
      <c r="E117" s="37">
        <f>IF(OR($A117="",NOT(ISNUMBER($C117)),NOT(ISNUMBER($D117))),"",$D117-$C117+1)</f>
        <v/>
      </c>
      <c r="F117" s="30" t="n"/>
      <c r="G117" s="10">
        <f>IF(AND($A117&lt;&gt;"",ISNUMBER($C117),ISNUMBER($D117),$C117&lt;=Data_Mapa,$D117&gt;=Data_Mapa),$A117,"")</f>
        <v/>
      </c>
      <c r="H117" s="10">
        <f>IF($A117="",0,IFERROR(MATCH($B117,Aus_Tipos,0),0))</f>
        <v/>
      </c>
    </row>
    <row r="118">
      <c r="A118" s="30" t="n"/>
      <c r="B118" s="29" t="n"/>
      <c r="C118" s="38" t="n"/>
      <c r="D118" s="38" t="n"/>
      <c r="E118" s="37">
        <f>IF(OR($A118="",NOT(ISNUMBER($C118)),NOT(ISNUMBER($D118))),"",$D118-$C118+1)</f>
        <v/>
      </c>
      <c r="F118" s="30" t="n"/>
      <c r="G118" s="10">
        <f>IF(AND($A118&lt;&gt;"",ISNUMBER($C118),ISNUMBER($D118),$C118&lt;=Data_Mapa,$D118&gt;=Data_Mapa),$A118,"")</f>
        <v/>
      </c>
      <c r="H118" s="10">
        <f>IF($A118="",0,IFERROR(MATCH($B118,Aus_Tipos,0),0))</f>
        <v/>
      </c>
    </row>
    <row r="119">
      <c r="A119" s="30" t="n"/>
      <c r="B119" s="29" t="n"/>
      <c r="C119" s="38" t="n"/>
      <c r="D119" s="38" t="n"/>
      <c r="E119" s="37">
        <f>IF(OR($A119="",NOT(ISNUMBER($C119)),NOT(ISNUMBER($D119))),"",$D119-$C119+1)</f>
        <v/>
      </c>
      <c r="F119" s="30" t="n"/>
      <c r="G119" s="10">
        <f>IF(AND($A119&lt;&gt;"",ISNUMBER($C119),ISNUMBER($D119),$C119&lt;=Data_Mapa,$D119&gt;=Data_Mapa),$A119,"")</f>
        <v/>
      </c>
      <c r="H119" s="10">
        <f>IF($A119="",0,IFERROR(MATCH($B119,Aus_Tipos,0),0))</f>
        <v/>
      </c>
    </row>
    <row r="120">
      <c r="A120" s="30" t="n"/>
      <c r="B120" s="29" t="n"/>
      <c r="C120" s="38" t="n"/>
      <c r="D120" s="38" t="n"/>
      <c r="E120" s="37">
        <f>IF(OR($A120="",NOT(ISNUMBER($C120)),NOT(ISNUMBER($D120))),"",$D120-$C120+1)</f>
        <v/>
      </c>
      <c r="F120" s="30" t="n"/>
      <c r="G120" s="10">
        <f>IF(AND($A120&lt;&gt;"",ISNUMBER($C120),ISNUMBER($D120),$C120&lt;=Data_Mapa,$D120&gt;=Data_Mapa),$A120,"")</f>
        <v/>
      </c>
      <c r="H120" s="10">
        <f>IF($A120="",0,IFERROR(MATCH($B120,Aus_Tipos,0),0))</f>
        <v/>
      </c>
    </row>
    <row r="121">
      <c r="A121" s="30" t="n"/>
      <c r="B121" s="29" t="n"/>
      <c r="C121" s="38" t="n"/>
      <c r="D121" s="38" t="n"/>
      <c r="E121" s="37">
        <f>IF(OR($A121="",NOT(ISNUMBER($C121)),NOT(ISNUMBER($D121))),"",$D121-$C121+1)</f>
        <v/>
      </c>
      <c r="F121" s="30" t="n"/>
      <c r="G121" s="10">
        <f>IF(AND($A121&lt;&gt;"",ISNUMBER($C121),ISNUMBER($D121),$C121&lt;=Data_Mapa,$D121&gt;=Data_Mapa),$A121,"")</f>
        <v/>
      </c>
      <c r="H121" s="10">
        <f>IF($A121="",0,IFERROR(MATCH($B121,Aus_Tipos,0),0))</f>
        <v/>
      </c>
    </row>
    <row r="122">
      <c r="A122" s="30" t="n"/>
      <c r="B122" s="29" t="n"/>
      <c r="C122" s="38" t="n"/>
      <c r="D122" s="38" t="n"/>
      <c r="E122" s="37">
        <f>IF(OR($A122="",NOT(ISNUMBER($C122)),NOT(ISNUMBER($D122))),"",$D122-$C122+1)</f>
        <v/>
      </c>
      <c r="F122" s="30" t="n"/>
      <c r="G122" s="10">
        <f>IF(AND($A122&lt;&gt;"",ISNUMBER($C122),ISNUMBER($D122),$C122&lt;=Data_Mapa,$D122&gt;=Data_Mapa),$A122,"")</f>
        <v/>
      </c>
      <c r="H122" s="10">
        <f>IF($A122="",0,IFERROR(MATCH($B122,Aus_Tipos,0),0))</f>
        <v/>
      </c>
    </row>
    <row r="123">
      <c r="A123" s="30" t="n"/>
      <c r="B123" s="29" t="n"/>
      <c r="C123" s="38" t="n"/>
      <c r="D123" s="38" t="n"/>
      <c r="E123" s="37">
        <f>IF(OR($A123="",NOT(ISNUMBER($C123)),NOT(ISNUMBER($D123))),"",$D123-$C123+1)</f>
        <v/>
      </c>
      <c r="F123" s="30" t="n"/>
      <c r="G123" s="10">
        <f>IF(AND($A123&lt;&gt;"",ISNUMBER($C123),ISNUMBER($D123),$C123&lt;=Data_Mapa,$D123&gt;=Data_Mapa),$A123,"")</f>
        <v/>
      </c>
      <c r="H123" s="10">
        <f>IF($A123="",0,IFERROR(MATCH($B123,Aus_Tipos,0),0))</f>
        <v/>
      </c>
    </row>
    <row r="124">
      <c r="A124" s="30" t="n"/>
      <c r="B124" s="29" t="n"/>
      <c r="C124" s="38" t="n"/>
      <c r="D124" s="38" t="n"/>
      <c r="E124" s="37">
        <f>IF(OR($A124="",NOT(ISNUMBER($C124)),NOT(ISNUMBER($D124))),"",$D124-$C124+1)</f>
        <v/>
      </c>
      <c r="F124" s="30" t="n"/>
      <c r="G124" s="10">
        <f>IF(AND($A124&lt;&gt;"",ISNUMBER($C124),ISNUMBER($D124),$C124&lt;=Data_Mapa,$D124&gt;=Data_Mapa),$A124,"")</f>
        <v/>
      </c>
      <c r="H124" s="10">
        <f>IF($A124="",0,IFERROR(MATCH($B124,Aus_Tipos,0),0))</f>
        <v/>
      </c>
    </row>
    <row r="125">
      <c r="A125" s="30" t="n"/>
      <c r="B125" s="29" t="n"/>
      <c r="C125" s="38" t="n"/>
      <c r="D125" s="38" t="n"/>
      <c r="E125" s="37">
        <f>IF(OR($A125="",NOT(ISNUMBER($C125)),NOT(ISNUMBER($D125))),"",$D125-$C125+1)</f>
        <v/>
      </c>
      <c r="F125" s="30" t="n"/>
      <c r="G125" s="10">
        <f>IF(AND($A125&lt;&gt;"",ISNUMBER($C125),ISNUMBER($D125),$C125&lt;=Data_Mapa,$D125&gt;=Data_Mapa),$A125,"")</f>
        <v/>
      </c>
      <c r="H125" s="10">
        <f>IF($A125="",0,IFERROR(MATCH($B125,Aus_Tipos,0),0))</f>
        <v/>
      </c>
    </row>
    <row r="126">
      <c r="A126" s="30" t="n"/>
      <c r="B126" s="29" t="n"/>
      <c r="C126" s="38" t="n"/>
      <c r="D126" s="38" t="n"/>
      <c r="E126" s="37">
        <f>IF(OR($A126="",NOT(ISNUMBER($C126)),NOT(ISNUMBER($D126))),"",$D126-$C126+1)</f>
        <v/>
      </c>
      <c r="F126" s="30" t="n"/>
      <c r="G126" s="10">
        <f>IF(AND($A126&lt;&gt;"",ISNUMBER($C126),ISNUMBER($D126),$C126&lt;=Data_Mapa,$D126&gt;=Data_Mapa),$A126,"")</f>
        <v/>
      </c>
      <c r="H126" s="10">
        <f>IF($A126="",0,IFERROR(MATCH($B126,Aus_Tipos,0),0))</f>
        <v/>
      </c>
    </row>
    <row r="127">
      <c r="A127" s="30" t="n"/>
      <c r="B127" s="29" t="n"/>
      <c r="C127" s="38" t="n"/>
      <c r="D127" s="38" t="n"/>
      <c r="E127" s="37">
        <f>IF(OR($A127="",NOT(ISNUMBER($C127)),NOT(ISNUMBER($D127))),"",$D127-$C127+1)</f>
        <v/>
      </c>
      <c r="F127" s="30" t="n"/>
      <c r="G127" s="10">
        <f>IF(AND($A127&lt;&gt;"",ISNUMBER($C127),ISNUMBER($D127),$C127&lt;=Data_Mapa,$D127&gt;=Data_Mapa),$A127,"")</f>
        <v/>
      </c>
      <c r="H127" s="10">
        <f>IF($A127="",0,IFERROR(MATCH($B127,Aus_Tipos,0),0))</f>
        <v/>
      </c>
    </row>
    <row r="128">
      <c r="A128" s="30" t="n"/>
      <c r="B128" s="29" t="n"/>
      <c r="C128" s="38" t="n"/>
      <c r="D128" s="38" t="n"/>
      <c r="E128" s="37">
        <f>IF(OR($A128="",NOT(ISNUMBER($C128)),NOT(ISNUMBER($D128))),"",$D128-$C128+1)</f>
        <v/>
      </c>
      <c r="F128" s="30" t="n"/>
      <c r="G128" s="10">
        <f>IF(AND($A128&lt;&gt;"",ISNUMBER($C128),ISNUMBER($D128),$C128&lt;=Data_Mapa,$D128&gt;=Data_Mapa),$A128,"")</f>
        <v/>
      </c>
      <c r="H128" s="10">
        <f>IF($A128="",0,IFERROR(MATCH($B128,Aus_Tipos,0),0))</f>
        <v/>
      </c>
    </row>
    <row r="129">
      <c r="A129" s="30" t="n"/>
      <c r="B129" s="29" t="n"/>
      <c r="C129" s="38" t="n"/>
      <c r="D129" s="38" t="n"/>
      <c r="E129" s="37">
        <f>IF(OR($A129="",NOT(ISNUMBER($C129)),NOT(ISNUMBER($D129))),"",$D129-$C129+1)</f>
        <v/>
      </c>
      <c r="F129" s="30" t="n"/>
      <c r="G129" s="10">
        <f>IF(AND($A129&lt;&gt;"",ISNUMBER($C129),ISNUMBER($D129),$C129&lt;=Data_Mapa,$D129&gt;=Data_Mapa),$A129,"")</f>
        <v/>
      </c>
      <c r="H129" s="10">
        <f>IF($A129="",0,IFERROR(MATCH($B129,Aus_Tipos,0),0))</f>
        <v/>
      </c>
    </row>
    <row r="130">
      <c r="A130" s="30" t="n"/>
      <c r="B130" s="29" t="n"/>
      <c r="C130" s="38" t="n"/>
      <c r="D130" s="38" t="n"/>
      <c r="E130" s="37">
        <f>IF(OR($A130="",NOT(ISNUMBER($C130)),NOT(ISNUMBER($D130))),"",$D130-$C130+1)</f>
        <v/>
      </c>
      <c r="F130" s="30" t="n"/>
      <c r="G130" s="10">
        <f>IF(AND($A130&lt;&gt;"",ISNUMBER($C130),ISNUMBER($D130),$C130&lt;=Data_Mapa,$D130&gt;=Data_Mapa),$A130,"")</f>
        <v/>
      </c>
      <c r="H130" s="10">
        <f>IF($A130="",0,IFERROR(MATCH($B130,Aus_Tipos,0),0))</f>
        <v/>
      </c>
    </row>
    <row r="131">
      <c r="A131" s="30" t="n"/>
      <c r="B131" s="29" t="n"/>
      <c r="C131" s="38" t="n"/>
      <c r="D131" s="38" t="n"/>
      <c r="E131" s="37">
        <f>IF(OR($A131="",NOT(ISNUMBER($C131)),NOT(ISNUMBER($D131))),"",$D131-$C131+1)</f>
        <v/>
      </c>
      <c r="F131" s="30" t="n"/>
      <c r="G131" s="10">
        <f>IF(AND($A131&lt;&gt;"",ISNUMBER($C131),ISNUMBER($D131),$C131&lt;=Data_Mapa,$D131&gt;=Data_Mapa),$A131,"")</f>
        <v/>
      </c>
      <c r="H131" s="10">
        <f>IF($A131="",0,IFERROR(MATCH($B131,Aus_Tipos,0),0))</f>
        <v/>
      </c>
    </row>
    <row r="132">
      <c r="A132" s="30" t="n"/>
      <c r="B132" s="29" t="n"/>
      <c r="C132" s="38" t="n"/>
      <c r="D132" s="38" t="n"/>
      <c r="E132" s="37">
        <f>IF(OR($A132="",NOT(ISNUMBER($C132)),NOT(ISNUMBER($D132))),"",$D132-$C132+1)</f>
        <v/>
      </c>
      <c r="F132" s="30" t="n"/>
      <c r="G132" s="10">
        <f>IF(AND($A132&lt;&gt;"",ISNUMBER($C132),ISNUMBER($D132),$C132&lt;=Data_Mapa,$D132&gt;=Data_Mapa),$A132,"")</f>
        <v/>
      </c>
      <c r="H132" s="10">
        <f>IF($A132="",0,IFERROR(MATCH($B132,Aus_Tipos,0),0))</f>
        <v/>
      </c>
    </row>
    <row r="133">
      <c r="A133" s="30" t="n"/>
      <c r="B133" s="29" t="n"/>
      <c r="C133" s="38" t="n"/>
      <c r="D133" s="38" t="n"/>
      <c r="E133" s="37">
        <f>IF(OR($A133="",NOT(ISNUMBER($C133)),NOT(ISNUMBER($D133))),"",$D133-$C133+1)</f>
        <v/>
      </c>
      <c r="F133" s="30" t="n"/>
      <c r="G133" s="10">
        <f>IF(AND($A133&lt;&gt;"",ISNUMBER($C133),ISNUMBER($D133),$C133&lt;=Data_Mapa,$D133&gt;=Data_Mapa),$A133,"")</f>
        <v/>
      </c>
      <c r="H133" s="10">
        <f>IF($A133="",0,IFERROR(MATCH($B133,Aus_Tipos,0),0))</f>
        <v/>
      </c>
    </row>
    <row r="134">
      <c r="A134" s="30" t="n"/>
      <c r="B134" s="29" t="n"/>
      <c r="C134" s="38" t="n"/>
      <c r="D134" s="38" t="n"/>
      <c r="E134" s="37">
        <f>IF(OR($A134="",NOT(ISNUMBER($C134)),NOT(ISNUMBER($D134))),"",$D134-$C134+1)</f>
        <v/>
      </c>
      <c r="F134" s="30" t="n"/>
      <c r="G134" s="10">
        <f>IF(AND($A134&lt;&gt;"",ISNUMBER($C134),ISNUMBER($D134),$C134&lt;=Data_Mapa,$D134&gt;=Data_Mapa),$A134,"")</f>
        <v/>
      </c>
      <c r="H134" s="10">
        <f>IF($A134="",0,IFERROR(MATCH($B134,Aus_Tipos,0),0))</f>
        <v/>
      </c>
    </row>
    <row r="135">
      <c r="A135" s="30" t="n"/>
      <c r="B135" s="29" t="n"/>
      <c r="C135" s="38" t="n"/>
      <c r="D135" s="38" t="n"/>
      <c r="E135" s="37">
        <f>IF(OR($A135="",NOT(ISNUMBER($C135)),NOT(ISNUMBER($D135))),"",$D135-$C135+1)</f>
        <v/>
      </c>
      <c r="F135" s="30" t="n"/>
      <c r="G135" s="10">
        <f>IF(AND($A135&lt;&gt;"",ISNUMBER($C135),ISNUMBER($D135),$C135&lt;=Data_Mapa,$D135&gt;=Data_Mapa),$A135,"")</f>
        <v/>
      </c>
      <c r="H135" s="10">
        <f>IF($A135="",0,IFERROR(MATCH($B135,Aus_Tipos,0),0))</f>
        <v/>
      </c>
    </row>
    <row r="136">
      <c r="A136" s="30" t="n"/>
      <c r="B136" s="29" t="n"/>
      <c r="C136" s="38" t="n"/>
      <c r="D136" s="38" t="n"/>
      <c r="E136" s="37">
        <f>IF(OR($A136="",NOT(ISNUMBER($C136)),NOT(ISNUMBER($D136))),"",$D136-$C136+1)</f>
        <v/>
      </c>
      <c r="F136" s="30" t="n"/>
      <c r="G136" s="10">
        <f>IF(AND($A136&lt;&gt;"",ISNUMBER($C136),ISNUMBER($D136),$C136&lt;=Data_Mapa,$D136&gt;=Data_Mapa),$A136,"")</f>
        <v/>
      </c>
      <c r="H136" s="10">
        <f>IF($A136="",0,IFERROR(MATCH($B136,Aus_Tipos,0),0))</f>
        <v/>
      </c>
    </row>
    <row r="137">
      <c r="A137" s="30" t="n"/>
      <c r="B137" s="29" t="n"/>
      <c r="C137" s="38" t="n"/>
      <c r="D137" s="38" t="n"/>
      <c r="E137" s="37">
        <f>IF(OR($A137="",NOT(ISNUMBER($C137)),NOT(ISNUMBER($D137))),"",$D137-$C137+1)</f>
        <v/>
      </c>
      <c r="F137" s="30" t="n"/>
      <c r="G137" s="10">
        <f>IF(AND($A137&lt;&gt;"",ISNUMBER($C137),ISNUMBER($D137),$C137&lt;=Data_Mapa,$D137&gt;=Data_Mapa),$A137,"")</f>
        <v/>
      </c>
      <c r="H137" s="10">
        <f>IF($A137="",0,IFERROR(MATCH($B137,Aus_Tipos,0),0))</f>
        <v/>
      </c>
    </row>
    <row r="138">
      <c r="A138" s="30" t="n"/>
      <c r="B138" s="29" t="n"/>
      <c r="C138" s="38" t="n"/>
      <c r="D138" s="38" t="n"/>
      <c r="E138" s="37">
        <f>IF(OR($A138="",NOT(ISNUMBER($C138)),NOT(ISNUMBER($D138))),"",$D138-$C138+1)</f>
        <v/>
      </c>
      <c r="F138" s="30" t="n"/>
      <c r="G138" s="10">
        <f>IF(AND($A138&lt;&gt;"",ISNUMBER($C138),ISNUMBER($D138),$C138&lt;=Data_Mapa,$D138&gt;=Data_Mapa),$A138,"")</f>
        <v/>
      </c>
      <c r="H138" s="10">
        <f>IF($A138="",0,IFERROR(MATCH($B138,Aus_Tipos,0),0))</f>
        <v/>
      </c>
    </row>
    <row r="139">
      <c r="A139" s="30" t="n"/>
      <c r="B139" s="29" t="n"/>
      <c r="C139" s="38" t="n"/>
      <c r="D139" s="38" t="n"/>
      <c r="E139" s="37">
        <f>IF(OR($A139="",NOT(ISNUMBER($C139)),NOT(ISNUMBER($D139))),"",$D139-$C139+1)</f>
        <v/>
      </c>
      <c r="F139" s="30" t="n"/>
      <c r="G139" s="10">
        <f>IF(AND($A139&lt;&gt;"",ISNUMBER($C139),ISNUMBER($D139),$C139&lt;=Data_Mapa,$D139&gt;=Data_Mapa),$A139,"")</f>
        <v/>
      </c>
      <c r="H139" s="10">
        <f>IF($A139="",0,IFERROR(MATCH($B139,Aus_Tipos,0),0))</f>
        <v/>
      </c>
    </row>
    <row r="140">
      <c r="A140" s="30" t="n"/>
      <c r="B140" s="29" t="n"/>
      <c r="C140" s="38" t="n"/>
      <c r="D140" s="38" t="n"/>
      <c r="E140" s="37">
        <f>IF(OR($A140="",NOT(ISNUMBER($C140)),NOT(ISNUMBER($D140))),"",$D140-$C140+1)</f>
        <v/>
      </c>
      <c r="F140" s="30" t="n"/>
      <c r="G140" s="10">
        <f>IF(AND($A140&lt;&gt;"",ISNUMBER($C140),ISNUMBER($D140),$C140&lt;=Data_Mapa,$D140&gt;=Data_Mapa),$A140,"")</f>
        <v/>
      </c>
      <c r="H140" s="10">
        <f>IF($A140="",0,IFERROR(MATCH($B140,Aus_Tipos,0),0))</f>
        <v/>
      </c>
    </row>
    <row r="141">
      <c r="A141" s="30" t="n"/>
      <c r="B141" s="29" t="n"/>
      <c r="C141" s="38" t="n"/>
      <c r="D141" s="38" t="n"/>
      <c r="E141" s="37">
        <f>IF(OR($A141="",NOT(ISNUMBER($C141)),NOT(ISNUMBER($D141))),"",$D141-$C141+1)</f>
        <v/>
      </c>
      <c r="F141" s="30" t="n"/>
      <c r="G141" s="10">
        <f>IF(AND($A141&lt;&gt;"",ISNUMBER($C141),ISNUMBER($D141),$C141&lt;=Data_Mapa,$D141&gt;=Data_Mapa),$A141,"")</f>
        <v/>
      </c>
      <c r="H141" s="10">
        <f>IF($A141="",0,IFERROR(MATCH($B141,Aus_Tipos,0),0))</f>
        <v/>
      </c>
    </row>
    <row r="142">
      <c r="A142" s="30" t="n"/>
      <c r="B142" s="29" t="n"/>
      <c r="C142" s="38" t="n"/>
      <c r="D142" s="38" t="n"/>
      <c r="E142" s="37">
        <f>IF(OR($A142="",NOT(ISNUMBER($C142)),NOT(ISNUMBER($D142))),"",$D142-$C142+1)</f>
        <v/>
      </c>
      <c r="F142" s="30" t="n"/>
      <c r="G142" s="10">
        <f>IF(AND($A142&lt;&gt;"",ISNUMBER($C142),ISNUMBER($D142),$C142&lt;=Data_Mapa,$D142&gt;=Data_Mapa),$A142,"")</f>
        <v/>
      </c>
      <c r="H142" s="10">
        <f>IF($A142="",0,IFERROR(MATCH($B142,Aus_Tipos,0),0))</f>
        <v/>
      </c>
    </row>
    <row r="143">
      <c r="A143" s="30" t="n"/>
      <c r="B143" s="29" t="n"/>
      <c r="C143" s="38" t="n"/>
      <c r="D143" s="38" t="n"/>
      <c r="E143" s="37">
        <f>IF(OR($A143="",NOT(ISNUMBER($C143)),NOT(ISNUMBER($D143))),"",$D143-$C143+1)</f>
        <v/>
      </c>
      <c r="F143" s="30" t="n"/>
      <c r="G143" s="10">
        <f>IF(AND($A143&lt;&gt;"",ISNUMBER($C143),ISNUMBER($D143),$C143&lt;=Data_Mapa,$D143&gt;=Data_Mapa),$A143,"")</f>
        <v/>
      </c>
      <c r="H143" s="10">
        <f>IF($A143="",0,IFERROR(MATCH($B143,Aus_Tipos,0),0))</f>
        <v/>
      </c>
    </row>
    <row r="144">
      <c r="A144" s="30" t="n"/>
      <c r="B144" s="29" t="n"/>
      <c r="C144" s="38" t="n"/>
      <c r="D144" s="38" t="n"/>
      <c r="E144" s="37">
        <f>IF(OR($A144="",NOT(ISNUMBER($C144)),NOT(ISNUMBER($D144))),"",$D144-$C144+1)</f>
        <v/>
      </c>
      <c r="F144" s="30" t="n"/>
      <c r="G144" s="10">
        <f>IF(AND($A144&lt;&gt;"",ISNUMBER($C144),ISNUMBER($D144),$C144&lt;=Data_Mapa,$D144&gt;=Data_Mapa),$A144,"")</f>
        <v/>
      </c>
      <c r="H144" s="10">
        <f>IF($A144="",0,IFERROR(MATCH($B144,Aus_Tipos,0),0))</f>
        <v/>
      </c>
    </row>
    <row r="145">
      <c r="A145" s="30" t="n"/>
      <c r="B145" s="29" t="n"/>
      <c r="C145" s="38" t="n"/>
      <c r="D145" s="38" t="n"/>
      <c r="E145" s="37">
        <f>IF(OR($A145="",NOT(ISNUMBER($C145)),NOT(ISNUMBER($D145))),"",$D145-$C145+1)</f>
        <v/>
      </c>
      <c r="F145" s="30" t="n"/>
      <c r="G145" s="10">
        <f>IF(AND($A145&lt;&gt;"",ISNUMBER($C145),ISNUMBER($D145),$C145&lt;=Data_Mapa,$D145&gt;=Data_Mapa),$A145,"")</f>
        <v/>
      </c>
      <c r="H145" s="10">
        <f>IF($A145="",0,IFERROR(MATCH($B145,Aus_Tipos,0),0))</f>
        <v/>
      </c>
    </row>
    <row r="146">
      <c r="A146" s="30" t="n"/>
      <c r="B146" s="29" t="n"/>
      <c r="C146" s="38" t="n"/>
      <c r="D146" s="38" t="n"/>
      <c r="E146" s="37">
        <f>IF(OR($A146="",NOT(ISNUMBER($C146)),NOT(ISNUMBER($D146))),"",$D146-$C146+1)</f>
        <v/>
      </c>
      <c r="F146" s="30" t="n"/>
      <c r="G146" s="10">
        <f>IF(AND($A146&lt;&gt;"",ISNUMBER($C146),ISNUMBER($D146),$C146&lt;=Data_Mapa,$D146&gt;=Data_Mapa),$A146,"")</f>
        <v/>
      </c>
      <c r="H146" s="10">
        <f>IF($A146="",0,IFERROR(MATCH($B146,Aus_Tipos,0),0))</f>
        <v/>
      </c>
    </row>
    <row r="147">
      <c r="A147" s="30" t="n"/>
      <c r="B147" s="29" t="n"/>
      <c r="C147" s="38" t="n"/>
      <c r="D147" s="38" t="n"/>
      <c r="E147" s="37">
        <f>IF(OR($A147="",NOT(ISNUMBER($C147)),NOT(ISNUMBER($D147))),"",$D147-$C147+1)</f>
        <v/>
      </c>
      <c r="F147" s="30" t="n"/>
      <c r="G147" s="10">
        <f>IF(AND($A147&lt;&gt;"",ISNUMBER($C147),ISNUMBER($D147),$C147&lt;=Data_Mapa,$D147&gt;=Data_Mapa),$A147,"")</f>
        <v/>
      </c>
      <c r="H147" s="10">
        <f>IF($A147="",0,IFERROR(MATCH($B147,Aus_Tipos,0),0))</f>
        <v/>
      </c>
    </row>
    <row r="148">
      <c r="A148" s="30" t="n"/>
      <c r="B148" s="29" t="n"/>
      <c r="C148" s="38" t="n"/>
      <c r="D148" s="38" t="n"/>
      <c r="E148" s="37">
        <f>IF(OR($A148="",NOT(ISNUMBER($C148)),NOT(ISNUMBER($D148))),"",$D148-$C148+1)</f>
        <v/>
      </c>
      <c r="F148" s="30" t="n"/>
      <c r="G148" s="10">
        <f>IF(AND($A148&lt;&gt;"",ISNUMBER($C148),ISNUMBER($D148),$C148&lt;=Data_Mapa,$D148&gt;=Data_Mapa),$A148,"")</f>
        <v/>
      </c>
      <c r="H148" s="10">
        <f>IF($A148="",0,IFERROR(MATCH($B148,Aus_Tipos,0),0))</f>
        <v/>
      </c>
    </row>
    <row r="149">
      <c r="A149" s="30" t="n"/>
      <c r="B149" s="29" t="n"/>
      <c r="C149" s="38" t="n"/>
      <c r="D149" s="38" t="n"/>
      <c r="E149" s="37">
        <f>IF(OR($A149="",NOT(ISNUMBER($C149)),NOT(ISNUMBER($D149))),"",$D149-$C149+1)</f>
        <v/>
      </c>
      <c r="F149" s="30" t="n"/>
      <c r="G149" s="10">
        <f>IF(AND($A149&lt;&gt;"",ISNUMBER($C149),ISNUMBER($D149),$C149&lt;=Data_Mapa,$D149&gt;=Data_Mapa),$A149,"")</f>
        <v/>
      </c>
      <c r="H149" s="10">
        <f>IF($A149="",0,IFERROR(MATCH($B149,Aus_Tipos,0),0))</f>
        <v/>
      </c>
    </row>
    <row r="150">
      <c r="A150" s="30" t="n"/>
      <c r="B150" s="29" t="n"/>
      <c r="C150" s="38" t="n"/>
      <c r="D150" s="38" t="n"/>
      <c r="E150" s="37">
        <f>IF(OR($A150="",NOT(ISNUMBER($C150)),NOT(ISNUMBER($D150))),"",$D150-$C150+1)</f>
        <v/>
      </c>
      <c r="F150" s="30" t="n"/>
      <c r="G150" s="10">
        <f>IF(AND($A150&lt;&gt;"",ISNUMBER($C150),ISNUMBER($D150),$C150&lt;=Data_Mapa,$D150&gt;=Data_Mapa),$A150,"")</f>
        <v/>
      </c>
      <c r="H150" s="10">
        <f>IF($A150="",0,IFERROR(MATCH($B150,Aus_Tipos,0),0))</f>
        <v/>
      </c>
    </row>
    <row r="151">
      <c r="A151" s="30" t="n"/>
      <c r="B151" s="29" t="n"/>
      <c r="C151" s="38" t="n"/>
      <c r="D151" s="38" t="n"/>
      <c r="E151" s="37">
        <f>IF(OR($A151="",NOT(ISNUMBER($C151)),NOT(ISNUMBER($D151))),"",$D151-$C151+1)</f>
        <v/>
      </c>
      <c r="F151" s="30" t="n"/>
      <c r="G151" s="10">
        <f>IF(AND($A151&lt;&gt;"",ISNUMBER($C151),ISNUMBER($D151),$C151&lt;=Data_Mapa,$D151&gt;=Data_Mapa),$A151,"")</f>
        <v/>
      </c>
      <c r="H151" s="10">
        <f>IF($A151="",0,IFERROR(MATCH($B151,Aus_Tipos,0),0))</f>
        <v/>
      </c>
    </row>
  </sheetData>
  <autoFilter ref="A1:F151"/>
  <conditionalFormatting sqref="E2:E151">
    <cfRule type="expression" priority="1" dxfId="0">
      <formula>AND($E2&lt;&gt;"",$E2&lt;=0)</formula>
    </cfRule>
  </conditionalFormatting>
  <dataValidations count="3">
    <dataValidation sqref="A2:A151" showDropDown="0" showInputMessage="0" showErrorMessage="1" allowBlank="1" type="list">
      <formula1>=Lista_Tecnicos</formula1>
    </dataValidation>
    <dataValidation sqref="B2:B151" showDropDown="0" showInputMessage="0" showErrorMessage="1" allowBlank="1" type="list">
      <formula1>=Lista_TiposAusencia</formula1>
    </dataValidation>
    <dataValidation sqref="C2:D151" showDropDown="0" showInputMessage="0" showErrorMessage="1" allowBlank="1" errorTitle="Data inválida" error="Informe uma data válida." type="date" operator="between">
      <formula1>DATE(2000,1,1)</formula1>
      <formula2>DATE(2100,12,31)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K3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3.6" customWidth="1" min="26" max="26"/>
    <col width="3.6" customWidth="1" min="27" max="27"/>
    <col width="3.6" customWidth="1" min="28" max="28"/>
    <col width="3.6" customWidth="1" min="29" max="29"/>
    <col width="3.6" customWidth="1" min="30" max="30"/>
    <col width="3.6" customWidth="1" min="31" max="31"/>
    <col width="3.6" customWidth="1" min="32" max="32"/>
    <col width="3.6" customWidth="1" min="33" max="33"/>
    <col width="9" customWidth="1" min="34" max="34"/>
    <col width="9" customWidth="1" min="35" max="35"/>
    <col width="9" customWidth="1" min="36" max="36"/>
    <col width="9" customWidth="1" min="37" max="37"/>
  </cols>
  <sheetData>
    <row r="1">
      <c r="A1" s="1" t="inlineStr">
        <is>
          <t>CALENDÁRIO DE AUSÊNCIAS</t>
        </is>
      </c>
      <c r="C1" s="39">
        <f>DATE(YEAR(Data_Mapa),MONTH(Data_Mapa),1)</f>
        <v/>
      </c>
      <c r="L1" s="2" t="inlineStr">
        <is>
          <t>F = Férias · D = Folga · A = Atestado · L = Licença · T = Treinamento · ! = registros sobrepostos</t>
        </is>
      </c>
    </row>
    <row r="2" ht="26" customHeight="1">
      <c r="A2" s="14" t="inlineStr">
        <is>
          <t>Matrícula</t>
        </is>
      </c>
      <c r="B2" s="14" t="inlineStr">
        <is>
          <t>Nome do técnico</t>
        </is>
      </c>
      <c r="C2" s="40">
        <f>$C$1</f>
        <v/>
      </c>
      <c r="D2" s="40">
        <f>IF(MONTH(C2+1)=MONTH($C$1),C2+1,"")</f>
        <v/>
      </c>
      <c r="E2" s="40">
        <f>IF(MONTH(D2+1)=MONTH($C$1),D2+1,"")</f>
        <v/>
      </c>
      <c r="F2" s="40">
        <f>IF(MONTH(E2+1)=MONTH($C$1),E2+1,"")</f>
        <v/>
      </c>
      <c r="G2" s="40">
        <f>IF(MONTH(F2+1)=MONTH($C$1),F2+1,"")</f>
        <v/>
      </c>
      <c r="H2" s="40">
        <f>IF(MONTH(G2+1)=MONTH($C$1),G2+1,"")</f>
        <v/>
      </c>
      <c r="I2" s="40">
        <f>IF(MONTH(H2+1)=MONTH($C$1),H2+1,"")</f>
        <v/>
      </c>
      <c r="J2" s="40">
        <f>IF(MONTH(I2+1)=MONTH($C$1),I2+1,"")</f>
        <v/>
      </c>
      <c r="K2" s="40">
        <f>IF(MONTH(J2+1)=MONTH($C$1),J2+1,"")</f>
        <v/>
      </c>
      <c r="L2" s="40">
        <f>IF(MONTH(K2+1)=MONTH($C$1),K2+1,"")</f>
        <v/>
      </c>
      <c r="M2" s="40">
        <f>IF(MONTH(L2+1)=MONTH($C$1),L2+1,"")</f>
        <v/>
      </c>
      <c r="N2" s="40">
        <f>IF(MONTH(M2+1)=MONTH($C$1),M2+1,"")</f>
        <v/>
      </c>
      <c r="O2" s="40">
        <f>IF(MONTH(N2+1)=MONTH($C$1),N2+1,"")</f>
        <v/>
      </c>
      <c r="P2" s="40">
        <f>IF(MONTH(O2+1)=MONTH($C$1),O2+1,"")</f>
        <v/>
      </c>
      <c r="Q2" s="40">
        <f>IF(MONTH(P2+1)=MONTH($C$1),P2+1,"")</f>
        <v/>
      </c>
      <c r="R2" s="40">
        <f>IF(MONTH(Q2+1)=MONTH($C$1),Q2+1,"")</f>
        <v/>
      </c>
      <c r="S2" s="40">
        <f>IF(MONTH(R2+1)=MONTH($C$1),R2+1,"")</f>
        <v/>
      </c>
      <c r="T2" s="40">
        <f>IF(MONTH(S2+1)=MONTH($C$1),S2+1,"")</f>
        <v/>
      </c>
      <c r="U2" s="40">
        <f>IF(MONTH(T2+1)=MONTH($C$1),T2+1,"")</f>
        <v/>
      </c>
      <c r="V2" s="40">
        <f>IF(MONTH(U2+1)=MONTH($C$1),U2+1,"")</f>
        <v/>
      </c>
      <c r="W2" s="40">
        <f>IF(MONTH(V2+1)=MONTH($C$1),V2+1,"")</f>
        <v/>
      </c>
      <c r="X2" s="40">
        <f>IF(MONTH(W2+1)=MONTH($C$1),W2+1,"")</f>
        <v/>
      </c>
      <c r="Y2" s="40">
        <f>IF(MONTH(X2+1)=MONTH($C$1),X2+1,"")</f>
        <v/>
      </c>
      <c r="Z2" s="40">
        <f>IF(MONTH(Y2+1)=MONTH($C$1),Y2+1,"")</f>
        <v/>
      </c>
      <c r="AA2" s="40">
        <f>IF(MONTH(Z2+1)=MONTH($C$1),Z2+1,"")</f>
        <v/>
      </c>
      <c r="AB2" s="40">
        <f>IF(MONTH(AA2+1)=MONTH($C$1),AA2+1,"")</f>
        <v/>
      </c>
      <c r="AC2" s="40">
        <f>IF(MONTH(AB2+1)=MONTH($C$1),AB2+1,"")</f>
        <v/>
      </c>
      <c r="AD2" s="40">
        <f>IF(MONTH(AC2+1)=MONTH($C$1),AC2+1,"")</f>
        <v/>
      </c>
      <c r="AE2" s="40">
        <f>IF(MONTH(AD2+1)=MONTH($C$1),AD2+1,"")</f>
        <v/>
      </c>
      <c r="AF2" s="40">
        <f>IF(MONTH(AE2+1)=MONTH($C$1),AE2+1,"")</f>
        <v/>
      </c>
      <c r="AG2" s="40">
        <f>IF(MONTH(AF2+1)=MONTH($C$1),AF2+1,"")</f>
        <v/>
      </c>
      <c r="AH2" s="14" t="inlineStr">
        <is>
          <t>Férias</t>
        </is>
      </c>
      <c r="AI2" s="14" t="inlineStr">
        <is>
          <t>Folgas</t>
        </is>
      </c>
      <c r="AJ2" s="14" t="inlineStr">
        <is>
          <t>Atestados</t>
        </is>
      </c>
      <c r="AK2" s="14" t="inlineStr">
        <is>
          <t>Dias ausente</t>
        </is>
      </c>
    </row>
    <row r="3">
      <c r="C3" s="41">
        <f>IF(C2="","",CHOOSE(WEEKDAY(C2),"dom","seg","ter","qua","qui","sex","sáb"))</f>
        <v/>
      </c>
      <c r="D3" s="41">
        <f>IF(D2="","",CHOOSE(WEEKDAY(D2),"dom","seg","ter","qua","qui","sex","sáb"))</f>
        <v/>
      </c>
      <c r="E3" s="41">
        <f>IF(E2="","",CHOOSE(WEEKDAY(E2),"dom","seg","ter","qua","qui","sex","sáb"))</f>
        <v/>
      </c>
      <c r="F3" s="41">
        <f>IF(F2="","",CHOOSE(WEEKDAY(F2),"dom","seg","ter","qua","qui","sex","sáb"))</f>
        <v/>
      </c>
      <c r="G3" s="41">
        <f>IF(G2="","",CHOOSE(WEEKDAY(G2),"dom","seg","ter","qua","qui","sex","sáb"))</f>
        <v/>
      </c>
      <c r="H3" s="41">
        <f>IF(H2="","",CHOOSE(WEEKDAY(H2),"dom","seg","ter","qua","qui","sex","sáb"))</f>
        <v/>
      </c>
      <c r="I3" s="41">
        <f>IF(I2="","",CHOOSE(WEEKDAY(I2),"dom","seg","ter","qua","qui","sex","sáb"))</f>
        <v/>
      </c>
      <c r="J3" s="41">
        <f>IF(J2="","",CHOOSE(WEEKDAY(J2),"dom","seg","ter","qua","qui","sex","sáb"))</f>
        <v/>
      </c>
      <c r="K3" s="41">
        <f>IF(K2="","",CHOOSE(WEEKDAY(K2),"dom","seg","ter","qua","qui","sex","sáb"))</f>
        <v/>
      </c>
      <c r="L3" s="41">
        <f>IF(L2="","",CHOOSE(WEEKDAY(L2),"dom","seg","ter","qua","qui","sex","sáb"))</f>
        <v/>
      </c>
      <c r="M3" s="41">
        <f>IF(M2="","",CHOOSE(WEEKDAY(M2),"dom","seg","ter","qua","qui","sex","sáb"))</f>
        <v/>
      </c>
      <c r="N3" s="41">
        <f>IF(N2="","",CHOOSE(WEEKDAY(N2),"dom","seg","ter","qua","qui","sex","sáb"))</f>
        <v/>
      </c>
      <c r="O3" s="41">
        <f>IF(O2="","",CHOOSE(WEEKDAY(O2),"dom","seg","ter","qua","qui","sex","sáb"))</f>
        <v/>
      </c>
      <c r="P3" s="41">
        <f>IF(P2="","",CHOOSE(WEEKDAY(P2),"dom","seg","ter","qua","qui","sex","sáb"))</f>
        <v/>
      </c>
      <c r="Q3" s="41">
        <f>IF(Q2="","",CHOOSE(WEEKDAY(Q2),"dom","seg","ter","qua","qui","sex","sáb"))</f>
        <v/>
      </c>
      <c r="R3" s="41">
        <f>IF(R2="","",CHOOSE(WEEKDAY(R2),"dom","seg","ter","qua","qui","sex","sáb"))</f>
        <v/>
      </c>
      <c r="S3" s="41">
        <f>IF(S2="","",CHOOSE(WEEKDAY(S2),"dom","seg","ter","qua","qui","sex","sáb"))</f>
        <v/>
      </c>
      <c r="T3" s="41">
        <f>IF(T2="","",CHOOSE(WEEKDAY(T2),"dom","seg","ter","qua","qui","sex","sáb"))</f>
        <v/>
      </c>
      <c r="U3" s="41">
        <f>IF(U2="","",CHOOSE(WEEKDAY(U2),"dom","seg","ter","qua","qui","sex","sáb"))</f>
        <v/>
      </c>
      <c r="V3" s="41">
        <f>IF(V2="","",CHOOSE(WEEKDAY(V2),"dom","seg","ter","qua","qui","sex","sáb"))</f>
        <v/>
      </c>
      <c r="W3" s="41">
        <f>IF(W2="","",CHOOSE(WEEKDAY(W2),"dom","seg","ter","qua","qui","sex","sáb"))</f>
        <v/>
      </c>
      <c r="X3" s="41">
        <f>IF(X2="","",CHOOSE(WEEKDAY(X2),"dom","seg","ter","qua","qui","sex","sáb"))</f>
        <v/>
      </c>
      <c r="Y3" s="41">
        <f>IF(Y2="","",CHOOSE(WEEKDAY(Y2),"dom","seg","ter","qua","qui","sex","sáb"))</f>
        <v/>
      </c>
      <c r="Z3" s="41">
        <f>IF(Z2="","",CHOOSE(WEEKDAY(Z2),"dom","seg","ter","qua","qui","sex","sáb"))</f>
        <v/>
      </c>
      <c r="AA3" s="41">
        <f>IF(AA2="","",CHOOSE(WEEKDAY(AA2),"dom","seg","ter","qua","qui","sex","sáb"))</f>
        <v/>
      </c>
      <c r="AB3" s="41">
        <f>IF(AB2="","",CHOOSE(WEEKDAY(AB2),"dom","seg","ter","qua","qui","sex","sáb"))</f>
        <v/>
      </c>
      <c r="AC3" s="41">
        <f>IF(AC2="","",CHOOSE(WEEKDAY(AC2),"dom","seg","ter","qua","qui","sex","sáb"))</f>
        <v/>
      </c>
      <c r="AD3" s="41">
        <f>IF(AD2="","",CHOOSE(WEEKDAY(AD2),"dom","seg","ter","qua","qui","sex","sáb"))</f>
        <v/>
      </c>
      <c r="AE3" s="41">
        <f>IF(AE2="","",CHOOSE(WEEKDAY(AE2),"dom","seg","ter","qua","qui","sex","sáb"))</f>
        <v/>
      </c>
      <c r="AF3" s="41">
        <f>IF(AF2="","",CHOOSE(WEEKDAY(AF2),"dom","seg","ter","qua","qui","sex","sáb"))</f>
        <v/>
      </c>
      <c r="AG3" s="41">
        <f>IF(AG2="","",CHOOSE(WEEKDAY(AG2),"dom","seg","ter","qua","qui","sex","sáb"))</f>
        <v/>
      </c>
    </row>
    <row r="4">
      <c r="A4" s="33">
        <f>IF('Equipe'!A2="","",'Equipe'!A2)</f>
        <v/>
      </c>
      <c r="B4" s="34">
        <f>IF('Equipe'!B2="","",'Equipe'!B2)</f>
        <v/>
      </c>
      <c r="C4" s="15">
        <f>IF(OR($B4="",C$2=""),"",IF(SUMPRODUCT((Aus_Tec=$B4)*(Aus_Ini&lt;=C$2)*(Aus_Fim&gt;=C$2)*(Aus_Cod&gt;0))=0,"",IF(SUMPRODUCT((Aus_Tec=$B4)*(Aus_Ini&lt;=C$2)*(Aus_Fim&gt;=C$2)*(Aus_Cod&gt;0))&gt;1,"!",IFERROR(INDEX(Aus_Siglas,SUMPRODUCT((Aus_Tec=$B4)*(Aus_Ini&lt;=C$2)*(Aus_Fim&gt;=C$2)*Aus_Cod)),"!"))))</f>
        <v/>
      </c>
      <c r="D4" s="15">
        <f>IF(OR($B4="",D$2=""),"",IF(SUMPRODUCT((Aus_Tec=$B4)*(Aus_Ini&lt;=D$2)*(Aus_Fim&gt;=D$2)*(Aus_Cod&gt;0))=0,"",IF(SUMPRODUCT((Aus_Tec=$B4)*(Aus_Ini&lt;=D$2)*(Aus_Fim&gt;=D$2)*(Aus_Cod&gt;0))&gt;1,"!",IFERROR(INDEX(Aus_Siglas,SUMPRODUCT((Aus_Tec=$B4)*(Aus_Ini&lt;=D$2)*(Aus_Fim&gt;=D$2)*Aus_Cod)),"!"))))</f>
        <v/>
      </c>
      <c r="E4" s="15">
        <f>IF(OR($B4="",E$2=""),"",IF(SUMPRODUCT((Aus_Tec=$B4)*(Aus_Ini&lt;=E$2)*(Aus_Fim&gt;=E$2)*(Aus_Cod&gt;0))=0,"",IF(SUMPRODUCT((Aus_Tec=$B4)*(Aus_Ini&lt;=E$2)*(Aus_Fim&gt;=E$2)*(Aus_Cod&gt;0))&gt;1,"!",IFERROR(INDEX(Aus_Siglas,SUMPRODUCT((Aus_Tec=$B4)*(Aus_Ini&lt;=E$2)*(Aus_Fim&gt;=E$2)*Aus_Cod)),"!"))))</f>
        <v/>
      </c>
      <c r="F4" s="15">
        <f>IF(OR($B4="",F$2=""),"",IF(SUMPRODUCT((Aus_Tec=$B4)*(Aus_Ini&lt;=F$2)*(Aus_Fim&gt;=F$2)*(Aus_Cod&gt;0))=0,"",IF(SUMPRODUCT((Aus_Tec=$B4)*(Aus_Ini&lt;=F$2)*(Aus_Fim&gt;=F$2)*(Aus_Cod&gt;0))&gt;1,"!",IFERROR(INDEX(Aus_Siglas,SUMPRODUCT((Aus_Tec=$B4)*(Aus_Ini&lt;=F$2)*(Aus_Fim&gt;=F$2)*Aus_Cod)),"!"))))</f>
        <v/>
      </c>
      <c r="G4" s="15">
        <f>IF(OR($B4="",G$2=""),"",IF(SUMPRODUCT((Aus_Tec=$B4)*(Aus_Ini&lt;=G$2)*(Aus_Fim&gt;=G$2)*(Aus_Cod&gt;0))=0,"",IF(SUMPRODUCT((Aus_Tec=$B4)*(Aus_Ini&lt;=G$2)*(Aus_Fim&gt;=G$2)*(Aus_Cod&gt;0))&gt;1,"!",IFERROR(INDEX(Aus_Siglas,SUMPRODUCT((Aus_Tec=$B4)*(Aus_Ini&lt;=G$2)*(Aus_Fim&gt;=G$2)*Aus_Cod)),"!"))))</f>
        <v/>
      </c>
      <c r="H4" s="15">
        <f>IF(OR($B4="",H$2=""),"",IF(SUMPRODUCT((Aus_Tec=$B4)*(Aus_Ini&lt;=H$2)*(Aus_Fim&gt;=H$2)*(Aus_Cod&gt;0))=0,"",IF(SUMPRODUCT((Aus_Tec=$B4)*(Aus_Ini&lt;=H$2)*(Aus_Fim&gt;=H$2)*(Aus_Cod&gt;0))&gt;1,"!",IFERROR(INDEX(Aus_Siglas,SUMPRODUCT((Aus_Tec=$B4)*(Aus_Ini&lt;=H$2)*(Aus_Fim&gt;=H$2)*Aus_Cod)),"!"))))</f>
        <v/>
      </c>
      <c r="I4" s="15">
        <f>IF(OR($B4="",I$2=""),"",IF(SUMPRODUCT((Aus_Tec=$B4)*(Aus_Ini&lt;=I$2)*(Aus_Fim&gt;=I$2)*(Aus_Cod&gt;0))=0,"",IF(SUMPRODUCT((Aus_Tec=$B4)*(Aus_Ini&lt;=I$2)*(Aus_Fim&gt;=I$2)*(Aus_Cod&gt;0))&gt;1,"!",IFERROR(INDEX(Aus_Siglas,SUMPRODUCT((Aus_Tec=$B4)*(Aus_Ini&lt;=I$2)*(Aus_Fim&gt;=I$2)*Aus_Cod)),"!"))))</f>
        <v/>
      </c>
      <c r="J4" s="15">
        <f>IF(OR($B4="",J$2=""),"",IF(SUMPRODUCT((Aus_Tec=$B4)*(Aus_Ini&lt;=J$2)*(Aus_Fim&gt;=J$2)*(Aus_Cod&gt;0))=0,"",IF(SUMPRODUCT((Aus_Tec=$B4)*(Aus_Ini&lt;=J$2)*(Aus_Fim&gt;=J$2)*(Aus_Cod&gt;0))&gt;1,"!",IFERROR(INDEX(Aus_Siglas,SUMPRODUCT((Aus_Tec=$B4)*(Aus_Ini&lt;=J$2)*(Aus_Fim&gt;=J$2)*Aus_Cod)),"!"))))</f>
        <v/>
      </c>
      <c r="K4" s="15">
        <f>IF(OR($B4="",K$2=""),"",IF(SUMPRODUCT((Aus_Tec=$B4)*(Aus_Ini&lt;=K$2)*(Aus_Fim&gt;=K$2)*(Aus_Cod&gt;0))=0,"",IF(SUMPRODUCT((Aus_Tec=$B4)*(Aus_Ini&lt;=K$2)*(Aus_Fim&gt;=K$2)*(Aus_Cod&gt;0))&gt;1,"!",IFERROR(INDEX(Aus_Siglas,SUMPRODUCT((Aus_Tec=$B4)*(Aus_Ini&lt;=K$2)*(Aus_Fim&gt;=K$2)*Aus_Cod)),"!"))))</f>
        <v/>
      </c>
      <c r="L4" s="15">
        <f>IF(OR($B4="",L$2=""),"",IF(SUMPRODUCT((Aus_Tec=$B4)*(Aus_Ini&lt;=L$2)*(Aus_Fim&gt;=L$2)*(Aus_Cod&gt;0))=0,"",IF(SUMPRODUCT((Aus_Tec=$B4)*(Aus_Ini&lt;=L$2)*(Aus_Fim&gt;=L$2)*(Aus_Cod&gt;0))&gt;1,"!",IFERROR(INDEX(Aus_Siglas,SUMPRODUCT((Aus_Tec=$B4)*(Aus_Ini&lt;=L$2)*(Aus_Fim&gt;=L$2)*Aus_Cod)),"!"))))</f>
        <v/>
      </c>
      <c r="M4" s="15">
        <f>IF(OR($B4="",M$2=""),"",IF(SUMPRODUCT((Aus_Tec=$B4)*(Aus_Ini&lt;=M$2)*(Aus_Fim&gt;=M$2)*(Aus_Cod&gt;0))=0,"",IF(SUMPRODUCT((Aus_Tec=$B4)*(Aus_Ini&lt;=M$2)*(Aus_Fim&gt;=M$2)*(Aus_Cod&gt;0))&gt;1,"!",IFERROR(INDEX(Aus_Siglas,SUMPRODUCT((Aus_Tec=$B4)*(Aus_Ini&lt;=M$2)*(Aus_Fim&gt;=M$2)*Aus_Cod)),"!"))))</f>
        <v/>
      </c>
      <c r="N4" s="15">
        <f>IF(OR($B4="",N$2=""),"",IF(SUMPRODUCT((Aus_Tec=$B4)*(Aus_Ini&lt;=N$2)*(Aus_Fim&gt;=N$2)*(Aus_Cod&gt;0))=0,"",IF(SUMPRODUCT((Aus_Tec=$B4)*(Aus_Ini&lt;=N$2)*(Aus_Fim&gt;=N$2)*(Aus_Cod&gt;0))&gt;1,"!",IFERROR(INDEX(Aus_Siglas,SUMPRODUCT((Aus_Tec=$B4)*(Aus_Ini&lt;=N$2)*(Aus_Fim&gt;=N$2)*Aus_Cod)),"!"))))</f>
        <v/>
      </c>
      <c r="O4" s="15">
        <f>IF(OR($B4="",O$2=""),"",IF(SUMPRODUCT((Aus_Tec=$B4)*(Aus_Ini&lt;=O$2)*(Aus_Fim&gt;=O$2)*(Aus_Cod&gt;0))=0,"",IF(SUMPRODUCT((Aus_Tec=$B4)*(Aus_Ini&lt;=O$2)*(Aus_Fim&gt;=O$2)*(Aus_Cod&gt;0))&gt;1,"!",IFERROR(INDEX(Aus_Siglas,SUMPRODUCT((Aus_Tec=$B4)*(Aus_Ini&lt;=O$2)*(Aus_Fim&gt;=O$2)*Aus_Cod)),"!"))))</f>
        <v/>
      </c>
      <c r="P4" s="15">
        <f>IF(OR($B4="",P$2=""),"",IF(SUMPRODUCT((Aus_Tec=$B4)*(Aus_Ini&lt;=P$2)*(Aus_Fim&gt;=P$2)*(Aus_Cod&gt;0))=0,"",IF(SUMPRODUCT((Aus_Tec=$B4)*(Aus_Ini&lt;=P$2)*(Aus_Fim&gt;=P$2)*(Aus_Cod&gt;0))&gt;1,"!",IFERROR(INDEX(Aus_Siglas,SUMPRODUCT((Aus_Tec=$B4)*(Aus_Ini&lt;=P$2)*(Aus_Fim&gt;=P$2)*Aus_Cod)),"!"))))</f>
        <v/>
      </c>
      <c r="Q4" s="15">
        <f>IF(OR($B4="",Q$2=""),"",IF(SUMPRODUCT((Aus_Tec=$B4)*(Aus_Ini&lt;=Q$2)*(Aus_Fim&gt;=Q$2)*(Aus_Cod&gt;0))=0,"",IF(SUMPRODUCT((Aus_Tec=$B4)*(Aus_Ini&lt;=Q$2)*(Aus_Fim&gt;=Q$2)*(Aus_Cod&gt;0))&gt;1,"!",IFERROR(INDEX(Aus_Siglas,SUMPRODUCT((Aus_Tec=$B4)*(Aus_Ini&lt;=Q$2)*(Aus_Fim&gt;=Q$2)*Aus_Cod)),"!"))))</f>
        <v/>
      </c>
      <c r="R4" s="15">
        <f>IF(OR($B4="",R$2=""),"",IF(SUMPRODUCT((Aus_Tec=$B4)*(Aus_Ini&lt;=R$2)*(Aus_Fim&gt;=R$2)*(Aus_Cod&gt;0))=0,"",IF(SUMPRODUCT((Aus_Tec=$B4)*(Aus_Ini&lt;=R$2)*(Aus_Fim&gt;=R$2)*(Aus_Cod&gt;0))&gt;1,"!",IFERROR(INDEX(Aus_Siglas,SUMPRODUCT((Aus_Tec=$B4)*(Aus_Ini&lt;=R$2)*(Aus_Fim&gt;=R$2)*Aus_Cod)),"!"))))</f>
        <v/>
      </c>
      <c r="S4" s="15">
        <f>IF(OR($B4="",S$2=""),"",IF(SUMPRODUCT((Aus_Tec=$B4)*(Aus_Ini&lt;=S$2)*(Aus_Fim&gt;=S$2)*(Aus_Cod&gt;0))=0,"",IF(SUMPRODUCT((Aus_Tec=$B4)*(Aus_Ini&lt;=S$2)*(Aus_Fim&gt;=S$2)*(Aus_Cod&gt;0))&gt;1,"!",IFERROR(INDEX(Aus_Siglas,SUMPRODUCT((Aus_Tec=$B4)*(Aus_Ini&lt;=S$2)*(Aus_Fim&gt;=S$2)*Aus_Cod)),"!"))))</f>
        <v/>
      </c>
      <c r="T4" s="15">
        <f>IF(OR($B4="",T$2=""),"",IF(SUMPRODUCT((Aus_Tec=$B4)*(Aus_Ini&lt;=T$2)*(Aus_Fim&gt;=T$2)*(Aus_Cod&gt;0))=0,"",IF(SUMPRODUCT((Aus_Tec=$B4)*(Aus_Ini&lt;=T$2)*(Aus_Fim&gt;=T$2)*(Aus_Cod&gt;0))&gt;1,"!",IFERROR(INDEX(Aus_Siglas,SUMPRODUCT((Aus_Tec=$B4)*(Aus_Ini&lt;=T$2)*(Aus_Fim&gt;=T$2)*Aus_Cod)),"!"))))</f>
        <v/>
      </c>
      <c r="U4" s="15">
        <f>IF(OR($B4="",U$2=""),"",IF(SUMPRODUCT((Aus_Tec=$B4)*(Aus_Ini&lt;=U$2)*(Aus_Fim&gt;=U$2)*(Aus_Cod&gt;0))=0,"",IF(SUMPRODUCT((Aus_Tec=$B4)*(Aus_Ini&lt;=U$2)*(Aus_Fim&gt;=U$2)*(Aus_Cod&gt;0))&gt;1,"!",IFERROR(INDEX(Aus_Siglas,SUMPRODUCT((Aus_Tec=$B4)*(Aus_Ini&lt;=U$2)*(Aus_Fim&gt;=U$2)*Aus_Cod)),"!"))))</f>
        <v/>
      </c>
      <c r="V4" s="15">
        <f>IF(OR($B4="",V$2=""),"",IF(SUMPRODUCT((Aus_Tec=$B4)*(Aus_Ini&lt;=V$2)*(Aus_Fim&gt;=V$2)*(Aus_Cod&gt;0))=0,"",IF(SUMPRODUCT((Aus_Tec=$B4)*(Aus_Ini&lt;=V$2)*(Aus_Fim&gt;=V$2)*(Aus_Cod&gt;0))&gt;1,"!",IFERROR(INDEX(Aus_Siglas,SUMPRODUCT((Aus_Tec=$B4)*(Aus_Ini&lt;=V$2)*(Aus_Fim&gt;=V$2)*Aus_Cod)),"!"))))</f>
        <v/>
      </c>
      <c r="W4" s="15">
        <f>IF(OR($B4="",W$2=""),"",IF(SUMPRODUCT((Aus_Tec=$B4)*(Aus_Ini&lt;=W$2)*(Aus_Fim&gt;=W$2)*(Aus_Cod&gt;0))=0,"",IF(SUMPRODUCT((Aus_Tec=$B4)*(Aus_Ini&lt;=W$2)*(Aus_Fim&gt;=W$2)*(Aus_Cod&gt;0))&gt;1,"!",IFERROR(INDEX(Aus_Siglas,SUMPRODUCT((Aus_Tec=$B4)*(Aus_Ini&lt;=W$2)*(Aus_Fim&gt;=W$2)*Aus_Cod)),"!"))))</f>
        <v/>
      </c>
      <c r="X4" s="15">
        <f>IF(OR($B4="",X$2=""),"",IF(SUMPRODUCT((Aus_Tec=$B4)*(Aus_Ini&lt;=X$2)*(Aus_Fim&gt;=X$2)*(Aus_Cod&gt;0))=0,"",IF(SUMPRODUCT((Aus_Tec=$B4)*(Aus_Ini&lt;=X$2)*(Aus_Fim&gt;=X$2)*(Aus_Cod&gt;0))&gt;1,"!",IFERROR(INDEX(Aus_Siglas,SUMPRODUCT((Aus_Tec=$B4)*(Aus_Ini&lt;=X$2)*(Aus_Fim&gt;=X$2)*Aus_Cod)),"!"))))</f>
        <v/>
      </c>
      <c r="Y4" s="15">
        <f>IF(OR($B4="",Y$2=""),"",IF(SUMPRODUCT((Aus_Tec=$B4)*(Aus_Ini&lt;=Y$2)*(Aus_Fim&gt;=Y$2)*(Aus_Cod&gt;0))=0,"",IF(SUMPRODUCT((Aus_Tec=$B4)*(Aus_Ini&lt;=Y$2)*(Aus_Fim&gt;=Y$2)*(Aus_Cod&gt;0))&gt;1,"!",IFERROR(INDEX(Aus_Siglas,SUMPRODUCT((Aus_Tec=$B4)*(Aus_Ini&lt;=Y$2)*(Aus_Fim&gt;=Y$2)*Aus_Cod)),"!"))))</f>
        <v/>
      </c>
      <c r="Z4" s="15">
        <f>IF(OR($B4="",Z$2=""),"",IF(SUMPRODUCT((Aus_Tec=$B4)*(Aus_Ini&lt;=Z$2)*(Aus_Fim&gt;=Z$2)*(Aus_Cod&gt;0))=0,"",IF(SUMPRODUCT((Aus_Tec=$B4)*(Aus_Ini&lt;=Z$2)*(Aus_Fim&gt;=Z$2)*(Aus_Cod&gt;0))&gt;1,"!",IFERROR(INDEX(Aus_Siglas,SUMPRODUCT((Aus_Tec=$B4)*(Aus_Ini&lt;=Z$2)*(Aus_Fim&gt;=Z$2)*Aus_Cod)),"!"))))</f>
        <v/>
      </c>
      <c r="AA4" s="15">
        <f>IF(OR($B4="",AA$2=""),"",IF(SUMPRODUCT((Aus_Tec=$B4)*(Aus_Ini&lt;=AA$2)*(Aus_Fim&gt;=AA$2)*(Aus_Cod&gt;0))=0,"",IF(SUMPRODUCT((Aus_Tec=$B4)*(Aus_Ini&lt;=AA$2)*(Aus_Fim&gt;=AA$2)*(Aus_Cod&gt;0))&gt;1,"!",IFERROR(INDEX(Aus_Siglas,SUMPRODUCT((Aus_Tec=$B4)*(Aus_Ini&lt;=AA$2)*(Aus_Fim&gt;=AA$2)*Aus_Cod)),"!"))))</f>
        <v/>
      </c>
      <c r="AB4" s="15">
        <f>IF(OR($B4="",AB$2=""),"",IF(SUMPRODUCT((Aus_Tec=$B4)*(Aus_Ini&lt;=AB$2)*(Aus_Fim&gt;=AB$2)*(Aus_Cod&gt;0))=0,"",IF(SUMPRODUCT((Aus_Tec=$B4)*(Aus_Ini&lt;=AB$2)*(Aus_Fim&gt;=AB$2)*(Aus_Cod&gt;0))&gt;1,"!",IFERROR(INDEX(Aus_Siglas,SUMPRODUCT((Aus_Tec=$B4)*(Aus_Ini&lt;=AB$2)*(Aus_Fim&gt;=AB$2)*Aus_Cod)),"!"))))</f>
        <v/>
      </c>
      <c r="AC4" s="15">
        <f>IF(OR($B4="",AC$2=""),"",IF(SUMPRODUCT((Aus_Tec=$B4)*(Aus_Ini&lt;=AC$2)*(Aus_Fim&gt;=AC$2)*(Aus_Cod&gt;0))=0,"",IF(SUMPRODUCT((Aus_Tec=$B4)*(Aus_Ini&lt;=AC$2)*(Aus_Fim&gt;=AC$2)*(Aus_Cod&gt;0))&gt;1,"!",IFERROR(INDEX(Aus_Siglas,SUMPRODUCT((Aus_Tec=$B4)*(Aus_Ini&lt;=AC$2)*(Aus_Fim&gt;=AC$2)*Aus_Cod)),"!"))))</f>
        <v/>
      </c>
      <c r="AD4" s="15">
        <f>IF(OR($B4="",AD$2=""),"",IF(SUMPRODUCT((Aus_Tec=$B4)*(Aus_Ini&lt;=AD$2)*(Aus_Fim&gt;=AD$2)*(Aus_Cod&gt;0))=0,"",IF(SUMPRODUCT((Aus_Tec=$B4)*(Aus_Ini&lt;=AD$2)*(Aus_Fim&gt;=AD$2)*(Aus_Cod&gt;0))&gt;1,"!",IFERROR(INDEX(Aus_Siglas,SUMPRODUCT((Aus_Tec=$B4)*(Aus_Ini&lt;=AD$2)*(Aus_Fim&gt;=AD$2)*Aus_Cod)),"!"))))</f>
        <v/>
      </c>
      <c r="AE4" s="15">
        <f>IF(OR($B4="",AE$2=""),"",IF(SUMPRODUCT((Aus_Tec=$B4)*(Aus_Ini&lt;=AE$2)*(Aus_Fim&gt;=AE$2)*(Aus_Cod&gt;0))=0,"",IF(SUMPRODUCT((Aus_Tec=$B4)*(Aus_Ini&lt;=AE$2)*(Aus_Fim&gt;=AE$2)*(Aus_Cod&gt;0))&gt;1,"!",IFERROR(INDEX(Aus_Siglas,SUMPRODUCT((Aus_Tec=$B4)*(Aus_Ini&lt;=AE$2)*(Aus_Fim&gt;=AE$2)*Aus_Cod)),"!"))))</f>
        <v/>
      </c>
      <c r="AF4" s="15">
        <f>IF(OR($B4="",AF$2=""),"",IF(SUMPRODUCT((Aus_Tec=$B4)*(Aus_Ini&lt;=AF$2)*(Aus_Fim&gt;=AF$2)*(Aus_Cod&gt;0))=0,"",IF(SUMPRODUCT((Aus_Tec=$B4)*(Aus_Ini&lt;=AF$2)*(Aus_Fim&gt;=AF$2)*(Aus_Cod&gt;0))&gt;1,"!",IFERROR(INDEX(Aus_Siglas,SUMPRODUCT((Aus_Tec=$B4)*(Aus_Ini&lt;=AF$2)*(Aus_Fim&gt;=AF$2)*Aus_Cod)),"!"))))</f>
        <v/>
      </c>
      <c r="AG4" s="15">
        <f>IF(OR($B4="",AG$2=""),"",IF(SUMPRODUCT((Aus_Tec=$B4)*(Aus_Ini&lt;=AG$2)*(Aus_Fim&gt;=AG$2)*(Aus_Cod&gt;0))=0,"",IF(SUMPRODUCT((Aus_Tec=$B4)*(Aus_Ini&lt;=AG$2)*(Aus_Fim&gt;=AG$2)*(Aus_Cod&gt;0))&gt;1,"!",IFERROR(INDEX(Aus_Siglas,SUMPRODUCT((Aus_Tec=$B4)*(Aus_Ini&lt;=AG$2)*(Aus_Fim&gt;=AG$2)*Aus_Cod)),"!"))))</f>
        <v/>
      </c>
      <c r="AH4" s="37">
        <f>IF($B4="","",COUNTIF($C4:$AG4,"F"))</f>
        <v/>
      </c>
      <c r="AI4" s="37">
        <f>IF($B4="","",COUNTIF($C4:$AG4,"D"))</f>
        <v/>
      </c>
      <c r="AJ4" s="37">
        <f>IF($B4="","",COUNTIF($C4:$AG4,"A"))</f>
        <v/>
      </c>
      <c r="AK4" s="37">
        <f>IF($B4="","",SUMPRODUCT(($C4:$AG4&lt;&gt;"")*1))</f>
        <v/>
      </c>
    </row>
    <row r="5">
      <c r="A5" s="33">
        <f>IF('Equipe'!A3="","",'Equipe'!A3)</f>
        <v/>
      </c>
      <c r="B5" s="34">
        <f>IF('Equipe'!B3="","",'Equipe'!B3)</f>
        <v/>
      </c>
      <c r="C5" s="15">
        <f>IF(OR($B5="",C$2=""),"",IF(SUMPRODUCT((Aus_Tec=$B5)*(Aus_Ini&lt;=C$2)*(Aus_Fim&gt;=C$2)*(Aus_Cod&gt;0))=0,"",IF(SUMPRODUCT((Aus_Tec=$B5)*(Aus_Ini&lt;=C$2)*(Aus_Fim&gt;=C$2)*(Aus_Cod&gt;0))&gt;1,"!",IFERROR(INDEX(Aus_Siglas,SUMPRODUCT((Aus_Tec=$B5)*(Aus_Ini&lt;=C$2)*(Aus_Fim&gt;=C$2)*Aus_Cod)),"!"))))</f>
        <v/>
      </c>
      <c r="D5" s="15">
        <f>IF(OR($B5="",D$2=""),"",IF(SUMPRODUCT((Aus_Tec=$B5)*(Aus_Ini&lt;=D$2)*(Aus_Fim&gt;=D$2)*(Aus_Cod&gt;0))=0,"",IF(SUMPRODUCT((Aus_Tec=$B5)*(Aus_Ini&lt;=D$2)*(Aus_Fim&gt;=D$2)*(Aus_Cod&gt;0))&gt;1,"!",IFERROR(INDEX(Aus_Siglas,SUMPRODUCT((Aus_Tec=$B5)*(Aus_Ini&lt;=D$2)*(Aus_Fim&gt;=D$2)*Aus_Cod)),"!"))))</f>
        <v/>
      </c>
      <c r="E5" s="15">
        <f>IF(OR($B5="",E$2=""),"",IF(SUMPRODUCT((Aus_Tec=$B5)*(Aus_Ini&lt;=E$2)*(Aus_Fim&gt;=E$2)*(Aus_Cod&gt;0))=0,"",IF(SUMPRODUCT((Aus_Tec=$B5)*(Aus_Ini&lt;=E$2)*(Aus_Fim&gt;=E$2)*(Aus_Cod&gt;0))&gt;1,"!",IFERROR(INDEX(Aus_Siglas,SUMPRODUCT((Aus_Tec=$B5)*(Aus_Ini&lt;=E$2)*(Aus_Fim&gt;=E$2)*Aus_Cod)),"!"))))</f>
        <v/>
      </c>
      <c r="F5" s="15">
        <f>IF(OR($B5="",F$2=""),"",IF(SUMPRODUCT((Aus_Tec=$B5)*(Aus_Ini&lt;=F$2)*(Aus_Fim&gt;=F$2)*(Aus_Cod&gt;0))=0,"",IF(SUMPRODUCT((Aus_Tec=$B5)*(Aus_Ini&lt;=F$2)*(Aus_Fim&gt;=F$2)*(Aus_Cod&gt;0))&gt;1,"!",IFERROR(INDEX(Aus_Siglas,SUMPRODUCT((Aus_Tec=$B5)*(Aus_Ini&lt;=F$2)*(Aus_Fim&gt;=F$2)*Aus_Cod)),"!"))))</f>
        <v/>
      </c>
      <c r="G5" s="15">
        <f>IF(OR($B5="",G$2=""),"",IF(SUMPRODUCT((Aus_Tec=$B5)*(Aus_Ini&lt;=G$2)*(Aus_Fim&gt;=G$2)*(Aus_Cod&gt;0))=0,"",IF(SUMPRODUCT((Aus_Tec=$B5)*(Aus_Ini&lt;=G$2)*(Aus_Fim&gt;=G$2)*(Aus_Cod&gt;0))&gt;1,"!",IFERROR(INDEX(Aus_Siglas,SUMPRODUCT((Aus_Tec=$B5)*(Aus_Ini&lt;=G$2)*(Aus_Fim&gt;=G$2)*Aus_Cod)),"!"))))</f>
        <v/>
      </c>
      <c r="H5" s="15">
        <f>IF(OR($B5="",H$2=""),"",IF(SUMPRODUCT((Aus_Tec=$B5)*(Aus_Ini&lt;=H$2)*(Aus_Fim&gt;=H$2)*(Aus_Cod&gt;0))=0,"",IF(SUMPRODUCT((Aus_Tec=$B5)*(Aus_Ini&lt;=H$2)*(Aus_Fim&gt;=H$2)*(Aus_Cod&gt;0))&gt;1,"!",IFERROR(INDEX(Aus_Siglas,SUMPRODUCT((Aus_Tec=$B5)*(Aus_Ini&lt;=H$2)*(Aus_Fim&gt;=H$2)*Aus_Cod)),"!"))))</f>
        <v/>
      </c>
      <c r="I5" s="15">
        <f>IF(OR($B5="",I$2=""),"",IF(SUMPRODUCT((Aus_Tec=$B5)*(Aus_Ini&lt;=I$2)*(Aus_Fim&gt;=I$2)*(Aus_Cod&gt;0))=0,"",IF(SUMPRODUCT((Aus_Tec=$B5)*(Aus_Ini&lt;=I$2)*(Aus_Fim&gt;=I$2)*(Aus_Cod&gt;0))&gt;1,"!",IFERROR(INDEX(Aus_Siglas,SUMPRODUCT((Aus_Tec=$B5)*(Aus_Ini&lt;=I$2)*(Aus_Fim&gt;=I$2)*Aus_Cod)),"!"))))</f>
        <v/>
      </c>
      <c r="J5" s="15">
        <f>IF(OR($B5="",J$2=""),"",IF(SUMPRODUCT((Aus_Tec=$B5)*(Aus_Ini&lt;=J$2)*(Aus_Fim&gt;=J$2)*(Aus_Cod&gt;0))=0,"",IF(SUMPRODUCT((Aus_Tec=$B5)*(Aus_Ini&lt;=J$2)*(Aus_Fim&gt;=J$2)*(Aus_Cod&gt;0))&gt;1,"!",IFERROR(INDEX(Aus_Siglas,SUMPRODUCT((Aus_Tec=$B5)*(Aus_Ini&lt;=J$2)*(Aus_Fim&gt;=J$2)*Aus_Cod)),"!"))))</f>
        <v/>
      </c>
      <c r="K5" s="15">
        <f>IF(OR($B5="",K$2=""),"",IF(SUMPRODUCT((Aus_Tec=$B5)*(Aus_Ini&lt;=K$2)*(Aus_Fim&gt;=K$2)*(Aus_Cod&gt;0))=0,"",IF(SUMPRODUCT((Aus_Tec=$B5)*(Aus_Ini&lt;=K$2)*(Aus_Fim&gt;=K$2)*(Aus_Cod&gt;0))&gt;1,"!",IFERROR(INDEX(Aus_Siglas,SUMPRODUCT((Aus_Tec=$B5)*(Aus_Ini&lt;=K$2)*(Aus_Fim&gt;=K$2)*Aus_Cod)),"!"))))</f>
        <v/>
      </c>
      <c r="L5" s="15">
        <f>IF(OR($B5="",L$2=""),"",IF(SUMPRODUCT((Aus_Tec=$B5)*(Aus_Ini&lt;=L$2)*(Aus_Fim&gt;=L$2)*(Aus_Cod&gt;0))=0,"",IF(SUMPRODUCT((Aus_Tec=$B5)*(Aus_Ini&lt;=L$2)*(Aus_Fim&gt;=L$2)*(Aus_Cod&gt;0))&gt;1,"!",IFERROR(INDEX(Aus_Siglas,SUMPRODUCT((Aus_Tec=$B5)*(Aus_Ini&lt;=L$2)*(Aus_Fim&gt;=L$2)*Aus_Cod)),"!"))))</f>
        <v/>
      </c>
      <c r="M5" s="15">
        <f>IF(OR($B5="",M$2=""),"",IF(SUMPRODUCT((Aus_Tec=$B5)*(Aus_Ini&lt;=M$2)*(Aus_Fim&gt;=M$2)*(Aus_Cod&gt;0))=0,"",IF(SUMPRODUCT((Aus_Tec=$B5)*(Aus_Ini&lt;=M$2)*(Aus_Fim&gt;=M$2)*(Aus_Cod&gt;0))&gt;1,"!",IFERROR(INDEX(Aus_Siglas,SUMPRODUCT((Aus_Tec=$B5)*(Aus_Ini&lt;=M$2)*(Aus_Fim&gt;=M$2)*Aus_Cod)),"!"))))</f>
        <v/>
      </c>
      <c r="N5" s="15">
        <f>IF(OR($B5="",N$2=""),"",IF(SUMPRODUCT((Aus_Tec=$B5)*(Aus_Ini&lt;=N$2)*(Aus_Fim&gt;=N$2)*(Aus_Cod&gt;0))=0,"",IF(SUMPRODUCT((Aus_Tec=$B5)*(Aus_Ini&lt;=N$2)*(Aus_Fim&gt;=N$2)*(Aus_Cod&gt;0))&gt;1,"!",IFERROR(INDEX(Aus_Siglas,SUMPRODUCT((Aus_Tec=$B5)*(Aus_Ini&lt;=N$2)*(Aus_Fim&gt;=N$2)*Aus_Cod)),"!"))))</f>
        <v/>
      </c>
      <c r="O5" s="15">
        <f>IF(OR($B5="",O$2=""),"",IF(SUMPRODUCT((Aus_Tec=$B5)*(Aus_Ini&lt;=O$2)*(Aus_Fim&gt;=O$2)*(Aus_Cod&gt;0))=0,"",IF(SUMPRODUCT((Aus_Tec=$B5)*(Aus_Ini&lt;=O$2)*(Aus_Fim&gt;=O$2)*(Aus_Cod&gt;0))&gt;1,"!",IFERROR(INDEX(Aus_Siglas,SUMPRODUCT((Aus_Tec=$B5)*(Aus_Ini&lt;=O$2)*(Aus_Fim&gt;=O$2)*Aus_Cod)),"!"))))</f>
        <v/>
      </c>
      <c r="P5" s="15">
        <f>IF(OR($B5="",P$2=""),"",IF(SUMPRODUCT((Aus_Tec=$B5)*(Aus_Ini&lt;=P$2)*(Aus_Fim&gt;=P$2)*(Aus_Cod&gt;0))=0,"",IF(SUMPRODUCT((Aus_Tec=$B5)*(Aus_Ini&lt;=P$2)*(Aus_Fim&gt;=P$2)*(Aus_Cod&gt;0))&gt;1,"!",IFERROR(INDEX(Aus_Siglas,SUMPRODUCT((Aus_Tec=$B5)*(Aus_Ini&lt;=P$2)*(Aus_Fim&gt;=P$2)*Aus_Cod)),"!"))))</f>
        <v/>
      </c>
      <c r="Q5" s="15">
        <f>IF(OR($B5="",Q$2=""),"",IF(SUMPRODUCT((Aus_Tec=$B5)*(Aus_Ini&lt;=Q$2)*(Aus_Fim&gt;=Q$2)*(Aus_Cod&gt;0))=0,"",IF(SUMPRODUCT((Aus_Tec=$B5)*(Aus_Ini&lt;=Q$2)*(Aus_Fim&gt;=Q$2)*(Aus_Cod&gt;0))&gt;1,"!",IFERROR(INDEX(Aus_Siglas,SUMPRODUCT((Aus_Tec=$B5)*(Aus_Ini&lt;=Q$2)*(Aus_Fim&gt;=Q$2)*Aus_Cod)),"!"))))</f>
        <v/>
      </c>
      <c r="R5" s="15">
        <f>IF(OR($B5="",R$2=""),"",IF(SUMPRODUCT((Aus_Tec=$B5)*(Aus_Ini&lt;=R$2)*(Aus_Fim&gt;=R$2)*(Aus_Cod&gt;0))=0,"",IF(SUMPRODUCT((Aus_Tec=$B5)*(Aus_Ini&lt;=R$2)*(Aus_Fim&gt;=R$2)*(Aus_Cod&gt;0))&gt;1,"!",IFERROR(INDEX(Aus_Siglas,SUMPRODUCT((Aus_Tec=$B5)*(Aus_Ini&lt;=R$2)*(Aus_Fim&gt;=R$2)*Aus_Cod)),"!"))))</f>
        <v/>
      </c>
      <c r="S5" s="15">
        <f>IF(OR($B5="",S$2=""),"",IF(SUMPRODUCT((Aus_Tec=$B5)*(Aus_Ini&lt;=S$2)*(Aus_Fim&gt;=S$2)*(Aus_Cod&gt;0))=0,"",IF(SUMPRODUCT((Aus_Tec=$B5)*(Aus_Ini&lt;=S$2)*(Aus_Fim&gt;=S$2)*(Aus_Cod&gt;0))&gt;1,"!",IFERROR(INDEX(Aus_Siglas,SUMPRODUCT((Aus_Tec=$B5)*(Aus_Ini&lt;=S$2)*(Aus_Fim&gt;=S$2)*Aus_Cod)),"!"))))</f>
        <v/>
      </c>
      <c r="T5" s="15">
        <f>IF(OR($B5="",T$2=""),"",IF(SUMPRODUCT((Aus_Tec=$B5)*(Aus_Ini&lt;=T$2)*(Aus_Fim&gt;=T$2)*(Aus_Cod&gt;0))=0,"",IF(SUMPRODUCT((Aus_Tec=$B5)*(Aus_Ini&lt;=T$2)*(Aus_Fim&gt;=T$2)*(Aus_Cod&gt;0))&gt;1,"!",IFERROR(INDEX(Aus_Siglas,SUMPRODUCT((Aus_Tec=$B5)*(Aus_Ini&lt;=T$2)*(Aus_Fim&gt;=T$2)*Aus_Cod)),"!"))))</f>
        <v/>
      </c>
      <c r="U5" s="15">
        <f>IF(OR($B5="",U$2=""),"",IF(SUMPRODUCT((Aus_Tec=$B5)*(Aus_Ini&lt;=U$2)*(Aus_Fim&gt;=U$2)*(Aus_Cod&gt;0))=0,"",IF(SUMPRODUCT((Aus_Tec=$B5)*(Aus_Ini&lt;=U$2)*(Aus_Fim&gt;=U$2)*(Aus_Cod&gt;0))&gt;1,"!",IFERROR(INDEX(Aus_Siglas,SUMPRODUCT((Aus_Tec=$B5)*(Aus_Ini&lt;=U$2)*(Aus_Fim&gt;=U$2)*Aus_Cod)),"!"))))</f>
        <v/>
      </c>
      <c r="V5" s="15">
        <f>IF(OR($B5="",V$2=""),"",IF(SUMPRODUCT((Aus_Tec=$B5)*(Aus_Ini&lt;=V$2)*(Aus_Fim&gt;=V$2)*(Aus_Cod&gt;0))=0,"",IF(SUMPRODUCT((Aus_Tec=$B5)*(Aus_Ini&lt;=V$2)*(Aus_Fim&gt;=V$2)*(Aus_Cod&gt;0))&gt;1,"!",IFERROR(INDEX(Aus_Siglas,SUMPRODUCT((Aus_Tec=$B5)*(Aus_Ini&lt;=V$2)*(Aus_Fim&gt;=V$2)*Aus_Cod)),"!"))))</f>
        <v/>
      </c>
      <c r="W5" s="15">
        <f>IF(OR($B5="",W$2=""),"",IF(SUMPRODUCT((Aus_Tec=$B5)*(Aus_Ini&lt;=W$2)*(Aus_Fim&gt;=W$2)*(Aus_Cod&gt;0))=0,"",IF(SUMPRODUCT((Aus_Tec=$B5)*(Aus_Ini&lt;=W$2)*(Aus_Fim&gt;=W$2)*(Aus_Cod&gt;0))&gt;1,"!",IFERROR(INDEX(Aus_Siglas,SUMPRODUCT((Aus_Tec=$B5)*(Aus_Ini&lt;=W$2)*(Aus_Fim&gt;=W$2)*Aus_Cod)),"!"))))</f>
        <v/>
      </c>
      <c r="X5" s="15">
        <f>IF(OR($B5="",X$2=""),"",IF(SUMPRODUCT((Aus_Tec=$B5)*(Aus_Ini&lt;=X$2)*(Aus_Fim&gt;=X$2)*(Aus_Cod&gt;0))=0,"",IF(SUMPRODUCT((Aus_Tec=$B5)*(Aus_Ini&lt;=X$2)*(Aus_Fim&gt;=X$2)*(Aus_Cod&gt;0))&gt;1,"!",IFERROR(INDEX(Aus_Siglas,SUMPRODUCT((Aus_Tec=$B5)*(Aus_Ini&lt;=X$2)*(Aus_Fim&gt;=X$2)*Aus_Cod)),"!"))))</f>
        <v/>
      </c>
      <c r="Y5" s="15">
        <f>IF(OR($B5="",Y$2=""),"",IF(SUMPRODUCT((Aus_Tec=$B5)*(Aus_Ini&lt;=Y$2)*(Aus_Fim&gt;=Y$2)*(Aus_Cod&gt;0))=0,"",IF(SUMPRODUCT((Aus_Tec=$B5)*(Aus_Ini&lt;=Y$2)*(Aus_Fim&gt;=Y$2)*(Aus_Cod&gt;0))&gt;1,"!",IFERROR(INDEX(Aus_Siglas,SUMPRODUCT((Aus_Tec=$B5)*(Aus_Ini&lt;=Y$2)*(Aus_Fim&gt;=Y$2)*Aus_Cod)),"!"))))</f>
        <v/>
      </c>
      <c r="Z5" s="15">
        <f>IF(OR($B5="",Z$2=""),"",IF(SUMPRODUCT((Aus_Tec=$B5)*(Aus_Ini&lt;=Z$2)*(Aus_Fim&gt;=Z$2)*(Aus_Cod&gt;0))=0,"",IF(SUMPRODUCT((Aus_Tec=$B5)*(Aus_Ini&lt;=Z$2)*(Aus_Fim&gt;=Z$2)*(Aus_Cod&gt;0))&gt;1,"!",IFERROR(INDEX(Aus_Siglas,SUMPRODUCT((Aus_Tec=$B5)*(Aus_Ini&lt;=Z$2)*(Aus_Fim&gt;=Z$2)*Aus_Cod)),"!"))))</f>
        <v/>
      </c>
      <c r="AA5" s="15">
        <f>IF(OR($B5="",AA$2=""),"",IF(SUMPRODUCT((Aus_Tec=$B5)*(Aus_Ini&lt;=AA$2)*(Aus_Fim&gt;=AA$2)*(Aus_Cod&gt;0))=0,"",IF(SUMPRODUCT((Aus_Tec=$B5)*(Aus_Ini&lt;=AA$2)*(Aus_Fim&gt;=AA$2)*(Aus_Cod&gt;0))&gt;1,"!",IFERROR(INDEX(Aus_Siglas,SUMPRODUCT((Aus_Tec=$B5)*(Aus_Ini&lt;=AA$2)*(Aus_Fim&gt;=AA$2)*Aus_Cod)),"!"))))</f>
        <v/>
      </c>
      <c r="AB5" s="15">
        <f>IF(OR($B5="",AB$2=""),"",IF(SUMPRODUCT((Aus_Tec=$B5)*(Aus_Ini&lt;=AB$2)*(Aus_Fim&gt;=AB$2)*(Aus_Cod&gt;0))=0,"",IF(SUMPRODUCT((Aus_Tec=$B5)*(Aus_Ini&lt;=AB$2)*(Aus_Fim&gt;=AB$2)*(Aus_Cod&gt;0))&gt;1,"!",IFERROR(INDEX(Aus_Siglas,SUMPRODUCT((Aus_Tec=$B5)*(Aus_Ini&lt;=AB$2)*(Aus_Fim&gt;=AB$2)*Aus_Cod)),"!"))))</f>
        <v/>
      </c>
      <c r="AC5" s="15">
        <f>IF(OR($B5="",AC$2=""),"",IF(SUMPRODUCT((Aus_Tec=$B5)*(Aus_Ini&lt;=AC$2)*(Aus_Fim&gt;=AC$2)*(Aus_Cod&gt;0))=0,"",IF(SUMPRODUCT((Aus_Tec=$B5)*(Aus_Ini&lt;=AC$2)*(Aus_Fim&gt;=AC$2)*(Aus_Cod&gt;0))&gt;1,"!",IFERROR(INDEX(Aus_Siglas,SUMPRODUCT((Aus_Tec=$B5)*(Aus_Ini&lt;=AC$2)*(Aus_Fim&gt;=AC$2)*Aus_Cod)),"!"))))</f>
        <v/>
      </c>
      <c r="AD5" s="15">
        <f>IF(OR($B5="",AD$2=""),"",IF(SUMPRODUCT((Aus_Tec=$B5)*(Aus_Ini&lt;=AD$2)*(Aus_Fim&gt;=AD$2)*(Aus_Cod&gt;0))=0,"",IF(SUMPRODUCT((Aus_Tec=$B5)*(Aus_Ini&lt;=AD$2)*(Aus_Fim&gt;=AD$2)*(Aus_Cod&gt;0))&gt;1,"!",IFERROR(INDEX(Aus_Siglas,SUMPRODUCT((Aus_Tec=$B5)*(Aus_Ini&lt;=AD$2)*(Aus_Fim&gt;=AD$2)*Aus_Cod)),"!"))))</f>
        <v/>
      </c>
      <c r="AE5" s="15">
        <f>IF(OR($B5="",AE$2=""),"",IF(SUMPRODUCT((Aus_Tec=$B5)*(Aus_Ini&lt;=AE$2)*(Aus_Fim&gt;=AE$2)*(Aus_Cod&gt;0))=0,"",IF(SUMPRODUCT((Aus_Tec=$B5)*(Aus_Ini&lt;=AE$2)*(Aus_Fim&gt;=AE$2)*(Aus_Cod&gt;0))&gt;1,"!",IFERROR(INDEX(Aus_Siglas,SUMPRODUCT((Aus_Tec=$B5)*(Aus_Ini&lt;=AE$2)*(Aus_Fim&gt;=AE$2)*Aus_Cod)),"!"))))</f>
        <v/>
      </c>
      <c r="AF5" s="15">
        <f>IF(OR($B5="",AF$2=""),"",IF(SUMPRODUCT((Aus_Tec=$B5)*(Aus_Ini&lt;=AF$2)*(Aus_Fim&gt;=AF$2)*(Aus_Cod&gt;0))=0,"",IF(SUMPRODUCT((Aus_Tec=$B5)*(Aus_Ini&lt;=AF$2)*(Aus_Fim&gt;=AF$2)*(Aus_Cod&gt;0))&gt;1,"!",IFERROR(INDEX(Aus_Siglas,SUMPRODUCT((Aus_Tec=$B5)*(Aus_Ini&lt;=AF$2)*(Aus_Fim&gt;=AF$2)*Aus_Cod)),"!"))))</f>
        <v/>
      </c>
      <c r="AG5" s="15">
        <f>IF(OR($B5="",AG$2=""),"",IF(SUMPRODUCT((Aus_Tec=$B5)*(Aus_Ini&lt;=AG$2)*(Aus_Fim&gt;=AG$2)*(Aus_Cod&gt;0))=0,"",IF(SUMPRODUCT((Aus_Tec=$B5)*(Aus_Ini&lt;=AG$2)*(Aus_Fim&gt;=AG$2)*(Aus_Cod&gt;0))&gt;1,"!",IFERROR(INDEX(Aus_Siglas,SUMPRODUCT((Aus_Tec=$B5)*(Aus_Ini&lt;=AG$2)*(Aus_Fim&gt;=AG$2)*Aus_Cod)),"!"))))</f>
        <v/>
      </c>
      <c r="AH5" s="37">
        <f>IF($B5="","",COUNTIF($C5:$AG5,"F"))</f>
        <v/>
      </c>
      <c r="AI5" s="37">
        <f>IF($B5="","",COUNTIF($C5:$AG5,"D"))</f>
        <v/>
      </c>
      <c r="AJ5" s="37">
        <f>IF($B5="","",COUNTIF($C5:$AG5,"A"))</f>
        <v/>
      </c>
      <c r="AK5" s="37">
        <f>IF($B5="","",SUMPRODUCT(($C5:$AG5&lt;&gt;"")*1))</f>
        <v/>
      </c>
    </row>
    <row r="6">
      <c r="A6" s="33">
        <f>IF('Equipe'!A4="","",'Equipe'!A4)</f>
        <v/>
      </c>
      <c r="B6" s="34">
        <f>IF('Equipe'!B4="","",'Equipe'!B4)</f>
        <v/>
      </c>
      <c r="C6" s="15">
        <f>IF(OR($B6="",C$2=""),"",IF(SUMPRODUCT((Aus_Tec=$B6)*(Aus_Ini&lt;=C$2)*(Aus_Fim&gt;=C$2)*(Aus_Cod&gt;0))=0,"",IF(SUMPRODUCT((Aus_Tec=$B6)*(Aus_Ini&lt;=C$2)*(Aus_Fim&gt;=C$2)*(Aus_Cod&gt;0))&gt;1,"!",IFERROR(INDEX(Aus_Siglas,SUMPRODUCT((Aus_Tec=$B6)*(Aus_Ini&lt;=C$2)*(Aus_Fim&gt;=C$2)*Aus_Cod)),"!"))))</f>
        <v/>
      </c>
      <c r="D6" s="15">
        <f>IF(OR($B6="",D$2=""),"",IF(SUMPRODUCT((Aus_Tec=$B6)*(Aus_Ini&lt;=D$2)*(Aus_Fim&gt;=D$2)*(Aus_Cod&gt;0))=0,"",IF(SUMPRODUCT((Aus_Tec=$B6)*(Aus_Ini&lt;=D$2)*(Aus_Fim&gt;=D$2)*(Aus_Cod&gt;0))&gt;1,"!",IFERROR(INDEX(Aus_Siglas,SUMPRODUCT((Aus_Tec=$B6)*(Aus_Ini&lt;=D$2)*(Aus_Fim&gt;=D$2)*Aus_Cod)),"!"))))</f>
        <v/>
      </c>
      <c r="E6" s="15">
        <f>IF(OR($B6="",E$2=""),"",IF(SUMPRODUCT((Aus_Tec=$B6)*(Aus_Ini&lt;=E$2)*(Aus_Fim&gt;=E$2)*(Aus_Cod&gt;0))=0,"",IF(SUMPRODUCT((Aus_Tec=$B6)*(Aus_Ini&lt;=E$2)*(Aus_Fim&gt;=E$2)*(Aus_Cod&gt;0))&gt;1,"!",IFERROR(INDEX(Aus_Siglas,SUMPRODUCT((Aus_Tec=$B6)*(Aus_Ini&lt;=E$2)*(Aus_Fim&gt;=E$2)*Aus_Cod)),"!"))))</f>
        <v/>
      </c>
      <c r="F6" s="15">
        <f>IF(OR($B6="",F$2=""),"",IF(SUMPRODUCT((Aus_Tec=$B6)*(Aus_Ini&lt;=F$2)*(Aus_Fim&gt;=F$2)*(Aus_Cod&gt;0))=0,"",IF(SUMPRODUCT((Aus_Tec=$B6)*(Aus_Ini&lt;=F$2)*(Aus_Fim&gt;=F$2)*(Aus_Cod&gt;0))&gt;1,"!",IFERROR(INDEX(Aus_Siglas,SUMPRODUCT((Aus_Tec=$B6)*(Aus_Ini&lt;=F$2)*(Aus_Fim&gt;=F$2)*Aus_Cod)),"!"))))</f>
        <v/>
      </c>
      <c r="G6" s="15">
        <f>IF(OR($B6="",G$2=""),"",IF(SUMPRODUCT((Aus_Tec=$B6)*(Aus_Ini&lt;=G$2)*(Aus_Fim&gt;=G$2)*(Aus_Cod&gt;0))=0,"",IF(SUMPRODUCT((Aus_Tec=$B6)*(Aus_Ini&lt;=G$2)*(Aus_Fim&gt;=G$2)*(Aus_Cod&gt;0))&gt;1,"!",IFERROR(INDEX(Aus_Siglas,SUMPRODUCT((Aus_Tec=$B6)*(Aus_Ini&lt;=G$2)*(Aus_Fim&gt;=G$2)*Aus_Cod)),"!"))))</f>
        <v/>
      </c>
      <c r="H6" s="15">
        <f>IF(OR($B6="",H$2=""),"",IF(SUMPRODUCT((Aus_Tec=$B6)*(Aus_Ini&lt;=H$2)*(Aus_Fim&gt;=H$2)*(Aus_Cod&gt;0))=0,"",IF(SUMPRODUCT((Aus_Tec=$B6)*(Aus_Ini&lt;=H$2)*(Aus_Fim&gt;=H$2)*(Aus_Cod&gt;0))&gt;1,"!",IFERROR(INDEX(Aus_Siglas,SUMPRODUCT((Aus_Tec=$B6)*(Aus_Ini&lt;=H$2)*(Aus_Fim&gt;=H$2)*Aus_Cod)),"!"))))</f>
        <v/>
      </c>
      <c r="I6" s="15">
        <f>IF(OR($B6="",I$2=""),"",IF(SUMPRODUCT((Aus_Tec=$B6)*(Aus_Ini&lt;=I$2)*(Aus_Fim&gt;=I$2)*(Aus_Cod&gt;0))=0,"",IF(SUMPRODUCT((Aus_Tec=$B6)*(Aus_Ini&lt;=I$2)*(Aus_Fim&gt;=I$2)*(Aus_Cod&gt;0))&gt;1,"!",IFERROR(INDEX(Aus_Siglas,SUMPRODUCT((Aus_Tec=$B6)*(Aus_Ini&lt;=I$2)*(Aus_Fim&gt;=I$2)*Aus_Cod)),"!"))))</f>
        <v/>
      </c>
      <c r="J6" s="15">
        <f>IF(OR($B6="",J$2=""),"",IF(SUMPRODUCT((Aus_Tec=$B6)*(Aus_Ini&lt;=J$2)*(Aus_Fim&gt;=J$2)*(Aus_Cod&gt;0))=0,"",IF(SUMPRODUCT((Aus_Tec=$B6)*(Aus_Ini&lt;=J$2)*(Aus_Fim&gt;=J$2)*(Aus_Cod&gt;0))&gt;1,"!",IFERROR(INDEX(Aus_Siglas,SUMPRODUCT((Aus_Tec=$B6)*(Aus_Ini&lt;=J$2)*(Aus_Fim&gt;=J$2)*Aus_Cod)),"!"))))</f>
        <v/>
      </c>
      <c r="K6" s="15">
        <f>IF(OR($B6="",K$2=""),"",IF(SUMPRODUCT((Aus_Tec=$B6)*(Aus_Ini&lt;=K$2)*(Aus_Fim&gt;=K$2)*(Aus_Cod&gt;0))=0,"",IF(SUMPRODUCT((Aus_Tec=$B6)*(Aus_Ini&lt;=K$2)*(Aus_Fim&gt;=K$2)*(Aus_Cod&gt;0))&gt;1,"!",IFERROR(INDEX(Aus_Siglas,SUMPRODUCT((Aus_Tec=$B6)*(Aus_Ini&lt;=K$2)*(Aus_Fim&gt;=K$2)*Aus_Cod)),"!"))))</f>
        <v/>
      </c>
      <c r="L6" s="15">
        <f>IF(OR($B6="",L$2=""),"",IF(SUMPRODUCT((Aus_Tec=$B6)*(Aus_Ini&lt;=L$2)*(Aus_Fim&gt;=L$2)*(Aus_Cod&gt;0))=0,"",IF(SUMPRODUCT((Aus_Tec=$B6)*(Aus_Ini&lt;=L$2)*(Aus_Fim&gt;=L$2)*(Aus_Cod&gt;0))&gt;1,"!",IFERROR(INDEX(Aus_Siglas,SUMPRODUCT((Aus_Tec=$B6)*(Aus_Ini&lt;=L$2)*(Aus_Fim&gt;=L$2)*Aus_Cod)),"!"))))</f>
        <v/>
      </c>
      <c r="M6" s="15">
        <f>IF(OR($B6="",M$2=""),"",IF(SUMPRODUCT((Aus_Tec=$B6)*(Aus_Ini&lt;=M$2)*(Aus_Fim&gt;=M$2)*(Aus_Cod&gt;0))=0,"",IF(SUMPRODUCT((Aus_Tec=$B6)*(Aus_Ini&lt;=M$2)*(Aus_Fim&gt;=M$2)*(Aus_Cod&gt;0))&gt;1,"!",IFERROR(INDEX(Aus_Siglas,SUMPRODUCT((Aus_Tec=$B6)*(Aus_Ini&lt;=M$2)*(Aus_Fim&gt;=M$2)*Aus_Cod)),"!"))))</f>
        <v/>
      </c>
      <c r="N6" s="15">
        <f>IF(OR($B6="",N$2=""),"",IF(SUMPRODUCT((Aus_Tec=$B6)*(Aus_Ini&lt;=N$2)*(Aus_Fim&gt;=N$2)*(Aus_Cod&gt;0))=0,"",IF(SUMPRODUCT((Aus_Tec=$B6)*(Aus_Ini&lt;=N$2)*(Aus_Fim&gt;=N$2)*(Aus_Cod&gt;0))&gt;1,"!",IFERROR(INDEX(Aus_Siglas,SUMPRODUCT((Aus_Tec=$B6)*(Aus_Ini&lt;=N$2)*(Aus_Fim&gt;=N$2)*Aus_Cod)),"!"))))</f>
        <v/>
      </c>
      <c r="O6" s="15">
        <f>IF(OR($B6="",O$2=""),"",IF(SUMPRODUCT((Aus_Tec=$B6)*(Aus_Ini&lt;=O$2)*(Aus_Fim&gt;=O$2)*(Aus_Cod&gt;0))=0,"",IF(SUMPRODUCT((Aus_Tec=$B6)*(Aus_Ini&lt;=O$2)*(Aus_Fim&gt;=O$2)*(Aus_Cod&gt;0))&gt;1,"!",IFERROR(INDEX(Aus_Siglas,SUMPRODUCT((Aus_Tec=$B6)*(Aus_Ini&lt;=O$2)*(Aus_Fim&gt;=O$2)*Aus_Cod)),"!"))))</f>
        <v/>
      </c>
      <c r="P6" s="15">
        <f>IF(OR($B6="",P$2=""),"",IF(SUMPRODUCT((Aus_Tec=$B6)*(Aus_Ini&lt;=P$2)*(Aus_Fim&gt;=P$2)*(Aus_Cod&gt;0))=0,"",IF(SUMPRODUCT((Aus_Tec=$B6)*(Aus_Ini&lt;=P$2)*(Aus_Fim&gt;=P$2)*(Aus_Cod&gt;0))&gt;1,"!",IFERROR(INDEX(Aus_Siglas,SUMPRODUCT((Aus_Tec=$B6)*(Aus_Ini&lt;=P$2)*(Aus_Fim&gt;=P$2)*Aus_Cod)),"!"))))</f>
        <v/>
      </c>
      <c r="Q6" s="15">
        <f>IF(OR($B6="",Q$2=""),"",IF(SUMPRODUCT((Aus_Tec=$B6)*(Aus_Ini&lt;=Q$2)*(Aus_Fim&gt;=Q$2)*(Aus_Cod&gt;0))=0,"",IF(SUMPRODUCT((Aus_Tec=$B6)*(Aus_Ini&lt;=Q$2)*(Aus_Fim&gt;=Q$2)*(Aus_Cod&gt;0))&gt;1,"!",IFERROR(INDEX(Aus_Siglas,SUMPRODUCT((Aus_Tec=$B6)*(Aus_Ini&lt;=Q$2)*(Aus_Fim&gt;=Q$2)*Aus_Cod)),"!"))))</f>
        <v/>
      </c>
      <c r="R6" s="15">
        <f>IF(OR($B6="",R$2=""),"",IF(SUMPRODUCT((Aus_Tec=$B6)*(Aus_Ini&lt;=R$2)*(Aus_Fim&gt;=R$2)*(Aus_Cod&gt;0))=0,"",IF(SUMPRODUCT((Aus_Tec=$B6)*(Aus_Ini&lt;=R$2)*(Aus_Fim&gt;=R$2)*(Aus_Cod&gt;0))&gt;1,"!",IFERROR(INDEX(Aus_Siglas,SUMPRODUCT((Aus_Tec=$B6)*(Aus_Ini&lt;=R$2)*(Aus_Fim&gt;=R$2)*Aus_Cod)),"!"))))</f>
        <v/>
      </c>
      <c r="S6" s="15">
        <f>IF(OR($B6="",S$2=""),"",IF(SUMPRODUCT((Aus_Tec=$B6)*(Aus_Ini&lt;=S$2)*(Aus_Fim&gt;=S$2)*(Aus_Cod&gt;0))=0,"",IF(SUMPRODUCT((Aus_Tec=$B6)*(Aus_Ini&lt;=S$2)*(Aus_Fim&gt;=S$2)*(Aus_Cod&gt;0))&gt;1,"!",IFERROR(INDEX(Aus_Siglas,SUMPRODUCT((Aus_Tec=$B6)*(Aus_Ini&lt;=S$2)*(Aus_Fim&gt;=S$2)*Aus_Cod)),"!"))))</f>
        <v/>
      </c>
      <c r="T6" s="15">
        <f>IF(OR($B6="",T$2=""),"",IF(SUMPRODUCT((Aus_Tec=$B6)*(Aus_Ini&lt;=T$2)*(Aus_Fim&gt;=T$2)*(Aus_Cod&gt;0))=0,"",IF(SUMPRODUCT((Aus_Tec=$B6)*(Aus_Ini&lt;=T$2)*(Aus_Fim&gt;=T$2)*(Aus_Cod&gt;0))&gt;1,"!",IFERROR(INDEX(Aus_Siglas,SUMPRODUCT((Aus_Tec=$B6)*(Aus_Ini&lt;=T$2)*(Aus_Fim&gt;=T$2)*Aus_Cod)),"!"))))</f>
        <v/>
      </c>
      <c r="U6" s="15">
        <f>IF(OR($B6="",U$2=""),"",IF(SUMPRODUCT((Aus_Tec=$B6)*(Aus_Ini&lt;=U$2)*(Aus_Fim&gt;=U$2)*(Aus_Cod&gt;0))=0,"",IF(SUMPRODUCT((Aus_Tec=$B6)*(Aus_Ini&lt;=U$2)*(Aus_Fim&gt;=U$2)*(Aus_Cod&gt;0))&gt;1,"!",IFERROR(INDEX(Aus_Siglas,SUMPRODUCT((Aus_Tec=$B6)*(Aus_Ini&lt;=U$2)*(Aus_Fim&gt;=U$2)*Aus_Cod)),"!"))))</f>
        <v/>
      </c>
      <c r="V6" s="15">
        <f>IF(OR($B6="",V$2=""),"",IF(SUMPRODUCT((Aus_Tec=$B6)*(Aus_Ini&lt;=V$2)*(Aus_Fim&gt;=V$2)*(Aus_Cod&gt;0))=0,"",IF(SUMPRODUCT((Aus_Tec=$B6)*(Aus_Ini&lt;=V$2)*(Aus_Fim&gt;=V$2)*(Aus_Cod&gt;0))&gt;1,"!",IFERROR(INDEX(Aus_Siglas,SUMPRODUCT((Aus_Tec=$B6)*(Aus_Ini&lt;=V$2)*(Aus_Fim&gt;=V$2)*Aus_Cod)),"!"))))</f>
        <v/>
      </c>
      <c r="W6" s="15">
        <f>IF(OR($B6="",W$2=""),"",IF(SUMPRODUCT((Aus_Tec=$B6)*(Aus_Ini&lt;=W$2)*(Aus_Fim&gt;=W$2)*(Aus_Cod&gt;0))=0,"",IF(SUMPRODUCT((Aus_Tec=$B6)*(Aus_Ini&lt;=W$2)*(Aus_Fim&gt;=W$2)*(Aus_Cod&gt;0))&gt;1,"!",IFERROR(INDEX(Aus_Siglas,SUMPRODUCT((Aus_Tec=$B6)*(Aus_Ini&lt;=W$2)*(Aus_Fim&gt;=W$2)*Aus_Cod)),"!"))))</f>
        <v/>
      </c>
      <c r="X6" s="15">
        <f>IF(OR($B6="",X$2=""),"",IF(SUMPRODUCT((Aus_Tec=$B6)*(Aus_Ini&lt;=X$2)*(Aus_Fim&gt;=X$2)*(Aus_Cod&gt;0))=0,"",IF(SUMPRODUCT((Aus_Tec=$B6)*(Aus_Ini&lt;=X$2)*(Aus_Fim&gt;=X$2)*(Aus_Cod&gt;0))&gt;1,"!",IFERROR(INDEX(Aus_Siglas,SUMPRODUCT((Aus_Tec=$B6)*(Aus_Ini&lt;=X$2)*(Aus_Fim&gt;=X$2)*Aus_Cod)),"!"))))</f>
        <v/>
      </c>
      <c r="Y6" s="15">
        <f>IF(OR($B6="",Y$2=""),"",IF(SUMPRODUCT((Aus_Tec=$B6)*(Aus_Ini&lt;=Y$2)*(Aus_Fim&gt;=Y$2)*(Aus_Cod&gt;0))=0,"",IF(SUMPRODUCT((Aus_Tec=$B6)*(Aus_Ini&lt;=Y$2)*(Aus_Fim&gt;=Y$2)*(Aus_Cod&gt;0))&gt;1,"!",IFERROR(INDEX(Aus_Siglas,SUMPRODUCT((Aus_Tec=$B6)*(Aus_Ini&lt;=Y$2)*(Aus_Fim&gt;=Y$2)*Aus_Cod)),"!"))))</f>
        <v/>
      </c>
      <c r="Z6" s="15">
        <f>IF(OR($B6="",Z$2=""),"",IF(SUMPRODUCT((Aus_Tec=$B6)*(Aus_Ini&lt;=Z$2)*(Aus_Fim&gt;=Z$2)*(Aus_Cod&gt;0))=0,"",IF(SUMPRODUCT((Aus_Tec=$B6)*(Aus_Ini&lt;=Z$2)*(Aus_Fim&gt;=Z$2)*(Aus_Cod&gt;0))&gt;1,"!",IFERROR(INDEX(Aus_Siglas,SUMPRODUCT((Aus_Tec=$B6)*(Aus_Ini&lt;=Z$2)*(Aus_Fim&gt;=Z$2)*Aus_Cod)),"!"))))</f>
        <v/>
      </c>
      <c r="AA6" s="15">
        <f>IF(OR($B6="",AA$2=""),"",IF(SUMPRODUCT((Aus_Tec=$B6)*(Aus_Ini&lt;=AA$2)*(Aus_Fim&gt;=AA$2)*(Aus_Cod&gt;0))=0,"",IF(SUMPRODUCT((Aus_Tec=$B6)*(Aus_Ini&lt;=AA$2)*(Aus_Fim&gt;=AA$2)*(Aus_Cod&gt;0))&gt;1,"!",IFERROR(INDEX(Aus_Siglas,SUMPRODUCT((Aus_Tec=$B6)*(Aus_Ini&lt;=AA$2)*(Aus_Fim&gt;=AA$2)*Aus_Cod)),"!"))))</f>
        <v/>
      </c>
      <c r="AB6" s="15">
        <f>IF(OR($B6="",AB$2=""),"",IF(SUMPRODUCT((Aus_Tec=$B6)*(Aus_Ini&lt;=AB$2)*(Aus_Fim&gt;=AB$2)*(Aus_Cod&gt;0))=0,"",IF(SUMPRODUCT((Aus_Tec=$B6)*(Aus_Ini&lt;=AB$2)*(Aus_Fim&gt;=AB$2)*(Aus_Cod&gt;0))&gt;1,"!",IFERROR(INDEX(Aus_Siglas,SUMPRODUCT((Aus_Tec=$B6)*(Aus_Ini&lt;=AB$2)*(Aus_Fim&gt;=AB$2)*Aus_Cod)),"!"))))</f>
        <v/>
      </c>
      <c r="AC6" s="15">
        <f>IF(OR($B6="",AC$2=""),"",IF(SUMPRODUCT((Aus_Tec=$B6)*(Aus_Ini&lt;=AC$2)*(Aus_Fim&gt;=AC$2)*(Aus_Cod&gt;0))=0,"",IF(SUMPRODUCT((Aus_Tec=$B6)*(Aus_Ini&lt;=AC$2)*(Aus_Fim&gt;=AC$2)*(Aus_Cod&gt;0))&gt;1,"!",IFERROR(INDEX(Aus_Siglas,SUMPRODUCT((Aus_Tec=$B6)*(Aus_Ini&lt;=AC$2)*(Aus_Fim&gt;=AC$2)*Aus_Cod)),"!"))))</f>
        <v/>
      </c>
      <c r="AD6" s="15">
        <f>IF(OR($B6="",AD$2=""),"",IF(SUMPRODUCT((Aus_Tec=$B6)*(Aus_Ini&lt;=AD$2)*(Aus_Fim&gt;=AD$2)*(Aus_Cod&gt;0))=0,"",IF(SUMPRODUCT((Aus_Tec=$B6)*(Aus_Ini&lt;=AD$2)*(Aus_Fim&gt;=AD$2)*(Aus_Cod&gt;0))&gt;1,"!",IFERROR(INDEX(Aus_Siglas,SUMPRODUCT((Aus_Tec=$B6)*(Aus_Ini&lt;=AD$2)*(Aus_Fim&gt;=AD$2)*Aus_Cod)),"!"))))</f>
        <v/>
      </c>
      <c r="AE6" s="15">
        <f>IF(OR($B6="",AE$2=""),"",IF(SUMPRODUCT((Aus_Tec=$B6)*(Aus_Ini&lt;=AE$2)*(Aus_Fim&gt;=AE$2)*(Aus_Cod&gt;0))=0,"",IF(SUMPRODUCT((Aus_Tec=$B6)*(Aus_Ini&lt;=AE$2)*(Aus_Fim&gt;=AE$2)*(Aus_Cod&gt;0))&gt;1,"!",IFERROR(INDEX(Aus_Siglas,SUMPRODUCT((Aus_Tec=$B6)*(Aus_Ini&lt;=AE$2)*(Aus_Fim&gt;=AE$2)*Aus_Cod)),"!"))))</f>
        <v/>
      </c>
      <c r="AF6" s="15">
        <f>IF(OR($B6="",AF$2=""),"",IF(SUMPRODUCT((Aus_Tec=$B6)*(Aus_Ini&lt;=AF$2)*(Aus_Fim&gt;=AF$2)*(Aus_Cod&gt;0))=0,"",IF(SUMPRODUCT((Aus_Tec=$B6)*(Aus_Ini&lt;=AF$2)*(Aus_Fim&gt;=AF$2)*(Aus_Cod&gt;0))&gt;1,"!",IFERROR(INDEX(Aus_Siglas,SUMPRODUCT((Aus_Tec=$B6)*(Aus_Ini&lt;=AF$2)*(Aus_Fim&gt;=AF$2)*Aus_Cod)),"!"))))</f>
        <v/>
      </c>
      <c r="AG6" s="15">
        <f>IF(OR($B6="",AG$2=""),"",IF(SUMPRODUCT((Aus_Tec=$B6)*(Aus_Ini&lt;=AG$2)*(Aus_Fim&gt;=AG$2)*(Aus_Cod&gt;0))=0,"",IF(SUMPRODUCT((Aus_Tec=$B6)*(Aus_Ini&lt;=AG$2)*(Aus_Fim&gt;=AG$2)*(Aus_Cod&gt;0))&gt;1,"!",IFERROR(INDEX(Aus_Siglas,SUMPRODUCT((Aus_Tec=$B6)*(Aus_Ini&lt;=AG$2)*(Aus_Fim&gt;=AG$2)*Aus_Cod)),"!"))))</f>
        <v/>
      </c>
      <c r="AH6" s="37">
        <f>IF($B6="","",COUNTIF($C6:$AG6,"F"))</f>
        <v/>
      </c>
      <c r="AI6" s="37">
        <f>IF($B6="","",COUNTIF($C6:$AG6,"D"))</f>
        <v/>
      </c>
      <c r="AJ6" s="37">
        <f>IF($B6="","",COUNTIF($C6:$AG6,"A"))</f>
        <v/>
      </c>
      <c r="AK6" s="37">
        <f>IF($B6="","",SUMPRODUCT(($C6:$AG6&lt;&gt;"")*1))</f>
        <v/>
      </c>
    </row>
    <row r="7">
      <c r="A7" s="33">
        <f>IF('Equipe'!A5="","",'Equipe'!A5)</f>
        <v/>
      </c>
      <c r="B7" s="34">
        <f>IF('Equipe'!B5="","",'Equipe'!B5)</f>
        <v/>
      </c>
      <c r="C7" s="15">
        <f>IF(OR($B7="",C$2=""),"",IF(SUMPRODUCT((Aus_Tec=$B7)*(Aus_Ini&lt;=C$2)*(Aus_Fim&gt;=C$2)*(Aus_Cod&gt;0))=0,"",IF(SUMPRODUCT((Aus_Tec=$B7)*(Aus_Ini&lt;=C$2)*(Aus_Fim&gt;=C$2)*(Aus_Cod&gt;0))&gt;1,"!",IFERROR(INDEX(Aus_Siglas,SUMPRODUCT((Aus_Tec=$B7)*(Aus_Ini&lt;=C$2)*(Aus_Fim&gt;=C$2)*Aus_Cod)),"!"))))</f>
        <v/>
      </c>
      <c r="D7" s="15">
        <f>IF(OR($B7="",D$2=""),"",IF(SUMPRODUCT((Aus_Tec=$B7)*(Aus_Ini&lt;=D$2)*(Aus_Fim&gt;=D$2)*(Aus_Cod&gt;0))=0,"",IF(SUMPRODUCT((Aus_Tec=$B7)*(Aus_Ini&lt;=D$2)*(Aus_Fim&gt;=D$2)*(Aus_Cod&gt;0))&gt;1,"!",IFERROR(INDEX(Aus_Siglas,SUMPRODUCT((Aus_Tec=$B7)*(Aus_Ini&lt;=D$2)*(Aus_Fim&gt;=D$2)*Aus_Cod)),"!"))))</f>
        <v/>
      </c>
      <c r="E7" s="15">
        <f>IF(OR($B7="",E$2=""),"",IF(SUMPRODUCT((Aus_Tec=$B7)*(Aus_Ini&lt;=E$2)*(Aus_Fim&gt;=E$2)*(Aus_Cod&gt;0))=0,"",IF(SUMPRODUCT((Aus_Tec=$B7)*(Aus_Ini&lt;=E$2)*(Aus_Fim&gt;=E$2)*(Aus_Cod&gt;0))&gt;1,"!",IFERROR(INDEX(Aus_Siglas,SUMPRODUCT((Aus_Tec=$B7)*(Aus_Ini&lt;=E$2)*(Aus_Fim&gt;=E$2)*Aus_Cod)),"!"))))</f>
        <v/>
      </c>
      <c r="F7" s="15">
        <f>IF(OR($B7="",F$2=""),"",IF(SUMPRODUCT((Aus_Tec=$B7)*(Aus_Ini&lt;=F$2)*(Aus_Fim&gt;=F$2)*(Aus_Cod&gt;0))=0,"",IF(SUMPRODUCT((Aus_Tec=$B7)*(Aus_Ini&lt;=F$2)*(Aus_Fim&gt;=F$2)*(Aus_Cod&gt;0))&gt;1,"!",IFERROR(INDEX(Aus_Siglas,SUMPRODUCT((Aus_Tec=$B7)*(Aus_Ini&lt;=F$2)*(Aus_Fim&gt;=F$2)*Aus_Cod)),"!"))))</f>
        <v/>
      </c>
      <c r="G7" s="15">
        <f>IF(OR($B7="",G$2=""),"",IF(SUMPRODUCT((Aus_Tec=$B7)*(Aus_Ini&lt;=G$2)*(Aus_Fim&gt;=G$2)*(Aus_Cod&gt;0))=0,"",IF(SUMPRODUCT((Aus_Tec=$B7)*(Aus_Ini&lt;=G$2)*(Aus_Fim&gt;=G$2)*(Aus_Cod&gt;0))&gt;1,"!",IFERROR(INDEX(Aus_Siglas,SUMPRODUCT((Aus_Tec=$B7)*(Aus_Ini&lt;=G$2)*(Aus_Fim&gt;=G$2)*Aus_Cod)),"!"))))</f>
        <v/>
      </c>
      <c r="H7" s="15">
        <f>IF(OR($B7="",H$2=""),"",IF(SUMPRODUCT((Aus_Tec=$B7)*(Aus_Ini&lt;=H$2)*(Aus_Fim&gt;=H$2)*(Aus_Cod&gt;0))=0,"",IF(SUMPRODUCT((Aus_Tec=$B7)*(Aus_Ini&lt;=H$2)*(Aus_Fim&gt;=H$2)*(Aus_Cod&gt;0))&gt;1,"!",IFERROR(INDEX(Aus_Siglas,SUMPRODUCT((Aus_Tec=$B7)*(Aus_Ini&lt;=H$2)*(Aus_Fim&gt;=H$2)*Aus_Cod)),"!"))))</f>
        <v/>
      </c>
      <c r="I7" s="15">
        <f>IF(OR($B7="",I$2=""),"",IF(SUMPRODUCT((Aus_Tec=$B7)*(Aus_Ini&lt;=I$2)*(Aus_Fim&gt;=I$2)*(Aus_Cod&gt;0))=0,"",IF(SUMPRODUCT((Aus_Tec=$B7)*(Aus_Ini&lt;=I$2)*(Aus_Fim&gt;=I$2)*(Aus_Cod&gt;0))&gt;1,"!",IFERROR(INDEX(Aus_Siglas,SUMPRODUCT((Aus_Tec=$B7)*(Aus_Ini&lt;=I$2)*(Aus_Fim&gt;=I$2)*Aus_Cod)),"!"))))</f>
        <v/>
      </c>
      <c r="J7" s="15">
        <f>IF(OR($B7="",J$2=""),"",IF(SUMPRODUCT((Aus_Tec=$B7)*(Aus_Ini&lt;=J$2)*(Aus_Fim&gt;=J$2)*(Aus_Cod&gt;0))=0,"",IF(SUMPRODUCT((Aus_Tec=$B7)*(Aus_Ini&lt;=J$2)*(Aus_Fim&gt;=J$2)*(Aus_Cod&gt;0))&gt;1,"!",IFERROR(INDEX(Aus_Siglas,SUMPRODUCT((Aus_Tec=$B7)*(Aus_Ini&lt;=J$2)*(Aus_Fim&gt;=J$2)*Aus_Cod)),"!"))))</f>
        <v/>
      </c>
      <c r="K7" s="15">
        <f>IF(OR($B7="",K$2=""),"",IF(SUMPRODUCT((Aus_Tec=$B7)*(Aus_Ini&lt;=K$2)*(Aus_Fim&gt;=K$2)*(Aus_Cod&gt;0))=0,"",IF(SUMPRODUCT((Aus_Tec=$B7)*(Aus_Ini&lt;=K$2)*(Aus_Fim&gt;=K$2)*(Aus_Cod&gt;0))&gt;1,"!",IFERROR(INDEX(Aus_Siglas,SUMPRODUCT((Aus_Tec=$B7)*(Aus_Ini&lt;=K$2)*(Aus_Fim&gt;=K$2)*Aus_Cod)),"!"))))</f>
        <v/>
      </c>
      <c r="L7" s="15">
        <f>IF(OR($B7="",L$2=""),"",IF(SUMPRODUCT((Aus_Tec=$B7)*(Aus_Ini&lt;=L$2)*(Aus_Fim&gt;=L$2)*(Aus_Cod&gt;0))=0,"",IF(SUMPRODUCT((Aus_Tec=$B7)*(Aus_Ini&lt;=L$2)*(Aus_Fim&gt;=L$2)*(Aus_Cod&gt;0))&gt;1,"!",IFERROR(INDEX(Aus_Siglas,SUMPRODUCT((Aus_Tec=$B7)*(Aus_Ini&lt;=L$2)*(Aus_Fim&gt;=L$2)*Aus_Cod)),"!"))))</f>
        <v/>
      </c>
      <c r="M7" s="15">
        <f>IF(OR($B7="",M$2=""),"",IF(SUMPRODUCT((Aus_Tec=$B7)*(Aus_Ini&lt;=M$2)*(Aus_Fim&gt;=M$2)*(Aus_Cod&gt;0))=0,"",IF(SUMPRODUCT((Aus_Tec=$B7)*(Aus_Ini&lt;=M$2)*(Aus_Fim&gt;=M$2)*(Aus_Cod&gt;0))&gt;1,"!",IFERROR(INDEX(Aus_Siglas,SUMPRODUCT((Aus_Tec=$B7)*(Aus_Ini&lt;=M$2)*(Aus_Fim&gt;=M$2)*Aus_Cod)),"!"))))</f>
        <v/>
      </c>
      <c r="N7" s="15">
        <f>IF(OR($B7="",N$2=""),"",IF(SUMPRODUCT((Aus_Tec=$B7)*(Aus_Ini&lt;=N$2)*(Aus_Fim&gt;=N$2)*(Aus_Cod&gt;0))=0,"",IF(SUMPRODUCT((Aus_Tec=$B7)*(Aus_Ini&lt;=N$2)*(Aus_Fim&gt;=N$2)*(Aus_Cod&gt;0))&gt;1,"!",IFERROR(INDEX(Aus_Siglas,SUMPRODUCT((Aus_Tec=$B7)*(Aus_Ini&lt;=N$2)*(Aus_Fim&gt;=N$2)*Aus_Cod)),"!"))))</f>
        <v/>
      </c>
      <c r="O7" s="15">
        <f>IF(OR($B7="",O$2=""),"",IF(SUMPRODUCT((Aus_Tec=$B7)*(Aus_Ini&lt;=O$2)*(Aus_Fim&gt;=O$2)*(Aus_Cod&gt;0))=0,"",IF(SUMPRODUCT((Aus_Tec=$B7)*(Aus_Ini&lt;=O$2)*(Aus_Fim&gt;=O$2)*(Aus_Cod&gt;0))&gt;1,"!",IFERROR(INDEX(Aus_Siglas,SUMPRODUCT((Aus_Tec=$B7)*(Aus_Ini&lt;=O$2)*(Aus_Fim&gt;=O$2)*Aus_Cod)),"!"))))</f>
        <v/>
      </c>
      <c r="P7" s="15">
        <f>IF(OR($B7="",P$2=""),"",IF(SUMPRODUCT((Aus_Tec=$B7)*(Aus_Ini&lt;=P$2)*(Aus_Fim&gt;=P$2)*(Aus_Cod&gt;0))=0,"",IF(SUMPRODUCT((Aus_Tec=$B7)*(Aus_Ini&lt;=P$2)*(Aus_Fim&gt;=P$2)*(Aus_Cod&gt;0))&gt;1,"!",IFERROR(INDEX(Aus_Siglas,SUMPRODUCT((Aus_Tec=$B7)*(Aus_Ini&lt;=P$2)*(Aus_Fim&gt;=P$2)*Aus_Cod)),"!"))))</f>
        <v/>
      </c>
      <c r="Q7" s="15">
        <f>IF(OR($B7="",Q$2=""),"",IF(SUMPRODUCT((Aus_Tec=$B7)*(Aus_Ini&lt;=Q$2)*(Aus_Fim&gt;=Q$2)*(Aus_Cod&gt;0))=0,"",IF(SUMPRODUCT((Aus_Tec=$B7)*(Aus_Ini&lt;=Q$2)*(Aus_Fim&gt;=Q$2)*(Aus_Cod&gt;0))&gt;1,"!",IFERROR(INDEX(Aus_Siglas,SUMPRODUCT((Aus_Tec=$B7)*(Aus_Ini&lt;=Q$2)*(Aus_Fim&gt;=Q$2)*Aus_Cod)),"!"))))</f>
        <v/>
      </c>
      <c r="R7" s="15">
        <f>IF(OR($B7="",R$2=""),"",IF(SUMPRODUCT((Aus_Tec=$B7)*(Aus_Ini&lt;=R$2)*(Aus_Fim&gt;=R$2)*(Aus_Cod&gt;0))=0,"",IF(SUMPRODUCT((Aus_Tec=$B7)*(Aus_Ini&lt;=R$2)*(Aus_Fim&gt;=R$2)*(Aus_Cod&gt;0))&gt;1,"!",IFERROR(INDEX(Aus_Siglas,SUMPRODUCT((Aus_Tec=$B7)*(Aus_Ini&lt;=R$2)*(Aus_Fim&gt;=R$2)*Aus_Cod)),"!"))))</f>
        <v/>
      </c>
      <c r="S7" s="15">
        <f>IF(OR($B7="",S$2=""),"",IF(SUMPRODUCT((Aus_Tec=$B7)*(Aus_Ini&lt;=S$2)*(Aus_Fim&gt;=S$2)*(Aus_Cod&gt;0))=0,"",IF(SUMPRODUCT((Aus_Tec=$B7)*(Aus_Ini&lt;=S$2)*(Aus_Fim&gt;=S$2)*(Aus_Cod&gt;0))&gt;1,"!",IFERROR(INDEX(Aus_Siglas,SUMPRODUCT((Aus_Tec=$B7)*(Aus_Ini&lt;=S$2)*(Aus_Fim&gt;=S$2)*Aus_Cod)),"!"))))</f>
        <v/>
      </c>
      <c r="T7" s="15">
        <f>IF(OR($B7="",T$2=""),"",IF(SUMPRODUCT((Aus_Tec=$B7)*(Aus_Ini&lt;=T$2)*(Aus_Fim&gt;=T$2)*(Aus_Cod&gt;0))=0,"",IF(SUMPRODUCT((Aus_Tec=$B7)*(Aus_Ini&lt;=T$2)*(Aus_Fim&gt;=T$2)*(Aus_Cod&gt;0))&gt;1,"!",IFERROR(INDEX(Aus_Siglas,SUMPRODUCT((Aus_Tec=$B7)*(Aus_Ini&lt;=T$2)*(Aus_Fim&gt;=T$2)*Aus_Cod)),"!"))))</f>
        <v/>
      </c>
      <c r="U7" s="15">
        <f>IF(OR($B7="",U$2=""),"",IF(SUMPRODUCT((Aus_Tec=$B7)*(Aus_Ini&lt;=U$2)*(Aus_Fim&gt;=U$2)*(Aus_Cod&gt;0))=0,"",IF(SUMPRODUCT((Aus_Tec=$B7)*(Aus_Ini&lt;=U$2)*(Aus_Fim&gt;=U$2)*(Aus_Cod&gt;0))&gt;1,"!",IFERROR(INDEX(Aus_Siglas,SUMPRODUCT((Aus_Tec=$B7)*(Aus_Ini&lt;=U$2)*(Aus_Fim&gt;=U$2)*Aus_Cod)),"!"))))</f>
        <v/>
      </c>
      <c r="V7" s="15">
        <f>IF(OR($B7="",V$2=""),"",IF(SUMPRODUCT((Aus_Tec=$B7)*(Aus_Ini&lt;=V$2)*(Aus_Fim&gt;=V$2)*(Aus_Cod&gt;0))=0,"",IF(SUMPRODUCT((Aus_Tec=$B7)*(Aus_Ini&lt;=V$2)*(Aus_Fim&gt;=V$2)*(Aus_Cod&gt;0))&gt;1,"!",IFERROR(INDEX(Aus_Siglas,SUMPRODUCT((Aus_Tec=$B7)*(Aus_Ini&lt;=V$2)*(Aus_Fim&gt;=V$2)*Aus_Cod)),"!"))))</f>
        <v/>
      </c>
      <c r="W7" s="15">
        <f>IF(OR($B7="",W$2=""),"",IF(SUMPRODUCT((Aus_Tec=$B7)*(Aus_Ini&lt;=W$2)*(Aus_Fim&gt;=W$2)*(Aus_Cod&gt;0))=0,"",IF(SUMPRODUCT((Aus_Tec=$B7)*(Aus_Ini&lt;=W$2)*(Aus_Fim&gt;=W$2)*(Aus_Cod&gt;0))&gt;1,"!",IFERROR(INDEX(Aus_Siglas,SUMPRODUCT((Aus_Tec=$B7)*(Aus_Ini&lt;=W$2)*(Aus_Fim&gt;=W$2)*Aus_Cod)),"!"))))</f>
        <v/>
      </c>
      <c r="X7" s="15">
        <f>IF(OR($B7="",X$2=""),"",IF(SUMPRODUCT((Aus_Tec=$B7)*(Aus_Ini&lt;=X$2)*(Aus_Fim&gt;=X$2)*(Aus_Cod&gt;0))=0,"",IF(SUMPRODUCT((Aus_Tec=$B7)*(Aus_Ini&lt;=X$2)*(Aus_Fim&gt;=X$2)*(Aus_Cod&gt;0))&gt;1,"!",IFERROR(INDEX(Aus_Siglas,SUMPRODUCT((Aus_Tec=$B7)*(Aus_Ini&lt;=X$2)*(Aus_Fim&gt;=X$2)*Aus_Cod)),"!"))))</f>
        <v/>
      </c>
      <c r="Y7" s="15">
        <f>IF(OR($B7="",Y$2=""),"",IF(SUMPRODUCT((Aus_Tec=$B7)*(Aus_Ini&lt;=Y$2)*(Aus_Fim&gt;=Y$2)*(Aus_Cod&gt;0))=0,"",IF(SUMPRODUCT((Aus_Tec=$B7)*(Aus_Ini&lt;=Y$2)*(Aus_Fim&gt;=Y$2)*(Aus_Cod&gt;0))&gt;1,"!",IFERROR(INDEX(Aus_Siglas,SUMPRODUCT((Aus_Tec=$B7)*(Aus_Ini&lt;=Y$2)*(Aus_Fim&gt;=Y$2)*Aus_Cod)),"!"))))</f>
        <v/>
      </c>
      <c r="Z7" s="15">
        <f>IF(OR($B7="",Z$2=""),"",IF(SUMPRODUCT((Aus_Tec=$B7)*(Aus_Ini&lt;=Z$2)*(Aus_Fim&gt;=Z$2)*(Aus_Cod&gt;0))=0,"",IF(SUMPRODUCT((Aus_Tec=$B7)*(Aus_Ini&lt;=Z$2)*(Aus_Fim&gt;=Z$2)*(Aus_Cod&gt;0))&gt;1,"!",IFERROR(INDEX(Aus_Siglas,SUMPRODUCT((Aus_Tec=$B7)*(Aus_Ini&lt;=Z$2)*(Aus_Fim&gt;=Z$2)*Aus_Cod)),"!"))))</f>
        <v/>
      </c>
      <c r="AA7" s="15">
        <f>IF(OR($B7="",AA$2=""),"",IF(SUMPRODUCT((Aus_Tec=$B7)*(Aus_Ini&lt;=AA$2)*(Aus_Fim&gt;=AA$2)*(Aus_Cod&gt;0))=0,"",IF(SUMPRODUCT((Aus_Tec=$B7)*(Aus_Ini&lt;=AA$2)*(Aus_Fim&gt;=AA$2)*(Aus_Cod&gt;0))&gt;1,"!",IFERROR(INDEX(Aus_Siglas,SUMPRODUCT((Aus_Tec=$B7)*(Aus_Ini&lt;=AA$2)*(Aus_Fim&gt;=AA$2)*Aus_Cod)),"!"))))</f>
        <v/>
      </c>
      <c r="AB7" s="15">
        <f>IF(OR($B7="",AB$2=""),"",IF(SUMPRODUCT((Aus_Tec=$B7)*(Aus_Ini&lt;=AB$2)*(Aus_Fim&gt;=AB$2)*(Aus_Cod&gt;0))=0,"",IF(SUMPRODUCT((Aus_Tec=$B7)*(Aus_Ini&lt;=AB$2)*(Aus_Fim&gt;=AB$2)*(Aus_Cod&gt;0))&gt;1,"!",IFERROR(INDEX(Aus_Siglas,SUMPRODUCT((Aus_Tec=$B7)*(Aus_Ini&lt;=AB$2)*(Aus_Fim&gt;=AB$2)*Aus_Cod)),"!"))))</f>
        <v/>
      </c>
      <c r="AC7" s="15">
        <f>IF(OR($B7="",AC$2=""),"",IF(SUMPRODUCT((Aus_Tec=$B7)*(Aus_Ini&lt;=AC$2)*(Aus_Fim&gt;=AC$2)*(Aus_Cod&gt;0))=0,"",IF(SUMPRODUCT((Aus_Tec=$B7)*(Aus_Ini&lt;=AC$2)*(Aus_Fim&gt;=AC$2)*(Aus_Cod&gt;0))&gt;1,"!",IFERROR(INDEX(Aus_Siglas,SUMPRODUCT((Aus_Tec=$B7)*(Aus_Ini&lt;=AC$2)*(Aus_Fim&gt;=AC$2)*Aus_Cod)),"!"))))</f>
        <v/>
      </c>
      <c r="AD7" s="15">
        <f>IF(OR($B7="",AD$2=""),"",IF(SUMPRODUCT((Aus_Tec=$B7)*(Aus_Ini&lt;=AD$2)*(Aus_Fim&gt;=AD$2)*(Aus_Cod&gt;0))=0,"",IF(SUMPRODUCT((Aus_Tec=$B7)*(Aus_Ini&lt;=AD$2)*(Aus_Fim&gt;=AD$2)*(Aus_Cod&gt;0))&gt;1,"!",IFERROR(INDEX(Aus_Siglas,SUMPRODUCT((Aus_Tec=$B7)*(Aus_Ini&lt;=AD$2)*(Aus_Fim&gt;=AD$2)*Aus_Cod)),"!"))))</f>
        <v/>
      </c>
      <c r="AE7" s="15">
        <f>IF(OR($B7="",AE$2=""),"",IF(SUMPRODUCT((Aus_Tec=$B7)*(Aus_Ini&lt;=AE$2)*(Aus_Fim&gt;=AE$2)*(Aus_Cod&gt;0))=0,"",IF(SUMPRODUCT((Aus_Tec=$B7)*(Aus_Ini&lt;=AE$2)*(Aus_Fim&gt;=AE$2)*(Aus_Cod&gt;0))&gt;1,"!",IFERROR(INDEX(Aus_Siglas,SUMPRODUCT((Aus_Tec=$B7)*(Aus_Ini&lt;=AE$2)*(Aus_Fim&gt;=AE$2)*Aus_Cod)),"!"))))</f>
        <v/>
      </c>
      <c r="AF7" s="15">
        <f>IF(OR($B7="",AF$2=""),"",IF(SUMPRODUCT((Aus_Tec=$B7)*(Aus_Ini&lt;=AF$2)*(Aus_Fim&gt;=AF$2)*(Aus_Cod&gt;0))=0,"",IF(SUMPRODUCT((Aus_Tec=$B7)*(Aus_Ini&lt;=AF$2)*(Aus_Fim&gt;=AF$2)*(Aus_Cod&gt;0))&gt;1,"!",IFERROR(INDEX(Aus_Siglas,SUMPRODUCT((Aus_Tec=$B7)*(Aus_Ini&lt;=AF$2)*(Aus_Fim&gt;=AF$2)*Aus_Cod)),"!"))))</f>
        <v/>
      </c>
      <c r="AG7" s="15">
        <f>IF(OR($B7="",AG$2=""),"",IF(SUMPRODUCT((Aus_Tec=$B7)*(Aus_Ini&lt;=AG$2)*(Aus_Fim&gt;=AG$2)*(Aus_Cod&gt;0))=0,"",IF(SUMPRODUCT((Aus_Tec=$B7)*(Aus_Ini&lt;=AG$2)*(Aus_Fim&gt;=AG$2)*(Aus_Cod&gt;0))&gt;1,"!",IFERROR(INDEX(Aus_Siglas,SUMPRODUCT((Aus_Tec=$B7)*(Aus_Ini&lt;=AG$2)*(Aus_Fim&gt;=AG$2)*Aus_Cod)),"!"))))</f>
        <v/>
      </c>
      <c r="AH7" s="37">
        <f>IF($B7="","",COUNTIF($C7:$AG7,"F"))</f>
        <v/>
      </c>
      <c r="AI7" s="37">
        <f>IF($B7="","",COUNTIF($C7:$AG7,"D"))</f>
        <v/>
      </c>
      <c r="AJ7" s="37">
        <f>IF($B7="","",COUNTIF($C7:$AG7,"A"))</f>
        <v/>
      </c>
      <c r="AK7" s="37">
        <f>IF($B7="","",SUMPRODUCT(($C7:$AG7&lt;&gt;"")*1))</f>
        <v/>
      </c>
    </row>
    <row r="8">
      <c r="A8" s="33">
        <f>IF('Equipe'!A6="","",'Equipe'!A6)</f>
        <v/>
      </c>
      <c r="B8" s="34">
        <f>IF('Equipe'!B6="","",'Equipe'!B6)</f>
        <v/>
      </c>
      <c r="C8" s="15">
        <f>IF(OR($B8="",C$2=""),"",IF(SUMPRODUCT((Aus_Tec=$B8)*(Aus_Ini&lt;=C$2)*(Aus_Fim&gt;=C$2)*(Aus_Cod&gt;0))=0,"",IF(SUMPRODUCT((Aus_Tec=$B8)*(Aus_Ini&lt;=C$2)*(Aus_Fim&gt;=C$2)*(Aus_Cod&gt;0))&gt;1,"!",IFERROR(INDEX(Aus_Siglas,SUMPRODUCT((Aus_Tec=$B8)*(Aus_Ini&lt;=C$2)*(Aus_Fim&gt;=C$2)*Aus_Cod)),"!"))))</f>
        <v/>
      </c>
      <c r="D8" s="15">
        <f>IF(OR($B8="",D$2=""),"",IF(SUMPRODUCT((Aus_Tec=$B8)*(Aus_Ini&lt;=D$2)*(Aus_Fim&gt;=D$2)*(Aus_Cod&gt;0))=0,"",IF(SUMPRODUCT((Aus_Tec=$B8)*(Aus_Ini&lt;=D$2)*(Aus_Fim&gt;=D$2)*(Aus_Cod&gt;0))&gt;1,"!",IFERROR(INDEX(Aus_Siglas,SUMPRODUCT((Aus_Tec=$B8)*(Aus_Ini&lt;=D$2)*(Aus_Fim&gt;=D$2)*Aus_Cod)),"!"))))</f>
        <v/>
      </c>
      <c r="E8" s="15">
        <f>IF(OR($B8="",E$2=""),"",IF(SUMPRODUCT((Aus_Tec=$B8)*(Aus_Ini&lt;=E$2)*(Aus_Fim&gt;=E$2)*(Aus_Cod&gt;0))=0,"",IF(SUMPRODUCT((Aus_Tec=$B8)*(Aus_Ini&lt;=E$2)*(Aus_Fim&gt;=E$2)*(Aus_Cod&gt;0))&gt;1,"!",IFERROR(INDEX(Aus_Siglas,SUMPRODUCT((Aus_Tec=$B8)*(Aus_Ini&lt;=E$2)*(Aus_Fim&gt;=E$2)*Aus_Cod)),"!"))))</f>
        <v/>
      </c>
      <c r="F8" s="15">
        <f>IF(OR($B8="",F$2=""),"",IF(SUMPRODUCT((Aus_Tec=$B8)*(Aus_Ini&lt;=F$2)*(Aus_Fim&gt;=F$2)*(Aus_Cod&gt;0))=0,"",IF(SUMPRODUCT((Aus_Tec=$B8)*(Aus_Ini&lt;=F$2)*(Aus_Fim&gt;=F$2)*(Aus_Cod&gt;0))&gt;1,"!",IFERROR(INDEX(Aus_Siglas,SUMPRODUCT((Aus_Tec=$B8)*(Aus_Ini&lt;=F$2)*(Aus_Fim&gt;=F$2)*Aus_Cod)),"!"))))</f>
        <v/>
      </c>
      <c r="G8" s="15">
        <f>IF(OR($B8="",G$2=""),"",IF(SUMPRODUCT((Aus_Tec=$B8)*(Aus_Ini&lt;=G$2)*(Aus_Fim&gt;=G$2)*(Aus_Cod&gt;0))=0,"",IF(SUMPRODUCT((Aus_Tec=$B8)*(Aus_Ini&lt;=G$2)*(Aus_Fim&gt;=G$2)*(Aus_Cod&gt;0))&gt;1,"!",IFERROR(INDEX(Aus_Siglas,SUMPRODUCT((Aus_Tec=$B8)*(Aus_Ini&lt;=G$2)*(Aus_Fim&gt;=G$2)*Aus_Cod)),"!"))))</f>
        <v/>
      </c>
      <c r="H8" s="15">
        <f>IF(OR($B8="",H$2=""),"",IF(SUMPRODUCT((Aus_Tec=$B8)*(Aus_Ini&lt;=H$2)*(Aus_Fim&gt;=H$2)*(Aus_Cod&gt;0))=0,"",IF(SUMPRODUCT((Aus_Tec=$B8)*(Aus_Ini&lt;=H$2)*(Aus_Fim&gt;=H$2)*(Aus_Cod&gt;0))&gt;1,"!",IFERROR(INDEX(Aus_Siglas,SUMPRODUCT((Aus_Tec=$B8)*(Aus_Ini&lt;=H$2)*(Aus_Fim&gt;=H$2)*Aus_Cod)),"!"))))</f>
        <v/>
      </c>
      <c r="I8" s="15">
        <f>IF(OR($B8="",I$2=""),"",IF(SUMPRODUCT((Aus_Tec=$B8)*(Aus_Ini&lt;=I$2)*(Aus_Fim&gt;=I$2)*(Aus_Cod&gt;0))=0,"",IF(SUMPRODUCT((Aus_Tec=$B8)*(Aus_Ini&lt;=I$2)*(Aus_Fim&gt;=I$2)*(Aus_Cod&gt;0))&gt;1,"!",IFERROR(INDEX(Aus_Siglas,SUMPRODUCT((Aus_Tec=$B8)*(Aus_Ini&lt;=I$2)*(Aus_Fim&gt;=I$2)*Aus_Cod)),"!"))))</f>
        <v/>
      </c>
      <c r="J8" s="15">
        <f>IF(OR($B8="",J$2=""),"",IF(SUMPRODUCT((Aus_Tec=$B8)*(Aus_Ini&lt;=J$2)*(Aus_Fim&gt;=J$2)*(Aus_Cod&gt;0))=0,"",IF(SUMPRODUCT((Aus_Tec=$B8)*(Aus_Ini&lt;=J$2)*(Aus_Fim&gt;=J$2)*(Aus_Cod&gt;0))&gt;1,"!",IFERROR(INDEX(Aus_Siglas,SUMPRODUCT((Aus_Tec=$B8)*(Aus_Ini&lt;=J$2)*(Aus_Fim&gt;=J$2)*Aus_Cod)),"!"))))</f>
        <v/>
      </c>
      <c r="K8" s="15">
        <f>IF(OR($B8="",K$2=""),"",IF(SUMPRODUCT((Aus_Tec=$B8)*(Aus_Ini&lt;=K$2)*(Aus_Fim&gt;=K$2)*(Aus_Cod&gt;0))=0,"",IF(SUMPRODUCT((Aus_Tec=$B8)*(Aus_Ini&lt;=K$2)*(Aus_Fim&gt;=K$2)*(Aus_Cod&gt;0))&gt;1,"!",IFERROR(INDEX(Aus_Siglas,SUMPRODUCT((Aus_Tec=$B8)*(Aus_Ini&lt;=K$2)*(Aus_Fim&gt;=K$2)*Aus_Cod)),"!"))))</f>
        <v/>
      </c>
      <c r="L8" s="15">
        <f>IF(OR($B8="",L$2=""),"",IF(SUMPRODUCT((Aus_Tec=$B8)*(Aus_Ini&lt;=L$2)*(Aus_Fim&gt;=L$2)*(Aus_Cod&gt;0))=0,"",IF(SUMPRODUCT((Aus_Tec=$B8)*(Aus_Ini&lt;=L$2)*(Aus_Fim&gt;=L$2)*(Aus_Cod&gt;0))&gt;1,"!",IFERROR(INDEX(Aus_Siglas,SUMPRODUCT((Aus_Tec=$B8)*(Aus_Ini&lt;=L$2)*(Aus_Fim&gt;=L$2)*Aus_Cod)),"!"))))</f>
        <v/>
      </c>
      <c r="M8" s="15">
        <f>IF(OR($B8="",M$2=""),"",IF(SUMPRODUCT((Aus_Tec=$B8)*(Aus_Ini&lt;=M$2)*(Aus_Fim&gt;=M$2)*(Aus_Cod&gt;0))=0,"",IF(SUMPRODUCT((Aus_Tec=$B8)*(Aus_Ini&lt;=M$2)*(Aus_Fim&gt;=M$2)*(Aus_Cod&gt;0))&gt;1,"!",IFERROR(INDEX(Aus_Siglas,SUMPRODUCT((Aus_Tec=$B8)*(Aus_Ini&lt;=M$2)*(Aus_Fim&gt;=M$2)*Aus_Cod)),"!"))))</f>
        <v/>
      </c>
      <c r="N8" s="15">
        <f>IF(OR($B8="",N$2=""),"",IF(SUMPRODUCT((Aus_Tec=$B8)*(Aus_Ini&lt;=N$2)*(Aus_Fim&gt;=N$2)*(Aus_Cod&gt;0))=0,"",IF(SUMPRODUCT((Aus_Tec=$B8)*(Aus_Ini&lt;=N$2)*(Aus_Fim&gt;=N$2)*(Aus_Cod&gt;0))&gt;1,"!",IFERROR(INDEX(Aus_Siglas,SUMPRODUCT((Aus_Tec=$B8)*(Aus_Ini&lt;=N$2)*(Aus_Fim&gt;=N$2)*Aus_Cod)),"!"))))</f>
        <v/>
      </c>
      <c r="O8" s="15">
        <f>IF(OR($B8="",O$2=""),"",IF(SUMPRODUCT((Aus_Tec=$B8)*(Aus_Ini&lt;=O$2)*(Aus_Fim&gt;=O$2)*(Aus_Cod&gt;0))=0,"",IF(SUMPRODUCT((Aus_Tec=$B8)*(Aus_Ini&lt;=O$2)*(Aus_Fim&gt;=O$2)*(Aus_Cod&gt;0))&gt;1,"!",IFERROR(INDEX(Aus_Siglas,SUMPRODUCT((Aus_Tec=$B8)*(Aus_Ini&lt;=O$2)*(Aus_Fim&gt;=O$2)*Aus_Cod)),"!"))))</f>
        <v/>
      </c>
      <c r="P8" s="15">
        <f>IF(OR($B8="",P$2=""),"",IF(SUMPRODUCT((Aus_Tec=$B8)*(Aus_Ini&lt;=P$2)*(Aus_Fim&gt;=P$2)*(Aus_Cod&gt;0))=0,"",IF(SUMPRODUCT((Aus_Tec=$B8)*(Aus_Ini&lt;=P$2)*(Aus_Fim&gt;=P$2)*(Aus_Cod&gt;0))&gt;1,"!",IFERROR(INDEX(Aus_Siglas,SUMPRODUCT((Aus_Tec=$B8)*(Aus_Ini&lt;=P$2)*(Aus_Fim&gt;=P$2)*Aus_Cod)),"!"))))</f>
        <v/>
      </c>
      <c r="Q8" s="15">
        <f>IF(OR($B8="",Q$2=""),"",IF(SUMPRODUCT((Aus_Tec=$B8)*(Aus_Ini&lt;=Q$2)*(Aus_Fim&gt;=Q$2)*(Aus_Cod&gt;0))=0,"",IF(SUMPRODUCT((Aus_Tec=$B8)*(Aus_Ini&lt;=Q$2)*(Aus_Fim&gt;=Q$2)*(Aus_Cod&gt;0))&gt;1,"!",IFERROR(INDEX(Aus_Siglas,SUMPRODUCT((Aus_Tec=$B8)*(Aus_Ini&lt;=Q$2)*(Aus_Fim&gt;=Q$2)*Aus_Cod)),"!"))))</f>
        <v/>
      </c>
      <c r="R8" s="15">
        <f>IF(OR($B8="",R$2=""),"",IF(SUMPRODUCT((Aus_Tec=$B8)*(Aus_Ini&lt;=R$2)*(Aus_Fim&gt;=R$2)*(Aus_Cod&gt;0))=0,"",IF(SUMPRODUCT((Aus_Tec=$B8)*(Aus_Ini&lt;=R$2)*(Aus_Fim&gt;=R$2)*(Aus_Cod&gt;0))&gt;1,"!",IFERROR(INDEX(Aus_Siglas,SUMPRODUCT((Aus_Tec=$B8)*(Aus_Ini&lt;=R$2)*(Aus_Fim&gt;=R$2)*Aus_Cod)),"!"))))</f>
        <v/>
      </c>
      <c r="S8" s="15">
        <f>IF(OR($B8="",S$2=""),"",IF(SUMPRODUCT((Aus_Tec=$B8)*(Aus_Ini&lt;=S$2)*(Aus_Fim&gt;=S$2)*(Aus_Cod&gt;0))=0,"",IF(SUMPRODUCT((Aus_Tec=$B8)*(Aus_Ini&lt;=S$2)*(Aus_Fim&gt;=S$2)*(Aus_Cod&gt;0))&gt;1,"!",IFERROR(INDEX(Aus_Siglas,SUMPRODUCT((Aus_Tec=$B8)*(Aus_Ini&lt;=S$2)*(Aus_Fim&gt;=S$2)*Aus_Cod)),"!"))))</f>
        <v/>
      </c>
      <c r="T8" s="15">
        <f>IF(OR($B8="",T$2=""),"",IF(SUMPRODUCT((Aus_Tec=$B8)*(Aus_Ini&lt;=T$2)*(Aus_Fim&gt;=T$2)*(Aus_Cod&gt;0))=0,"",IF(SUMPRODUCT((Aus_Tec=$B8)*(Aus_Ini&lt;=T$2)*(Aus_Fim&gt;=T$2)*(Aus_Cod&gt;0))&gt;1,"!",IFERROR(INDEX(Aus_Siglas,SUMPRODUCT((Aus_Tec=$B8)*(Aus_Ini&lt;=T$2)*(Aus_Fim&gt;=T$2)*Aus_Cod)),"!"))))</f>
        <v/>
      </c>
      <c r="U8" s="15">
        <f>IF(OR($B8="",U$2=""),"",IF(SUMPRODUCT((Aus_Tec=$B8)*(Aus_Ini&lt;=U$2)*(Aus_Fim&gt;=U$2)*(Aus_Cod&gt;0))=0,"",IF(SUMPRODUCT((Aus_Tec=$B8)*(Aus_Ini&lt;=U$2)*(Aus_Fim&gt;=U$2)*(Aus_Cod&gt;0))&gt;1,"!",IFERROR(INDEX(Aus_Siglas,SUMPRODUCT((Aus_Tec=$B8)*(Aus_Ini&lt;=U$2)*(Aus_Fim&gt;=U$2)*Aus_Cod)),"!"))))</f>
        <v/>
      </c>
      <c r="V8" s="15">
        <f>IF(OR($B8="",V$2=""),"",IF(SUMPRODUCT((Aus_Tec=$B8)*(Aus_Ini&lt;=V$2)*(Aus_Fim&gt;=V$2)*(Aus_Cod&gt;0))=0,"",IF(SUMPRODUCT((Aus_Tec=$B8)*(Aus_Ini&lt;=V$2)*(Aus_Fim&gt;=V$2)*(Aus_Cod&gt;0))&gt;1,"!",IFERROR(INDEX(Aus_Siglas,SUMPRODUCT((Aus_Tec=$B8)*(Aus_Ini&lt;=V$2)*(Aus_Fim&gt;=V$2)*Aus_Cod)),"!"))))</f>
        <v/>
      </c>
      <c r="W8" s="15">
        <f>IF(OR($B8="",W$2=""),"",IF(SUMPRODUCT((Aus_Tec=$B8)*(Aus_Ini&lt;=W$2)*(Aus_Fim&gt;=W$2)*(Aus_Cod&gt;0))=0,"",IF(SUMPRODUCT((Aus_Tec=$B8)*(Aus_Ini&lt;=W$2)*(Aus_Fim&gt;=W$2)*(Aus_Cod&gt;0))&gt;1,"!",IFERROR(INDEX(Aus_Siglas,SUMPRODUCT((Aus_Tec=$B8)*(Aus_Ini&lt;=W$2)*(Aus_Fim&gt;=W$2)*Aus_Cod)),"!"))))</f>
        <v/>
      </c>
      <c r="X8" s="15">
        <f>IF(OR($B8="",X$2=""),"",IF(SUMPRODUCT((Aus_Tec=$B8)*(Aus_Ini&lt;=X$2)*(Aus_Fim&gt;=X$2)*(Aus_Cod&gt;0))=0,"",IF(SUMPRODUCT((Aus_Tec=$B8)*(Aus_Ini&lt;=X$2)*(Aus_Fim&gt;=X$2)*(Aus_Cod&gt;0))&gt;1,"!",IFERROR(INDEX(Aus_Siglas,SUMPRODUCT((Aus_Tec=$B8)*(Aus_Ini&lt;=X$2)*(Aus_Fim&gt;=X$2)*Aus_Cod)),"!"))))</f>
        <v/>
      </c>
      <c r="Y8" s="15">
        <f>IF(OR($B8="",Y$2=""),"",IF(SUMPRODUCT((Aus_Tec=$B8)*(Aus_Ini&lt;=Y$2)*(Aus_Fim&gt;=Y$2)*(Aus_Cod&gt;0))=0,"",IF(SUMPRODUCT((Aus_Tec=$B8)*(Aus_Ini&lt;=Y$2)*(Aus_Fim&gt;=Y$2)*(Aus_Cod&gt;0))&gt;1,"!",IFERROR(INDEX(Aus_Siglas,SUMPRODUCT((Aus_Tec=$B8)*(Aus_Ini&lt;=Y$2)*(Aus_Fim&gt;=Y$2)*Aus_Cod)),"!"))))</f>
        <v/>
      </c>
      <c r="Z8" s="15">
        <f>IF(OR($B8="",Z$2=""),"",IF(SUMPRODUCT((Aus_Tec=$B8)*(Aus_Ini&lt;=Z$2)*(Aus_Fim&gt;=Z$2)*(Aus_Cod&gt;0))=0,"",IF(SUMPRODUCT((Aus_Tec=$B8)*(Aus_Ini&lt;=Z$2)*(Aus_Fim&gt;=Z$2)*(Aus_Cod&gt;0))&gt;1,"!",IFERROR(INDEX(Aus_Siglas,SUMPRODUCT((Aus_Tec=$B8)*(Aus_Ini&lt;=Z$2)*(Aus_Fim&gt;=Z$2)*Aus_Cod)),"!"))))</f>
        <v/>
      </c>
      <c r="AA8" s="15">
        <f>IF(OR($B8="",AA$2=""),"",IF(SUMPRODUCT((Aus_Tec=$B8)*(Aus_Ini&lt;=AA$2)*(Aus_Fim&gt;=AA$2)*(Aus_Cod&gt;0))=0,"",IF(SUMPRODUCT((Aus_Tec=$B8)*(Aus_Ini&lt;=AA$2)*(Aus_Fim&gt;=AA$2)*(Aus_Cod&gt;0))&gt;1,"!",IFERROR(INDEX(Aus_Siglas,SUMPRODUCT((Aus_Tec=$B8)*(Aus_Ini&lt;=AA$2)*(Aus_Fim&gt;=AA$2)*Aus_Cod)),"!"))))</f>
        <v/>
      </c>
      <c r="AB8" s="15">
        <f>IF(OR($B8="",AB$2=""),"",IF(SUMPRODUCT((Aus_Tec=$B8)*(Aus_Ini&lt;=AB$2)*(Aus_Fim&gt;=AB$2)*(Aus_Cod&gt;0))=0,"",IF(SUMPRODUCT((Aus_Tec=$B8)*(Aus_Ini&lt;=AB$2)*(Aus_Fim&gt;=AB$2)*(Aus_Cod&gt;0))&gt;1,"!",IFERROR(INDEX(Aus_Siglas,SUMPRODUCT((Aus_Tec=$B8)*(Aus_Ini&lt;=AB$2)*(Aus_Fim&gt;=AB$2)*Aus_Cod)),"!"))))</f>
        <v/>
      </c>
      <c r="AC8" s="15">
        <f>IF(OR($B8="",AC$2=""),"",IF(SUMPRODUCT((Aus_Tec=$B8)*(Aus_Ini&lt;=AC$2)*(Aus_Fim&gt;=AC$2)*(Aus_Cod&gt;0))=0,"",IF(SUMPRODUCT((Aus_Tec=$B8)*(Aus_Ini&lt;=AC$2)*(Aus_Fim&gt;=AC$2)*(Aus_Cod&gt;0))&gt;1,"!",IFERROR(INDEX(Aus_Siglas,SUMPRODUCT((Aus_Tec=$B8)*(Aus_Ini&lt;=AC$2)*(Aus_Fim&gt;=AC$2)*Aus_Cod)),"!"))))</f>
        <v/>
      </c>
      <c r="AD8" s="15">
        <f>IF(OR($B8="",AD$2=""),"",IF(SUMPRODUCT((Aus_Tec=$B8)*(Aus_Ini&lt;=AD$2)*(Aus_Fim&gt;=AD$2)*(Aus_Cod&gt;0))=0,"",IF(SUMPRODUCT((Aus_Tec=$B8)*(Aus_Ini&lt;=AD$2)*(Aus_Fim&gt;=AD$2)*(Aus_Cod&gt;0))&gt;1,"!",IFERROR(INDEX(Aus_Siglas,SUMPRODUCT((Aus_Tec=$B8)*(Aus_Ini&lt;=AD$2)*(Aus_Fim&gt;=AD$2)*Aus_Cod)),"!"))))</f>
        <v/>
      </c>
      <c r="AE8" s="15">
        <f>IF(OR($B8="",AE$2=""),"",IF(SUMPRODUCT((Aus_Tec=$B8)*(Aus_Ini&lt;=AE$2)*(Aus_Fim&gt;=AE$2)*(Aus_Cod&gt;0))=0,"",IF(SUMPRODUCT((Aus_Tec=$B8)*(Aus_Ini&lt;=AE$2)*(Aus_Fim&gt;=AE$2)*(Aus_Cod&gt;0))&gt;1,"!",IFERROR(INDEX(Aus_Siglas,SUMPRODUCT((Aus_Tec=$B8)*(Aus_Ini&lt;=AE$2)*(Aus_Fim&gt;=AE$2)*Aus_Cod)),"!"))))</f>
        <v/>
      </c>
      <c r="AF8" s="15">
        <f>IF(OR($B8="",AF$2=""),"",IF(SUMPRODUCT((Aus_Tec=$B8)*(Aus_Ini&lt;=AF$2)*(Aus_Fim&gt;=AF$2)*(Aus_Cod&gt;0))=0,"",IF(SUMPRODUCT((Aus_Tec=$B8)*(Aus_Ini&lt;=AF$2)*(Aus_Fim&gt;=AF$2)*(Aus_Cod&gt;0))&gt;1,"!",IFERROR(INDEX(Aus_Siglas,SUMPRODUCT((Aus_Tec=$B8)*(Aus_Ini&lt;=AF$2)*(Aus_Fim&gt;=AF$2)*Aus_Cod)),"!"))))</f>
        <v/>
      </c>
      <c r="AG8" s="15">
        <f>IF(OR($B8="",AG$2=""),"",IF(SUMPRODUCT((Aus_Tec=$B8)*(Aus_Ini&lt;=AG$2)*(Aus_Fim&gt;=AG$2)*(Aus_Cod&gt;0))=0,"",IF(SUMPRODUCT((Aus_Tec=$B8)*(Aus_Ini&lt;=AG$2)*(Aus_Fim&gt;=AG$2)*(Aus_Cod&gt;0))&gt;1,"!",IFERROR(INDEX(Aus_Siglas,SUMPRODUCT((Aus_Tec=$B8)*(Aus_Ini&lt;=AG$2)*(Aus_Fim&gt;=AG$2)*Aus_Cod)),"!"))))</f>
        <v/>
      </c>
      <c r="AH8" s="37">
        <f>IF($B8="","",COUNTIF($C8:$AG8,"F"))</f>
        <v/>
      </c>
      <c r="AI8" s="37">
        <f>IF($B8="","",COUNTIF($C8:$AG8,"D"))</f>
        <v/>
      </c>
      <c r="AJ8" s="37">
        <f>IF($B8="","",COUNTIF($C8:$AG8,"A"))</f>
        <v/>
      </c>
      <c r="AK8" s="37">
        <f>IF($B8="","",SUMPRODUCT(($C8:$AG8&lt;&gt;"")*1))</f>
        <v/>
      </c>
    </row>
    <row r="9">
      <c r="A9" s="33">
        <f>IF('Equipe'!A7="","",'Equipe'!A7)</f>
        <v/>
      </c>
      <c r="B9" s="34">
        <f>IF('Equipe'!B7="","",'Equipe'!B7)</f>
        <v/>
      </c>
      <c r="C9" s="15">
        <f>IF(OR($B9="",C$2=""),"",IF(SUMPRODUCT((Aus_Tec=$B9)*(Aus_Ini&lt;=C$2)*(Aus_Fim&gt;=C$2)*(Aus_Cod&gt;0))=0,"",IF(SUMPRODUCT((Aus_Tec=$B9)*(Aus_Ini&lt;=C$2)*(Aus_Fim&gt;=C$2)*(Aus_Cod&gt;0))&gt;1,"!",IFERROR(INDEX(Aus_Siglas,SUMPRODUCT((Aus_Tec=$B9)*(Aus_Ini&lt;=C$2)*(Aus_Fim&gt;=C$2)*Aus_Cod)),"!"))))</f>
        <v/>
      </c>
      <c r="D9" s="15">
        <f>IF(OR($B9="",D$2=""),"",IF(SUMPRODUCT((Aus_Tec=$B9)*(Aus_Ini&lt;=D$2)*(Aus_Fim&gt;=D$2)*(Aus_Cod&gt;0))=0,"",IF(SUMPRODUCT((Aus_Tec=$B9)*(Aus_Ini&lt;=D$2)*(Aus_Fim&gt;=D$2)*(Aus_Cod&gt;0))&gt;1,"!",IFERROR(INDEX(Aus_Siglas,SUMPRODUCT((Aus_Tec=$B9)*(Aus_Ini&lt;=D$2)*(Aus_Fim&gt;=D$2)*Aus_Cod)),"!"))))</f>
        <v/>
      </c>
      <c r="E9" s="15">
        <f>IF(OR($B9="",E$2=""),"",IF(SUMPRODUCT((Aus_Tec=$B9)*(Aus_Ini&lt;=E$2)*(Aus_Fim&gt;=E$2)*(Aus_Cod&gt;0))=0,"",IF(SUMPRODUCT((Aus_Tec=$B9)*(Aus_Ini&lt;=E$2)*(Aus_Fim&gt;=E$2)*(Aus_Cod&gt;0))&gt;1,"!",IFERROR(INDEX(Aus_Siglas,SUMPRODUCT((Aus_Tec=$B9)*(Aus_Ini&lt;=E$2)*(Aus_Fim&gt;=E$2)*Aus_Cod)),"!"))))</f>
        <v/>
      </c>
      <c r="F9" s="15">
        <f>IF(OR($B9="",F$2=""),"",IF(SUMPRODUCT((Aus_Tec=$B9)*(Aus_Ini&lt;=F$2)*(Aus_Fim&gt;=F$2)*(Aus_Cod&gt;0))=0,"",IF(SUMPRODUCT((Aus_Tec=$B9)*(Aus_Ini&lt;=F$2)*(Aus_Fim&gt;=F$2)*(Aus_Cod&gt;0))&gt;1,"!",IFERROR(INDEX(Aus_Siglas,SUMPRODUCT((Aus_Tec=$B9)*(Aus_Ini&lt;=F$2)*(Aus_Fim&gt;=F$2)*Aus_Cod)),"!"))))</f>
        <v/>
      </c>
      <c r="G9" s="15">
        <f>IF(OR($B9="",G$2=""),"",IF(SUMPRODUCT((Aus_Tec=$B9)*(Aus_Ini&lt;=G$2)*(Aus_Fim&gt;=G$2)*(Aus_Cod&gt;0))=0,"",IF(SUMPRODUCT((Aus_Tec=$B9)*(Aus_Ini&lt;=G$2)*(Aus_Fim&gt;=G$2)*(Aus_Cod&gt;0))&gt;1,"!",IFERROR(INDEX(Aus_Siglas,SUMPRODUCT((Aus_Tec=$B9)*(Aus_Ini&lt;=G$2)*(Aus_Fim&gt;=G$2)*Aus_Cod)),"!"))))</f>
        <v/>
      </c>
      <c r="H9" s="15">
        <f>IF(OR($B9="",H$2=""),"",IF(SUMPRODUCT((Aus_Tec=$B9)*(Aus_Ini&lt;=H$2)*(Aus_Fim&gt;=H$2)*(Aus_Cod&gt;0))=0,"",IF(SUMPRODUCT((Aus_Tec=$B9)*(Aus_Ini&lt;=H$2)*(Aus_Fim&gt;=H$2)*(Aus_Cod&gt;0))&gt;1,"!",IFERROR(INDEX(Aus_Siglas,SUMPRODUCT((Aus_Tec=$B9)*(Aus_Ini&lt;=H$2)*(Aus_Fim&gt;=H$2)*Aus_Cod)),"!"))))</f>
        <v/>
      </c>
      <c r="I9" s="15">
        <f>IF(OR($B9="",I$2=""),"",IF(SUMPRODUCT((Aus_Tec=$B9)*(Aus_Ini&lt;=I$2)*(Aus_Fim&gt;=I$2)*(Aus_Cod&gt;0))=0,"",IF(SUMPRODUCT((Aus_Tec=$B9)*(Aus_Ini&lt;=I$2)*(Aus_Fim&gt;=I$2)*(Aus_Cod&gt;0))&gt;1,"!",IFERROR(INDEX(Aus_Siglas,SUMPRODUCT((Aus_Tec=$B9)*(Aus_Ini&lt;=I$2)*(Aus_Fim&gt;=I$2)*Aus_Cod)),"!"))))</f>
        <v/>
      </c>
      <c r="J9" s="15">
        <f>IF(OR($B9="",J$2=""),"",IF(SUMPRODUCT((Aus_Tec=$B9)*(Aus_Ini&lt;=J$2)*(Aus_Fim&gt;=J$2)*(Aus_Cod&gt;0))=0,"",IF(SUMPRODUCT((Aus_Tec=$B9)*(Aus_Ini&lt;=J$2)*(Aus_Fim&gt;=J$2)*(Aus_Cod&gt;0))&gt;1,"!",IFERROR(INDEX(Aus_Siglas,SUMPRODUCT((Aus_Tec=$B9)*(Aus_Ini&lt;=J$2)*(Aus_Fim&gt;=J$2)*Aus_Cod)),"!"))))</f>
        <v/>
      </c>
      <c r="K9" s="15">
        <f>IF(OR($B9="",K$2=""),"",IF(SUMPRODUCT((Aus_Tec=$B9)*(Aus_Ini&lt;=K$2)*(Aus_Fim&gt;=K$2)*(Aus_Cod&gt;0))=0,"",IF(SUMPRODUCT((Aus_Tec=$B9)*(Aus_Ini&lt;=K$2)*(Aus_Fim&gt;=K$2)*(Aus_Cod&gt;0))&gt;1,"!",IFERROR(INDEX(Aus_Siglas,SUMPRODUCT((Aus_Tec=$B9)*(Aus_Ini&lt;=K$2)*(Aus_Fim&gt;=K$2)*Aus_Cod)),"!"))))</f>
        <v/>
      </c>
      <c r="L9" s="15">
        <f>IF(OR($B9="",L$2=""),"",IF(SUMPRODUCT((Aus_Tec=$B9)*(Aus_Ini&lt;=L$2)*(Aus_Fim&gt;=L$2)*(Aus_Cod&gt;0))=0,"",IF(SUMPRODUCT((Aus_Tec=$B9)*(Aus_Ini&lt;=L$2)*(Aus_Fim&gt;=L$2)*(Aus_Cod&gt;0))&gt;1,"!",IFERROR(INDEX(Aus_Siglas,SUMPRODUCT((Aus_Tec=$B9)*(Aus_Ini&lt;=L$2)*(Aus_Fim&gt;=L$2)*Aus_Cod)),"!"))))</f>
        <v/>
      </c>
      <c r="M9" s="15">
        <f>IF(OR($B9="",M$2=""),"",IF(SUMPRODUCT((Aus_Tec=$B9)*(Aus_Ini&lt;=M$2)*(Aus_Fim&gt;=M$2)*(Aus_Cod&gt;0))=0,"",IF(SUMPRODUCT((Aus_Tec=$B9)*(Aus_Ini&lt;=M$2)*(Aus_Fim&gt;=M$2)*(Aus_Cod&gt;0))&gt;1,"!",IFERROR(INDEX(Aus_Siglas,SUMPRODUCT((Aus_Tec=$B9)*(Aus_Ini&lt;=M$2)*(Aus_Fim&gt;=M$2)*Aus_Cod)),"!"))))</f>
        <v/>
      </c>
      <c r="N9" s="15">
        <f>IF(OR($B9="",N$2=""),"",IF(SUMPRODUCT((Aus_Tec=$B9)*(Aus_Ini&lt;=N$2)*(Aus_Fim&gt;=N$2)*(Aus_Cod&gt;0))=0,"",IF(SUMPRODUCT((Aus_Tec=$B9)*(Aus_Ini&lt;=N$2)*(Aus_Fim&gt;=N$2)*(Aus_Cod&gt;0))&gt;1,"!",IFERROR(INDEX(Aus_Siglas,SUMPRODUCT((Aus_Tec=$B9)*(Aus_Ini&lt;=N$2)*(Aus_Fim&gt;=N$2)*Aus_Cod)),"!"))))</f>
        <v/>
      </c>
      <c r="O9" s="15">
        <f>IF(OR($B9="",O$2=""),"",IF(SUMPRODUCT((Aus_Tec=$B9)*(Aus_Ini&lt;=O$2)*(Aus_Fim&gt;=O$2)*(Aus_Cod&gt;0))=0,"",IF(SUMPRODUCT((Aus_Tec=$B9)*(Aus_Ini&lt;=O$2)*(Aus_Fim&gt;=O$2)*(Aus_Cod&gt;0))&gt;1,"!",IFERROR(INDEX(Aus_Siglas,SUMPRODUCT((Aus_Tec=$B9)*(Aus_Ini&lt;=O$2)*(Aus_Fim&gt;=O$2)*Aus_Cod)),"!"))))</f>
        <v/>
      </c>
      <c r="P9" s="15">
        <f>IF(OR($B9="",P$2=""),"",IF(SUMPRODUCT((Aus_Tec=$B9)*(Aus_Ini&lt;=P$2)*(Aus_Fim&gt;=P$2)*(Aus_Cod&gt;0))=0,"",IF(SUMPRODUCT((Aus_Tec=$B9)*(Aus_Ini&lt;=P$2)*(Aus_Fim&gt;=P$2)*(Aus_Cod&gt;0))&gt;1,"!",IFERROR(INDEX(Aus_Siglas,SUMPRODUCT((Aus_Tec=$B9)*(Aus_Ini&lt;=P$2)*(Aus_Fim&gt;=P$2)*Aus_Cod)),"!"))))</f>
        <v/>
      </c>
      <c r="Q9" s="15">
        <f>IF(OR($B9="",Q$2=""),"",IF(SUMPRODUCT((Aus_Tec=$B9)*(Aus_Ini&lt;=Q$2)*(Aus_Fim&gt;=Q$2)*(Aus_Cod&gt;0))=0,"",IF(SUMPRODUCT((Aus_Tec=$B9)*(Aus_Ini&lt;=Q$2)*(Aus_Fim&gt;=Q$2)*(Aus_Cod&gt;0))&gt;1,"!",IFERROR(INDEX(Aus_Siglas,SUMPRODUCT((Aus_Tec=$B9)*(Aus_Ini&lt;=Q$2)*(Aus_Fim&gt;=Q$2)*Aus_Cod)),"!"))))</f>
        <v/>
      </c>
      <c r="R9" s="15">
        <f>IF(OR($B9="",R$2=""),"",IF(SUMPRODUCT((Aus_Tec=$B9)*(Aus_Ini&lt;=R$2)*(Aus_Fim&gt;=R$2)*(Aus_Cod&gt;0))=0,"",IF(SUMPRODUCT((Aus_Tec=$B9)*(Aus_Ini&lt;=R$2)*(Aus_Fim&gt;=R$2)*(Aus_Cod&gt;0))&gt;1,"!",IFERROR(INDEX(Aus_Siglas,SUMPRODUCT((Aus_Tec=$B9)*(Aus_Ini&lt;=R$2)*(Aus_Fim&gt;=R$2)*Aus_Cod)),"!"))))</f>
        <v/>
      </c>
      <c r="S9" s="15">
        <f>IF(OR($B9="",S$2=""),"",IF(SUMPRODUCT((Aus_Tec=$B9)*(Aus_Ini&lt;=S$2)*(Aus_Fim&gt;=S$2)*(Aus_Cod&gt;0))=0,"",IF(SUMPRODUCT((Aus_Tec=$B9)*(Aus_Ini&lt;=S$2)*(Aus_Fim&gt;=S$2)*(Aus_Cod&gt;0))&gt;1,"!",IFERROR(INDEX(Aus_Siglas,SUMPRODUCT((Aus_Tec=$B9)*(Aus_Ini&lt;=S$2)*(Aus_Fim&gt;=S$2)*Aus_Cod)),"!"))))</f>
        <v/>
      </c>
      <c r="T9" s="15">
        <f>IF(OR($B9="",T$2=""),"",IF(SUMPRODUCT((Aus_Tec=$B9)*(Aus_Ini&lt;=T$2)*(Aus_Fim&gt;=T$2)*(Aus_Cod&gt;0))=0,"",IF(SUMPRODUCT((Aus_Tec=$B9)*(Aus_Ini&lt;=T$2)*(Aus_Fim&gt;=T$2)*(Aus_Cod&gt;0))&gt;1,"!",IFERROR(INDEX(Aus_Siglas,SUMPRODUCT((Aus_Tec=$B9)*(Aus_Ini&lt;=T$2)*(Aus_Fim&gt;=T$2)*Aus_Cod)),"!"))))</f>
        <v/>
      </c>
      <c r="U9" s="15">
        <f>IF(OR($B9="",U$2=""),"",IF(SUMPRODUCT((Aus_Tec=$B9)*(Aus_Ini&lt;=U$2)*(Aus_Fim&gt;=U$2)*(Aus_Cod&gt;0))=0,"",IF(SUMPRODUCT((Aus_Tec=$B9)*(Aus_Ini&lt;=U$2)*(Aus_Fim&gt;=U$2)*(Aus_Cod&gt;0))&gt;1,"!",IFERROR(INDEX(Aus_Siglas,SUMPRODUCT((Aus_Tec=$B9)*(Aus_Ini&lt;=U$2)*(Aus_Fim&gt;=U$2)*Aus_Cod)),"!"))))</f>
        <v/>
      </c>
      <c r="V9" s="15">
        <f>IF(OR($B9="",V$2=""),"",IF(SUMPRODUCT((Aus_Tec=$B9)*(Aus_Ini&lt;=V$2)*(Aus_Fim&gt;=V$2)*(Aus_Cod&gt;0))=0,"",IF(SUMPRODUCT((Aus_Tec=$B9)*(Aus_Ini&lt;=V$2)*(Aus_Fim&gt;=V$2)*(Aus_Cod&gt;0))&gt;1,"!",IFERROR(INDEX(Aus_Siglas,SUMPRODUCT((Aus_Tec=$B9)*(Aus_Ini&lt;=V$2)*(Aus_Fim&gt;=V$2)*Aus_Cod)),"!"))))</f>
        <v/>
      </c>
      <c r="W9" s="15">
        <f>IF(OR($B9="",W$2=""),"",IF(SUMPRODUCT((Aus_Tec=$B9)*(Aus_Ini&lt;=W$2)*(Aus_Fim&gt;=W$2)*(Aus_Cod&gt;0))=0,"",IF(SUMPRODUCT((Aus_Tec=$B9)*(Aus_Ini&lt;=W$2)*(Aus_Fim&gt;=W$2)*(Aus_Cod&gt;0))&gt;1,"!",IFERROR(INDEX(Aus_Siglas,SUMPRODUCT((Aus_Tec=$B9)*(Aus_Ini&lt;=W$2)*(Aus_Fim&gt;=W$2)*Aus_Cod)),"!"))))</f>
        <v/>
      </c>
      <c r="X9" s="15">
        <f>IF(OR($B9="",X$2=""),"",IF(SUMPRODUCT((Aus_Tec=$B9)*(Aus_Ini&lt;=X$2)*(Aus_Fim&gt;=X$2)*(Aus_Cod&gt;0))=0,"",IF(SUMPRODUCT((Aus_Tec=$B9)*(Aus_Ini&lt;=X$2)*(Aus_Fim&gt;=X$2)*(Aus_Cod&gt;0))&gt;1,"!",IFERROR(INDEX(Aus_Siglas,SUMPRODUCT((Aus_Tec=$B9)*(Aus_Ini&lt;=X$2)*(Aus_Fim&gt;=X$2)*Aus_Cod)),"!"))))</f>
        <v/>
      </c>
      <c r="Y9" s="15">
        <f>IF(OR($B9="",Y$2=""),"",IF(SUMPRODUCT((Aus_Tec=$B9)*(Aus_Ini&lt;=Y$2)*(Aus_Fim&gt;=Y$2)*(Aus_Cod&gt;0))=0,"",IF(SUMPRODUCT((Aus_Tec=$B9)*(Aus_Ini&lt;=Y$2)*(Aus_Fim&gt;=Y$2)*(Aus_Cod&gt;0))&gt;1,"!",IFERROR(INDEX(Aus_Siglas,SUMPRODUCT((Aus_Tec=$B9)*(Aus_Ini&lt;=Y$2)*(Aus_Fim&gt;=Y$2)*Aus_Cod)),"!"))))</f>
        <v/>
      </c>
      <c r="Z9" s="15">
        <f>IF(OR($B9="",Z$2=""),"",IF(SUMPRODUCT((Aus_Tec=$B9)*(Aus_Ini&lt;=Z$2)*(Aus_Fim&gt;=Z$2)*(Aus_Cod&gt;0))=0,"",IF(SUMPRODUCT((Aus_Tec=$B9)*(Aus_Ini&lt;=Z$2)*(Aus_Fim&gt;=Z$2)*(Aus_Cod&gt;0))&gt;1,"!",IFERROR(INDEX(Aus_Siglas,SUMPRODUCT((Aus_Tec=$B9)*(Aus_Ini&lt;=Z$2)*(Aus_Fim&gt;=Z$2)*Aus_Cod)),"!"))))</f>
        <v/>
      </c>
      <c r="AA9" s="15">
        <f>IF(OR($B9="",AA$2=""),"",IF(SUMPRODUCT((Aus_Tec=$B9)*(Aus_Ini&lt;=AA$2)*(Aus_Fim&gt;=AA$2)*(Aus_Cod&gt;0))=0,"",IF(SUMPRODUCT((Aus_Tec=$B9)*(Aus_Ini&lt;=AA$2)*(Aus_Fim&gt;=AA$2)*(Aus_Cod&gt;0))&gt;1,"!",IFERROR(INDEX(Aus_Siglas,SUMPRODUCT((Aus_Tec=$B9)*(Aus_Ini&lt;=AA$2)*(Aus_Fim&gt;=AA$2)*Aus_Cod)),"!"))))</f>
        <v/>
      </c>
      <c r="AB9" s="15">
        <f>IF(OR($B9="",AB$2=""),"",IF(SUMPRODUCT((Aus_Tec=$B9)*(Aus_Ini&lt;=AB$2)*(Aus_Fim&gt;=AB$2)*(Aus_Cod&gt;0))=0,"",IF(SUMPRODUCT((Aus_Tec=$B9)*(Aus_Ini&lt;=AB$2)*(Aus_Fim&gt;=AB$2)*(Aus_Cod&gt;0))&gt;1,"!",IFERROR(INDEX(Aus_Siglas,SUMPRODUCT((Aus_Tec=$B9)*(Aus_Ini&lt;=AB$2)*(Aus_Fim&gt;=AB$2)*Aus_Cod)),"!"))))</f>
        <v/>
      </c>
      <c r="AC9" s="15">
        <f>IF(OR($B9="",AC$2=""),"",IF(SUMPRODUCT((Aus_Tec=$B9)*(Aus_Ini&lt;=AC$2)*(Aus_Fim&gt;=AC$2)*(Aus_Cod&gt;0))=0,"",IF(SUMPRODUCT((Aus_Tec=$B9)*(Aus_Ini&lt;=AC$2)*(Aus_Fim&gt;=AC$2)*(Aus_Cod&gt;0))&gt;1,"!",IFERROR(INDEX(Aus_Siglas,SUMPRODUCT((Aus_Tec=$B9)*(Aus_Ini&lt;=AC$2)*(Aus_Fim&gt;=AC$2)*Aus_Cod)),"!"))))</f>
        <v/>
      </c>
      <c r="AD9" s="15">
        <f>IF(OR($B9="",AD$2=""),"",IF(SUMPRODUCT((Aus_Tec=$B9)*(Aus_Ini&lt;=AD$2)*(Aus_Fim&gt;=AD$2)*(Aus_Cod&gt;0))=0,"",IF(SUMPRODUCT((Aus_Tec=$B9)*(Aus_Ini&lt;=AD$2)*(Aus_Fim&gt;=AD$2)*(Aus_Cod&gt;0))&gt;1,"!",IFERROR(INDEX(Aus_Siglas,SUMPRODUCT((Aus_Tec=$B9)*(Aus_Ini&lt;=AD$2)*(Aus_Fim&gt;=AD$2)*Aus_Cod)),"!"))))</f>
        <v/>
      </c>
      <c r="AE9" s="15">
        <f>IF(OR($B9="",AE$2=""),"",IF(SUMPRODUCT((Aus_Tec=$B9)*(Aus_Ini&lt;=AE$2)*(Aus_Fim&gt;=AE$2)*(Aus_Cod&gt;0))=0,"",IF(SUMPRODUCT((Aus_Tec=$B9)*(Aus_Ini&lt;=AE$2)*(Aus_Fim&gt;=AE$2)*(Aus_Cod&gt;0))&gt;1,"!",IFERROR(INDEX(Aus_Siglas,SUMPRODUCT((Aus_Tec=$B9)*(Aus_Ini&lt;=AE$2)*(Aus_Fim&gt;=AE$2)*Aus_Cod)),"!"))))</f>
        <v/>
      </c>
      <c r="AF9" s="15">
        <f>IF(OR($B9="",AF$2=""),"",IF(SUMPRODUCT((Aus_Tec=$B9)*(Aus_Ini&lt;=AF$2)*(Aus_Fim&gt;=AF$2)*(Aus_Cod&gt;0))=0,"",IF(SUMPRODUCT((Aus_Tec=$B9)*(Aus_Ini&lt;=AF$2)*(Aus_Fim&gt;=AF$2)*(Aus_Cod&gt;0))&gt;1,"!",IFERROR(INDEX(Aus_Siglas,SUMPRODUCT((Aus_Tec=$B9)*(Aus_Ini&lt;=AF$2)*(Aus_Fim&gt;=AF$2)*Aus_Cod)),"!"))))</f>
        <v/>
      </c>
      <c r="AG9" s="15">
        <f>IF(OR($B9="",AG$2=""),"",IF(SUMPRODUCT((Aus_Tec=$B9)*(Aus_Ini&lt;=AG$2)*(Aus_Fim&gt;=AG$2)*(Aus_Cod&gt;0))=0,"",IF(SUMPRODUCT((Aus_Tec=$B9)*(Aus_Ini&lt;=AG$2)*(Aus_Fim&gt;=AG$2)*(Aus_Cod&gt;0))&gt;1,"!",IFERROR(INDEX(Aus_Siglas,SUMPRODUCT((Aus_Tec=$B9)*(Aus_Ini&lt;=AG$2)*(Aus_Fim&gt;=AG$2)*Aus_Cod)),"!"))))</f>
        <v/>
      </c>
      <c r="AH9" s="37">
        <f>IF($B9="","",COUNTIF($C9:$AG9,"F"))</f>
        <v/>
      </c>
      <c r="AI9" s="37">
        <f>IF($B9="","",COUNTIF($C9:$AG9,"D"))</f>
        <v/>
      </c>
      <c r="AJ9" s="37">
        <f>IF($B9="","",COUNTIF($C9:$AG9,"A"))</f>
        <v/>
      </c>
      <c r="AK9" s="37">
        <f>IF($B9="","",SUMPRODUCT(($C9:$AG9&lt;&gt;"")*1))</f>
        <v/>
      </c>
    </row>
    <row r="10">
      <c r="A10" s="33">
        <f>IF('Equipe'!A8="","",'Equipe'!A8)</f>
        <v/>
      </c>
      <c r="B10" s="34">
        <f>IF('Equipe'!B8="","",'Equipe'!B8)</f>
        <v/>
      </c>
      <c r="C10" s="15">
        <f>IF(OR($B10="",C$2=""),"",IF(SUMPRODUCT((Aus_Tec=$B10)*(Aus_Ini&lt;=C$2)*(Aus_Fim&gt;=C$2)*(Aus_Cod&gt;0))=0,"",IF(SUMPRODUCT((Aus_Tec=$B10)*(Aus_Ini&lt;=C$2)*(Aus_Fim&gt;=C$2)*(Aus_Cod&gt;0))&gt;1,"!",IFERROR(INDEX(Aus_Siglas,SUMPRODUCT((Aus_Tec=$B10)*(Aus_Ini&lt;=C$2)*(Aus_Fim&gt;=C$2)*Aus_Cod)),"!"))))</f>
        <v/>
      </c>
      <c r="D10" s="15">
        <f>IF(OR($B10="",D$2=""),"",IF(SUMPRODUCT((Aus_Tec=$B10)*(Aus_Ini&lt;=D$2)*(Aus_Fim&gt;=D$2)*(Aus_Cod&gt;0))=0,"",IF(SUMPRODUCT((Aus_Tec=$B10)*(Aus_Ini&lt;=D$2)*(Aus_Fim&gt;=D$2)*(Aus_Cod&gt;0))&gt;1,"!",IFERROR(INDEX(Aus_Siglas,SUMPRODUCT((Aus_Tec=$B10)*(Aus_Ini&lt;=D$2)*(Aus_Fim&gt;=D$2)*Aus_Cod)),"!"))))</f>
        <v/>
      </c>
      <c r="E10" s="15">
        <f>IF(OR($B10="",E$2=""),"",IF(SUMPRODUCT((Aus_Tec=$B10)*(Aus_Ini&lt;=E$2)*(Aus_Fim&gt;=E$2)*(Aus_Cod&gt;0))=0,"",IF(SUMPRODUCT((Aus_Tec=$B10)*(Aus_Ini&lt;=E$2)*(Aus_Fim&gt;=E$2)*(Aus_Cod&gt;0))&gt;1,"!",IFERROR(INDEX(Aus_Siglas,SUMPRODUCT((Aus_Tec=$B10)*(Aus_Ini&lt;=E$2)*(Aus_Fim&gt;=E$2)*Aus_Cod)),"!"))))</f>
        <v/>
      </c>
      <c r="F10" s="15">
        <f>IF(OR($B10="",F$2=""),"",IF(SUMPRODUCT((Aus_Tec=$B10)*(Aus_Ini&lt;=F$2)*(Aus_Fim&gt;=F$2)*(Aus_Cod&gt;0))=0,"",IF(SUMPRODUCT((Aus_Tec=$B10)*(Aus_Ini&lt;=F$2)*(Aus_Fim&gt;=F$2)*(Aus_Cod&gt;0))&gt;1,"!",IFERROR(INDEX(Aus_Siglas,SUMPRODUCT((Aus_Tec=$B10)*(Aus_Ini&lt;=F$2)*(Aus_Fim&gt;=F$2)*Aus_Cod)),"!"))))</f>
        <v/>
      </c>
      <c r="G10" s="15">
        <f>IF(OR($B10="",G$2=""),"",IF(SUMPRODUCT((Aus_Tec=$B10)*(Aus_Ini&lt;=G$2)*(Aus_Fim&gt;=G$2)*(Aus_Cod&gt;0))=0,"",IF(SUMPRODUCT((Aus_Tec=$B10)*(Aus_Ini&lt;=G$2)*(Aus_Fim&gt;=G$2)*(Aus_Cod&gt;0))&gt;1,"!",IFERROR(INDEX(Aus_Siglas,SUMPRODUCT((Aus_Tec=$B10)*(Aus_Ini&lt;=G$2)*(Aus_Fim&gt;=G$2)*Aus_Cod)),"!"))))</f>
        <v/>
      </c>
      <c r="H10" s="15">
        <f>IF(OR($B10="",H$2=""),"",IF(SUMPRODUCT((Aus_Tec=$B10)*(Aus_Ini&lt;=H$2)*(Aus_Fim&gt;=H$2)*(Aus_Cod&gt;0))=0,"",IF(SUMPRODUCT((Aus_Tec=$B10)*(Aus_Ini&lt;=H$2)*(Aus_Fim&gt;=H$2)*(Aus_Cod&gt;0))&gt;1,"!",IFERROR(INDEX(Aus_Siglas,SUMPRODUCT((Aus_Tec=$B10)*(Aus_Ini&lt;=H$2)*(Aus_Fim&gt;=H$2)*Aus_Cod)),"!"))))</f>
        <v/>
      </c>
      <c r="I10" s="15">
        <f>IF(OR($B10="",I$2=""),"",IF(SUMPRODUCT((Aus_Tec=$B10)*(Aus_Ini&lt;=I$2)*(Aus_Fim&gt;=I$2)*(Aus_Cod&gt;0))=0,"",IF(SUMPRODUCT((Aus_Tec=$B10)*(Aus_Ini&lt;=I$2)*(Aus_Fim&gt;=I$2)*(Aus_Cod&gt;0))&gt;1,"!",IFERROR(INDEX(Aus_Siglas,SUMPRODUCT((Aus_Tec=$B10)*(Aus_Ini&lt;=I$2)*(Aus_Fim&gt;=I$2)*Aus_Cod)),"!"))))</f>
        <v/>
      </c>
      <c r="J10" s="15">
        <f>IF(OR($B10="",J$2=""),"",IF(SUMPRODUCT((Aus_Tec=$B10)*(Aus_Ini&lt;=J$2)*(Aus_Fim&gt;=J$2)*(Aus_Cod&gt;0))=0,"",IF(SUMPRODUCT((Aus_Tec=$B10)*(Aus_Ini&lt;=J$2)*(Aus_Fim&gt;=J$2)*(Aus_Cod&gt;0))&gt;1,"!",IFERROR(INDEX(Aus_Siglas,SUMPRODUCT((Aus_Tec=$B10)*(Aus_Ini&lt;=J$2)*(Aus_Fim&gt;=J$2)*Aus_Cod)),"!"))))</f>
        <v/>
      </c>
      <c r="K10" s="15">
        <f>IF(OR($B10="",K$2=""),"",IF(SUMPRODUCT((Aus_Tec=$B10)*(Aus_Ini&lt;=K$2)*(Aus_Fim&gt;=K$2)*(Aus_Cod&gt;0))=0,"",IF(SUMPRODUCT((Aus_Tec=$B10)*(Aus_Ini&lt;=K$2)*(Aus_Fim&gt;=K$2)*(Aus_Cod&gt;0))&gt;1,"!",IFERROR(INDEX(Aus_Siglas,SUMPRODUCT((Aus_Tec=$B10)*(Aus_Ini&lt;=K$2)*(Aus_Fim&gt;=K$2)*Aus_Cod)),"!"))))</f>
        <v/>
      </c>
      <c r="L10" s="15">
        <f>IF(OR($B10="",L$2=""),"",IF(SUMPRODUCT((Aus_Tec=$B10)*(Aus_Ini&lt;=L$2)*(Aus_Fim&gt;=L$2)*(Aus_Cod&gt;0))=0,"",IF(SUMPRODUCT((Aus_Tec=$B10)*(Aus_Ini&lt;=L$2)*(Aus_Fim&gt;=L$2)*(Aus_Cod&gt;0))&gt;1,"!",IFERROR(INDEX(Aus_Siglas,SUMPRODUCT((Aus_Tec=$B10)*(Aus_Ini&lt;=L$2)*(Aus_Fim&gt;=L$2)*Aus_Cod)),"!"))))</f>
        <v/>
      </c>
      <c r="M10" s="15">
        <f>IF(OR($B10="",M$2=""),"",IF(SUMPRODUCT((Aus_Tec=$B10)*(Aus_Ini&lt;=M$2)*(Aus_Fim&gt;=M$2)*(Aus_Cod&gt;0))=0,"",IF(SUMPRODUCT((Aus_Tec=$B10)*(Aus_Ini&lt;=M$2)*(Aus_Fim&gt;=M$2)*(Aus_Cod&gt;0))&gt;1,"!",IFERROR(INDEX(Aus_Siglas,SUMPRODUCT((Aus_Tec=$B10)*(Aus_Ini&lt;=M$2)*(Aus_Fim&gt;=M$2)*Aus_Cod)),"!"))))</f>
        <v/>
      </c>
      <c r="N10" s="15">
        <f>IF(OR($B10="",N$2=""),"",IF(SUMPRODUCT((Aus_Tec=$B10)*(Aus_Ini&lt;=N$2)*(Aus_Fim&gt;=N$2)*(Aus_Cod&gt;0))=0,"",IF(SUMPRODUCT((Aus_Tec=$B10)*(Aus_Ini&lt;=N$2)*(Aus_Fim&gt;=N$2)*(Aus_Cod&gt;0))&gt;1,"!",IFERROR(INDEX(Aus_Siglas,SUMPRODUCT((Aus_Tec=$B10)*(Aus_Ini&lt;=N$2)*(Aus_Fim&gt;=N$2)*Aus_Cod)),"!"))))</f>
        <v/>
      </c>
      <c r="O10" s="15">
        <f>IF(OR($B10="",O$2=""),"",IF(SUMPRODUCT((Aus_Tec=$B10)*(Aus_Ini&lt;=O$2)*(Aus_Fim&gt;=O$2)*(Aus_Cod&gt;0))=0,"",IF(SUMPRODUCT((Aus_Tec=$B10)*(Aus_Ini&lt;=O$2)*(Aus_Fim&gt;=O$2)*(Aus_Cod&gt;0))&gt;1,"!",IFERROR(INDEX(Aus_Siglas,SUMPRODUCT((Aus_Tec=$B10)*(Aus_Ini&lt;=O$2)*(Aus_Fim&gt;=O$2)*Aus_Cod)),"!"))))</f>
        <v/>
      </c>
      <c r="P10" s="15">
        <f>IF(OR($B10="",P$2=""),"",IF(SUMPRODUCT((Aus_Tec=$B10)*(Aus_Ini&lt;=P$2)*(Aus_Fim&gt;=P$2)*(Aus_Cod&gt;0))=0,"",IF(SUMPRODUCT((Aus_Tec=$B10)*(Aus_Ini&lt;=P$2)*(Aus_Fim&gt;=P$2)*(Aus_Cod&gt;0))&gt;1,"!",IFERROR(INDEX(Aus_Siglas,SUMPRODUCT((Aus_Tec=$B10)*(Aus_Ini&lt;=P$2)*(Aus_Fim&gt;=P$2)*Aus_Cod)),"!"))))</f>
        <v/>
      </c>
      <c r="Q10" s="15">
        <f>IF(OR($B10="",Q$2=""),"",IF(SUMPRODUCT((Aus_Tec=$B10)*(Aus_Ini&lt;=Q$2)*(Aus_Fim&gt;=Q$2)*(Aus_Cod&gt;0))=0,"",IF(SUMPRODUCT((Aus_Tec=$B10)*(Aus_Ini&lt;=Q$2)*(Aus_Fim&gt;=Q$2)*(Aus_Cod&gt;0))&gt;1,"!",IFERROR(INDEX(Aus_Siglas,SUMPRODUCT((Aus_Tec=$B10)*(Aus_Ini&lt;=Q$2)*(Aus_Fim&gt;=Q$2)*Aus_Cod)),"!"))))</f>
        <v/>
      </c>
      <c r="R10" s="15">
        <f>IF(OR($B10="",R$2=""),"",IF(SUMPRODUCT((Aus_Tec=$B10)*(Aus_Ini&lt;=R$2)*(Aus_Fim&gt;=R$2)*(Aus_Cod&gt;0))=0,"",IF(SUMPRODUCT((Aus_Tec=$B10)*(Aus_Ini&lt;=R$2)*(Aus_Fim&gt;=R$2)*(Aus_Cod&gt;0))&gt;1,"!",IFERROR(INDEX(Aus_Siglas,SUMPRODUCT((Aus_Tec=$B10)*(Aus_Ini&lt;=R$2)*(Aus_Fim&gt;=R$2)*Aus_Cod)),"!"))))</f>
        <v/>
      </c>
      <c r="S10" s="15">
        <f>IF(OR($B10="",S$2=""),"",IF(SUMPRODUCT((Aus_Tec=$B10)*(Aus_Ini&lt;=S$2)*(Aus_Fim&gt;=S$2)*(Aus_Cod&gt;0))=0,"",IF(SUMPRODUCT((Aus_Tec=$B10)*(Aus_Ini&lt;=S$2)*(Aus_Fim&gt;=S$2)*(Aus_Cod&gt;0))&gt;1,"!",IFERROR(INDEX(Aus_Siglas,SUMPRODUCT((Aus_Tec=$B10)*(Aus_Ini&lt;=S$2)*(Aus_Fim&gt;=S$2)*Aus_Cod)),"!"))))</f>
        <v/>
      </c>
      <c r="T10" s="15">
        <f>IF(OR($B10="",T$2=""),"",IF(SUMPRODUCT((Aus_Tec=$B10)*(Aus_Ini&lt;=T$2)*(Aus_Fim&gt;=T$2)*(Aus_Cod&gt;0))=0,"",IF(SUMPRODUCT((Aus_Tec=$B10)*(Aus_Ini&lt;=T$2)*(Aus_Fim&gt;=T$2)*(Aus_Cod&gt;0))&gt;1,"!",IFERROR(INDEX(Aus_Siglas,SUMPRODUCT((Aus_Tec=$B10)*(Aus_Ini&lt;=T$2)*(Aus_Fim&gt;=T$2)*Aus_Cod)),"!"))))</f>
        <v/>
      </c>
      <c r="U10" s="15">
        <f>IF(OR($B10="",U$2=""),"",IF(SUMPRODUCT((Aus_Tec=$B10)*(Aus_Ini&lt;=U$2)*(Aus_Fim&gt;=U$2)*(Aus_Cod&gt;0))=0,"",IF(SUMPRODUCT((Aus_Tec=$B10)*(Aus_Ini&lt;=U$2)*(Aus_Fim&gt;=U$2)*(Aus_Cod&gt;0))&gt;1,"!",IFERROR(INDEX(Aus_Siglas,SUMPRODUCT((Aus_Tec=$B10)*(Aus_Ini&lt;=U$2)*(Aus_Fim&gt;=U$2)*Aus_Cod)),"!"))))</f>
        <v/>
      </c>
      <c r="V10" s="15">
        <f>IF(OR($B10="",V$2=""),"",IF(SUMPRODUCT((Aus_Tec=$B10)*(Aus_Ini&lt;=V$2)*(Aus_Fim&gt;=V$2)*(Aus_Cod&gt;0))=0,"",IF(SUMPRODUCT((Aus_Tec=$B10)*(Aus_Ini&lt;=V$2)*(Aus_Fim&gt;=V$2)*(Aus_Cod&gt;0))&gt;1,"!",IFERROR(INDEX(Aus_Siglas,SUMPRODUCT((Aus_Tec=$B10)*(Aus_Ini&lt;=V$2)*(Aus_Fim&gt;=V$2)*Aus_Cod)),"!"))))</f>
        <v/>
      </c>
      <c r="W10" s="15">
        <f>IF(OR($B10="",W$2=""),"",IF(SUMPRODUCT((Aus_Tec=$B10)*(Aus_Ini&lt;=W$2)*(Aus_Fim&gt;=W$2)*(Aus_Cod&gt;0))=0,"",IF(SUMPRODUCT((Aus_Tec=$B10)*(Aus_Ini&lt;=W$2)*(Aus_Fim&gt;=W$2)*(Aus_Cod&gt;0))&gt;1,"!",IFERROR(INDEX(Aus_Siglas,SUMPRODUCT((Aus_Tec=$B10)*(Aus_Ini&lt;=W$2)*(Aus_Fim&gt;=W$2)*Aus_Cod)),"!"))))</f>
        <v/>
      </c>
      <c r="X10" s="15">
        <f>IF(OR($B10="",X$2=""),"",IF(SUMPRODUCT((Aus_Tec=$B10)*(Aus_Ini&lt;=X$2)*(Aus_Fim&gt;=X$2)*(Aus_Cod&gt;0))=0,"",IF(SUMPRODUCT((Aus_Tec=$B10)*(Aus_Ini&lt;=X$2)*(Aus_Fim&gt;=X$2)*(Aus_Cod&gt;0))&gt;1,"!",IFERROR(INDEX(Aus_Siglas,SUMPRODUCT((Aus_Tec=$B10)*(Aus_Ini&lt;=X$2)*(Aus_Fim&gt;=X$2)*Aus_Cod)),"!"))))</f>
        <v/>
      </c>
      <c r="Y10" s="15">
        <f>IF(OR($B10="",Y$2=""),"",IF(SUMPRODUCT((Aus_Tec=$B10)*(Aus_Ini&lt;=Y$2)*(Aus_Fim&gt;=Y$2)*(Aus_Cod&gt;0))=0,"",IF(SUMPRODUCT((Aus_Tec=$B10)*(Aus_Ini&lt;=Y$2)*(Aus_Fim&gt;=Y$2)*(Aus_Cod&gt;0))&gt;1,"!",IFERROR(INDEX(Aus_Siglas,SUMPRODUCT((Aus_Tec=$B10)*(Aus_Ini&lt;=Y$2)*(Aus_Fim&gt;=Y$2)*Aus_Cod)),"!"))))</f>
        <v/>
      </c>
      <c r="Z10" s="15">
        <f>IF(OR($B10="",Z$2=""),"",IF(SUMPRODUCT((Aus_Tec=$B10)*(Aus_Ini&lt;=Z$2)*(Aus_Fim&gt;=Z$2)*(Aus_Cod&gt;0))=0,"",IF(SUMPRODUCT((Aus_Tec=$B10)*(Aus_Ini&lt;=Z$2)*(Aus_Fim&gt;=Z$2)*(Aus_Cod&gt;0))&gt;1,"!",IFERROR(INDEX(Aus_Siglas,SUMPRODUCT((Aus_Tec=$B10)*(Aus_Ini&lt;=Z$2)*(Aus_Fim&gt;=Z$2)*Aus_Cod)),"!"))))</f>
        <v/>
      </c>
      <c r="AA10" s="15">
        <f>IF(OR($B10="",AA$2=""),"",IF(SUMPRODUCT((Aus_Tec=$B10)*(Aus_Ini&lt;=AA$2)*(Aus_Fim&gt;=AA$2)*(Aus_Cod&gt;0))=0,"",IF(SUMPRODUCT((Aus_Tec=$B10)*(Aus_Ini&lt;=AA$2)*(Aus_Fim&gt;=AA$2)*(Aus_Cod&gt;0))&gt;1,"!",IFERROR(INDEX(Aus_Siglas,SUMPRODUCT((Aus_Tec=$B10)*(Aus_Ini&lt;=AA$2)*(Aus_Fim&gt;=AA$2)*Aus_Cod)),"!"))))</f>
        <v/>
      </c>
      <c r="AB10" s="15">
        <f>IF(OR($B10="",AB$2=""),"",IF(SUMPRODUCT((Aus_Tec=$B10)*(Aus_Ini&lt;=AB$2)*(Aus_Fim&gt;=AB$2)*(Aus_Cod&gt;0))=0,"",IF(SUMPRODUCT((Aus_Tec=$B10)*(Aus_Ini&lt;=AB$2)*(Aus_Fim&gt;=AB$2)*(Aus_Cod&gt;0))&gt;1,"!",IFERROR(INDEX(Aus_Siglas,SUMPRODUCT((Aus_Tec=$B10)*(Aus_Ini&lt;=AB$2)*(Aus_Fim&gt;=AB$2)*Aus_Cod)),"!"))))</f>
        <v/>
      </c>
      <c r="AC10" s="15">
        <f>IF(OR($B10="",AC$2=""),"",IF(SUMPRODUCT((Aus_Tec=$B10)*(Aus_Ini&lt;=AC$2)*(Aus_Fim&gt;=AC$2)*(Aus_Cod&gt;0))=0,"",IF(SUMPRODUCT((Aus_Tec=$B10)*(Aus_Ini&lt;=AC$2)*(Aus_Fim&gt;=AC$2)*(Aus_Cod&gt;0))&gt;1,"!",IFERROR(INDEX(Aus_Siglas,SUMPRODUCT((Aus_Tec=$B10)*(Aus_Ini&lt;=AC$2)*(Aus_Fim&gt;=AC$2)*Aus_Cod)),"!"))))</f>
        <v/>
      </c>
      <c r="AD10" s="15">
        <f>IF(OR($B10="",AD$2=""),"",IF(SUMPRODUCT((Aus_Tec=$B10)*(Aus_Ini&lt;=AD$2)*(Aus_Fim&gt;=AD$2)*(Aus_Cod&gt;0))=0,"",IF(SUMPRODUCT((Aus_Tec=$B10)*(Aus_Ini&lt;=AD$2)*(Aus_Fim&gt;=AD$2)*(Aus_Cod&gt;0))&gt;1,"!",IFERROR(INDEX(Aus_Siglas,SUMPRODUCT((Aus_Tec=$B10)*(Aus_Ini&lt;=AD$2)*(Aus_Fim&gt;=AD$2)*Aus_Cod)),"!"))))</f>
        <v/>
      </c>
      <c r="AE10" s="15">
        <f>IF(OR($B10="",AE$2=""),"",IF(SUMPRODUCT((Aus_Tec=$B10)*(Aus_Ini&lt;=AE$2)*(Aus_Fim&gt;=AE$2)*(Aus_Cod&gt;0))=0,"",IF(SUMPRODUCT((Aus_Tec=$B10)*(Aus_Ini&lt;=AE$2)*(Aus_Fim&gt;=AE$2)*(Aus_Cod&gt;0))&gt;1,"!",IFERROR(INDEX(Aus_Siglas,SUMPRODUCT((Aus_Tec=$B10)*(Aus_Ini&lt;=AE$2)*(Aus_Fim&gt;=AE$2)*Aus_Cod)),"!"))))</f>
        <v/>
      </c>
      <c r="AF10" s="15">
        <f>IF(OR($B10="",AF$2=""),"",IF(SUMPRODUCT((Aus_Tec=$B10)*(Aus_Ini&lt;=AF$2)*(Aus_Fim&gt;=AF$2)*(Aus_Cod&gt;0))=0,"",IF(SUMPRODUCT((Aus_Tec=$B10)*(Aus_Ini&lt;=AF$2)*(Aus_Fim&gt;=AF$2)*(Aus_Cod&gt;0))&gt;1,"!",IFERROR(INDEX(Aus_Siglas,SUMPRODUCT((Aus_Tec=$B10)*(Aus_Ini&lt;=AF$2)*(Aus_Fim&gt;=AF$2)*Aus_Cod)),"!"))))</f>
        <v/>
      </c>
      <c r="AG10" s="15">
        <f>IF(OR($B10="",AG$2=""),"",IF(SUMPRODUCT((Aus_Tec=$B10)*(Aus_Ini&lt;=AG$2)*(Aus_Fim&gt;=AG$2)*(Aus_Cod&gt;0))=0,"",IF(SUMPRODUCT((Aus_Tec=$B10)*(Aus_Ini&lt;=AG$2)*(Aus_Fim&gt;=AG$2)*(Aus_Cod&gt;0))&gt;1,"!",IFERROR(INDEX(Aus_Siglas,SUMPRODUCT((Aus_Tec=$B10)*(Aus_Ini&lt;=AG$2)*(Aus_Fim&gt;=AG$2)*Aus_Cod)),"!"))))</f>
        <v/>
      </c>
      <c r="AH10" s="37">
        <f>IF($B10="","",COUNTIF($C10:$AG10,"F"))</f>
        <v/>
      </c>
      <c r="AI10" s="37">
        <f>IF($B10="","",COUNTIF($C10:$AG10,"D"))</f>
        <v/>
      </c>
      <c r="AJ10" s="37">
        <f>IF($B10="","",COUNTIF($C10:$AG10,"A"))</f>
        <v/>
      </c>
      <c r="AK10" s="37">
        <f>IF($B10="","",SUMPRODUCT(($C10:$AG10&lt;&gt;"")*1))</f>
        <v/>
      </c>
    </row>
    <row r="11">
      <c r="A11" s="33">
        <f>IF('Equipe'!A9="","",'Equipe'!A9)</f>
        <v/>
      </c>
      <c r="B11" s="34">
        <f>IF('Equipe'!B9="","",'Equipe'!B9)</f>
        <v/>
      </c>
      <c r="C11" s="15">
        <f>IF(OR($B11="",C$2=""),"",IF(SUMPRODUCT((Aus_Tec=$B11)*(Aus_Ini&lt;=C$2)*(Aus_Fim&gt;=C$2)*(Aus_Cod&gt;0))=0,"",IF(SUMPRODUCT((Aus_Tec=$B11)*(Aus_Ini&lt;=C$2)*(Aus_Fim&gt;=C$2)*(Aus_Cod&gt;0))&gt;1,"!",IFERROR(INDEX(Aus_Siglas,SUMPRODUCT((Aus_Tec=$B11)*(Aus_Ini&lt;=C$2)*(Aus_Fim&gt;=C$2)*Aus_Cod)),"!"))))</f>
        <v/>
      </c>
      <c r="D11" s="15">
        <f>IF(OR($B11="",D$2=""),"",IF(SUMPRODUCT((Aus_Tec=$B11)*(Aus_Ini&lt;=D$2)*(Aus_Fim&gt;=D$2)*(Aus_Cod&gt;0))=0,"",IF(SUMPRODUCT((Aus_Tec=$B11)*(Aus_Ini&lt;=D$2)*(Aus_Fim&gt;=D$2)*(Aus_Cod&gt;0))&gt;1,"!",IFERROR(INDEX(Aus_Siglas,SUMPRODUCT((Aus_Tec=$B11)*(Aus_Ini&lt;=D$2)*(Aus_Fim&gt;=D$2)*Aus_Cod)),"!"))))</f>
        <v/>
      </c>
      <c r="E11" s="15">
        <f>IF(OR($B11="",E$2=""),"",IF(SUMPRODUCT((Aus_Tec=$B11)*(Aus_Ini&lt;=E$2)*(Aus_Fim&gt;=E$2)*(Aus_Cod&gt;0))=0,"",IF(SUMPRODUCT((Aus_Tec=$B11)*(Aus_Ini&lt;=E$2)*(Aus_Fim&gt;=E$2)*(Aus_Cod&gt;0))&gt;1,"!",IFERROR(INDEX(Aus_Siglas,SUMPRODUCT((Aus_Tec=$B11)*(Aus_Ini&lt;=E$2)*(Aus_Fim&gt;=E$2)*Aus_Cod)),"!"))))</f>
        <v/>
      </c>
      <c r="F11" s="15">
        <f>IF(OR($B11="",F$2=""),"",IF(SUMPRODUCT((Aus_Tec=$B11)*(Aus_Ini&lt;=F$2)*(Aus_Fim&gt;=F$2)*(Aus_Cod&gt;0))=0,"",IF(SUMPRODUCT((Aus_Tec=$B11)*(Aus_Ini&lt;=F$2)*(Aus_Fim&gt;=F$2)*(Aus_Cod&gt;0))&gt;1,"!",IFERROR(INDEX(Aus_Siglas,SUMPRODUCT((Aus_Tec=$B11)*(Aus_Ini&lt;=F$2)*(Aus_Fim&gt;=F$2)*Aus_Cod)),"!"))))</f>
        <v/>
      </c>
      <c r="G11" s="15">
        <f>IF(OR($B11="",G$2=""),"",IF(SUMPRODUCT((Aus_Tec=$B11)*(Aus_Ini&lt;=G$2)*(Aus_Fim&gt;=G$2)*(Aus_Cod&gt;0))=0,"",IF(SUMPRODUCT((Aus_Tec=$B11)*(Aus_Ini&lt;=G$2)*(Aus_Fim&gt;=G$2)*(Aus_Cod&gt;0))&gt;1,"!",IFERROR(INDEX(Aus_Siglas,SUMPRODUCT((Aus_Tec=$B11)*(Aus_Ini&lt;=G$2)*(Aus_Fim&gt;=G$2)*Aus_Cod)),"!"))))</f>
        <v/>
      </c>
      <c r="H11" s="15">
        <f>IF(OR($B11="",H$2=""),"",IF(SUMPRODUCT((Aus_Tec=$B11)*(Aus_Ini&lt;=H$2)*(Aus_Fim&gt;=H$2)*(Aus_Cod&gt;0))=0,"",IF(SUMPRODUCT((Aus_Tec=$B11)*(Aus_Ini&lt;=H$2)*(Aus_Fim&gt;=H$2)*(Aus_Cod&gt;0))&gt;1,"!",IFERROR(INDEX(Aus_Siglas,SUMPRODUCT((Aus_Tec=$B11)*(Aus_Ini&lt;=H$2)*(Aus_Fim&gt;=H$2)*Aus_Cod)),"!"))))</f>
        <v/>
      </c>
      <c r="I11" s="15">
        <f>IF(OR($B11="",I$2=""),"",IF(SUMPRODUCT((Aus_Tec=$B11)*(Aus_Ini&lt;=I$2)*(Aus_Fim&gt;=I$2)*(Aus_Cod&gt;0))=0,"",IF(SUMPRODUCT((Aus_Tec=$B11)*(Aus_Ini&lt;=I$2)*(Aus_Fim&gt;=I$2)*(Aus_Cod&gt;0))&gt;1,"!",IFERROR(INDEX(Aus_Siglas,SUMPRODUCT((Aus_Tec=$B11)*(Aus_Ini&lt;=I$2)*(Aus_Fim&gt;=I$2)*Aus_Cod)),"!"))))</f>
        <v/>
      </c>
      <c r="J11" s="15">
        <f>IF(OR($B11="",J$2=""),"",IF(SUMPRODUCT((Aus_Tec=$B11)*(Aus_Ini&lt;=J$2)*(Aus_Fim&gt;=J$2)*(Aus_Cod&gt;0))=0,"",IF(SUMPRODUCT((Aus_Tec=$B11)*(Aus_Ini&lt;=J$2)*(Aus_Fim&gt;=J$2)*(Aus_Cod&gt;0))&gt;1,"!",IFERROR(INDEX(Aus_Siglas,SUMPRODUCT((Aus_Tec=$B11)*(Aus_Ini&lt;=J$2)*(Aus_Fim&gt;=J$2)*Aus_Cod)),"!"))))</f>
        <v/>
      </c>
      <c r="K11" s="15">
        <f>IF(OR($B11="",K$2=""),"",IF(SUMPRODUCT((Aus_Tec=$B11)*(Aus_Ini&lt;=K$2)*(Aus_Fim&gt;=K$2)*(Aus_Cod&gt;0))=0,"",IF(SUMPRODUCT((Aus_Tec=$B11)*(Aus_Ini&lt;=K$2)*(Aus_Fim&gt;=K$2)*(Aus_Cod&gt;0))&gt;1,"!",IFERROR(INDEX(Aus_Siglas,SUMPRODUCT((Aus_Tec=$B11)*(Aus_Ini&lt;=K$2)*(Aus_Fim&gt;=K$2)*Aus_Cod)),"!"))))</f>
        <v/>
      </c>
      <c r="L11" s="15">
        <f>IF(OR($B11="",L$2=""),"",IF(SUMPRODUCT((Aus_Tec=$B11)*(Aus_Ini&lt;=L$2)*(Aus_Fim&gt;=L$2)*(Aus_Cod&gt;0))=0,"",IF(SUMPRODUCT((Aus_Tec=$B11)*(Aus_Ini&lt;=L$2)*(Aus_Fim&gt;=L$2)*(Aus_Cod&gt;0))&gt;1,"!",IFERROR(INDEX(Aus_Siglas,SUMPRODUCT((Aus_Tec=$B11)*(Aus_Ini&lt;=L$2)*(Aus_Fim&gt;=L$2)*Aus_Cod)),"!"))))</f>
        <v/>
      </c>
      <c r="M11" s="15">
        <f>IF(OR($B11="",M$2=""),"",IF(SUMPRODUCT((Aus_Tec=$B11)*(Aus_Ini&lt;=M$2)*(Aus_Fim&gt;=M$2)*(Aus_Cod&gt;0))=0,"",IF(SUMPRODUCT((Aus_Tec=$B11)*(Aus_Ini&lt;=M$2)*(Aus_Fim&gt;=M$2)*(Aus_Cod&gt;0))&gt;1,"!",IFERROR(INDEX(Aus_Siglas,SUMPRODUCT((Aus_Tec=$B11)*(Aus_Ini&lt;=M$2)*(Aus_Fim&gt;=M$2)*Aus_Cod)),"!"))))</f>
        <v/>
      </c>
      <c r="N11" s="15">
        <f>IF(OR($B11="",N$2=""),"",IF(SUMPRODUCT((Aus_Tec=$B11)*(Aus_Ini&lt;=N$2)*(Aus_Fim&gt;=N$2)*(Aus_Cod&gt;0))=0,"",IF(SUMPRODUCT((Aus_Tec=$B11)*(Aus_Ini&lt;=N$2)*(Aus_Fim&gt;=N$2)*(Aus_Cod&gt;0))&gt;1,"!",IFERROR(INDEX(Aus_Siglas,SUMPRODUCT((Aus_Tec=$B11)*(Aus_Ini&lt;=N$2)*(Aus_Fim&gt;=N$2)*Aus_Cod)),"!"))))</f>
        <v/>
      </c>
      <c r="O11" s="15">
        <f>IF(OR($B11="",O$2=""),"",IF(SUMPRODUCT((Aus_Tec=$B11)*(Aus_Ini&lt;=O$2)*(Aus_Fim&gt;=O$2)*(Aus_Cod&gt;0))=0,"",IF(SUMPRODUCT((Aus_Tec=$B11)*(Aus_Ini&lt;=O$2)*(Aus_Fim&gt;=O$2)*(Aus_Cod&gt;0))&gt;1,"!",IFERROR(INDEX(Aus_Siglas,SUMPRODUCT((Aus_Tec=$B11)*(Aus_Ini&lt;=O$2)*(Aus_Fim&gt;=O$2)*Aus_Cod)),"!"))))</f>
        <v/>
      </c>
      <c r="P11" s="15">
        <f>IF(OR($B11="",P$2=""),"",IF(SUMPRODUCT((Aus_Tec=$B11)*(Aus_Ini&lt;=P$2)*(Aus_Fim&gt;=P$2)*(Aus_Cod&gt;0))=0,"",IF(SUMPRODUCT((Aus_Tec=$B11)*(Aus_Ini&lt;=P$2)*(Aus_Fim&gt;=P$2)*(Aus_Cod&gt;0))&gt;1,"!",IFERROR(INDEX(Aus_Siglas,SUMPRODUCT((Aus_Tec=$B11)*(Aus_Ini&lt;=P$2)*(Aus_Fim&gt;=P$2)*Aus_Cod)),"!"))))</f>
        <v/>
      </c>
      <c r="Q11" s="15">
        <f>IF(OR($B11="",Q$2=""),"",IF(SUMPRODUCT((Aus_Tec=$B11)*(Aus_Ini&lt;=Q$2)*(Aus_Fim&gt;=Q$2)*(Aus_Cod&gt;0))=0,"",IF(SUMPRODUCT((Aus_Tec=$B11)*(Aus_Ini&lt;=Q$2)*(Aus_Fim&gt;=Q$2)*(Aus_Cod&gt;0))&gt;1,"!",IFERROR(INDEX(Aus_Siglas,SUMPRODUCT((Aus_Tec=$B11)*(Aus_Ini&lt;=Q$2)*(Aus_Fim&gt;=Q$2)*Aus_Cod)),"!"))))</f>
        <v/>
      </c>
      <c r="R11" s="15">
        <f>IF(OR($B11="",R$2=""),"",IF(SUMPRODUCT((Aus_Tec=$B11)*(Aus_Ini&lt;=R$2)*(Aus_Fim&gt;=R$2)*(Aus_Cod&gt;0))=0,"",IF(SUMPRODUCT((Aus_Tec=$B11)*(Aus_Ini&lt;=R$2)*(Aus_Fim&gt;=R$2)*(Aus_Cod&gt;0))&gt;1,"!",IFERROR(INDEX(Aus_Siglas,SUMPRODUCT((Aus_Tec=$B11)*(Aus_Ini&lt;=R$2)*(Aus_Fim&gt;=R$2)*Aus_Cod)),"!"))))</f>
        <v/>
      </c>
      <c r="S11" s="15">
        <f>IF(OR($B11="",S$2=""),"",IF(SUMPRODUCT((Aus_Tec=$B11)*(Aus_Ini&lt;=S$2)*(Aus_Fim&gt;=S$2)*(Aus_Cod&gt;0))=0,"",IF(SUMPRODUCT((Aus_Tec=$B11)*(Aus_Ini&lt;=S$2)*(Aus_Fim&gt;=S$2)*(Aus_Cod&gt;0))&gt;1,"!",IFERROR(INDEX(Aus_Siglas,SUMPRODUCT((Aus_Tec=$B11)*(Aus_Ini&lt;=S$2)*(Aus_Fim&gt;=S$2)*Aus_Cod)),"!"))))</f>
        <v/>
      </c>
      <c r="T11" s="15">
        <f>IF(OR($B11="",T$2=""),"",IF(SUMPRODUCT((Aus_Tec=$B11)*(Aus_Ini&lt;=T$2)*(Aus_Fim&gt;=T$2)*(Aus_Cod&gt;0))=0,"",IF(SUMPRODUCT((Aus_Tec=$B11)*(Aus_Ini&lt;=T$2)*(Aus_Fim&gt;=T$2)*(Aus_Cod&gt;0))&gt;1,"!",IFERROR(INDEX(Aus_Siglas,SUMPRODUCT((Aus_Tec=$B11)*(Aus_Ini&lt;=T$2)*(Aus_Fim&gt;=T$2)*Aus_Cod)),"!"))))</f>
        <v/>
      </c>
      <c r="U11" s="15">
        <f>IF(OR($B11="",U$2=""),"",IF(SUMPRODUCT((Aus_Tec=$B11)*(Aus_Ini&lt;=U$2)*(Aus_Fim&gt;=U$2)*(Aus_Cod&gt;0))=0,"",IF(SUMPRODUCT((Aus_Tec=$B11)*(Aus_Ini&lt;=U$2)*(Aus_Fim&gt;=U$2)*(Aus_Cod&gt;0))&gt;1,"!",IFERROR(INDEX(Aus_Siglas,SUMPRODUCT((Aus_Tec=$B11)*(Aus_Ini&lt;=U$2)*(Aus_Fim&gt;=U$2)*Aus_Cod)),"!"))))</f>
        <v/>
      </c>
      <c r="V11" s="15">
        <f>IF(OR($B11="",V$2=""),"",IF(SUMPRODUCT((Aus_Tec=$B11)*(Aus_Ini&lt;=V$2)*(Aus_Fim&gt;=V$2)*(Aus_Cod&gt;0))=0,"",IF(SUMPRODUCT((Aus_Tec=$B11)*(Aus_Ini&lt;=V$2)*(Aus_Fim&gt;=V$2)*(Aus_Cod&gt;0))&gt;1,"!",IFERROR(INDEX(Aus_Siglas,SUMPRODUCT((Aus_Tec=$B11)*(Aus_Ini&lt;=V$2)*(Aus_Fim&gt;=V$2)*Aus_Cod)),"!"))))</f>
        <v/>
      </c>
      <c r="W11" s="15">
        <f>IF(OR($B11="",W$2=""),"",IF(SUMPRODUCT((Aus_Tec=$B11)*(Aus_Ini&lt;=W$2)*(Aus_Fim&gt;=W$2)*(Aus_Cod&gt;0))=0,"",IF(SUMPRODUCT((Aus_Tec=$B11)*(Aus_Ini&lt;=W$2)*(Aus_Fim&gt;=W$2)*(Aus_Cod&gt;0))&gt;1,"!",IFERROR(INDEX(Aus_Siglas,SUMPRODUCT((Aus_Tec=$B11)*(Aus_Ini&lt;=W$2)*(Aus_Fim&gt;=W$2)*Aus_Cod)),"!"))))</f>
        <v/>
      </c>
      <c r="X11" s="15">
        <f>IF(OR($B11="",X$2=""),"",IF(SUMPRODUCT((Aus_Tec=$B11)*(Aus_Ini&lt;=X$2)*(Aus_Fim&gt;=X$2)*(Aus_Cod&gt;0))=0,"",IF(SUMPRODUCT((Aus_Tec=$B11)*(Aus_Ini&lt;=X$2)*(Aus_Fim&gt;=X$2)*(Aus_Cod&gt;0))&gt;1,"!",IFERROR(INDEX(Aus_Siglas,SUMPRODUCT((Aus_Tec=$B11)*(Aus_Ini&lt;=X$2)*(Aus_Fim&gt;=X$2)*Aus_Cod)),"!"))))</f>
        <v/>
      </c>
      <c r="Y11" s="15">
        <f>IF(OR($B11="",Y$2=""),"",IF(SUMPRODUCT((Aus_Tec=$B11)*(Aus_Ini&lt;=Y$2)*(Aus_Fim&gt;=Y$2)*(Aus_Cod&gt;0))=0,"",IF(SUMPRODUCT((Aus_Tec=$B11)*(Aus_Ini&lt;=Y$2)*(Aus_Fim&gt;=Y$2)*(Aus_Cod&gt;0))&gt;1,"!",IFERROR(INDEX(Aus_Siglas,SUMPRODUCT((Aus_Tec=$B11)*(Aus_Ini&lt;=Y$2)*(Aus_Fim&gt;=Y$2)*Aus_Cod)),"!"))))</f>
        <v/>
      </c>
      <c r="Z11" s="15">
        <f>IF(OR($B11="",Z$2=""),"",IF(SUMPRODUCT((Aus_Tec=$B11)*(Aus_Ini&lt;=Z$2)*(Aus_Fim&gt;=Z$2)*(Aus_Cod&gt;0))=0,"",IF(SUMPRODUCT((Aus_Tec=$B11)*(Aus_Ini&lt;=Z$2)*(Aus_Fim&gt;=Z$2)*(Aus_Cod&gt;0))&gt;1,"!",IFERROR(INDEX(Aus_Siglas,SUMPRODUCT((Aus_Tec=$B11)*(Aus_Ini&lt;=Z$2)*(Aus_Fim&gt;=Z$2)*Aus_Cod)),"!"))))</f>
        <v/>
      </c>
      <c r="AA11" s="15">
        <f>IF(OR($B11="",AA$2=""),"",IF(SUMPRODUCT((Aus_Tec=$B11)*(Aus_Ini&lt;=AA$2)*(Aus_Fim&gt;=AA$2)*(Aus_Cod&gt;0))=0,"",IF(SUMPRODUCT((Aus_Tec=$B11)*(Aus_Ini&lt;=AA$2)*(Aus_Fim&gt;=AA$2)*(Aus_Cod&gt;0))&gt;1,"!",IFERROR(INDEX(Aus_Siglas,SUMPRODUCT((Aus_Tec=$B11)*(Aus_Ini&lt;=AA$2)*(Aus_Fim&gt;=AA$2)*Aus_Cod)),"!"))))</f>
        <v/>
      </c>
      <c r="AB11" s="15">
        <f>IF(OR($B11="",AB$2=""),"",IF(SUMPRODUCT((Aus_Tec=$B11)*(Aus_Ini&lt;=AB$2)*(Aus_Fim&gt;=AB$2)*(Aus_Cod&gt;0))=0,"",IF(SUMPRODUCT((Aus_Tec=$B11)*(Aus_Ini&lt;=AB$2)*(Aus_Fim&gt;=AB$2)*(Aus_Cod&gt;0))&gt;1,"!",IFERROR(INDEX(Aus_Siglas,SUMPRODUCT((Aus_Tec=$B11)*(Aus_Ini&lt;=AB$2)*(Aus_Fim&gt;=AB$2)*Aus_Cod)),"!"))))</f>
        <v/>
      </c>
      <c r="AC11" s="15">
        <f>IF(OR($B11="",AC$2=""),"",IF(SUMPRODUCT((Aus_Tec=$B11)*(Aus_Ini&lt;=AC$2)*(Aus_Fim&gt;=AC$2)*(Aus_Cod&gt;0))=0,"",IF(SUMPRODUCT((Aus_Tec=$B11)*(Aus_Ini&lt;=AC$2)*(Aus_Fim&gt;=AC$2)*(Aus_Cod&gt;0))&gt;1,"!",IFERROR(INDEX(Aus_Siglas,SUMPRODUCT((Aus_Tec=$B11)*(Aus_Ini&lt;=AC$2)*(Aus_Fim&gt;=AC$2)*Aus_Cod)),"!"))))</f>
        <v/>
      </c>
      <c r="AD11" s="15">
        <f>IF(OR($B11="",AD$2=""),"",IF(SUMPRODUCT((Aus_Tec=$B11)*(Aus_Ini&lt;=AD$2)*(Aus_Fim&gt;=AD$2)*(Aus_Cod&gt;0))=0,"",IF(SUMPRODUCT((Aus_Tec=$B11)*(Aus_Ini&lt;=AD$2)*(Aus_Fim&gt;=AD$2)*(Aus_Cod&gt;0))&gt;1,"!",IFERROR(INDEX(Aus_Siglas,SUMPRODUCT((Aus_Tec=$B11)*(Aus_Ini&lt;=AD$2)*(Aus_Fim&gt;=AD$2)*Aus_Cod)),"!"))))</f>
        <v/>
      </c>
      <c r="AE11" s="15">
        <f>IF(OR($B11="",AE$2=""),"",IF(SUMPRODUCT((Aus_Tec=$B11)*(Aus_Ini&lt;=AE$2)*(Aus_Fim&gt;=AE$2)*(Aus_Cod&gt;0))=0,"",IF(SUMPRODUCT((Aus_Tec=$B11)*(Aus_Ini&lt;=AE$2)*(Aus_Fim&gt;=AE$2)*(Aus_Cod&gt;0))&gt;1,"!",IFERROR(INDEX(Aus_Siglas,SUMPRODUCT((Aus_Tec=$B11)*(Aus_Ini&lt;=AE$2)*(Aus_Fim&gt;=AE$2)*Aus_Cod)),"!"))))</f>
        <v/>
      </c>
      <c r="AF11" s="15">
        <f>IF(OR($B11="",AF$2=""),"",IF(SUMPRODUCT((Aus_Tec=$B11)*(Aus_Ini&lt;=AF$2)*(Aus_Fim&gt;=AF$2)*(Aus_Cod&gt;0))=0,"",IF(SUMPRODUCT((Aus_Tec=$B11)*(Aus_Ini&lt;=AF$2)*(Aus_Fim&gt;=AF$2)*(Aus_Cod&gt;0))&gt;1,"!",IFERROR(INDEX(Aus_Siglas,SUMPRODUCT((Aus_Tec=$B11)*(Aus_Ini&lt;=AF$2)*(Aus_Fim&gt;=AF$2)*Aus_Cod)),"!"))))</f>
        <v/>
      </c>
      <c r="AG11" s="15">
        <f>IF(OR($B11="",AG$2=""),"",IF(SUMPRODUCT((Aus_Tec=$B11)*(Aus_Ini&lt;=AG$2)*(Aus_Fim&gt;=AG$2)*(Aus_Cod&gt;0))=0,"",IF(SUMPRODUCT((Aus_Tec=$B11)*(Aus_Ini&lt;=AG$2)*(Aus_Fim&gt;=AG$2)*(Aus_Cod&gt;0))&gt;1,"!",IFERROR(INDEX(Aus_Siglas,SUMPRODUCT((Aus_Tec=$B11)*(Aus_Ini&lt;=AG$2)*(Aus_Fim&gt;=AG$2)*Aus_Cod)),"!"))))</f>
        <v/>
      </c>
      <c r="AH11" s="37">
        <f>IF($B11="","",COUNTIF($C11:$AG11,"F"))</f>
        <v/>
      </c>
      <c r="AI11" s="37">
        <f>IF($B11="","",COUNTIF($C11:$AG11,"D"))</f>
        <v/>
      </c>
      <c r="AJ11" s="37">
        <f>IF($B11="","",COUNTIF($C11:$AG11,"A"))</f>
        <v/>
      </c>
      <c r="AK11" s="37">
        <f>IF($B11="","",SUMPRODUCT(($C11:$AG11&lt;&gt;"")*1))</f>
        <v/>
      </c>
    </row>
    <row r="12">
      <c r="A12" s="33">
        <f>IF('Equipe'!A10="","",'Equipe'!A10)</f>
        <v/>
      </c>
      <c r="B12" s="34">
        <f>IF('Equipe'!B10="","",'Equipe'!B10)</f>
        <v/>
      </c>
      <c r="C12" s="15">
        <f>IF(OR($B12="",C$2=""),"",IF(SUMPRODUCT((Aus_Tec=$B12)*(Aus_Ini&lt;=C$2)*(Aus_Fim&gt;=C$2)*(Aus_Cod&gt;0))=0,"",IF(SUMPRODUCT((Aus_Tec=$B12)*(Aus_Ini&lt;=C$2)*(Aus_Fim&gt;=C$2)*(Aus_Cod&gt;0))&gt;1,"!",IFERROR(INDEX(Aus_Siglas,SUMPRODUCT((Aus_Tec=$B12)*(Aus_Ini&lt;=C$2)*(Aus_Fim&gt;=C$2)*Aus_Cod)),"!"))))</f>
        <v/>
      </c>
      <c r="D12" s="15">
        <f>IF(OR($B12="",D$2=""),"",IF(SUMPRODUCT((Aus_Tec=$B12)*(Aus_Ini&lt;=D$2)*(Aus_Fim&gt;=D$2)*(Aus_Cod&gt;0))=0,"",IF(SUMPRODUCT((Aus_Tec=$B12)*(Aus_Ini&lt;=D$2)*(Aus_Fim&gt;=D$2)*(Aus_Cod&gt;0))&gt;1,"!",IFERROR(INDEX(Aus_Siglas,SUMPRODUCT((Aus_Tec=$B12)*(Aus_Ini&lt;=D$2)*(Aus_Fim&gt;=D$2)*Aus_Cod)),"!"))))</f>
        <v/>
      </c>
      <c r="E12" s="15">
        <f>IF(OR($B12="",E$2=""),"",IF(SUMPRODUCT((Aus_Tec=$B12)*(Aus_Ini&lt;=E$2)*(Aus_Fim&gt;=E$2)*(Aus_Cod&gt;0))=0,"",IF(SUMPRODUCT((Aus_Tec=$B12)*(Aus_Ini&lt;=E$2)*(Aus_Fim&gt;=E$2)*(Aus_Cod&gt;0))&gt;1,"!",IFERROR(INDEX(Aus_Siglas,SUMPRODUCT((Aus_Tec=$B12)*(Aus_Ini&lt;=E$2)*(Aus_Fim&gt;=E$2)*Aus_Cod)),"!"))))</f>
        <v/>
      </c>
      <c r="F12" s="15">
        <f>IF(OR($B12="",F$2=""),"",IF(SUMPRODUCT((Aus_Tec=$B12)*(Aus_Ini&lt;=F$2)*(Aus_Fim&gt;=F$2)*(Aus_Cod&gt;0))=0,"",IF(SUMPRODUCT((Aus_Tec=$B12)*(Aus_Ini&lt;=F$2)*(Aus_Fim&gt;=F$2)*(Aus_Cod&gt;0))&gt;1,"!",IFERROR(INDEX(Aus_Siglas,SUMPRODUCT((Aus_Tec=$B12)*(Aus_Ini&lt;=F$2)*(Aus_Fim&gt;=F$2)*Aus_Cod)),"!"))))</f>
        <v/>
      </c>
      <c r="G12" s="15">
        <f>IF(OR($B12="",G$2=""),"",IF(SUMPRODUCT((Aus_Tec=$B12)*(Aus_Ini&lt;=G$2)*(Aus_Fim&gt;=G$2)*(Aus_Cod&gt;0))=0,"",IF(SUMPRODUCT((Aus_Tec=$B12)*(Aus_Ini&lt;=G$2)*(Aus_Fim&gt;=G$2)*(Aus_Cod&gt;0))&gt;1,"!",IFERROR(INDEX(Aus_Siglas,SUMPRODUCT((Aus_Tec=$B12)*(Aus_Ini&lt;=G$2)*(Aus_Fim&gt;=G$2)*Aus_Cod)),"!"))))</f>
        <v/>
      </c>
      <c r="H12" s="15">
        <f>IF(OR($B12="",H$2=""),"",IF(SUMPRODUCT((Aus_Tec=$B12)*(Aus_Ini&lt;=H$2)*(Aus_Fim&gt;=H$2)*(Aus_Cod&gt;0))=0,"",IF(SUMPRODUCT((Aus_Tec=$B12)*(Aus_Ini&lt;=H$2)*(Aus_Fim&gt;=H$2)*(Aus_Cod&gt;0))&gt;1,"!",IFERROR(INDEX(Aus_Siglas,SUMPRODUCT((Aus_Tec=$B12)*(Aus_Ini&lt;=H$2)*(Aus_Fim&gt;=H$2)*Aus_Cod)),"!"))))</f>
        <v/>
      </c>
      <c r="I12" s="15">
        <f>IF(OR($B12="",I$2=""),"",IF(SUMPRODUCT((Aus_Tec=$B12)*(Aus_Ini&lt;=I$2)*(Aus_Fim&gt;=I$2)*(Aus_Cod&gt;0))=0,"",IF(SUMPRODUCT((Aus_Tec=$B12)*(Aus_Ini&lt;=I$2)*(Aus_Fim&gt;=I$2)*(Aus_Cod&gt;0))&gt;1,"!",IFERROR(INDEX(Aus_Siglas,SUMPRODUCT((Aus_Tec=$B12)*(Aus_Ini&lt;=I$2)*(Aus_Fim&gt;=I$2)*Aus_Cod)),"!"))))</f>
        <v/>
      </c>
      <c r="J12" s="15">
        <f>IF(OR($B12="",J$2=""),"",IF(SUMPRODUCT((Aus_Tec=$B12)*(Aus_Ini&lt;=J$2)*(Aus_Fim&gt;=J$2)*(Aus_Cod&gt;0))=0,"",IF(SUMPRODUCT((Aus_Tec=$B12)*(Aus_Ini&lt;=J$2)*(Aus_Fim&gt;=J$2)*(Aus_Cod&gt;0))&gt;1,"!",IFERROR(INDEX(Aus_Siglas,SUMPRODUCT((Aus_Tec=$B12)*(Aus_Ini&lt;=J$2)*(Aus_Fim&gt;=J$2)*Aus_Cod)),"!"))))</f>
        <v/>
      </c>
      <c r="K12" s="15">
        <f>IF(OR($B12="",K$2=""),"",IF(SUMPRODUCT((Aus_Tec=$B12)*(Aus_Ini&lt;=K$2)*(Aus_Fim&gt;=K$2)*(Aus_Cod&gt;0))=0,"",IF(SUMPRODUCT((Aus_Tec=$B12)*(Aus_Ini&lt;=K$2)*(Aus_Fim&gt;=K$2)*(Aus_Cod&gt;0))&gt;1,"!",IFERROR(INDEX(Aus_Siglas,SUMPRODUCT((Aus_Tec=$B12)*(Aus_Ini&lt;=K$2)*(Aus_Fim&gt;=K$2)*Aus_Cod)),"!"))))</f>
        <v/>
      </c>
      <c r="L12" s="15">
        <f>IF(OR($B12="",L$2=""),"",IF(SUMPRODUCT((Aus_Tec=$B12)*(Aus_Ini&lt;=L$2)*(Aus_Fim&gt;=L$2)*(Aus_Cod&gt;0))=0,"",IF(SUMPRODUCT((Aus_Tec=$B12)*(Aus_Ini&lt;=L$2)*(Aus_Fim&gt;=L$2)*(Aus_Cod&gt;0))&gt;1,"!",IFERROR(INDEX(Aus_Siglas,SUMPRODUCT((Aus_Tec=$B12)*(Aus_Ini&lt;=L$2)*(Aus_Fim&gt;=L$2)*Aus_Cod)),"!"))))</f>
        <v/>
      </c>
      <c r="M12" s="15">
        <f>IF(OR($B12="",M$2=""),"",IF(SUMPRODUCT((Aus_Tec=$B12)*(Aus_Ini&lt;=M$2)*(Aus_Fim&gt;=M$2)*(Aus_Cod&gt;0))=0,"",IF(SUMPRODUCT((Aus_Tec=$B12)*(Aus_Ini&lt;=M$2)*(Aus_Fim&gt;=M$2)*(Aus_Cod&gt;0))&gt;1,"!",IFERROR(INDEX(Aus_Siglas,SUMPRODUCT((Aus_Tec=$B12)*(Aus_Ini&lt;=M$2)*(Aus_Fim&gt;=M$2)*Aus_Cod)),"!"))))</f>
        <v/>
      </c>
      <c r="N12" s="15">
        <f>IF(OR($B12="",N$2=""),"",IF(SUMPRODUCT((Aus_Tec=$B12)*(Aus_Ini&lt;=N$2)*(Aus_Fim&gt;=N$2)*(Aus_Cod&gt;0))=0,"",IF(SUMPRODUCT((Aus_Tec=$B12)*(Aus_Ini&lt;=N$2)*(Aus_Fim&gt;=N$2)*(Aus_Cod&gt;0))&gt;1,"!",IFERROR(INDEX(Aus_Siglas,SUMPRODUCT((Aus_Tec=$B12)*(Aus_Ini&lt;=N$2)*(Aus_Fim&gt;=N$2)*Aus_Cod)),"!"))))</f>
        <v/>
      </c>
      <c r="O12" s="15">
        <f>IF(OR($B12="",O$2=""),"",IF(SUMPRODUCT((Aus_Tec=$B12)*(Aus_Ini&lt;=O$2)*(Aus_Fim&gt;=O$2)*(Aus_Cod&gt;0))=0,"",IF(SUMPRODUCT((Aus_Tec=$B12)*(Aus_Ini&lt;=O$2)*(Aus_Fim&gt;=O$2)*(Aus_Cod&gt;0))&gt;1,"!",IFERROR(INDEX(Aus_Siglas,SUMPRODUCT((Aus_Tec=$B12)*(Aus_Ini&lt;=O$2)*(Aus_Fim&gt;=O$2)*Aus_Cod)),"!"))))</f>
        <v/>
      </c>
      <c r="P12" s="15">
        <f>IF(OR($B12="",P$2=""),"",IF(SUMPRODUCT((Aus_Tec=$B12)*(Aus_Ini&lt;=P$2)*(Aus_Fim&gt;=P$2)*(Aus_Cod&gt;0))=0,"",IF(SUMPRODUCT((Aus_Tec=$B12)*(Aus_Ini&lt;=P$2)*(Aus_Fim&gt;=P$2)*(Aus_Cod&gt;0))&gt;1,"!",IFERROR(INDEX(Aus_Siglas,SUMPRODUCT((Aus_Tec=$B12)*(Aus_Ini&lt;=P$2)*(Aus_Fim&gt;=P$2)*Aus_Cod)),"!"))))</f>
        <v/>
      </c>
      <c r="Q12" s="15">
        <f>IF(OR($B12="",Q$2=""),"",IF(SUMPRODUCT((Aus_Tec=$B12)*(Aus_Ini&lt;=Q$2)*(Aus_Fim&gt;=Q$2)*(Aus_Cod&gt;0))=0,"",IF(SUMPRODUCT((Aus_Tec=$B12)*(Aus_Ini&lt;=Q$2)*(Aus_Fim&gt;=Q$2)*(Aus_Cod&gt;0))&gt;1,"!",IFERROR(INDEX(Aus_Siglas,SUMPRODUCT((Aus_Tec=$B12)*(Aus_Ini&lt;=Q$2)*(Aus_Fim&gt;=Q$2)*Aus_Cod)),"!"))))</f>
        <v/>
      </c>
      <c r="R12" s="15">
        <f>IF(OR($B12="",R$2=""),"",IF(SUMPRODUCT((Aus_Tec=$B12)*(Aus_Ini&lt;=R$2)*(Aus_Fim&gt;=R$2)*(Aus_Cod&gt;0))=0,"",IF(SUMPRODUCT((Aus_Tec=$B12)*(Aus_Ini&lt;=R$2)*(Aus_Fim&gt;=R$2)*(Aus_Cod&gt;0))&gt;1,"!",IFERROR(INDEX(Aus_Siglas,SUMPRODUCT((Aus_Tec=$B12)*(Aus_Ini&lt;=R$2)*(Aus_Fim&gt;=R$2)*Aus_Cod)),"!"))))</f>
        <v/>
      </c>
      <c r="S12" s="15">
        <f>IF(OR($B12="",S$2=""),"",IF(SUMPRODUCT((Aus_Tec=$B12)*(Aus_Ini&lt;=S$2)*(Aus_Fim&gt;=S$2)*(Aus_Cod&gt;0))=0,"",IF(SUMPRODUCT((Aus_Tec=$B12)*(Aus_Ini&lt;=S$2)*(Aus_Fim&gt;=S$2)*(Aus_Cod&gt;0))&gt;1,"!",IFERROR(INDEX(Aus_Siglas,SUMPRODUCT((Aus_Tec=$B12)*(Aus_Ini&lt;=S$2)*(Aus_Fim&gt;=S$2)*Aus_Cod)),"!"))))</f>
        <v/>
      </c>
      <c r="T12" s="15">
        <f>IF(OR($B12="",T$2=""),"",IF(SUMPRODUCT((Aus_Tec=$B12)*(Aus_Ini&lt;=T$2)*(Aus_Fim&gt;=T$2)*(Aus_Cod&gt;0))=0,"",IF(SUMPRODUCT((Aus_Tec=$B12)*(Aus_Ini&lt;=T$2)*(Aus_Fim&gt;=T$2)*(Aus_Cod&gt;0))&gt;1,"!",IFERROR(INDEX(Aus_Siglas,SUMPRODUCT((Aus_Tec=$B12)*(Aus_Ini&lt;=T$2)*(Aus_Fim&gt;=T$2)*Aus_Cod)),"!"))))</f>
        <v/>
      </c>
      <c r="U12" s="15">
        <f>IF(OR($B12="",U$2=""),"",IF(SUMPRODUCT((Aus_Tec=$B12)*(Aus_Ini&lt;=U$2)*(Aus_Fim&gt;=U$2)*(Aus_Cod&gt;0))=0,"",IF(SUMPRODUCT((Aus_Tec=$B12)*(Aus_Ini&lt;=U$2)*(Aus_Fim&gt;=U$2)*(Aus_Cod&gt;0))&gt;1,"!",IFERROR(INDEX(Aus_Siglas,SUMPRODUCT((Aus_Tec=$B12)*(Aus_Ini&lt;=U$2)*(Aus_Fim&gt;=U$2)*Aus_Cod)),"!"))))</f>
        <v/>
      </c>
      <c r="V12" s="15">
        <f>IF(OR($B12="",V$2=""),"",IF(SUMPRODUCT((Aus_Tec=$B12)*(Aus_Ini&lt;=V$2)*(Aus_Fim&gt;=V$2)*(Aus_Cod&gt;0))=0,"",IF(SUMPRODUCT((Aus_Tec=$B12)*(Aus_Ini&lt;=V$2)*(Aus_Fim&gt;=V$2)*(Aus_Cod&gt;0))&gt;1,"!",IFERROR(INDEX(Aus_Siglas,SUMPRODUCT((Aus_Tec=$B12)*(Aus_Ini&lt;=V$2)*(Aus_Fim&gt;=V$2)*Aus_Cod)),"!"))))</f>
        <v/>
      </c>
      <c r="W12" s="15">
        <f>IF(OR($B12="",W$2=""),"",IF(SUMPRODUCT((Aus_Tec=$B12)*(Aus_Ini&lt;=W$2)*(Aus_Fim&gt;=W$2)*(Aus_Cod&gt;0))=0,"",IF(SUMPRODUCT((Aus_Tec=$B12)*(Aus_Ini&lt;=W$2)*(Aus_Fim&gt;=W$2)*(Aus_Cod&gt;0))&gt;1,"!",IFERROR(INDEX(Aus_Siglas,SUMPRODUCT((Aus_Tec=$B12)*(Aus_Ini&lt;=W$2)*(Aus_Fim&gt;=W$2)*Aus_Cod)),"!"))))</f>
        <v/>
      </c>
      <c r="X12" s="15">
        <f>IF(OR($B12="",X$2=""),"",IF(SUMPRODUCT((Aus_Tec=$B12)*(Aus_Ini&lt;=X$2)*(Aus_Fim&gt;=X$2)*(Aus_Cod&gt;0))=0,"",IF(SUMPRODUCT((Aus_Tec=$B12)*(Aus_Ini&lt;=X$2)*(Aus_Fim&gt;=X$2)*(Aus_Cod&gt;0))&gt;1,"!",IFERROR(INDEX(Aus_Siglas,SUMPRODUCT((Aus_Tec=$B12)*(Aus_Ini&lt;=X$2)*(Aus_Fim&gt;=X$2)*Aus_Cod)),"!"))))</f>
        <v/>
      </c>
      <c r="Y12" s="15">
        <f>IF(OR($B12="",Y$2=""),"",IF(SUMPRODUCT((Aus_Tec=$B12)*(Aus_Ini&lt;=Y$2)*(Aus_Fim&gt;=Y$2)*(Aus_Cod&gt;0))=0,"",IF(SUMPRODUCT((Aus_Tec=$B12)*(Aus_Ini&lt;=Y$2)*(Aus_Fim&gt;=Y$2)*(Aus_Cod&gt;0))&gt;1,"!",IFERROR(INDEX(Aus_Siglas,SUMPRODUCT((Aus_Tec=$B12)*(Aus_Ini&lt;=Y$2)*(Aus_Fim&gt;=Y$2)*Aus_Cod)),"!"))))</f>
        <v/>
      </c>
      <c r="Z12" s="15">
        <f>IF(OR($B12="",Z$2=""),"",IF(SUMPRODUCT((Aus_Tec=$B12)*(Aus_Ini&lt;=Z$2)*(Aus_Fim&gt;=Z$2)*(Aus_Cod&gt;0))=0,"",IF(SUMPRODUCT((Aus_Tec=$B12)*(Aus_Ini&lt;=Z$2)*(Aus_Fim&gt;=Z$2)*(Aus_Cod&gt;0))&gt;1,"!",IFERROR(INDEX(Aus_Siglas,SUMPRODUCT((Aus_Tec=$B12)*(Aus_Ini&lt;=Z$2)*(Aus_Fim&gt;=Z$2)*Aus_Cod)),"!"))))</f>
        <v/>
      </c>
      <c r="AA12" s="15">
        <f>IF(OR($B12="",AA$2=""),"",IF(SUMPRODUCT((Aus_Tec=$B12)*(Aus_Ini&lt;=AA$2)*(Aus_Fim&gt;=AA$2)*(Aus_Cod&gt;0))=0,"",IF(SUMPRODUCT((Aus_Tec=$B12)*(Aus_Ini&lt;=AA$2)*(Aus_Fim&gt;=AA$2)*(Aus_Cod&gt;0))&gt;1,"!",IFERROR(INDEX(Aus_Siglas,SUMPRODUCT((Aus_Tec=$B12)*(Aus_Ini&lt;=AA$2)*(Aus_Fim&gt;=AA$2)*Aus_Cod)),"!"))))</f>
        <v/>
      </c>
      <c r="AB12" s="15">
        <f>IF(OR($B12="",AB$2=""),"",IF(SUMPRODUCT((Aus_Tec=$B12)*(Aus_Ini&lt;=AB$2)*(Aus_Fim&gt;=AB$2)*(Aus_Cod&gt;0))=0,"",IF(SUMPRODUCT((Aus_Tec=$B12)*(Aus_Ini&lt;=AB$2)*(Aus_Fim&gt;=AB$2)*(Aus_Cod&gt;0))&gt;1,"!",IFERROR(INDEX(Aus_Siglas,SUMPRODUCT((Aus_Tec=$B12)*(Aus_Ini&lt;=AB$2)*(Aus_Fim&gt;=AB$2)*Aus_Cod)),"!"))))</f>
        <v/>
      </c>
      <c r="AC12" s="15">
        <f>IF(OR($B12="",AC$2=""),"",IF(SUMPRODUCT((Aus_Tec=$B12)*(Aus_Ini&lt;=AC$2)*(Aus_Fim&gt;=AC$2)*(Aus_Cod&gt;0))=0,"",IF(SUMPRODUCT((Aus_Tec=$B12)*(Aus_Ini&lt;=AC$2)*(Aus_Fim&gt;=AC$2)*(Aus_Cod&gt;0))&gt;1,"!",IFERROR(INDEX(Aus_Siglas,SUMPRODUCT((Aus_Tec=$B12)*(Aus_Ini&lt;=AC$2)*(Aus_Fim&gt;=AC$2)*Aus_Cod)),"!"))))</f>
        <v/>
      </c>
      <c r="AD12" s="15">
        <f>IF(OR($B12="",AD$2=""),"",IF(SUMPRODUCT((Aus_Tec=$B12)*(Aus_Ini&lt;=AD$2)*(Aus_Fim&gt;=AD$2)*(Aus_Cod&gt;0))=0,"",IF(SUMPRODUCT((Aus_Tec=$B12)*(Aus_Ini&lt;=AD$2)*(Aus_Fim&gt;=AD$2)*(Aus_Cod&gt;0))&gt;1,"!",IFERROR(INDEX(Aus_Siglas,SUMPRODUCT((Aus_Tec=$B12)*(Aus_Ini&lt;=AD$2)*(Aus_Fim&gt;=AD$2)*Aus_Cod)),"!"))))</f>
        <v/>
      </c>
      <c r="AE12" s="15">
        <f>IF(OR($B12="",AE$2=""),"",IF(SUMPRODUCT((Aus_Tec=$B12)*(Aus_Ini&lt;=AE$2)*(Aus_Fim&gt;=AE$2)*(Aus_Cod&gt;0))=0,"",IF(SUMPRODUCT((Aus_Tec=$B12)*(Aus_Ini&lt;=AE$2)*(Aus_Fim&gt;=AE$2)*(Aus_Cod&gt;0))&gt;1,"!",IFERROR(INDEX(Aus_Siglas,SUMPRODUCT((Aus_Tec=$B12)*(Aus_Ini&lt;=AE$2)*(Aus_Fim&gt;=AE$2)*Aus_Cod)),"!"))))</f>
        <v/>
      </c>
      <c r="AF12" s="15">
        <f>IF(OR($B12="",AF$2=""),"",IF(SUMPRODUCT((Aus_Tec=$B12)*(Aus_Ini&lt;=AF$2)*(Aus_Fim&gt;=AF$2)*(Aus_Cod&gt;0))=0,"",IF(SUMPRODUCT((Aus_Tec=$B12)*(Aus_Ini&lt;=AF$2)*(Aus_Fim&gt;=AF$2)*(Aus_Cod&gt;0))&gt;1,"!",IFERROR(INDEX(Aus_Siglas,SUMPRODUCT((Aus_Tec=$B12)*(Aus_Ini&lt;=AF$2)*(Aus_Fim&gt;=AF$2)*Aus_Cod)),"!"))))</f>
        <v/>
      </c>
      <c r="AG12" s="15">
        <f>IF(OR($B12="",AG$2=""),"",IF(SUMPRODUCT((Aus_Tec=$B12)*(Aus_Ini&lt;=AG$2)*(Aus_Fim&gt;=AG$2)*(Aus_Cod&gt;0))=0,"",IF(SUMPRODUCT((Aus_Tec=$B12)*(Aus_Ini&lt;=AG$2)*(Aus_Fim&gt;=AG$2)*(Aus_Cod&gt;0))&gt;1,"!",IFERROR(INDEX(Aus_Siglas,SUMPRODUCT((Aus_Tec=$B12)*(Aus_Ini&lt;=AG$2)*(Aus_Fim&gt;=AG$2)*Aus_Cod)),"!"))))</f>
        <v/>
      </c>
      <c r="AH12" s="37">
        <f>IF($B12="","",COUNTIF($C12:$AG12,"F"))</f>
        <v/>
      </c>
      <c r="AI12" s="37">
        <f>IF($B12="","",COUNTIF($C12:$AG12,"D"))</f>
        <v/>
      </c>
      <c r="AJ12" s="37">
        <f>IF($B12="","",COUNTIF($C12:$AG12,"A"))</f>
        <v/>
      </c>
      <c r="AK12" s="37">
        <f>IF($B12="","",SUMPRODUCT(($C12:$AG12&lt;&gt;"")*1))</f>
        <v/>
      </c>
    </row>
    <row r="13">
      <c r="A13" s="33">
        <f>IF('Equipe'!A11="","",'Equipe'!A11)</f>
        <v/>
      </c>
      <c r="B13" s="34">
        <f>IF('Equipe'!B11="","",'Equipe'!B11)</f>
        <v/>
      </c>
      <c r="C13" s="15">
        <f>IF(OR($B13="",C$2=""),"",IF(SUMPRODUCT((Aus_Tec=$B13)*(Aus_Ini&lt;=C$2)*(Aus_Fim&gt;=C$2)*(Aus_Cod&gt;0))=0,"",IF(SUMPRODUCT((Aus_Tec=$B13)*(Aus_Ini&lt;=C$2)*(Aus_Fim&gt;=C$2)*(Aus_Cod&gt;0))&gt;1,"!",IFERROR(INDEX(Aus_Siglas,SUMPRODUCT((Aus_Tec=$B13)*(Aus_Ini&lt;=C$2)*(Aus_Fim&gt;=C$2)*Aus_Cod)),"!"))))</f>
        <v/>
      </c>
      <c r="D13" s="15">
        <f>IF(OR($B13="",D$2=""),"",IF(SUMPRODUCT((Aus_Tec=$B13)*(Aus_Ini&lt;=D$2)*(Aus_Fim&gt;=D$2)*(Aus_Cod&gt;0))=0,"",IF(SUMPRODUCT((Aus_Tec=$B13)*(Aus_Ini&lt;=D$2)*(Aus_Fim&gt;=D$2)*(Aus_Cod&gt;0))&gt;1,"!",IFERROR(INDEX(Aus_Siglas,SUMPRODUCT((Aus_Tec=$B13)*(Aus_Ini&lt;=D$2)*(Aus_Fim&gt;=D$2)*Aus_Cod)),"!"))))</f>
        <v/>
      </c>
      <c r="E13" s="15">
        <f>IF(OR($B13="",E$2=""),"",IF(SUMPRODUCT((Aus_Tec=$B13)*(Aus_Ini&lt;=E$2)*(Aus_Fim&gt;=E$2)*(Aus_Cod&gt;0))=0,"",IF(SUMPRODUCT((Aus_Tec=$B13)*(Aus_Ini&lt;=E$2)*(Aus_Fim&gt;=E$2)*(Aus_Cod&gt;0))&gt;1,"!",IFERROR(INDEX(Aus_Siglas,SUMPRODUCT((Aus_Tec=$B13)*(Aus_Ini&lt;=E$2)*(Aus_Fim&gt;=E$2)*Aus_Cod)),"!"))))</f>
        <v/>
      </c>
      <c r="F13" s="15">
        <f>IF(OR($B13="",F$2=""),"",IF(SUMPRODUCT((Aus_Tec=$B13)*(Aus_Ini&lt;=F$2)*(Aus_Fim&gt;=F$2)*(Aus_Cod&gt;0))=0,"",IF(SUMPRODUCT((Aus_Tec=$B13)*(Aus_Ini&lt;=F$2)*(Aus_Fim&gt;=F$2)*(Aus_Cod&gt;0))&gt;1,"!",IFERROR(INDEX(Aus_Siglas,SUMPRODUCT((Aus_Tec=$B13)*(Aus_Ini&lt;=F$2)*(Aus_Fim&gt;=F$2)*Aus_Cod)),"!"))))</f>
        <v/>
      </c>
      <c r="G13" s="15">
        <f>IF(OR($B13="",G$2=""),"",IF(SUMPRODUCT((Aus_Tec=$B13)*(Aus_Ini&lt;=G$2)*(Aus_Fim&gt;=G$2)*(Aus_Cod&gt;0))=0,"",IF(SUMPRODUCT((Aus_Tec=$B13)*(Aus_Ini&lt;=G$2)*(Aus_Fim&gt;=G$2)*(Aus_Cod&gt;0))&gt;1,"!",IFERROR(INDEX(Aus_Siglas,SUMPRODUCT((Aus_Tec=$B13)*(Aus_Ini&lt;=G$2)*(Aus_Fim&gt;=G$2)*Aus_Cod)),"!"))))</f>
        <v/>
      </c>
      <c r="H13" s="15">
        <f>IF(OR($B13="",H$2=""),"",IF(SUMPRODUCT((Aus_Tec=$B13)*(Aus_Ini&lt;=H$2)*(Aus_Fim&gt;=H$2)*(Aus_Cod&gt;0))=0,"",IF(SUMPRODUCT((Aus_Tec=$B13)*(Aus_Ini&lt;=H$2)*(Aus_Fim&gt;=H$2)*(Aus_Cod&gt;0))&gt;1,"!",IFERROR(INDEX(Aus_Siglas,SUMPRODUCT((Aus_Tec=$B13)*(Aus_Ini&lt;=H$2)*(Aus_Fim&gt;=H$2)*Aus_Cod)),"!"))))</f>
        <v/>
      </c>
      <c r="I13" s="15">
        <f>IF(OR($B13="",I$2=""),"",IF(SUMPRODUCT((Aus_Tec=$B13)*(Aus_Ini&lt;=I$2)*(Aus_Fim&gt;=I$2)*(Aus_Cod&gt;0))=0,"",IF(SUMPRODUCT((Aus_Tec=$B13)*(Aus_Ini&lt;=I$2)*(Aus_Fim&gt;=I$2)*(Aus_Cod&gt;0))&gt;1,"!",IFERROR(INDEX(Aus_Siglas,SUMPRODUCT((Aus_Tec=$B13)*(Aus_Ini&lt;=I$2)*(Aus_Fim&gt;=I$2)*Aus_Cod)),"!"))))</f>
        <v/>
      </c>
      <c r="J13" s="15">
        <f>IF(OR($B13="",J$2=""),"",IF(SUMPRODUCT((Aus_Tec=$B13)*(Aus_Ini&lt;=J$2)*(Aus_Fim&gt;=J$2)*(Aus_Cod&gt;0))=0,"",IF(SUMPRODUCT((Aus_Tec=$B13)*(Aus_Ini&lt;=J$2)*(Aus_Fim&gt;=J$2)*(Aus_Cod&gt;0))&gt;1,"!",IFERROR(INDEX(Aus_Siglas,SUMPRODUCT((Aus_Tec=$B13)*(Aus_Ini&lt;=J$2)*(Aus_Fim&gt;=J$2)*Aus_Cod)),"!"))))</f>
        <v/>
      </c>
      <c r="K13" s="15">
        <f>IF(OR($B13="",K$2=""),"",IF(SUMPRODUCT((Aus_Tec=$B13)*(Aus_Ini&lt;=K$2)*(Aus_Fim&gt;=K$2)*(Aus_Cod&gt;0))=0,"",IF(SUMPRODUCT((Aus_Tec=$B13)*(Aus_Ini&lt;=K$2)*(Aus_Fim&gt;=K$2)*(Aus_Cod&gt;0))&gt;1,"!",IFERROR(INDEX(Aus_Siglas,SUMPRODUCT((Aus_Tec=$B13)*(Aus_Ini&lt;=K$2)*(Aus_Fim&gt;=K$2)*Aus_Cod)),"!"))))</f>
        <v/>
      </c>
      <c r="L13" s="15">
        <f>IF(OR($B13="",L$2=""),"",IF(SUMPRODUCT((Aus_Tec=$B13)*(Aus_Ini&lt;=L$2)*(Aus_Fim&gt;=L$2)*(Aus_Cod&gt;0))=0,"",IF(SUMPRODUCT((Aus_Tec=$B13)*(Aus_Ini&lt;=L$2)*(Aus_Fim&gt;=L$2)*(Aus_Cod&gt;0))&gt;1,"!",IFERROR(INDEX(Aus_Siglas,SUMPRODUCT((Aus_Tec=$B13)*(Aus_Ini&lt;=L$2)*(Aus_Fim&gt;=L$2)*Aus_Cod)),"!"))))</f>
        <v/>
      </c>
      <c r="M13" s="15">
        <f>IF(OR($B13="",M$2=""),"",IF(SUMPRODUCT((Aus_Tec=$B13)*(Aus_Ini&lt;=M$2)*(Aus_Fim&gt;=M$2)*(Aus_Cod&gt;0))=0,"",IF(SUMPRODUCT((Aus_Tec=$B13)*(Aus_Ini&lt;=M$2)*(Aus_Fim&gt;=M$2)*(Aus_Cod&gt;0))&gt;1,"!",IFERROR(INDEX(Aus_Siglas,SUMPRODUCT((Aus_Tec=$B13)*(Aus_Ini&lt;=M$2)*(Aus_Fim&gt;=M$2)*Aus_Cod)),"!"))))</f>
        <v/>
      </c>
      <c r="N13" s="15">
        <f>IF(OR($B13="",N$2=""),"",IF(SUMPRODUCT((Aus_Tec=$B13)*(Aus_Ini&lt;=N$2)*(Aus_Fim&gt;=N$2)*(Aus_Cod&gt;0))=0,"",IF(SUMPRODUCT((Aus_Tec=$B13)*(Aus_Ini&lt;=N$2)*(Aus_Fim&gt;=N$2)*(Aus_Cod&gt;0))&gt;1,"!",IFERROR(INDEX(Aus_Siglas,SUMPRODUCT((Aus_Tec=$B13)*(Aus_Ini&lt;=N$2)*(Aus_Fim&gt;=N$2)*Aus_Cod)),"!"))))</f>
        <v/>
      </c>
      <c r="O13" s="15">
        <f>IF(OR($B13="",O$2=""),"",IF(SUMPRODUCT((Aus_Tec=$B13)*(Aus_Ini&lt;=O$2)*(Aus_Fim&gt;=O$2)*(Aus_Cod&gt;0))=0,"",IF(SUMPRODUCT((Aus_Tec=$B13)*(Aus_Ini&lt;=O$2)*(Aus_Fim&gt;=O$2)*(Aus_Cod&gt;0))&gt;1,"!",IFERROR(INDEX(Aus_Siglas,SUMPRODUCT((Aus_Tec=$B13)*(Aus_Ini&lt;=O$2)*(Aus_Fim&gt;=O$2)*Aus_Cod)),"!"))))</f>
        <v/>
      </c>
      <c r="P13" s="15">
        <f>IF(OR($B13="",P$2=""),"",IF(SUMPRODUCT((Aus_Tec=$B13)*(Aus_Ini&lt;=P$2)*(Aus_Fim&gt;=P$2)*(Aus_Cod&gt;0))=0,"",IF(SUMPRODUCT((Aus_Tec=$B13)*(Aus_Ini&lt;=P$2)*(Aus_Fim&gt;=P$2)*(Aus_Cod&gt;0))&gt;1,"!",IFERROR(INDEX(Aus_Siglas,SUMPRODUCT((Aus_Tec=$B13)*(Aus_Ini&lt;=P$2)*(Aus_Fim&gt;=P$2)*Aus_Cod)),"!"))))</f>
        <v/>
      </c>
      <c r="Q13" s="15">
        <f>IF(OR($B13="",Q$2=""),"",IF(SUMPRODUCT((Aus_Tec=$B13)*(Aus_Ini&lt;=Q$2)*(Aus_Fim&gt;=Q$2)*(Aus_Cod&gt;0))=0,"",IF(SUMPRODUCT((Aus_Tec=$B13)*(Aus_Ini&lt;=Q$2)*(Aus_Fim&gt;=Q$2)*(Aus_Cod&gt;0))&gt;1,"!",IFERROR(INDEX(Aus_Siglas,SUMPRODUCT((Aus_Tec=$B13)*(Aus_Ini&lt;=Q$2)*(Aus_Fim&gt;=Q$2)*Aus_Cod)),"!"))))</f>
        <v/>
      </c>
      <c r="R13" s="15">
        <f>IF(OR($B13="",R$2=""),"",IF(SUMPRODUCT((Aus_Tec=$B13)*(Aus_Ini&lt;=R$2)*(Aus_Fim&gt;=R$2)*(Aus_Cod&gt;0))=0,"",IF(SUMPRODUCT((Aus_Tec=$B13)*(Aus_Ini&lt;=R$2)*(Aus_Fim&gt;=R$2)*(Aus_Cod&gt;0))&gt;1,"!",IFERROR(INDEX(Aus_Siglas,SUMPRODUCT((Aus_Tec=$B13)*(Aus_Ini&lt;=R$2)*(Aus_Fim&gt;=R$2)*Aus_Cod)),"!"))))</f>
        <v/>
      </c>
      <c r="S13" s="15">
        <f>IF(OR($B13="",S$2=""),"",IF(SUMPRODUCT((Aus_Tec=$B13)*(Aus_Ini&lt;=S$2)*(Aus_Fim&gt;=S$2)*(Aus_Cod&gt;0))=0,"",IF(SUMPRODUCT((Aus_Tec=$B13)*(Aus_Ini&lt;=S$2)*(Aus_Fim&gt;=S$2)*(Aus_Cod&gt;0))&gt;1,"!",IFERROR(INDEX(Aus_Siglas,SUMPRODUCT((Aus_Tec=$B13)*(Aus_Ini&lt;=S$2)*(Aus_Fim&gt;=S$2)*Aus_Cod)),"!"))))</f>
        <v/>
      </c>
      <c r="T13" s="15">
        <f>IF(OR($B13="",T$2=""),"",IF(SUMPRODUCT((Aus_Tec=$B13)*(Aus_Ini&lt;=T$2)*(Aus_Fim&gt;=T$2)*(Aus_Cod&gt;0))=0,"",IF(SUMPRODUCT((Aus_Tec=$B13)*(Aus_Ini&lt;=T$2)*(Aus_Fim&gt;=T$2)*(Aus_Cod&gt;0))&gt;1,"!",IFERROR(INDEX(Aus_Siglas,SUMPRODUCT((Aus_Tec=$B13)*(Aus_Ini&lt;=T$2)*(Aus_Fim&gt;=T$2)*Aus_Cod)),"!"))))</f>
        <v/>
      </c>
      <c r="U13" s="15">
        <f>IF(OR($B13="",U$2=""),"",IF(SUMPRODUCT((Aus_Tec=$B13)*(Aus_Ini&lt;=U$2)*(Aus_Fim&gt;=U$2)*(Aus_Cod&gt;0))=0,"",IF(SUMPRODUCT((Aus_Tec=$B13)*(Aus_Ini&lt;=U$2)*(Aus_Fim&gt;=U$2)*(Aus_Cod&gt;0))&gt;1,"!",IFERROR(INDEX(Aus_Siglas,SUMPRODUCT((Aus_Tec=$B13)*(Aus_Ini&lt;=U$2)*(Aus_Fim&gt;=U$2)*Aus_Cod)),"!"))))</f>
        <v/>
      </c>
      <c r="V13" s="15">
        <f>IF(OR($B13="",V$2=""),"",IF(SUMPRODUCT((Aus_Tec=$B13)*(Aus_Ini&lt;=V$2)*(Aus_Fim&gt;=V$2)*(Aus_Cod&gt;0))=0,"",IF(SUMPRODUCT((Aus_Tec=$B13)*(Aus_Ini&lt;=V$2)*(Aus_Fim&gt;=V$2)*(Aus_Cod&gt;0))&gt;1,"!",IFERROR(INDEX(Aus_Siglas,SUMPRODUCT((Aus_Tec=$B13)*(Aus_Ini&lt;=V$2)*(Aus_Fim&gt;=V$2)*Aus_Cod)),"!"))))</f>
        <v/>
      </c>
      <c r="W13" s="15">
        <f>IF(OR($B13="",W$2=""),"",IF(SUMPRODUCT((Aus_Tec=$B13)*(Aus_Ini&lt;=W$2)*(Aus_Fim&gt;=W$2)*(Aus_Cod&gt;0))=0,"",IF(SUMPRODUCT((Aus_Tec=$B13)*(Aus_Ini&lt;=W$2)*(Aus_Fim&gt;=W$2)*(Aus_Cod&gt;0))&gt;1,"!",IFERROR(INDEX(Aus_Siglas,SUMPRODUCT((Aus_Tec=$B13)*(Aus_Ini&lt;=W$2)*(Aus_Fim&gt;=W$2)*Aus_Cod)),"!"))))</f>
        <v/>
      </c>
      <c r="X13" s="15">
        <f>IF(OR($B13="",X$2=""),"",IF(SUMPRODUCT((Aus_Tec=$B13)*(Aus_Ini&lt;=X$2)*(Aus_Fim&gt;=X$2)*(Aus_Cod&gt;0))=0,"",IF(SUMPRODUCT((Aus_Tec=$B13)*(Aus_Ini&lt;=X$2)*(Aus_Fim&gt;=X$2)*(Aus_Cod&gt;0))&gt;1,"!",IFERROR(INDEX(Aus_Siglas,SUMPRODUCT((Aus_Tec=$B13)*(Aus_Ini&lt;=X$2)*(Aus_Fim&gt;=X$2)*Aus_Cod)),"!"))))</f>
        <v/>
      </c>
      <c r="Y13" s="15">
        <f>IF(OR($B13="",Y$2=""),"",IF(SUMPRODUCT((Aus_Tec=$B13)*(Aus_Ini&lt;=Y$2)*(Aus_Fim&gt;=Y$2)*(Aus_Cod&gt;0))=0,"",IF(SUMPRODUCT((Aus_Tec=$B13)*(Aus_Ini&lt;=Y$2)*(Aus_Fim&gt;=Y$2)*(Aus_Cod&gt;0))&gt;1,"!",IFERROR(INDEX(Aus_Siglas,SUMPRODUCT((Aus_Tec=$B13)*(Aus_Ini&lt;=Y$2)*(Aus_Fim&gt;=Y$2)*Aus_Cod)),"!"))))</f>
        <v/>
      </c>
      <c r="Z13" s="15">
        <f>IF(OR($B13="",Z$2=""),"",IF(SUMPRODUCT((Aus_Tec=$B13)*(Aus_Ini&lt;=Z$2)*(Aus_Fim&gt;=Z$2)*(Aus_Cod&gt;0))=0,"",IF(SUMPRODUCT((Aus_Tec=$B13)*(Aus_Ini&lt;=Z$2)*(Aus_Fim&gt;=Z$2)*(Aus_Cod&gt;0))&gt;1,"!",IFERROR(INDEX(Aus_Siglas,SUMPRODUCT((Aus_Tec=$B13)*(Aus_Ini&lt;=Z$2)*(Aus_Fim&gt;=Z$2)*Aus_Cod)),"!"))))</f>
        <v/>
      </c>
      <c r="AA13" s="15">
        <f>IF(OR($B13="",AA$2=""),"",IF(SUMPRODUCT((Aus_Tec=$B13)*(Aus_Ini&lt;=AA$2)*(Aus_Fim&gt;=AA$2)*(Aus_Cod&gt;0))=0,"",IF(SUMPRODUCT((Aus_Tec=$B13)*(Aus_Ini&lt;=AA$2)*(Aus_Fim&gt;=AA$2)*(Aus_Cod&gt;0))&gt;1,"!",IFERROR(INDEX(Aus_Siglas,SUMPRODUCT((Aus_Tec=$B13)*(Aus_Ini&lt;=AA$2)*(Aus_Fim&gt;=AA$2)*Aus_Cod)),"!"))))</f>
        <v/>
      </c>
      <c r="AB13" s="15">
        <f>IF(OR($B13="",AB$2=""),"",IF(SUMPRODUCT((Aus_Tec=$B13)*(Aus_Ini&lt;=AB$2)*(Aus_Fim&gt;=AB$2)*(Aus_Cod&gt;0))=0,"",IF(SUMPRODUCT((Aus_Tec=$B13)*(Aus_Ini&lt;=AB$2)*(Aus_Fim&gt;=AB$2)*(Aus_Cod&gt;0))&gt;1,"!",IFERROR(INDEX(Aus_Siglas,SUMPRODUCT((Aus_Tec=$B13)*(Aus_Ini&lt;=AB$2)*(Aus_Fim&gt;=AB$2)*Aus_Cod)),"!"))))</f>
        <v/>
      </c>
      <c r="AC13" s="15">
        <f>IF(OR($B13="",AC$2=""),"",IF(SUMPRODUCT((Aus_Tec=$B13)*(Aus_Ini&lt;=AC$2)*(Aus_Fim&gt;=AC$2)*(Aus_Cod&gt;0))=0,"",IF(SUMPRODUCT((Aus_Tec=$B13)*(Aus_Ini&lt;=AC$2)*(Aus_Fim&gt;=AC$2)*(Aus_Cod&gt;0))&gt;1,"!",IFERROR(INDEX(Aus_Siglas,SUMPRODUCT((Aus_Tec=$B13)*(Aus_Ini&lt;=AC$2)*(Aus_Fim&gt;=AC$2)*Aus_Cod)),"!"))))</f>
        <v/>
      </c>
      <c r="AD13" s="15">
        <f>IF(OR($B13="",AD$2=""),"",IF(SUMPRODUCT((Aus_Tec=$B13)*(Aus_Ini&lt;=AD$2)*(Aus_Fim&gt;=AD$2)*(Aus_Cod&gt;0))=0,"",IF(SUMPRODUCT((Aus_Tec=$B13)*(Aus_Ini&lt;=AD$2)*(Aus_Fim&gt;=AD$2)*(Aus_Cod&gt;0))&gt;1,"!",IFERROR(INDEX(Aus_Siglas,SUMPRODUCT((Aus_Tec=$B13)*(Aus_Ini&lt;=AD$2)*(Aus_Fim&gt;=AD$2)*Aus_Cod)),"!"))))</f>
        <v/>
      </c>
      <c r="AE13" s="15">
        <f>IF(OR($B13="",AE$2=""),"",IF(SUMPRODUCT((Aus_Tec=$B13)*(Aus_Ini&lt;=AE$2)*(Aus_Fim&gt;=AE$2)*(Aus_Cod&gt;0))=0,"",IF(SUMPRODUCT((Aus_Tec=$B13)*(Aus_Ini&lt;=AE$2)*(Aus_Fim&gt;=AE$2)*(Aus_Cod&gt;0))&gt;1,"!",IFERROR(INDEX(Aus_Siglas,SUMPRODUCT((Aus_Tec=$B13)*(Aus_Ini&lt;=AE$2)*(Aus_Fim&gt;=AE$2)*Aus_Cod)),"!"))))</f>
        <v/>
      </c>
      <c r="AF13" s="15">
        <f>IF(OR($B13="",AF$2=""),"",IF(SUMPRODUCT((Aus_Tec=$B13)*(Aus_Ini&lt;=AF$2)*(Aus_Fim&gt;=AF$2)*(Aus_Cod&gt;0))=0,"",IF(SUMPRODUCT((Aus_Tec=$B13)*(Aus_Ini&lt;=AF$2)*(Aus_Fim&gt;=AF$2)*(Aus_Cod&gt;0))&gt;1,"!",IFERROR(INDEX(Aus_Siglas,SUMPRODUCT((Aus_Tec=$B13)*(Aus_Ini&lt;=AF$2)*(Aus_Fim&gt;=AF$2)*Aus_Cod)),"!"))))</f>
        <v/>
      </c>
      <c r="AG13" s="15">
        <f>IF(OR($B13="",AG$2=""),"",IF(SUMPRODUCT((Aus_Tec=$B13)*(Aus_Ini&lt;=AG$2)*(Aus_Fim&gt;=AG$2)*(Aus_Cod&gt;0))=0,"",IF(SUMPRODUCT((Aus_Tec=$B13)*(Aus_Ini&lt;=AG$2)*(Aus_Fim&gt;=AG$2)*(Aus_Cod&gt;0))&gt;1,"!",IFERROR(INDEX(Aus_Siglas,SUMPRODUCT((Aus_Tec=$B13)*(Aus_Ini&lt;=AG$2)*(Aus_Fim&gt;=AG$2)*Aus_Cod)),"!"))))</f>
        <v/>
      </c>
      <c r="AH13" s="37">
        <f>IF($B13="","",COUNTIF($C13:$AG13,"F"))</f>
        <v/>
      </c>
      <c r="AI13" s="37">
        <f>IF($B13="","",COUNTIF($C13:$AG13,"D"))</f>
        <v/>
      </c>
      <c r="AJ13" s="37">
        <f>IF($B13="","",COUNTIF($C13:$AG13,"A"))</f>
        <v/>
      </c>
      <c r="AK13" s="37">
        <f>IF($B13="","",SUMPRODUCT(($C13:$AG13&lt;&gt;"")*1))</f>
        <v/>
      </c>
    </row>
    <row r="14">
      <c r="A14" s="33">
        <f>IF('Equipe'!A12="","",'Equipe'!A12)</f>
        <v/>
      </c>
      <c r="B14" s="34">
        <f>IF('Equipe'!B12="","",'Equipe'!B12)</f>
        <v/>
      </c>
      <c r="C14" s="15">
        <f>IF(OR($B14="",C$2=""),"",IF(SUMPRODUCT((Aus_Tec=$B14)*(Aus_Ini&lt;=C$2)*(Aus_Fim&gt;=C$2)*(Aus_Cod&gt;0))=0,"",IF(SUMPRODUCT((Aus_Tec=$B14)*(Aus_Ini&lt;=C$2)*(Aus_Fim&gt;=C$2)*(Aus_Cod&gt;0))&gt;1,"!",IFERROR(INDEX(Aus_Siglas,SUMPRODUCT((Aus_Tec=$B14)*(Aus_Ini&lt;=C$2)*(Aus_Fim&gt;=C$2)*Aus_Cod)),"!"))))</f>
        <v/>
      </c>
      <c r="D14" s="15">
        <f>IF(OR($B14="",D$2=""),"",IF(SUMPRODUCT((Aus_Tec=$B14)*(Aus_Ini&lt;=D$2)*(Aus_Fim&gt;=D$2)*(Aus_Cod&gt;0))=0,"",IF(SUMPRODUCT((Aus_Tec=$B14)*(Aus_Ini&lt;=D$2)*(Aus_Fim&gt;=D$2)*(Aus_Cod&gt;0))&gt;1,"!",IFERROR(INDEX(Aus_Siglas,SUMPRODUCT((Aus_Tec=$B14)*(Aus_Ini&lt;=D$2)*(Aus_Fim&gt;=D$2)*Aus_Cod)),"!"))))</f>
        <v/>
      </c>
      <c r="E14" s="15">
        <f>IF(OR($B14="",E$2=""),"",IF(SUMPRODUCT((Aus_Tec=$B14)*(Aus_Ini&lt;=E$2)*(Aus_Fim&gt;=E$2)*(Aus_Cod&gt;0))=0,"",IF(SUMPRODUCT((Aus_Tec=$B14)*(Aus_Ini&lt;=E$2)*(Aus_Fim&gt;=E$2)*(Aus_Cod&gt;0))&gt;1,"!",IFERROR(INDEX(Aus_Siglas,SUMPRODUCT((Aus_Tec=$B14)*(Aus_Ini&lt;=E$2)*(Aus_Fim&gt;=E$2)*Aus_Cod)),"!"))))</f>
        <v/>
      </c>
      <c r="F14" s="15">
        <f>IF(OR($B14="",F$2=""),"",IF(SUMPRODUCT((Aus_Tec=$B14)*(Aus_Ini&lt;=F$2)*(Aus_Fim&gt;=F$2)*(Aus_Cod&gt;0))=0,"",IF(SUMPRODUCT((Aus_Tec=$B14)*(Aus_Ini&lt;=F$2)*(Aus_Fim&gt;=F$2)*(Aus_Cod&gt;0))&gt;1,"!",IFERROR(INDEX(Aus_Siglas,SUMPRODUCT((Aus_Tec=$B14)*(Aus_Ini&lt;=F$2)*(Aus_Fim&gt;=F$2)*Aus_Cod)),"!"))))</f>
        <v/>
      </c>
      <c r="G14" s="15">
        <f>IF(OR($B14="",G$2=""),"",IF(SUMPRODUCT((Aus_Tec=$B14)*(Aus_Ini&lt;=G$2)*(Aus_Fim&gt;=G$2)*(Aus_Cod&gt;0))=0,"",IF(SUMPRODUCT((Aus_Tec=$B14)*(Aus_Ini&lt;=G$2)*(Aus_Fim&gt;=G$2)*(Aus_Cod&gt;0))&gt;1,"!",IFERROR(INDEX(Aus_Siglas,SUMPRODUCT((Aus_Tec=$B14)*(Aus_Ini&lt;=G$2)*(Aus_Fim&gt;=G$2)*Aus_Cod)),"!"))))</f>
        <v/>
      </c>
      <c r="H14" s="15">
        <f>IF(OR($B14="",H$2=""),"",IF(SUMPRODUCT((Aus_Tec=$B14)*(Aus_Ini&lt;=H$2)*(Aus_Fim&gt;=H$2)*(Aus_Cod&gt;0))=0,"",IF(SUMPRODUCT((Aus_Tec=$B14)*(Aus_Ini&lt;=H$2)*(Aus_Fim&gt;=H$2)*(Aus_Cod&gt;0))&gt;1,"!",IFERROR(INDEX(Aus_Siglas,SUMPRODUCT((Aus_Tec=$B14)*(Aus_Ini&lt;=H$2)*(Aus_Fim&gt;=H$2)*Aus_Cod)),"!"))))</f>
        <v/>
      </c>
      <c r="I14" s="15">
        <f>IF(OR($B14="",I$2=""),"",IF(SUMPRODUCT((Aus_Tec=$B14)*(Aus_Ini&lt;=I$2)*(Aus_Fim&gt;=I$2)*(Aus_Cod&gt;0))=0,"",IF(SUMPRODUCT((Aus_Tec=$B14)*(Aus_Ini&lt;=I$2)*(Aus_Fim&gt;=I$2)*(Aus_Cod&gt;0))&gt;1,"!",IFERROR(INDEX(Aus_Siglas,SUMPRODUCT((Aus_Tec=$B14)*(Aus_Ini&lt;=I$2)*(Aus_Fim&gt;=I$2)*Aus_Cod)),"!"))))</f>
        <v/>
      </c>
      <c r="J14" s="15">
        <f>IF(OR($B14="",J$2=""),"",IF(SUMPRODUCT((Aus_Tec=$B14)*(Aus_Ini&lt;=J$2)*(Aus_Fim&gt;=J$2)*(Aus_Cod&gt;0))=0,"",IF(SUMPRODUCT((Aus_Tec=$B14)*(Aus_Ini&lt;=J$2)*(Aus_Fim&gt;=J$2)*(Aus_Cod&gt;0))&gt;1,"!",IFERROR(INDEX(Aus_Siglas,SUMPRODUCT((Aus_Tec=$B14)*(Aus_Ini&lt;=J$2)*(Aus_Fim&gt;=J$2)*Aus_Cod)),"!"))))</f>
        <v/>
      </c>
      <c r="K14" s="15">
        <f>IF(OR($B14="",K$2=""),"",IF(SUMPRODUCT((Aus_Tec=$B14)*(Aus_Ini&lt;=K$2)*(Aus_Fim&gt;=K$2)*(Aus_Cod&gt;0))=0,"",IF(SUMPRODUCT((Aus_Tec=$B14)*(Aus_Ini&lt;=K$2)*(Aus_Fim&gt;=K$2)*(Aus_Cod&gt;0))&gt;1,"!",IFERROR(INDEX(Aus_Siglas,SUMPRODUCT((Aus_Tec=$B14)*(Aus_Ini&lt;=K$2)*(Aus_Fim&gt;=K$2)*Aus_Cod)),"!"))))</f>
        <v/>
      </c>
      <c r="L14" s="15">
        <f>IF(OR($B14="",L$2=""),"",IF(SUMPRODUCT((Aus_Tec=$B14)*(Aus_Ini&lt;=L$2)*(Aus_Fim&gt;=L$2)*(Aus_Cod&gt;0))=0,"",IF(SUMPRODUCT((Aus_Tec=$B14)*(Aus_Ini&lt;=L$2)*(Aus_Fim&gt;=L$2)*(Aus_Cod&gt;0))&gt;1,"!",IFERROR(INDEX(Aus_Siglas,SUMPRODUCT((Aus_Tec=$B14)*(Aus_Ini&lt;=L$2)*(Aus_Fim&gt;=L$2)*Aus_Cod)),"!"))))</f>
        <v/>
      </c>
      <c r="M14" s="15">
        <f>IF(OR($B14="",M$2=""),"",IF(SUMPRODUCT((Aus_Tec=$B14)*(Aus_Ini&lt;=M$2)*(Aus_Fim&gt;=M$2)*(Aus_Cod&gt;0))=0,"",IF(SUMPRODUCT((Aus_Tec=$B14)*(Aus_Ini&lt;=M$2)*(Aus_Fim&gt;=M$2)*(Aus_Cod&gt;0))&gt;1,"!",IFERROR(INDEX(Aus_Siglas,SUMPRODUCT((Aus_Tec=$B14)*(Aus_Ini&lt;=M$2)*(Aus_Fim&gt;=M$2)*Aus_Cod)),"!"))))</f>
        <v/>
      </c>
      <c r="N14" s="15">
        <f>IF(OR($B14="",N$2=""),"",IF(SUMPRODUCT((Aus_Tec=$B14)*(Aus_Ini&lt;=N$2)*(Aus_Fim&gt;=N$2)*(Aus_Cod&gt;0))=0,"",IF(SUMPRODUCT((Aus_Tec=$B14)*(Aus_Ini&lt;=N$2)*(Aus_Fim&gt;=N$2)*(Aus_Cod&gt;0))&gt;1,"!",IFERROR(INDEX(Aus_Siglas,SUMPRODUCT((Aus_Tec=$B14)*(Aus_Ini&lt;=N$2)*(Aus_Fim&gt;=N$2)*Aus_Cod)),"!"))))</f>
        <v/>
      </c>
      <c r="O14" s="15">
        <f>IF(OR($B14="",O$2=""),"",IF(SUMPRODUCT((Aus_Tec=$B14)*(Aus_Ini&lt;=O$2)*(Aus_Fim&gt;=O$2)*(Aus_Cod&gt;0))=0,"",IF(SUMPRODUCT((Aus_Tec=$B14)*(Aus_Ini&lt;=O$2)*(Aus_Fim&gt;=O$2)*(Aus_Cod&gt;0))&gt;1,"!",IFERROR(INDEX(Aus_Siglas,SUMPRODUCT((Aus_Tec=$B14)*(Aus_Ini&lt;=O$2)*(Aus_Fim&gt;=O$2)*Aus_Cod)),"!"))))</f>
        <v/>
      </c>
      <c r="P14" s="15">
        <f>IF(OR($B14="",P$2=""),"",IF(SUMPRODUCT((Aus_Tec=$B14)*(Aus_Ini&lt;=P$2)*(Aus_Fim&gt;=P$2)*(Aus_Cod&gt;0))=0,"",IF(SUMPRODUCT((Aus_Tec=$B14)*(Aus_Ini&lt;=P$2)*(Aus_Fim&gt;=P$2)*(Aus_Cod&gt;0))&gt;1,"!",IFERROR(INDEX(Aus_Siglas,SUMPRODUCT((Aus_Tec=$B14)*(Aus_Ini&lt;=P$2)*(Aus_Fim&gt;=P$2)*Aus_Cod)),"!"))))</f>
        <v/>
      </c>
      <c r="Q14" s="15">
        <f>IF(OR($B14="",Q$2=""),"",IF(SUMPRODUCT((Aus_Tec=$B14)*(Aus_Ini&lt;=Q$2)*(Aus_Fim&gt;=Q$2)*(Aus_Cod&gt;0))=0,"",IF(SUMPRODUCT((Aus_Tec=$B14)*(Aus_Ini&lt;=Q$2)*(Aus_Fim&gt;=Q$2)*(Aus_Cod&gt;0))&gt;1,"!",IFERROR(INDEX(Aus_Siglas,SUMPRODUCT((Aus_Tec=$B14)*(Aus_Ini&lt;=Q$2)*(Aus_Fim&gt;=Q$2)*Aus_Cod)),"!"))))</f>
        <v/>
      </c>
      <c r="R14" s="15">
        <f>IF(OR($B14="",R$2=""),"",IF(SUMPRODUCT((Aus_Tec=$B14)*(Aus_Ini&lt;=R$2)*(Aus_Fim&gt;=R$2)*(Aus_Cod&gt;0))=0,"",IF(SUMPRODUCT((Aus_Tec=$B14)*(Aus_Ini&lt;=R$2)*(Aus_Fim&gt;=R$2)*(Aus_Cod&gt;0))&gt;1,"!",IFERROR(INDEX(Aus_Siglas,SUMPRODUCT((Aus_Tec=$B14)*(Aus_Ini&lt;=R$2)*(Aus_Fim&gt;=R$2)*Aus_Cod)),"!"))))</f>
        <v/>
      </c>
      <c r="S14" s="15">
        <f>IF(OR($B14="",S$2=""),"",IF(SUMPRODUCT((Aus_Tec=$B14)*(Aus_Ini&lt;=S$2)*(Aus_Fim&gt;=S$2)*(Aus_Cod&gt;0))=0,"",IF(SUMPRODUCT((Aus_Tec=$B14)*(Aus_Ini&lt;=S$2)*(Aus_Fim&gt;=S$2)*(Aus_Cod&gt;0))&gt;1,"!",IFERROR(INDEX(Aus_Siglas,SUMPRODUCT((Aus_Tec=$B14)*(Aus_Ini&lt;=S$2)*(Aus_Fim&gt;=S$2)*Aus_Cod)),"!"))))</f>
        <v/>
      </c>
      <c r="T14" s="15">
        <f>IF(OR($B14="",T$2=""),"",IF(SUMPRODUCT((Aus_Tec=$B14)*(Aus_Ini&lt;=T$2)*(Aus_Fim&gt;=T$2)*(Aus_Cod&gt;0))=0,"",IF(SUMPRODUCT((Aus_Tec=$B14)*(Aus_Ini&lt;=T$2)*(Aus_Fim&gt;=T$2)*(Aus_Cod&gt;0))&gt;1,"!",IFERROR(INDEX(Aus_Siglas,SUMPRODUCT((Aus_Tec=$B14)*(Aus_Ini&lt;=T$2)*(Aus_Fim&gt;=T$2)*Aus_Cod)),"!"))))</f>
        <v/>
      </c>
      <c r="U14" s="15">
        <f>IF(OR($B14="",U$2=""),"",IF(SUMPRODUCT((Aus_Tec=$B14)*(Aus_Ini&lt;=U$2)*(Aus_Fim&gt;=U$2)*(Aus_Cod&gt;0))=0,"",IF(SUMPRODUCT((Aus_Tec=$B14)*(Aus_Ini&lt;=U$2)*(Aus_Fim&gt;=U$2)*(Aus_Cod&gt;0))&gt;1,"!",IFERROR(INDEX(Aus_Siglas,SUMPRODUCT((Aus_Tec=$B14)*(Aus_Ini&lt;=U$2)*(Aus_Fim&gt;=U$2)*Aus_Cod)),"!"))))</f>
        <v/>
      </c>
      <c r="V14" s="15">
        <f>IF(OR($B14="",V$2=""),"",IF(SUMPRODUCT((Aus_Tec=$B14)*(Aus_Ini&lt;=V$2)*(Aus_Fim&gt;=V$2)*(Aus_Cod&gt;0))=0,"",IF(SUMPRODUCT((Aus_Tec=$B14)*(Aus_Ini&lt;=V$2)*(Aus_Fim&gt;=V$2)*(Aus_Cod&gt;0))&gt;1,"!",IFERROR(INDEX(Aus_Siglas,SUMPRODUCT((Aus_Tec=$B14)*(Aus_Ini&lt;=V$2)*(Aus_Fim&gt;=V$2)*Aus_Cod)),"!"))))</f>
        <v/>
      </c>
      <c r="W14" s="15">
        <f>IF(OR($B14="",W$2=""),"",IF(SUMPRODUCT((Aus_Tec=$B14)*(Aus_Ini&lt;=W$2)*(Aus_Fim&gt;=W$2)*(Aus_Cod&gt;0))=0,"",IF(SUMPRODUCT((Aus_Tec=$B14)*(Aus_Ini&lt;=W$2)*(Aus_Fim&gt;=W$2)*(Aus_Cod&gt;0))&gt;1,"!",IFERROR(INDEX(Aus_Siglas,SUMPRODUCT((Aus_Tec=$B14)*(Aus_Ini&lt;=W$2)*(Aus_Fim&gt;=W$2)*Aus_Cod)),"!"))))</f>
        <v/>
      </c>
      <c r="X14" s="15">
        <f>IF(OR($B14="",X$2=""),"",IF(SUMPRODUCT((Aus_Tec=$B14)*(Aus_Ini&lt;=X$2)*(Aus_Fim&gt;=X$2)*(Aus_Cod&gt;0))=0,"",IF(SUMPRODUCT((Aus_Tec=$B14)*(Aus_Ini&lt;=X$2)*(Aus_Fim&gt;=X$2)*(Aus_Cod&gt;0))&gt;1,"!",IFERROR(INDEX(Aus_Siglas,SUMPRODUCT((Aus_Tec=$B14)*(Aus_Ini&lt;=X$2)*(Aus_Fim&gt;=X$2)*Aus_Cod)),"!"))))</f>
        <v/>
      </c>
      <c r="Y14" s="15">
        <f>IF(OR($B14="",Y$2=""),"",IF(SUMPRODUCT((Aus_Tec=$B14)*(Aus_Ini&lt;=Y$2)*(Aus_Fim&gt;=Y$2)*(Aus_Cod&gt;0))=0,"",IF(SUMPRODUCT((Aus_Tec=$B14)*(Aus_Ini&lt;=Y$2)*(Aus_Fim&gt;=Y$2)*(Aus_Cod&gt;0))&gt;1,"!",IFERROR(INDEX(Aus_Siglas,SUMPRODUCT((Aus_Tec=$B14)*(Aus_Ini&lt;=Y$2)*(Aus_Fim&gt;=Y$2)*Aus_Cod)),"!"))))</f>
        <v/>
      </c>
      <c r="Z14" s="15">
        <f>IF(OR($B14="",Z$2=""),"",IF(SUMPRODUCT((Aus_Tec=$B14)*(Aus_Ini&lt;=Z$2)*(Aus_Fim&gt;=Z$2)*(Aus_Cod&gt;0))=0,"",IF(SUMPRODUCT((Aus_Tec=$B14)*(Aus_Ini&lt;=Z$2)*(Aus_Fim&gt;=Z$2)*(Aus_Cod&gt;0))&gt;1,"!",IFERROR(INDEX(Aus_Siglas,SUMPRODUCT((Aus_Tec=$B14)*(Aus_Ini&lt;=Z$2)*(Aus_Fim&gt;=Z$2)*Aus_Cod)),"!"))))</f>
        <v/>
      </c>
      <c r="AA14" s="15">
        <f>IF(OR($B14="",AA$2=""),"",IF(SUMPRODUCT((Aus_Tec=$B14)*(Aus_Ini&lt;=AA$2)*(Aus_Fim&gt;=AA$2)*(Aus_Cod&gt;0))=0,"",IF(SUMPRODUCT((Aus_Tec=$B14)*(Aus_Ini&lt;=AA$2)*(Aus_Fim&gt;=AA$2)*(Aus_Cod&gt;0))&gt;1,"!",IFERROR(INDEX(Aus_Siglas,SUMPRODUCT((Aus_Tec=$B14)*(Aus_Ini&lt;=AA$2)*(Aus_Fim&gt;=AA$2)*Aus_Cod)),"!"))))</f>
        <v/>
      </c>
      <c r="AB14" s="15">
        <f>IF(OR($B14="",AB$2=""),"",IF(SUMPRODUCT((Aus_Tec=$B14)*(Aus_Ini&lt;=AB$2)*(Aus_Fim&gt;=AB$2)*(Aus_Cod&gt;0))=0,"",IF(SUMPRODUCT((Aus_Tec=$B14)*(Aus_Ini&lt;=AB$2)*(Aus_Fim&gt;=AB$2)*(Aus_Cod&gt;0))&gt;1,"!",IFERROR(INDEX(Aus_Siglas,SUMPRODUCT((Aus_Tec=$B14)*(Aus_Ini&lt;=AB$2)*(Aus_Fim&gt;=AB$2)*Aus_Cod)),"!"))))</f>
        <v/>
      </c>
      <c r="AC14" s="15">
        <f>IF(OR($B14="",AC$2=""),"",IF(SUMPRODUCT((Aus_Tec=$B14)*(Aus_Ini&lt;=AC$2)*(Aus_Fim&gt;=AC$2)*(Aus_Cod&gt;0))=0,"",IF(SUMPRODUCT((Aus_Tec=$B14)*(Aus_Ini&lt;=AC$2)*(Aus_Fim&gt;=AC$2)*(Aus_Cod&gt;0))&gt;1,"!",IFERROR(INDEX(Aus_Siglas,SUMPRODUCT((Aus_Tec=$B14)*(Aus_Ini&lt;=AC$2)*(Aus_Fim&gt;=AC$2)*Aus_Cod)),"!"))))</f>
        <v/>
      </c>
      <c r="AD14" s="15">
        <f>IF(OR($B14="",AD$2=""),"",IF(SUMPRODUCT((Aus_Tec=$B14)*(Aus_Ini&lt;=AD$2)*(Aus_Fim&gt;=AD$2)*(Aus_Cod&gt;0))=0,"",IF(SUMPRODUCT((Aus_Tec=$B14)*(Aus_Ini&lt;=AD$2)*(Aus_Fim&gt;=AD$2)*(Aus_Cod&gt;0))&gt;1,"!",IFERROR(INDEX(Aus_Siglas,SUMPRODUCT((Aus_Tec=$B14)*(Aus_Ini&lt;=AD$2)*(Aus_Fim&gt;=AD$2)*Aus_Cod)),"!"))))</f>
        <v/>
      </c>
      <c r="AE14" s="15">
        <f>IF(OR($B14="",AE$2=""),"",IF(SUMPRODUCT((Aus_Tec=$B14)*(Aus_Ini&lt;=AE$2)*(Aus_Fim&gt;=AE$2)*(Aus_Cod&gt;0))=0,"",IF(SUMPRODUCT((Aus_Tec=$B14)*(Aus_Ini&lt;=AE$2)*(Aus_Fim&gt;=AE$2)*(Aus_Cod&gt;0))&gt;1,"!",IFERROR(INDEX(Aus_Siglas,SUMPRODUCT((Aus_Tec=$B14)*(Aus_Ini&lt;=AE$2)*(Aus_Fim&gt;=AE$2)*Aus_Cod)),"!"))))</f>
        <v/>
      </c>
      <c r="AF14" s="15">
        <f>IF(OR($B14="",AF$2=""),"",IF(SUMPRODUCT((Aus_Tec=$B14)*(Aus_Ini&lt;=AF$2)*(Aus_Fim&gt;=AF$2)*(Aus_Cod&gt;0))=0,"",IF(SUMPRODUCT((Aus_Tec=$B14)*(Aus_Ini&lt;=AF$2)*(Aus_Fim&gt;=AF$2)*(Aus_Cod&gt;0))&gt;1,"!",IFERROR(INDEX(Aus_Siglas,SUMPRODUCT((Aus_Tec=$B14)*(Aus_Ini&lt;=AF$2)*(Aus_Fim&gt;=AF$2)*Aus_Cod)),"!"))))</f>
        <v/>
      </c>
      <c r="AG14" s="15">
        <f>IF(OR($B14="",AG$2=""),"",IF(SUMPRODUCT((Aus_Tec=$B14)*(Aus_Ini&lt;=AG$2)*(Aus_Fim&gt;=AG$2)*(Aus_Cod&gt;0))=0,"",IF(SUMPRODUCT((Aus_Tec=$B14)*(Aus_Ini&lt;=AG$2)*(Aus_Fim&gt;=AG$2)*(Aus_Cod&gt;0))&gt;1,"!",IFERROR(INDEX(Aus_Siglas,SUMPRODUCT((Aus_Tec=$B14)*(Aus_Ini&lt;=AG$2)*(Aus_Fim&gt;=AG$2)*Aus_Cod)),"!"))))</f>
        <v/>
      </c>
      <c r="AH14" s="37">
        <f>IF($B14="","",COUNTIF($C14:$AG14,"F"))</f>
        <v/>
      </c>
      <c r="AI14" s="37">
        <f>IF($B14="","",COUNTIF($C14:$AG14,"D"))</f>
        <v/>
      </c>
      <c r="AJ14" s="37">
        <f>IF($B14="","",COUNTIF($C14:$AG14,"A"))</f>
        <v/>
      </c>
      <c r="AK14" s="37">
        <f>IF($B14="","",SUMPRODUCT(($C14:$AG14&lt;&gt;"")*1))</f>
        <v/>
      </c>
    </row>
    <row r="15">
      <c r="A15" s="33">
        <f>IF('Equipe'!A13="","",'Equipe'!A13)</f>
        <v/>
      </c>
      <c r="B15" s="34">
        <f>IF('Equipe'!B13="","",'Equipe'!B13)</f>
        <v/>
      </c>
      <c r="C15" s="15">
        <f>IF(OR($B15="",C$2=""),"",IF(SUMPRODUCT((Aus_Tec=$B15)*(Aus_Ini&lt;=C$2)*(Aus_Fim&gt;=C$2)*(Aus_Cod&gt;0))=0,"",IF(SUMPRODUCT((Aus_Tec=$B15)*(Aus_Ini&lt;=C$2)*(Aus_Fim&gt;=C$2)*(Aus_Cod&gt;0))&gt;1,"!",IFERROR(INDEX(Aus_Siglas,SUMPRODUCT((Aus_Tec=$B15)*(Aus_Ini&lt;=C$2)*(Aus_Fim&gt;=C$2)*Aus_Cod)),"!"))))</f>
        <v/>
      </c>
      <c r="D15" s="15">
        <f>IF(OR($B15="",D$2=""),"",IF(SUMPRODUCT((Aus_Tec=$B15)*(Aus_Ini&lt;=D$2)*(Aus_Fim&gt;=D$2)*(Aus_Cod&gt;0))=0,"",IF(SUMPRODUCT((Aus_Tec=$B15)*(Aus_Ini&lt;=D$2)*(Aus_Fim&gt;=D$2)*(Aus_Cod&gt;0))&gt;1,"!",IFERROR(INDEX(Aus_Siglas,SUMPRODUCT((Aus_Tec=$B15)*(Aus_Ini&lt;=D$2)*(Aus_Fim&gt;=D$2)*Aus_Cod)),"!"))))</f>
        <v/>
      </c>
      <c r="E15" s="15">
        <f>IF(OR($B15="",E$2=""),"",IF(SUMPRODUCT((Aus_Tec=$B15)*(Aus_Ini&lt;=E$2)*(Aus_Fim&gt;=E$2)*(Aus_Cod&gt;0))=0,"",IF(SUMPRODUCT((Aus_Tec=$B15)*(Aus_Ini&lt;=E$2)*(Aus_Fim&gt;=E$2)*(Aus_Cod&gt;0))&gt;1,"!",IFERROR(INDEX(Aus_Siglas,SUMPRODUCT((Aus_Tec=$B15)*(Aus_Ini&lt;=E$2)*(Aus_Fim&gt;=E$2)*Aus_Cod)),"!"))))</f>
        <v/>
      </c>
      <c r="F15" s="15">
        <f>IF(OR($B15="",F$2=""),"",IF(SUMPRODUCT((Aus_Tec=$B15)*(Aus_Ini&lt;=F$2)*(Aus_Fim&gt;=F$2)*(Aus_Cod&gt;0))=0,"",IF(SUMPRODUCT((Aus_Tec=$B15)*(Aus_Ini&lt;=F$2)*(Aus_Fim&gt;=F$2)*(Aus_Cod&gt;0))&gt;1,"!",IFERROR(INDEX(Aus_Siglas,SUMPRODUCT((Aus_Tec=$B15)*(Aus_Ini&lt;=F$2)*(Aus_Fim&gt;=F$2)*Aus_Cod)),"!"))))</f>
        <v/>
      </c>
      <c r="G15" s="15">
        <f>IF(OR($B15="",G$2=""),"",IF(SUMPRODUCT((Aus_Tec=$B15)*(Aus_Ini&lt;=G$2)*(Aus_Fim&gt;=G$2)*(Aus_Cod&gt;0))=0,"",IF(SUMPRODUCT((Aus_Tec=$B15)*(Aus_Ini&lt;=G$2)*(Aus_Fim&gt;=G$2)*(Aus_Cod&gt;0))&gt;1,"!",IFERROR(INDEX(Aus_Siglas,SUMPRODUCT((Aus_Tec=$B15)*(Aus_Ini&lt;=G$2)*(Aus_Fim&gt;=G$2)*Aus_Cod)),"!"))))</f>
        <v/>
      </c>
      <c r="H15" s="15">
        <f>IF(OR($B15="",H$2=""),"",IF(SUMPRODUCT((Aus_Tec=$B15)*(Aus_Ini&lt;=H$2)*(Aus_Fim&gt;=H$2)*(Aus_Cod&gt;0))=0,"",IF(SUMPRODUCT((Aus_Tec=$B15)*(Aus_Ini&lt;=H$2)*(Aus_Fim&gt;=H$2)*(Aus_Cod&gt;0))&gt;1,"!",IFERROR(INDEX(Aus_Siglas,SUMPRODUCT((Aus_Tec=$B15)*(Aus_Ini&lt;=H$2)*(Aus_Fim&gt;=H$2)*Aus_Cod)),"!"))))</f>
        <v/>
      </c>
      <c r="I15" s="15">
        <f>IF(OR($B15="",I$2=""),"",IF(SUMPRODUCT((Aus_Tec=$B15)*(Aus_Ini&lt;=I$2)*(Aus_Fim&gt;=I$2)*(Aus_Cod&gt;0))=0,"",IF(SUMPRODUCT((Aus_Tec=$B15)*(Aus_Ini&lt;=I$2)*(Aus_Fim&gt;=I$2)*(Aus_Cod&gt;0))&gt;1,"!",IFERROR(INDEX(Aus_Siglas,SUMPRODUCT((Aus_Tec=$B15)*(Aus_Ini&lt;=I$2)*(Aus_Fim&gt;=I$2)*Aus_Cod)),"!"))))</f>
        <v/>
      </c>
      <c r="J15" s="15">
        <f>IF(OR($B15="",J$2=""),"",IF(SUMPRODUCT((Aus_Tec=$B15)*(Aus_Ini&lt;=J$2)*(Aus_Fim&gt;=J$2)*(Aus_Cod&gt;0))=0,"",IF(SUMPRODUCT((Aus_Tec=$B15)*(Aus_Ini&lt;=J$2)*(Aus_Fim&gt;=J$2)*(Aus_Cod&gt;0))&gt;1,"!",IFERROR(INDEX(Aus_Siglas,SUMPRODUCT((Aus_Tec=$B15)*(Aus_Ini&lt;=J$2)*(Aus_Fim&gt;=J$2)*Aus_Cod)),"!"))))</f>
        <v/>
      </c>
      <c r="K15" s="15">
        <f>IF(OR($B15="",K$2=""),"",IF(SUMPRODUCT((Aus_Tec=$B15)*(Aus_Ini&lt;=K$2)*(Aus_Fim&gt;=K$2)*(Aus_Cod&gt;0))=0,"",IF(SUMPRODUCT((Aus_Tec=$B15)*(Aus_Ini&lt;=K$2)*(Aus_Fim&gt;=K$2)*(Aus_Cod&gt;0))&gt;1,"!",IFERROR(INDEX(Aus_Siglas,SUMPRODUCT((Aus_Tec=$B15)*(Aus_Ini&lt;=K$2)*(Aus_Fim&gt;=K$2)*Aus_Cod)),"!"))))</f>
        <v/>
      </c>
      <c r="L15" s="15">
        <f>IF(OR($B15="",L$2=""),"",IF(SUMPRODUCT((Aus_Tec=$B15)*(Aus_Ini&lt;=L$2)*(Aus_Fim&gt;=L$2)*(Aus_Cod&gt;0))=0,"",IF(SUMPRODUCT((Aus_Tec=$B15)*(Aus_Ini&lt;=L$2)*(Aus_Fim&gt;=L$2)*(Aus_Cod&gt;0))&gt;1,"!",IFERROR(INDEX(Aus_Siglas,SUMPRODUCT((Aus_Tec=$B15)*(Aus_Ini&lt;=L$2)*(Aus_Fim&gt;=L$2)*Aus_Cod)),"!"))))</f>
        <v/>
      </c>
      <c r="M15" s="15">
        <f>IF(OR($B15="",M$2=""),"",IF(SUMPRODUCT((Aus_Tec=$B15)*(Aus_Ini&lt;=M$2)*(Aus_Fim&gt;=M$2)*(Aus_Cod&gt;0))=0,"",IF(SUMPRODUCT((Aus_Tec=$B15)*(Aus_Ini&lt;=M$2)*(Aus_Fim&gt;=M$2)*(Aus_Cod&gt;0))&gt;1,"!",IFERROR(INDEX(Aus_Siglas,SUMPRODUCT((Aus_Tec=$B15)*(Aus_Ini&lt;=M$2)*(Aus_Fim&gt;=M$2)*Aus_Cod)),"!"))))</f>
        <v/>
      </c>
      <c r="N15" s="15">
        <f>IF(OR($B15="",N$2=""),"",IF(SUMPRODUCT((Aus_Tec=$B15)*(Aus_Ini&lt;=N$2)*(Aus_Fim&gt;=N$2)*(Aus_Cod&gt;0))=0,"",IF(SUMPRODUCT((Aus_Tec=$B15)*(Aus_Ini&lt;=N$2)*(Aus_Fim&gt;=N$2)*(Aus_Cod&gt;0))&gt;1,"!",IFERROR(INDEX(Aus_Siglas,SUMPRODUCT((Aus_Tec=$B15)*(Aus_Ini&lt;=N$2)*(Aus_Fim&gt;=N$2)*Aus_Cod)),"!"))))</f>
        <v/>
      </c>
      <c r="O15" s="15">
        <f>IF(OR($B15="",O$2=""),"",IF(SUMPRODUCT((Aus_Tec=$B15)*(Aus_Ini&lt;=O$2)*(Aus_Fim&gt;=O$2)*(Aus_Cod&gt;0))=0,"",IF(SUMPRODUCT((Aus_Tec=$B15)*(Aus_Ini&lt;=O$2)*(Aus_Fim&gt;=O$2)*(Aus_Cod&gt;0))&gt;1,"!",IFERROR(INDEX(Aus_Siglas,SUMPRODUCT((Aus_Tec=$B15)*(Aus_Ini&lt;=O$2)*(Aus_Fim&gt;=O$2)*Aus_Cod)),"!"))))</f>
        <v/>
      </c>
      <c r="P15" s="15">
        <f>IF(OR($B15="",P$2=""),"",IF(SUMPRODUCT((Aus_Tec=$B15)*(Aus_Ini&lt;=P$2)*(Aus_Fim&gt;=P$2)*(Aus_Cod&gt;0))=0,"",IF(SUMPRODUCT((Aus_Tec=$B15)*(Aus_Ini&lt;=P$2)*(Aus_Fim&gt;=P$2)*(Aus_Cod&gt;0))&gt;1,"!",IFERROR(INDEX(Aus_Siglas,SUMPRODUCT((Aus_Tec=$B15)*(Aus_Ini&lt;=P$2)*(Aus_Fim&gt;=P$2)*Aus_Cod)),"!"))))</f>
        <v/>
      </c>
      <c r="Q15" s="15">
        <f>IF(OR($B15="",Q$2=""),"",IF(SUMPRODUCT((Aus_Tec=$B15)*(Aus_Ini&lt;=Q$2)*(Aus_Fim&gt;=Q$2)*(Aus_Cod&gt;0))=0,"",IF(SUMPRODUCT((Aus_Tec=$B15)*(Aus_Ini&lt;=Q$2)*(Aus_Fim&gt;=Q$2)*(Aus_Cod&gt;0))&gt;1,"!",IFERROR(INDEX(Aus_Siglas,SUMPRODUCT((Aus_Tec=$B15)*(Aus_Ini&lt;=Q$2)*(Aus_Fim&gt;=Q$2)*Aus_Cod)),"!"))))</f>
        <v/>
      </c>
      <c r="R15" s="15">
        <f>IF(OR($B15="",R$2=""),"",IF(SUMPRODUCT((Aus_Tec=$B15)*(Aus_Ini&lt;=R$2)*(Aus_Fim&gt;=R$2)*(Aus_Cod&gt;0))=0,"",IF(SUMPRODUCT((Aus_Tec=$B15)*(Aus_Ini&lt;=R$2)*(Aus_Fim&gt;=R$2)*(Aus_Cod&gt;0))&gt;1,"!",IFERROR(INDEX(Aus_Siglas,SUMPRODUCT((Aus_Tec=$B15)*(Aus_Ini&lt;=R$2)*(Aus_Fim&gt;=R$2)*Aus_Cod)),"!"))))</f>
        <v/>
      </c>
      <c r="S15" s="15">
        <f>IF(OR($B15="",S$2=""),"",IF(SUMPRODUCT((Aus_Tec=$B15)*(Aus_Ini&lt;=S$2)*(Aus_Fim&gt;=S$2)*(Aus_Cod&gt;0))=0,"",IF(SUMPRODUCT((Aus_Tec=$B15)*(Aus_Ini&lt;=S$2)*(Aus_Fim&gt;=S$2)*(Aus_Cod&gt;0))&gt;1,"!",IFERROR(INDEX(Aus_Siglas,SUMPRODUCT((Aus_Tec=$B15)*(Aus_Ini&lt;=S$2)*(Aus_Fim&gt;=S$2)*Aus_Cod)),"!"))))</f>
        <v/>
      </c>
      <c r="T15" s="15">
        <f>IF(OR($B15="",T$2=""),"",IF(SUMPRODUCT((Aus_Tec=$B15)*(Aus_Ini&lt;=T$2)*(Aus_Fim&gt;=T$2)*(Aus_Cod&gt;0))=0,"",IF(SUMPRODUCT((Aus_Tec=$B15)*(Aus_Ini&lt;=T$2)*(Aus_Fim&gt;=T$2)*(Aus_Cod&gt;0))&gt;1,"!",IFERROR(INDEX(Aus_Siglas,SUMPRODUCT((Aus_Tec=$B15)*(Aus_Ini&lt;=T$2)*(Aus_Fim&gt;=T$2)*Aus_Cod)),"!"))))</f>
        <v/>
      </c>
      <c r="U15" s="15">
        <f>IF(OR($B15="",U$2=""),"",IF(SUMPRODUCT((Aus_Tec=$B15)*(Aus_Ini&lt;=U$2)*(Aus_Fim&gt;=U$2)*(Aus_Cod&gt;0))=0,"",IF(SUMPRODUCT((Aus_Tec=$B15)*(Aus_Ini&lt;=U$2)*(Aus_Fim&gt;=U$2)*(Aus_Cod&gt;0))&gt;1,"!",IFERROR(INDEX(Aus_Siglas,SUMPRODUCT((Aus_Tec=$B15)*(Aus_Ini&lt;=U$2)*(Aus_Fim&gt;=U$2)*Aus_Cod)),"!"))))</f>
        <v/>
      </c>
      <c r="V15" s="15">
        <f>IF(OR($B15="",V$2=""),"",IF(SUMPRODUCT((Aus_Tec=$B15)*(Aus_Ini&lt;=V$2)*(Aus_Fim&gt;=V$2)*(Aus_Cod&gt;0))=0,"",IF(SUMPRODUCT((Aus_Tec=$B15)*(Aus_Ini&lt;=V$2)*(Aus_Fim&gt;=V$2)*(Aus_Cod&gt;0))&gt;1,"!",IFERROR(INDEX(Aus_Siglas,SUMPRODUCT((Aus_Tec=$B15)*(Aus_Ini&lt;=V$2)*(Aus_Fim&gt;=V$2)*Aus_Cod)),"!"))))</f>
        <v/>
      </c>
      <c r="W15" s="15">
        <f>IF(OR($B15="",W$2=""),"",IF(SUMPRODUCT((Aus_Tec=$B15)*(Aus_Ini&lt;=W$2)*(Aus_Fim&gt;=W$2)*(Aus_Cod&gt;0))=0,"",IF(SUMPRODUCT((Aus_Tec=$B15)*(Aus_Ini&lt;=W$2)*(Aus_Fim&gt;=W$2)*(Aus_Cod&gt;0))&gt;1,"!",IFERROR(INDEX(Aus_Siglas,SUMPRODUCT((Aus_Tec=$B15)*(Aus_Ini&lt;=W$2)*(Aus_Fim&gt;=W$2)*Aus_Cod)),"!"))))</f>
        <v/>
      </c>
      <c r="X15" s="15">
        <f>IF(OR($B15="",X$2=""),"",IF(SUMPRODUCT((Aus_Tec=$B15)*(Aus_Ini&lt;=X$2)*(Aus_Fim&gt;=X$2)*(Aus_Cod&gt;0))=0,"",IF(SUMPRODUCT((Aus_Tec=$B15)*(Aus_Ini&lt;=X$2)*(Aus_Fim&gt;=X$2)*(Aus_Cod&gt;0))&gt;1,"!",IFERROR(INDEX(Aus_Siglas,SUMPRODUCT((Aus_Tec=$B15)*(Aus_Ini&lt;=X$2)*(Aus_Fim&gt;=X$2)*Aus_Cod)),"!"))))</f>
        <v/>
      </c>
      <c r="Y15" s="15">
        <f>IF(OR($B15="",Y$2=""),"",IF(SUMPRODUCT((Aus_Tec=$B15)*(Aus_Ini&lt;=Y$2)*(Aus_Fim&gt;=Y$2)*(Aus_Cod&gt;0))=0,"",IF(SUMPRODUCT((Aus_Tec=$B15)*(Aus_Ini&lt;=Y$2)*(Aus_Fim&gt;=Y$2)*(Aus_Cod&gt;0))&gt;1,"!",IFERROR(INDEX(Aus_Siglas,SUMPRODUCT((Aus_Tec=$B15)*(Aus_Ini&lt;=Y$2)*(Aus_Fim&gt;=Y$2)*Aus_Cod)),"!"))))</f>
        <v/>
      </c>
      <c r="Z15" s="15">
        <f>IF(OR($B15="",Z$2=""),"",IF(SUMPRODUCT((Aus_Tec=$B15)*(Aus_Ini&lt;=Z$2)*(Aus_Fim&gt;=Z$2)*(Aus_Cod&gt;0))=0,"",IF(SUMPRODUCT((Aus_Tec=$B15)*(Aus_Ini&lt;=Z$2)*(Aus_Fim&gt;=Z$2)*(Aus_Cod&gt;0))&gt;1,"!",IFERROR(INDEX(Aus_Siglas,SUMPRODUCT((Aus_Tec=$B15)*(Aus_Ini&lt;=Z$2)*(Aus_Fim&gt;=Z$2)*Aus_Cod)),"!"))))</f>
        <v/>
      </c>
      <c r="AA15" s="15">
        <f>IF(OR($B15="",AA$2=""),"",IF(SUMPRODUCT((Aus_Tec=$B15)*(Aus_Ini&lt;=AA$2)*(Aus_Fim&gt;=AA$2)*(Aus_Cod&gt;0))=0,"",IF(SUMPRODUCT((Aus_Tec=$B15)*(Aus_Ini&lt;=AA$2)*(Aus_Fim&gt;=AA$2)*(Aus_Cod&gt;0))&gt;1,"!",IFERROR(INDEX(Aus_Siglas,SUMPRODUCT((Aus_Tec=$B15)*(Aus_Ini&lt;=AA$2)*(Aus_Fim&gt;=AA$2)*Aus_Cod)),"!"))))</f>
        <v/>
      </c>
      <c r="AB15" s="15">
        <f>IF(OR($B15="",AB$2=""),"",IF(SUMPRODUCT((Aus_Tec=$B15)*(Aus_Ini&lt;=AB$2)*(Aus_Fim&gt;=AB$2)*(Aus_Cod&gt;0))=0,"",IF(SUMPRODUCT((Aus_Tec=$B15)*(Aus_Ini&lt;=AB$2)*(Aus_Fim&gt;=AB$2)*(Aus_Cod&gt;0))&gt;1,"!",IFERROR(INDEX(Aus_Siglas,SUMPRODUCT((Aus_Tec=$B15)*(Aus_Ini&lt;=AB$2)*(Aus_Fim&gt;=AB$2)*Aus_Cod)),"!"))))</f>
        <v/>
      </c>
      <c r="AC15" s="15">
        <f>IF(OR($B15="",AC$2=""),"",IF(SUMPRODUCT((Aus_Tec=$B15)*(Aus_Ini&lt;=AC$2)*(Aus_Fim&gt;=AC$2)*(Aus_Cod&gt;0))=0,"",IF(SUMPRODUCT((Aus_Tec=$B15)*(Aus_Ini&lt;=AC$2)*(Aus_Fim&gt;=AC$2)*(Aus_Cod&gt;0))&gt;1,"!",IFERROR(INDEX(Aus_Siglas,SUMPRODUCT((Aus_Tec=$B15)*(Aus_Ini&lt;=AC$2)*(Aus_Fim&gt;=AC$2)*Aus_Cod)),"!"))))</f>
        <v/>
      </c>
      <c r="AD15" s="15">
        <f>IF(OR($B15="",AD$2=""),"",IF(SUMPRODUCT((Aus_Tec=$B15)*(Aus_Ini&lt;=AD$2)*(Aus_Fim&gt;=AD$2)*(Aus_Cod&gt;0))=0,"",IF(SUMPRODUCT((Aus_Tec=$B15)*(Aus_Ini&lt;=AD$2)*(Aus_Fim&gt;=AD$2)*(Aus_Cod&gt;0))&gt;1,"!",IFERROR(INDEX(Aus_Siglas,SUMPRODUCT((Aus_Tec=$B15)*(Aus_Ini&lt;=AD$2)*(Aus_Fim&gt;=AD$2)*Aus_Cod)),"!"))))</f>
        <v/>
      </c>
      <c r="AE15" s="15">
        <f>IF(OR($B15="",AE$2=""),"",IF(SUMPRODUCT((Aus_Tec=$B15)*(Aus_Ini&lt;=AE$2)*(Aus_Fim&gt;=AE$2)*(Aus_Cod&gt;0))=0,"",IF(SUMPRODUCT((Aus_Tec=$B15)*(Aus_Ini&lt;=AE$2)*(Aus_Fim&gt;=AE$2)*(Aus_Cod&gt;0))&gt;1,"!",IFERROR(INDEX(Aus_Siglas,SUMPRODUCT((Aus_Tec=$B15)*(Aus_Ini&lt;=AE$2)*(Aus_Fim&gt;=AE$2)*Aus_Cod)),"!"))))</f>
        <v/>
      </c>
      <c r="AF15" s="15">
        <f>IF(OR($B15="",AF$2=""),"",IF(SUMPRODUCT((Aus_Tec=$B15)*(Aus_Ini&lt;=AF$2)*(Aus_Fim&gt;=AF$2)*(Aus_Cod&gt;0))=0,"",IF(SUMPRODUCT((Aus_Tec=$B15)*(Aus_Ini&lt;=AF$2)*(Aus_Fim&gt;=AF$2)*(Aus_Cod&gt;0))&gt;1,"!",IFERROR(INDEX(Aus_Siglas,SUMPRODUCT((Aus_Tec=$B15)*(Aus_Ini&lt;=AF$2)*(Aus_Fim&gt;=AF$2)*Aus_Cod)),"!"))))</f>
        <v/>
      </c>
      <c r="AG15" s="15">
        <f>IF(OR($B15="",AG$2=""),"",IF(SUMPRODUCT((Aus_Tec=$B15)*(Aus_Ini&lt;=AG$2)*(Aus_Fim&gt;=AG$2)*(Aus_Cod&gt;0))=0,"",IF(SUMPRODUCT((Aus_Tec=$B15)*(Aus_Ini&lt;=AG$2)*(Aus_Fim&gt;=AG$2)*(Aus_Cod&gt;0))&gt;1,"!",IFERROR(INDEX(Aus_Siglas,SUMPRODUCT((Aus_Tec=$B15)*(Aus_Ini&lt;=AG$2)*(Aus_Fim&gt;=AG$2)*Aus_Cod)),"!"))))</f>
        <v/>
      </c>
      <c r="AH15" s="37">
        <f>IF($B15="","",COUNTIF($C15:$AG15,"F"))</f>
        <v/>
      </c>
      <c r="AI15" s="37">
        <f>IF($B15="","",COUNTIF($C15:$AG15,"D"))</f>
        <v/>
      </c>
      <c r="AJ15" s="37">
        <f>IF($B15="","",COUNTIF($C15:$AG15,"A"))</f>
        <v/>
      </c>
      <c r="AK15" s="37">
        <f>IF($B15="","",SUMPRODUCT(($C15:$AG15&lt;&gt;"")*1))</f>
        <v/>
      </c>
    </row>
    <row r="16">
      <c r="A16" s="33">
        <f>IF('Equipe'!A14="","",'Equipe'!A14)</f>
        <v/>
      </c>
      <c r="B16" s="34">
        <f>IF('Equipe'!B14="","",'Equipe'!B14)</f>
        <v/>
      </c>
      <c r="C16" s="15">
        <f>IF(OR($B16="",C$2=""),"",IF(SUMPRODUCT((Aus_Tec=$B16)*(Aus_Ini&lt;=C$2)*(Aus_Fim&gt;=C$2)*(Aus_Cod&gt;0))=0,"",IF(SUMPRODUCT((Aus_Tec=$B16)*(Aus_Ini&lt;=C$2)*(Aus_Fim&gt;=C$2)*(Aus_Cod&gt;0))&gt;1,"!",IFERROR(INDEX(Aus_Siglas,SUMPRODUCT((Aus_Tec=$B16)*(Aus_Ini&lt;=C$2)*(Aus_Fim&gt;=C$2)*Aus_Cod)),"!"))))</f>
        <v/>
      </c>
      <c r="D16" s="15">
        <f>IF(OR($B16="",D$2=""),"",IF(SUMPRODUCT((Aus_Tec=$B16)*(Aus_Ini&lt;=D$2)*(Aus_Fim&gt;=D$2)*(Aus_Cod&gt;0))=0,"",IF(SUMPRODUCT((Aus_Tec=$B16)*(Aus_Ini&lt;=D$2)*(Aus_Fim&gt;=D$2)*(Aus_Cod&gt;0))&gt;1,"!",IFERROR(INDEX(Aus_Siglas,SUMPRODUCT((Aus_Tec=$B16)*(Aus_Ini&lt;=D$2)*(Aus_Fim&gt;=D$2)*Aus_Cod)),"!"))))</f>
        <v/>
      </c>
      <c r="E16" s="15">
        <f>IF(OR($B16="",E$2=""),"",IF(SUMPRODUCT((Aus_Tec=$B16)*(Aus_Ini&lt;=E$2)*(Aus_Fim&gt;=E$2)*(Aus_Cod&gt;0))=0,"",IF(SUMPRODUCT((Aus_Tec=$B16)*(Aus_Ini&lt;=E$2)*(Aus_Fim&gt;=E$2)*(Aus_Cod&gt;0))&gt;1,"!",IFERROR(INDEX(Aus_Siglas,SUMPRODUCT((Aus_Tec=$B16)*(Aus_Ini&lt;=E$2)*(Aus_Fim&gt;=E$2)*Aus_Cod)),"!"))))</f>
        <v/>
      </c>
      <c r="F16" s="15">
        <f>IF(OR($B16="",F$2=""),"",IF(SUMPRODUCT((Aus_Tec=$B16)*(Aus_Ini&lt;=F$2)*(Aus_Fim&gt;=F$2)*(Aus_Cod&gt;0))=0,"",IF(SUMPRODUCT((Aus_Tec=$B16)*(Aus_Ini&lt;=F$2)*(Aus_Fim&gt;=F$2)*(Aus_Cod&gt;0))&gt;1,"!",IFERROR(INDEX(Aus_Siglas,SUMPRODUCT((Aus_Tec=$B16)*(Aus_Ini&lt;=F$2)*(Aus_Fim&gt;=F$2)*Aus_Cod)),"!"))))</f>
        <v/>
      </c>
      <c r="G16" s="15">
        <f>IF(OR($B16="",G$2=""),"",IF(SUMPRODUCT((Aus_Tec=$B16)*(Aus_Ini&lt;=G$2)*(Aus_Fim&gt;=G$2)*(Aus_Cod&gt;0))=0,"",IF(SUMPRODUCT((Aus_Tec=$B16)*(Aus_Ini&lt;=G$2)*(Aus_Fim&gt;=G$2)*(Aus_Cod&gt;0))&gt;1,"!",IFERROR(INDEX(Aus_Siglas,SUMPRODUCT((Aus_Tec=$B16)*(Aus_Ini&lt;=G$2)*(Aus_Fim&gt;=G$2)*Aus_Cod)),"!"))))</f>
        <v/>
      </c>
      <c r="H16" s="15">
        <f>IF(OR($B16="",H$2=""),"",IF(SUMPRODUCT((Aus_Tec=$B16)*(Aus_Ini&lt;=H$2)*(Aus_Fim&gt;=H$2)*(Aus_Cod&gt;0))=0,"",IF(SUMPRODUCT((Aus_Tec=$B16)*(Aus_Ini&lt;=H$2)*(Aus_Fim&gt;=H$2)*(Aus_Cod&gt;0))&gt;1,"!",IFERROR(INDEX(Aus_Siglas,SUMPRODUCT((Aus_Tec=$B16)*(Aus_Ini&lt;=H$2)*(Aus_Fim&gt;=H$2)*Aus_Cod)),"!"))))</f>
        <v/>
      </c>
      <c r="I16" s="15">
        <f>IF(OR($B16="",I$2=""),"",IF(SUMPRODUCT((Aus_Tec=$B16)*(Aus_Ini&lt;=I$2)*(Aus_Fim&gt;=I$2)*(Aus_Cod&gt;0))=0,"",IF(SUMPRODUCT((Aus_Tec=$B16)*(Aus_Ini&lt;=I$2)*(Aus_Fim&gt;=I$2)*(Aus_Cod&gt;0))&gt;1,"!",IFERROR(INDEX(Aus_Siglas,SUMPRODUCT((Aus_Tec=$B16)*(Aus_Ini&lt;=I$2)*(Aus_Fim&gt;=I$2)*Aus_Cod)),"!"))))</f>
        <v/>
      </c>
      <c r="J16" s="15">
        <f>IF(OR($B16="",J$2=""),"",IF(SUMPRODUCT((Aus_Tec=$B16)*(Aus_Ini&lt;=J$2)*(Aus_Fim&gt;=J$2)*(Aus_Cod&gt;0))=0,"",IF(SUMPRODUCT((Aus_Tec=$B16)*(Aus_Ini&lt;=J$2)*(Aus_Fim&gt;=J$2)*(Aus_Cod&gt;0))&gt;1,"!",IFERROR(INDEX(Aus_Siglas,SUMPRODUCT((Aus_Tec=$B16)*(Aus_Ini&lt;=J$2)*(Aus_Fim&gt;=J$2)*Aus_Cod)),"!"))))</f>
        <v/>
      </c>
      <c r="K16" s="15">
        <f>IF(OR($B16="",K$2=""),"",IF(SUMPRODUCT((Aus_Tec=$B16)*(Aus_Ini&lt;=K$2)*(Aus_Fim&gt;=K$2)*(Aus_Cod&gt;0))=0,"",IF(SUMPRODUCT((Aus_Tec=$B16)*(Aus_Ini&lt;=K$2)*(Aus_Fim&gt;=K$2)*(Aus_Cod&gt;0))&gt;1,"!",IFERROR(INDEX(Aus_Siglas,SUMPRODUCT((Aus_Tec=$B16)*(Aus_Ini&lt;=K$2)*(Aus_Fim&gt;=K$2)*Aus_Cod)),"!"))))</f>
        <v/>
      </c>
      <c r="L16" s="15">
        <f>IF(OR($B16="",L$2=""),"",IF(SUMPRODUCT((Aus_Tec=$B16)*(Aus_Ini&lt;=L$2)*(Aus_Fim&gt;=L$2)*(Aus_Cod&gt;0))=0,"",IF(SUMPRODUCT((Aus_Tec=$B16)*(Aus_Ini&lt;=L$2)*(Aus_Fim&gt;=L$2)*(Aus_Cod&gt;0))&gt;1,"!",IFERROR(INDEX(Aus_Siglas,SUMPRODUCT((Aus_Tec=$B16)*(Aus_Ini&lt;=L$2)*(Aus_Fim&gt;=L$2)*Aus_Cod)),"!"))))</f>
        <v/>
      </c>
      <c r="M16" s="15">
        <f>IF(OR($B16="",M$2=""),"",IF(SUMPRODUCT((Aus_Tec=$B16)*(Aus_Ini&lt;=M$2)*(Aus_Fim&gt;=M$2)*(Aus_Cod&gt;0))=0,"",IF(SUMPRODUCT((Aus_Tec=$B16)*(Aus_Ini&lt;=M$2)*(Aus_Fim&gt;=M$2)*(Aus_Cod&gt;0))&gt;1,"!",IFERROR(INDEX(Aus_Siglas,SUMPRODUCT((Aus_Tec=$B16)*(Aus_Ini&lt;=M$2)*(Aus_Fim&gt;=M$2)*Aus_Cod)),"!"))))</f>
        <v/>
      </c>
      <c r="N16" s="15">
        <f>IF(OR($B16="",N$2=""),"",IF(SUMPRODUCT((Aus_Tec=$B16)*(Aus_Ini&lt;=N$2)*(Aus_Fim&gt;=N$2)*(Aus_Cod&gt;0))=0,"",IF(SUMPRODUCT((Aus_Tec=$B16)*(Aus_Ini&lt;=N$2)*(Aus_Fim&gt;=N$2)*(Aus_Cod&gt;0))&gt;1,"!",IFERROR(INDEX(Aus_Siglas,SUMPRODUCT((Aus_Tec=$B16)*(Aus_Ini&lt;=N$2)*(Aus_Fim&gt;=N$2)*Aus_Cod)),"!"))))</f>
        <v/>
      </c>
      <c r="O16" s="15">
        <f>IF(OR($B16="",O$2=""),"",IF(SUMPRODUCT((Aus_Tec=$B16)*(Aus_Ini&lt;=O$2)*(Aus_Fim&gt;=O$2)*(Aus_Cod&gt;0))=0,"",IF(SUMPRODUCT((Aus_Tec=$B16)*(Aus_Ini&lt;=O$2)*(Aus_Fim&gt;=O$2)*(Aus_Cod&gt;0))&gt;1,"!",IFERROR(INDEX(Aus_Siglas,SUMPRODUCT((Aus_Tec=$B16)*(Aus_Ini&lt;=O$2)*(Aus_Fim&gt;=O$2)*Aus_Cod)),"!"))))</f>
        <v/>
      </c>
      <c r="P16" s="15">
        <f>IF(OR($B16="",P$2=""),"",IF(SUMPRODUCT((Aus_Tec=$B16)*(Aus_Ini&lt;=P$2)*(Aus_Fim&gt;=P$2)*(Aus_Cod&gt;0))=0,"",IF(SUMPRODUCT((Aus_Tec=$B16)*(Aus_Ini&lt;=P$2)*(Aus_Fim&gt;=P$2)*(Aus_Cod&gt;0))&gt;1,"!",IFERROR(INDEX(Aus_Siglas,SUMPRODUCT((Aus_Tec=$B16)*(Aus_Ini&lt;=P$2)*(Aus_Fim&gt;=P$2)*Aus_Cod)),"!"))))</f>
        <v/>
      </c>
      <c r="Q16" s="15">
        <f>IF(OR($B16="",Q$2=""),"",IF(SUMPRODUCT((Aus_Tec=$B16)*(Aus_Ini&lt;=Q$2)*(Aus_Fim&gt;=Q$2)*(Aus_Cod&gt;0))=0,"",IF(SUMPRODUCT((Aus_Tec=$B16)*(Aus_Ini&lt;=Q$2)*(Aus_Fim&gt;=Q$2)*(Aus_Cod&gt;0))&gt;1,"!",IFERROR(INDEX(Aus_Siglas,SUMPRODUCT((Aus_Tec=$B16)*(Aus_Ini&lt;=Q$2)*(Aus_Fim&gt;=Q$2)*Aus_Cod)),"!"))))</f>
        <v/>
      </c>
      <c r="R16" s="15">
        <f>IF(OR($B16="",R$2=""),"",IF(SUMPRODUCT((Aus_Tec=$B16)*(Aus_Ini&lt;=R$2)*(Aus_Fim&gt;=R$2)*(Aus_Cod&gt;0))=0,"",IF(SUMPRODUCT((Aus_Tec=$B16)*(Aus_Ini&lt;=R$2)*(Aus_Fim&gt;=R$2)*(Aus_Cod&gt;0))&gt;1,"!",IFERROR(INDEX(Aus_Siglas,SUMPRODUCT((Aus_Tec=$B16)*(Aus_Ini&lt;=R$2)*(Aus_Fim&gt;=R$2)*Aus_Cod)),"!"))))</f>
        <v/>
      </c>
      <c r="S16" s="15">
        <f>IF(OR($B16="",S$2=""),"",IF(SUMPRODUCT((Aus_Tec=$B16)*(Aus_Ini&lt;=S$2)*(Aus_Fim&gt;=S$2)*(Aus_Cod&gt;0))=0,"",IF(SUMPRODUCT((Aus_Tec=$B16)*(Aus_Ini&lt;=S$2)*(Aus_Fim&gt;=S$2)*(Aus_Cod&gt;0))&gt;1,"!",IFERROR(INDEX(Aus_Siglas,SUMPRODUCT((Aus_Tec=$B16)*(Aus_Ini&lt;=S$2)*(Aus_Fim&gt;=S$2)*Aus_Cod)),"!"))))</f>
        <v/>
      </c>
      <c r="T16" s="15">
        <f>IF(OR($B16="",T$2=""),"",IF(SUMPRODUCT((Aus_Tec=$B16)*(Aus_Ini&lt;=T$2)*(Aus_Fim&gt;=T$2)*(Aus_Cod&gt;0))=0,"",IF(SUMPRODUCT((Aus_Tec=$B16)*(Aus_Ini&lt;=T$2)*(Aus_Fim&gt;=T$2)*(Aus_Cod&gt;0))&gt;1,"!",IFERROR(INDEX(Aus_Siglas,SUMPRODUCT((Aus_Tec=$B16)*(Aus_Ini&lt;=T$2)*(Aus_Fim&gt;=T$2)*Aus_Cod)),"!"))))</f>
        <v/>
      </c>
      <c r="U16" s="15">
        <f>IF(OR($B16="",U$2=""),"",IF(SUMPRODUCT((Aus_Tec=$B16)*(Aus_Ini&lt;=U$2)*(Aus_Fim&gt;=U$2)*(Aus_Cod&gt;0))=0,"",IF(SUMPRODUCT((Aus_Tec=$B16)*(Aus_Ini&lt;=U$2)*(Aus_Fim&gt;=U$2)*(Aus_Cod&gt;0))&gt;1,"!",IFERROR(INDEX(Aus_Siglas,SUMPRODUCT((Aus_Tec=$B16)*(Aus_Ini&lt;=U$2)*(Aus_Fim&gt;=U$2)*Aus_Cod)),"!"))))</f>
        <v/>
      </c>
      <c r="V16" s="15">
        <f>IF(OR($B16="",V$2=""),"",IF(SUMPRODUCT((Aus_Tec=$B16)*(Aus_Ini&lt;=V$2)*(Aus_Fim&gt;=V$2)*(Aus_Cod&gt;0))=0,"",IF(SUMPRODUCT((Aus_Tec=$B16)*(Aus_Ini&lt;=V$2)*(Aus_Fim&gt;=V$2)*(Aus_Cod&gt;0))&gt;1,"!",IFERROR(INDEX(Aus_Siglas,SUMPRODUCT((Aus_Tec=$B16)*(Aus_Ini&lt;=V$2)*(Aus_Fim&gt;=V$2)*Aus_Cod)),"!"))))</f>
        <v/>
      </c>
      <c r="W16" s="15">
        <f>IF(OR($B16="",W$2=""),"",IF(SUMPRODUCT((Aus_Tec=$B16)*(Aus_Ini&lt;=W$2)*(Aus_Fim&gt;=W$2)*(Aus_Cod&gt;0))=0,"",IF(SUMPRODUCT((Aus_Tec=$B16)*(Aus_Ini&lt;=W$2)*(Aus_Fim&gt;=W$2)*(Aus_Cod&gt;0))&gt;1,"!",IFERROR(INDEX(Aus_Siglas,SUMPRODUCT((Aus_Tec=$B16)*(Aus_Ini&lt;=W$2)*(Aus_Fim&gt;=W$2)*Aus_Cod)),"!"))))</f>
        <v/>
      </c>
      <c r="X16" s="15">
        <f>IF(OR($B16="",X$2=""),"",IF(SUMPRODUCT((Aus_Tec=$B16)*(Aus_Ini&lt;=X$2)*(Aus_Fim&gt;=X$2)*(Aus_Cod&gt;0))=0,"",IF(SUMPRODUCT((Aus_Tec=$B16)*(Aus_Ini&lt;=X$2)*(Aus_Fim&gt;=X$2)*(Aus_Cod&gt;0))&gt;1,"!",IFERROR(INDEX(Aus_Siglas,SUMPRODUCT((Aus_Tec=$B16)*(Aus_Ini&lt;=X$2)*(Aus_Fim&gt;=X$2)*Aus_Cod)),"!"))))</f>
        <v/>
      </c>
      <c r="Y16" s="15">
        <f>IF(OR($B16="",Y$2=""),"",IF(SUMPRODUCT((Aus_Tec=$B16)*(Aus_Ini&lt;=Y$2)*(Aus_Fim&gt;=Y$2)*(Aus_Cod&gt;0))=0,"",IF(SUMPRODUCT((Aus_Tec=$B16)*(Aus_Ini&lt;=Y$2)*(Aus_Fim&gt;=Y$2)*(Aus_Cod&gt;0))&gt;1,"!",IFERROR(INDEX(Aus_Siglas,SUMPRODUCT((Aus_Tec=$B16)*(Aus_Ini&lt;=Y$2)*(Aus_Fim&gt;=Y$2)*Aus_Cod)),"!"))))</f>
        <v/>
      </c>
      <c r="Z16" s="15">
        <f>IF(OR($B16="",Z$2=""),"",IF(SUMPRODUCT((Aus_Tec=$B16)*(Aus_Ini&lt;=Z$2)*(Aus_Fim&gt;=Z$2)*(Aus_Cod&gt;0))=0,"",IF(SUMPRODUCT((Aus_Tec=$B16)*(Aus_Ini&lt;=Z$2)*(Aus_Fim&gt;=Z$2)*(Aus_Cod&gt;0))&gt;1,"!",IFERROR(INDEX(Aus_Siglas,SUMPRODUCT((Aus_Tec=$B16)*(Aus_Ini&lt;=Z$2)*(Aus_Fim&gt;=Z$2)*Aus_Cod)),"!"))))</f>
        <v/>
      </c>
      <c r="AA16" s="15">
        <f>IF(OR($B16="",AA$2=""),"",IF(SUMPRODUCT((Aus_Tec=$B16)*(Aus_Ini&lt;=AA$2)*(Aus_Fim&gt;=AA$2)*(Aus_Cod&gt;0))=0,"",IF(SUMPRODUCT((Aus_Tec=$B16)*(Aus_Ini&lt;=AA$2)*(Aus_Fim&gt;=AA$2)*(Aus_Cod&gt;0))&gt;1,"!",IFERROR(INDEX(Aus_Siglas,SUMPRODUCT((Aus_Tec=$B16)*(Aus_Ini&lt;=AA$2)*(Aus_Fim&gt;=AA$2)*Aus_Cod)),"!"))))</f>
        <v/>
      </c>
      <c r="AB16" s="15">
        <f>IF(OR($B16="",AB$2=""),"",IF(SUMPRODUCT((Aus_Tec=$B16)*(Aus_Ini&lt;=AB$2)*(Aus_Fim&gt;=AB$2)*(Aus_Cod&gt;0))=0,"",IF(SUMPRODUCT((Aus_Tec=$B16)*(Aus_Ini&lt;=AB$2)*(Aus_Fim&gt;=AB$2)*(Aus_Cod&gt;0))&gt;1,"!",IFERROR(INDEX(Aus_Siglas,SUMPRODUCT((Aus_Tec=$B16)*(Aus_Ini&lt;=AB$2)*(Aus_Fim&gt;=AB$2)*Aus_Cod)),"!"))))</f>
        <v/>
      </c>
      <c r="AC16" s="15">
        <f>IF(OR($B16="",AC$2=""),"",IF(SUMPRODUCT((Aus_Tec=$B16)*(Aus_Ini&lt;=AC$2)*(Aus_Fim&gt;=AC$2)*(Aus_Cod&gt;0))=0,"",IF(SUMPRODUCT((Aus_Tec=$B16)*(Aus_Ini&lt;=AC$2)*(Aus_Fim&gt;=AC$2)*(Aus_Cod&gt;0))&gt;1,"!",IFERROR(INDEX(Aus_Siglas,SUMPRODUCT((Aus_Tec=$B16)*(Aus_Ini&lt;=AC$2)*(Aus_Fim&gt;=AC$2)*Aus_Cod)),"!"))))</f>
        <v/>
      </c>
      <c r="AD16" s="15">
        <f>IF(OR($B16="",AD$2=""),"",IF(SUMPRODUCT((Aus_Tec=$B16)*(Aus_Ini&lt;=AD$2)*(Aus_Fim&gt;=AD$2)*(Aus_Cod&gt;0))=0,"",IF(SUMPRODUCT((Aus_Tec=$B16)*(Aus_Ini&lt;=AD$2)*(Aus_Fim&gt;=AD$2)*(Aus_Cod&gt;0))&gt;1,"!",IFERROR(INDEX(Aus_Siglas,SUMPRODUCT((Aus_Tec=$B16)*(Aus_Ini&lt;=AD$2)*(Aus_Fim&gt;=AD$2)*Aus_Cod)),"!"))))</f>
        <v/>
      </c>
      <c r="AE16" s="15">
        <f>IF(OR($B16="",AE$2=""),"",IF(SUMPRODUCT((Aus_Tec=$B16)*(Aus_Ini&lt;=AE$2)*(Aus_Fim&gt;=AE$2)*(Aus_Cod&gt;0))=0,"",IF(SUMPRODUCT((Aus_Tec=$B16)*(Aus_Ini&lt;=AE$2)*(Aus_Fim&gt;=AE$2)*(Aus_Cod&gt;0))&gt;1,"!",IFERROR(INDEX(Aus_Siglas,SUMPRODUCT((Aus_Tec=$B16)*(Aus_Ini&lt;=AE$2)*(Aus_Fim&gt;=AE$2)*Aus_Cod)),"!"))))</f>
        <v/>
      </c>
      <c r="AF16" s="15">
        <f>IF(OR($B16="",AF$2=""),"",IF(SUMPRODUCT((Aus_Tec=$B16)*(Aus_Ini&lt;=AF$2)*(Aus_Fim&gt;=AF$2)*(Aus_Cod&gt;0))=0,"",IF(SUMPRODUCT((Aus_Tec=$B16)*(Aus_Ini&lt;=AF$2)*(Aus_Fim&gt;=AF$2)*(Aus_Cod&gt;0))&gt;1,"!",IFERROR(INDEX(Aus_Siglas,SUMPRODUCT((Aus_Tec=$B16)*(Aus_Ini&lt;=AF$2)*(Aus_Fim&gt;=AF$2)*Aus_Cod)),"!"))))</f>
        <v/>
      </c>
      <c r="AG16" s="15">
        <f>IF(OR($B16="",AG$2=""),"",IF(SUMPRODUCT((Aus_Tec=$B16)*(Aus_Ini&lt;=AG$2)*(Aus_Fim&gt;=AG$2)*(Aus_Cod&gt;0))=0,"",IF(SUMPRODUCT((Aus_Tec=$B16)*(Aus_Ini&lt;=AG$2)*(Aus_Fim&gt;=AG$2)*(Aus_Cod&gt;0))&gt;1,"!",IFERROR(INDEX(Aus_Siglas,SUMPRODUCT((Aus_Tec=$B16)*(Aus_Ini&lt;=AG$2)*(Aus_Fim&gt;=AG$2)*Aus_Cod)),"!"))))</f>
        <v/>
      </c>
      <c r="AH16" s="37">
        <f>IF($B16="","",COUNTIF($C16:$AG16,"F"))</f>
        <v/>
      </c>
      <c r="AI16" s="37">
        <f>IF($B16="","",COUNTIF($C16:$AG16,"D"))</f>
        <v/>
      </c>
      <c r="AJ16" s="37">
        <f>IF($B16="","",COUNTIF($C16:$AG16,"A"))</f>
        <v/>
      </c>
      <c r="AK16" s="37">
        <f>IF($B16="","",SUMPRODUCT(($C16:$AG16&lt;&gt;"")*1))</f>
        <v/>
      </c>
    </row>
    <row r="17">
      <c r="A17" s="33">
        <f>IF('Equipe'!A15="","",'Equipe'!A15)</f>
        <v/>
      </c>
      <c r="B17" s="34">
        <f>IF('Equipe'!B15="","",'Equipe'!B15)</f>
        <v/>
      </c>
      <c r="C17" s="15">
        <f>IF(OR($B17="",C$2=""),"",IF(SUMPRODUCT((Aus_Tec=$B17)*(Aus_Ini&lt;=C$2)*(Aus_Fim&gt;=C$2)*(Aus_Cod&gt;0))=0,"",IF(SUMPRODUCT((Aus_Tec=$B17)*(Aus_Ini&lt;=C$2)*(Aus_Fim&gt;=C$2)*(Aus_Cod&gt;0))&gt;1,"!",IFERROR(INDEX(Aus_Siglas,SUMPRODUCT((Aus_Tec=$B17)*(Aus_Ini&lt;=C$2)*(Aus_Fim&gt;=C$2)*Aus_Cod)),"!"))))</f>
        <v/>
      </c>
      <c r="D17" s="15">
        <f>IF(OR($B17="",D$2=""),"",IF(SUMPRODUCT((Aus_Tec=$B17)*(Aus_Ini&lt;=D$2)*(Aus_Fim&gt;=D$2)*(Aus_Cod&gt;0))=0,"",IF(SUMPRODUCT((Aus_Tec=$B17)*(Aus_Ini&lt;=D$2)*(Aus_Fim&gt;=D$2)*(Aus_Cod&gt;0))&gt;1,"!",IFERROR(INDEX(Aus_Siglas,SUMPRODUCT((Aus_Tec=$B17)*(Aus_Ini&lt;=D$2)*(Aus_Fim&gt;=D$2)*Aus_Cod)),"!"))))</f>
        <v/>
      </c>
      <c r="E17" s="15">
        <f>IF(OR($B17="",E$2=""),"",IF(SUMPRODUCT((Aus_Tec=$B17)*(Aus_Ini&lt;=E$2)*(Aus_Fim&gt;=E$2)*(Aus_Cod&gt;0))=0,"",IF(SUMPRODUCT((Aus_Tec=$B17)*(Aus_Ini&lt;=E$2)*(Aus_Fim&gt;=E$2)*(Aus_Cod&gt;0))&gt;1,"!",IFERROR(INDEX(Aus_Siglas,SUMPRODUCT((Aus_Tec=$B17)*(Aus_Ini&lt;=E$2)*(Aus_Fim&gt;=E$2)*Aus_Cod)),"!"))))</f>
        <v/>
      </c>
      <c r="F17" s="15">
        <f>IF(OR($B17="",F$2=""),"",IF(SUMPRODUCT((Aus_Tec=$B17)*(Aus_Ini&lt;=F$2)*(Aus_Fim&gt;=F$2)*(Aus_Cod&gt;0))=0,"",IF(SUMPRODUCT((Aus_Tec=$B17)*(Aus_Ini&lt;=F$2)*(Aus_Fim&gt;=F$2)*(Aus_Cod&gt;0))&gt;1,"!",IFERROR(INDEX(Aus_Siglas,SUMPRODUCT((Aus_Tec=$B17)*(Aus_Ini&lt;=F$2)*(Aus_Fim&gt;=F$2)*Aus_Cod)),"!"))))</f>
        <v/>
      </c>
      <c r="G17" s="15">
        <f>IF(OR($B17="",G$2=""),"",IF(SUMPRODUCT((Aus_Tec=$B17)*(Aus_Ini&lt;=G$2)*(Aus_Fim&gt;=G$2)*(Aus_Cod&gt;0))=0,"",IF(SUMPRODUCT((Aus_Tec=$B17)*(Aus_Ini&lt;=G$2)*(Aus_Fim&gt;=G$2)*(Aus_Cod&gt;0))&gt;1,"!",IFERROR(INDEX(Aus_Siglas,SUMPRODUCT((Aus_Tec=$B17)*(Aus_Ini&lt;=G$2)*(Aus_Fim&gt;=G$2)*Aus_Cod)),"!"))))</f>
        <v/>
      </c>
      <c r="H17" s="15">
        <f>IF(OR($B17="",H$2=""),"",IF(SUMPRODUCT((Aus_Tec=$B17)*(Aus_Ini&lt;=H$2)*(Aus_Fim&gt;=H$2)*(Aus_Cod&gt;0))=0,"",IF(SUMPRODUCT((Aus_Tec=$B17)*(Aus_Ini&lt;=H$2)*(Aus_Fim&gt;=H$2)*(Aus_Cod&gt;0))&gt;1,"!",IFERROR(INDEX(Aus_Siglas,SUMPRODUCT((Aus_Tec=$B17)*(Aus_Ini&lt;=H$2)*(Aus_Fim&gt;=H$2)*Aus_Cod)),"!"))))</f>
        <v/>
      </c>
      <c r="I17" s="15">
        <f>IF(OR($B17="",I$2=""),"",IF(SUMPRODUCT((Aus_Tec=$B17)*(Aus_Ini&lt;=I$2)*(Aus_Fim&gt;=I$2)*(Aus_Cod&gt;0))=0,"",IF(SUMPRODUCT((Aus_Tec=$B17)*(Aus_Ini&lt;=I$2)*(Aus_Fim&gt;=I$2)*(Aus_Cod&gt;0))&gt;1,"!",IFERROR(INDEX(Aus_Siglas,SUMPRODUCT((Aus_Tec=$B17)*(Aus_Ini&lt;=I$2)*(Aus_Fim&gt;=I$2)*Aus_Cod)),"!"))))</f>
        <v/>
      </c>
      <c r="J17" s="15">
        <f>IF(OR($B17="",J$2=""),"",IF(SUMPRODUCT((Aus_Tec=$B17)*(Aus_Ini&lt;=J$2)*(Aus_Fim&gt;=J$2)*(Aus_Cod&gt;0))=0,"",IF(SUMPRODUCT((Aus_Tec=$B17)*(Aus_Ini&lt;=J$2)*(Aus_Fim&gt;=J$2)*(Aus_Cod&gt;0))&gt;1,"!",IFERROR(INDEX(Aus_Siglas,SUMPRODUCT((Aus_Tec=$B17)*(Aus_Ini&lt;=J$2)*(Aus_Fim&gt;=J$2)*Aus_Cod)),"!"))))</f>
        <v/>
      </c>
      <c r="K17" s="15">
        <f>IF(OR($B17="",K$2=""),"",IF(SUMPRODUCT((Aus_Tec=$B17)*(Aus_Ini&lt;=K$2)*(Aus_Fim&gt;=K$2)*(Aus_Cod&gt;0))=0,"",IF(SUMPRODUCT((Aus_Tec=$B17)*(Aus_Ini&lt;=K$2)*(Aus_Fim&gt;=K$2)*(Aus_Cod&gt;0))&gt;1,"!",IFERROR(INDEX(Aus_Siglas,SUMPRODUCT((Aus_Tec=$B17)*(Aus_Ini&lt;=K$2)*(Aus_Fim&gt;=K$2)*Aus_Cod)),"!"))))</f>
        <v/>
      </c>
      <c r="L17" s="15">
        <f>IF(OR($B17="",L$2=""),"",IF(SUMPRODUCT((Aus_Tec=$B17)*(Aus_Ini&lt;=L$2)*(Aus_Fim&gt;=L$2)*(Aus_Cod&gt;0))=0,"",IF(SUMPRODUCT((Aus_Tec=$B17)*(Aus_Ini&lt;=L$2)*(Aus_Fim&gt;=L$2)*(Aus_Cod&gt;0))&gt;1,"!",IFERROR(INDEX(Aus_Siglas,SUMPRODUCT((Aus_Tec=$B17)*(Aus_Ini&lt;=L$2)*(Aus_Fim&gt;=L$2)*Aus_Cod)),"!"))))</f>
        <v/>
      </c>
      <c r="M17" s="15">
        <f>IF(OR($B17="",M$2=""),"",IF(SUMPRODUCT((Aus_Tec=$B17)*(Aus_Ini&lt;=M$2)*(Aus_Fim&gt;=M$2)*(Aus_Cod&gt;0))=0,"",IF(SUMPRODUCT((Aus_Tec=$B17)*(Aus_Ini&lt;=M$2)*(Aus_Fim&gt;=M$2)*(Aus_Cod&gt;0))&gt;1,"!",IFERROR(INDEX(Aus_Siglas,SUMPRODUCT((Aus_Tec=$B17)*(Aus_Ini&lt;=M$2)*(Aus_Fim&gt;=M$2)*Aus_Cod)),"!"))))</f>
        <v/>
      </c>
      <c r="N17" s="15">
        <f>IF(OR($B17="",N$2=""),"",IF(SUMPRODUCT((Aus_Tec=$B17)*(Aus_Ini&lt;=N$2)*(Aus_Fim&gt;=N$2)*(Aus_Cod&gt;0))=0,"",IF(SUMPRODUCT((Aus_Tec=$B17)*(Aus_Ini&lt;=N$2)*(Aus_Fim&gt;=N$2)*(Aus_Cod&gt;0))&gt;1,"!",IFERROR(INDEX(Aus_Siglas,SUMPRODUCT((Aus_Tec=$B17)*(Aus_Ini&lt;=N$2)*(Aus_Fim&gt;=N$2)*Aus_Cod)),"!"))))</f>
        <v/>
      </c>
      <c r="O17" s="15">
        <f>IF(OR($B17="",O$2=""),"",IF(SUMPRODUCT((Aus_Tec=$B17)*(Aus_Ini&lt;=O$2)*(Aus_Fim&gt;=O$2)*(Aus_Cod&gt;0))=0,"",IF(SUMPRODUCT((Aus_Tec=$B17)*(Aus_Ini&lt;=O$2)*(Aus_Fim&gt;=O$2)*(Aus_Cod&gt;0))&gt;1,"!",IFERROR(INDEX(Aus_Siglas,SUMPRODUCT((Aus_Tec=$B17)*(Aus_Ini&lt;=O$2)*(Aus_Fim&gt;=O$2)*Aus_Cod)),"!"))))</f>
        <v/>
      </c>
      <c r="P17" s="15">
        <f>IF(OR($B17="",P$2=""),"",IF(SUMPRODUCT((Aus_Tec=$B17)*(Aus_Ini&lt;=P$2)*(Aus_Fim&gt;=P$2)*(Aus_Cod&gt;0))=0,"",IF(SUMPRODUCT((Aus_Tec=$B17)*(Aus_Ini&lt;=P$2)*(Aus_Fim&gt;=P$2)*(Aus_Cod&gt;0))&gt;1,"!",IFERROR(INDEX(Aus_Siglas,SUMPRODUCT((Aus_Tec=$B17)*(Aus_Ini&lt;=P$2)*(Aus_Fim&gt;=P$2)*Aus_Cod)),"!"))))</f>
        <v/>
      </c>
      <c r="Q17" s="15">
        <f>IF(OR($B17="",Q$2=""),"",IF(SUMPRODUCT((Aus_Tec=$B17)*(Aus_Ini&lt;=Q$2)*(Aus_Fim&gt;=Q$2)*(Aus_Cod&gt;0))=0,"",IF(SUMPRODUCT((Aus_Tec=$B17)*(Aus_Ini&lt;=Q$2)*(Aus_Fim&gt;=Q$2)*(Aus_Cod&gt;0))&gt;1,"!",IFERROR(INDEX(Aus_Siglas,SUMPRODUCT((Aus_Tec=$B17)*(Aus_Ini&lt;=Q$2)*(Aus_Fim&gt;=Q$2)*Aus_Cod)),"!"))))</f>
        <v/>
      </c>
      <c r="R17" s="15">
        <f>IF(OR($B17="",R$2=""),"",IF(SUMPRODUCT((Aus_Tec=$B17)*(Aus_Ini&lt;=R$2)*(Aus_Fim&gt;=R$2)*(Aus_Cod&gt;0))=0,"",IF(SUMPRODUCT((Aus_Tec=$B17)*(Aus_Ini&lt;=R$2)*(Aus_Fim&gt;=R$2)*(Aus_Cod&gt;0))&gt;1,"!",IFERROR(INDEX(Aus_Siglas,SUMPRODUCT((Aus_Tec=$B17)*(Aus_Ini&lt;=R$2)*(Aus_Fim&gt;=R$2)*Aus_Cod)),"!"))))</f>
        <v/>
      </c>
      <c r="S17" s="15">
        <f>IF(OR($B17="",S$2=""),"",IF(SUMPRODUCT((Aus_Tec=$B17)*(Aus_Ini&lt;=S$2)*(Aus_Fim&gt;=S$2)*(Aus_Cod&gt;0))=0,"",IF(SUMPRODUCT((Aus_Tec=$B17)*(Aus_Ini&lt;=S$2)*(Aus_Fim&gt;=S$2)*(Aus_Cod&gt;0))&gt;1,"!",IFERROR(INDEX(Aus_Siglas,SUMPRODUCT((Aus_Tec=$B17)*(Aus_Ini&lt;=S$2)*(Aus_Fim&gt;=S$2)*Aus_Cod)),"!"))))</f>
        <v/>
      </c>
      <c r="T17" s="15">
        <f>IF(OR($B17="",T$2=""),"",IF(SUMPRODUCT((Aus_Tec=$B17)*(Aus_Ini&lt;=T$2)*(Aus_Fim&gt;=T$2)*(Aus_Cod&gt;0))=0,"",IF(SUMPRODUCT((Aus_Tec=$B17)*(Aus_Ini&lt;=T$2)*(Aus_Fim&gt;=T$2)*(Aus_Cod&gt;0))&gt;1,"!",IFERROR(INDEX(Aus_Siglas,SUMPRODUCT((Aus_Tec=$B17)*(Aus_Ini&lt;=T$2)*(Aus_Fim&gt;=T$2)*Aus_Cod)),"!"))))</f>
        <v/>
      </c>
      <c r="U17" s="15">
        <f>IF(OR($B17="",U$2=""),"",IF(SUMPRODUCT((Aus_Tec=$B17)*(Aus_Ini&lt;=U$2)*(Aus_Fim&gt;=U$2)*(Aus_Cod&gt;0))=0,"",IF(SUMPRODUCT((Aus_Tec=$B17)*(Aus_Ini&lt;=U$2)*(Aus_Fim&gt;=U$2)*(Aus_Cod&gt;0))&gt;1,"!",IFERROR(INDEX(Aus_Siglas,SUMPRODUCT((Aus_Tec=$B17)*(Aus_Ini&lt;=U$2)*(Aus_Fim&gt;=U$2)*Aus_Cod)),"!"))))</f>
        <v/>
      </c>
      <c r="V17" s="15">
        <f>IF(OR($B17="",V$2=""),"",IF(SUMPRODUCT((Aus_Tec=$B17)*(Aus_Ini&lt;=V$2)*(Aus_Fim&gt;=V$2)*(Aus_Cod&gt;0))=0,"",IF(SUMPRODUCT((Aus_Tec=$B17)*(Aus_Ini&lt;=V$2)*(Aus_Fim&gt;=V$2)*(Aus_Cod&gt;0))&gt;1,"!",IFERROR(INDEX(Aus_Siglas,SUMPRODUCT((Aus_Tec=$B17)*(Aus_Ini&lt;=V$2)*(Aus_Fim&gt;=V$2)*Aus_Cod)),"!"))))</f>
        <v/>
      </c>
      <c r="W17" s="15">
        <f>IF(OR($B17="",W$2=""),"",IF(SUMPRODUCT((Aus_Tec=$B17)*(Aus_Ini&lt;=W$2)*(Aus_Fim&gt;=W$2)*(Aus_Cod&gt;0))=0,"",IF(SUMPRODUCT((Aus_Tec=$B17)*(Aus_Ini&lt;=W$2)*(Aus_Fim&gt;=W$2)*(Aus_Cod&gt;0))&gt;1,"!",IFERROR(INDEX(Aus_Siglas,SUMPRODUCT((Aus_Tec=$B17)*(Aus_Ini&lt;=W$2)*(Aus_Fim&gt;=W$2)*Aus_Cod)),"!"))))</f>
        <v/>
      </c>
      <c r="X17" s="15">
        <f>IF(OR($B17="",X$2=""),"",IF(SUMPRODUCT((Aus_Tec=$B17)*(Aus_Ini&lt;=X$2)*(Aus_Fim&gt;=X$2)*(Aus_Cod&gt;0))=0,"",IF(SUMPRODUCT((Aus_Tec=$B17)*(Aus_Ini&lt;=X$2)*(Aus_Fim&gt;=X$2)*(Aus_Cod&gt;0))&gt;1,"!",IFERROR(INDEX(Aus_Siglas,SUMPRODUCT((Aus_Tec=$B17)*(Aus_Ini&lt;=X$2)*(Aus_Fim&gt;=X$2)*Aus_Cod)),"!"))))</f>
        <v/>
      </c>
      <c r="Y17" s="15">
        <f>IF(OR($B17="",Y$2=""),"",IF(SUMPRODUCT((Aus_Tec=$B17)*(Aus_Ini&lt;=Y$2)*(Aus_Fim&gt;=Y$2)*(Aus_Cod&gt;0))=0,"",IF(SUMPRODUCT((Aus_Tec=$B17)*(Aus_Ini&lt;=Y$2)*(Aus_Fim&gt;=Y$2)*(Aus_Cod&gt;0))&gt;1,"!",IFERROR(INDEX(Aus_Siglas,SUMPRODUCT((Aus_Tec=$B17)*(Aus_Ini&lt;=Y$2)*(Aus_Fim&gt;=Y$2)*Aus_Cod)),"!"))))</f>
        <v/>
      </c>
      <c r="Z17" s="15">
        <f>IF(OR($B17="",Z$2=""),"",IF(SUMPRODUCT((Aus_Tec=$B17)*(Aus_Ini&lt;=Z$2)*(Aus_Fim&gt;=Z$2)*(Aus_Cod&gt;0))=0,"",IF(SUMPRODUCT((Aus_Tec=$B17)*(Aus_Ini&lt;=Z$2)*(Aus_Fim&gt;=Z$2)*(Aus_Cod&gt;0))&gt;1,"!",IFERROR(INDEX(Aus_Siglas,SUMPRODUCT((Aus_Tec=$B17)*(Aus_Ini&lt;=Z$2)*(Aus_Fim&gt;=Z$2)*Aus_Cod)),"!"))))</f>
        <v/>
      </c>
      <c r="AA17" s="15">
        <f>IF(OR($B17="",AA$2=""),"",IF(SUMPRODUCT((Aus_Tec=$B17)*(Aus_Ini&lt;=AA$2)*(Aus_Fim&gt;=AA$2)*(Aus_Cod&gt;0))=0,"",IF(SUMPRODUCT((Aus_Tec=$B17)*(Aus_Ini&lt;=AA$2)*(Aus_Fim&gt;=AA$2)*(Aus_Cod&gt;0))&gt;1,"!",IFERROR(INDEX(Aus_Siglas,SUMPRODUCT((Aus_Tec=$B17)*(Aus_Ini&lt;=AA$2)*(Aus_Fim&gt;=AA$2)*Aus_Cod)),"!"))))</f>
        <v/>
      </c>
      <c r="AB17" s="15">
        <f>IF(OR($B17="",AB$2=""),"",IF(SUMPRODUCT((Aus_Tec=$B17)*(Aus_Ini&lt;=AB$2)*(Aus_Fim&gt;=AB$2)*(Aus_Cod&gt;0))=0,"",IF(SUMPRODUCT((Aus_Tec=$B17)*(Aus_Ini&lt;=AB$2)*(Aus_Fim&gt;=AB$2)*(Aus_Cod&gt;0))&gt;1,"!",IFERROR(INDEX(Aus_Siglas,SUMPRODUCT((Aus_Tec=$B17)*(Aus_Ini&lt;=AB$2)*(Aus_Fim&gt;=AB$2)*Aus_Cod)),"!"))))</f>
        <v/>
      </c>
      <c r="AC17" s="15">
        <f>IF(OR($B17="",AC$2=""),"",IF(SUMPRODUCT((Aus_Tec=$B17)*(Aus_Ini&lt;=AC$2)*(Aus_Fim&gt;=AC$2)*(Aus_Cod&gt;0))=0,"",IF(SUMPRODUCT((Aus_Tec=$B17)*(Aus_Ini&lt;=AC$2)*(Aus_Fim&gt;=AC$2)*(Aus_Cod&gt;0))&gt;1,"!",IFERROR(INDEX(Aus_Siglas,SUMPRODUCT((Aus_Tec=$B17)*(Aus_Ini&lt;=AC$2)*(Aus_Fim&gt;=AC$2)*Aus_Cod)),"!"))))</f>
        <v/>
      </c>
      <c r="AD17" s="15">
        <f>IF(OR($B17="",AD$2=""),"",IF(SUMPRODUCT((Aus_Tec=$B17)*(Aus_Ini&lt;=AD$2)*(Aus_Fim&gt;=AD$2)*(Aus_Cod&gt;0))=0,"",IF(SUMPRODUCT((Aus_Tec=$B17)*(Aus_Ini&lt;=AD$2)*(Aus_Fim&gt;=AD$2)*(Aus_Cod&gt;0))&gt;1,"!",IFERROR(INDEX(Aus_Siglas,SUMPRODUCT((Aus_Tec=$B17)*(Aus_Ini&lt;=AD$2)*(Aus_Fim&gt;=AD$2)*Aus_Cod)),"!"))))</f>
        <v/>
      </c>
      <c r="AE17" s="15">
        <f>IF(OR($B17="",AE$2=""),"",IF(SUMPRODUCT((Aus_Tec=$B17)*(Aus_Ini&lt;=AE$2)*(Aus_Fim&gt;=AE$2)*(Aus_Cod&gt;0))=0,"",IF(SUMPRODUCT((Aus_Tec=$B17)*(Aus_Ini&lt;=AE$2)*(Aus_Fim&gt;=AE$2)*(Aus_Cod&gt;0))&gt;1,"!",IFERROR(INDEX(Aus_Siglas,SUMPRODUCT((Aus_Tec=$B17)*(Aus_Ini&lt;=AE$2)*(Aus_Fim&gt;=AE$2)*Aus_Cod)),"!"))))</f>
        <v/>
      </c>
      <c r="AF17" s="15">
        <f>IF(OR($B17="",AF$2=""),"",IF(SUMPRODUCT((Aus_Tec=$B17)*(Aus_Ini&lt;=AF$2)*(Aus_Fim&gt;=AF$2)*(Aus_Cod&gt;0))=0,"",IF(SUMPRODUCT((Aus_Tec=$B17)*(Aus_Ini&lt;=AF$2)*(Aus_Fim&gt;=AF$2)*(Aus_Cod&gt;0))&gt;1,"!",IFERROR(INDEX(Aus_Siglas,SUMPRODUCT((Aus_Tec=$B17)*(Aus_Ini&lt;=AF$2)*(Aus_Fim&gt;=AF$2)*Aus_Cod)),"!"))))</f>
        <v/>
      </c>
      <c r="AG17" s="15">
        <f>IF(OR($B17="",AG$2=""),"",IF(SUMPRODUCT((Aus_Tec=$B17)*(Aus_Ini&lt;=AG$2)*(Aus_Fim&gt;=AG$2)*(Aus_Cod&gt;0))=0,"",IF(SUMPRODUCT((Aus_Tec=$B17)*(Aus_Ini&lt;=AG$2)*(Aus_Fim&gt;=AG$2)*(Aus_Cod&gt;0))&gt;1,"!",IFERROR(INDEX(Aus_Siglas,SUMPRODUCT((Aus_Tec=$B17)*(Aus_Ini&lt;=AG$2)*(Aus_Fim&gt;=AG$2)*Aus_Cod)),"!"))))</f>
        <v/>
      </c>
      <c r="AH17" s="37">
        <f>IF($B17="","",COUNTIF($C17:$AG17,"F"))</f>
        <v/>
      </c>
      <c r="AI17" s="37">
        <f>IF($B17="","",COUNTIF($C17:$AG17,"D"))</f>
        <v/>
      </c>
      <c r="AJ17" s="37">
        <f>IF($B17="","",COUNTIF($C17:$AG17,"A"))</f>
        <v/>
      </c>
      <c r="AK17" s="37">
        <f>IF($B17="","",SUMPRODUCT(($C17:$AG17&lt;&gt;"")*1))</f>
        <v/>
      </c>
    </row>
    <row r="18">
      <c r="A18" s="33">
        <f>IF('Equipe'!A16="","",'Equipe'!A16)</f>
        <v/>
      </c>
      <c r="B18" s="34">
        <f>IF('Equipe'!B16="","",'Equipe'!B16)</f>
        <v/>
      </c>
      <c r="C18" s="15">
        <f>IF(OR($B18="",C$2=""),"",IF(SUMPRODUCT((Aus_Tec=$B18)*(Aus_Ini&lt;=C$2)*(Aus_Fim&gt;=C$2)*(Aus_Cod&gt;0))=0,"",IF(SUMPRODUCT((Aus_Tec=$B18)*(Aus_Ini&lt;=C$2)*(Aus_Fim&gt;=C$2)*(Aus_Cod&gt;0))&gt;1,"!",IFERROR(INDEX(Aus_Siglas,SUMPRODUCT((Aus_Tec=$B18)*(Aus_Ini&lt;=C$2)*(Aus_Fim&gt;=C$2)*Aus_Cod)),"!"))))</f>
        <v/>
      </c>
      <c r="D18" s="15">
        <f>IF(OR($B18="",D$2=""),"",IF(SUMPRODUCT((Aus_Tec=$B18)*(Aus_Ini&lt;=D$2)*(Aus_Fim&gt;=D$2)*(Aus_Cod&gt;0))=0,"",IF(SUMPRODUCT((Aus_Tec=$B18)*(Aus_Ini&lt;=D$2)*(Aus_Fim&gt;=D$2)*(Aus_Cod&gt;0))&gt;1,"!",IFERROR(INDEX(Aus_Siglas,SUMPRODUCT((Aus_Tec=$B18)*(Aus_Ini&lt;=D$2)*(Aus_Fim&gt;=D$2)*Aus_Cod)),"!"))))</f>
        <v/>
      </c>
      <c r="E18" s="15">
        <f>IF(OR($B18="",E$2=""),"",IF(SUMPRODUCT((Aus_Tec=$B18)*(Aus_Ini&lt;=E$2)*(Aus_Fim&gt;=E$2)*(Aus_Cod&gt;0))=0,"",IF(SUMPRODUCT((Aus_Tec=$B18)*(Aus_Ini&lt;=E$2)*(Aus_Fim&gt;=E$2)*(Aus_Cod&gt;0))&gt;1,"!",IFERROR(INDEX(Aus_Siglas,SUMPRODUCT((Aus_Tec=$B18)*(Aus_Ini&lt;=E$2)*(Aus_Fim&gt;=E$2)*Aus_Cod)),"!"))))</f>
        <v/>
      </c>
      <c r="F18" s="15">
        <f>IF(OR($B18="",F$2=""),"",IF(SUMPRODUCT((Aus_Tec=$B18)*(Aus_Ini&lt;=F$2)*(Aus_Fim&gt;=F$2)*(Aus_Cod&gt;0))=0,"",IF(SUMPRODUCT((Aus_Tec=$B18)*(Aus_Ini&lt;=F$2)*(Aus_Fim&gt;=F$2)*(Aus_Cod&gt;0))&gt;1,"!",IFERROR(INDEX(Aus_Siglas,SUMPRODUCT((Aus_Tec=$B18)*(Aus_Ini&lt;=F$2)*(Aus_Fim&gt;=F$2)*Aus_Cod)),"!"))))</f>
        <v/>
      </c>
      <c r="G18" s="15">
        <f>IF(OR($B18="",G$2=""),"",IF(SUMPRODUCT((Aus_Tec=$B18)*(Aus_Ini&lt;=G$2)*(Aus_Fim&gt;=G$2)*(Aus_Cod&gt;0))=0,"",IF(SUMPRODUCT((Aus_Tec=$B18)*(Aus_Ini&lt;=G$2)*(Aus_Fim&gt;=G$2)*(Aus_Cod&gt;0))&gt;1,"!",IFERROR(INDEX(Aus_Siglas,SUMPRODUCT((Aus_Tec=$B18)*(Aus_Ini&lt;=G$2)*(Aus_Fim&gt;=G$2)*Aus_Cod)),"!"))))</f>
        <v/>
      </c>
      <c r="H18" s="15">
        <f>IF(OR($B18="",H$2=""),"",IF(SUMPRODUCT((Aus_Tec=$B18)*(Aus_Ini&lt;=H$2)*(Aus_Fim&gt;=H$2)*(Aus_Cod&gt;0))=0,"",IF(SUMPRODUCT((Aus_Tec=$B18)*(Aus_Ini&lt;=H$2)*(Aus_Fim&gt;=H$2)*(Aus_Cod&gt;0))&gt;1,"!",IFERROR(INDEX(Aus_Siglas,SUMPRODUCT((Aus_Tec=$B18)*(Aus_Ini&lt;=H$2)*(Aus_Fim&gt;=H$2)*Aus_Cod)),"!"))))</f>
        <v/>
      </c>
      <c r="I18" s="15">
        <f>IF(OR($B18="",I$2=""),"",IF(SUMPRODUCT((Aus_Tec=$B18)*(Aus_Ini&lt;=I$2)*(Aus_Fim&gt;=I$2)*(Aus_Cod&gt;0))=0,"",IF(SUMPRODUCT((Aus_Tec=$B18)*(Aus_Ini&lt;=I$2)*(Aus_Fim&gt;=I$2)*(Aus_Cod&gt;0))&gt;1,"!",IFERROR(INDEX(Aus_Siglas,SUMPRODUCT((Aus_Tec=$B18)*(Aus_Ini&lt;=I$2)*(Aus_Fim&gt;=I$2)*Aus_Cod)),"!"))))</f>
        <v/>
      </c>
      <c r="J18" s="15">
        <f>IF(OR($B18="",J$2=""),"",IF(SUMPRODUCT((Aus_Tec=$B18)*(Aus_Ini&lt;=J$2)*(Aus_Fim&gt;=J$2)*(Aus_Cod&gt;0))=0,"",IF(SUMPRODUCT((Aus_Tec=$B18)*(Aus_Ini&lt;=J$2)*(Aus_Fim&gt;=J$2)*(Aus_Cod&gt;0))&gt;1,"!",IFERROR(INDEX(Aus_Siglas,SUMPRODUCT((Aus_Tec=$B18)*(Aus_Ini&lt;=J$2)*(Aus_Fim&gt;=J$2)*Aus_Cod)),"!"))))</f>
        <v/>
      </c>
      <c r="K18" s="15">
        <f>IF(OR($B18="",K$2=""),"",IF(SUMPRODUCT((Aus_Tec=$B18)*(Aus_Ini&lt;=K$2)*(Aus_Fim&gt;=K$2)*(Aus_Cod&gt;0))=0,"",IF(SUMPRODUCT((Aus_Tec=$B18)*(Aus_Ini&lt;=K$2)*(Aus_Fim&gt;=K$2)*(Aus_Cod&gt;0))&gt;1,"!",IFERROR(INDEX(Aus_Siglas,SUMPRODUCT((Aus_Tec=$B18)*(Aus_Ini&lt;=K$2)*(Aus_Fim&gt;=K$2)*Aus_Cod)),"!"))))</f>
        <v/>
      </c>
      <c r="L18" s="15">
        <f>IF(OR($B18="",L$2=""),"",IF(SUMPRODUCT((Aus_Tec=$B18)*(Aus_Ini&lt;=L$2)*(Aus_Fim&gt;=L$2)*(Aus_Cod&gt;0))=0,"",IF(SUMPRODUCT((Aus_Tec=$B18)*(Aus_Ini&lt;=L$2)*(Aus_Fim&gt;=L$2)*(Aus_Cod&gt;0))&gt;1,"!",IFERROR(INDEX(Aus_Siglas,SUMPRODUCT((Aus_Tec=$B18)*(Aus_Ini&lt;=L$2)*(Aus_Fim&gt;=L$2)*Aus_Cod)),"!"))))</f>
        <v/>
      </c>
      <c r="M18" s="15">
        <f>IF(OR($B18="",M$2=""),"",IF(SUMPRODUCT((Aus_Tec=$B18)*(Aus_Ini&lt;=M$2)*(Aus_Fim&gt;=M$2)*(Aus_Cod&gt;0))=0,"",IF(SUMPRODUCT((Aus_Tec=$B18)*(Aus_Ini&lt;=M$2)*(Aus_Fim&gt;=M$2)*(Aus_Cod&gt;0))&gt;1,"!",IFERROR(INDEX(Aus_Siglas,SUMPRODUCT((Aus_Tec=$B18)*(Aus_Ini&lt;=M$2)*(Aus_Fim&gt;=M$2)*Aus_Cod)),"!"))))</f>
        <v/>
      </c>
      <c r="N18" s="15">
        <f>IF(OR($B18="",N$2=""),"",IF(SUMPRODUCT((Aus_Tec=$B18)*(Aus_Ini&lt;=N$2)*(Aus_Fim&gt;=N$2)*(Aus_Cod&gt;0))=0,"",IF(SUMPRODUCT((Aus_Tec=$B18)*(Aus_Ini&lt;=N$2)*(Aus_Fim&gt;=N$2)*(Aus_Cod&gt;0))&gt;1,"!",IFERROR(INDEX(Aus_Siglas,SUMPRODUCT((Aus_Tec=$B18)*(Aus_Ini&lt;=N$2)*(Aus_Fim&gt;=N$2)*Aus_Cod)),"!"))))</f>
        <v/>
      </c>
      <c r="O18" s="15">
        <f>IF(OR($B18="",O$2=""),"",IF(SUMPRODUCT((Aus_Tec=$B18)*(Aus_Ini&lt;=O$2)*(Aus_Fim&gt;=O$2)*(Aus_Cod&gt;0))=0,"",IF(SUMPRODUCT((Aus_Tec=$B18)*(Aus_Ini&lt;=O$2)*(Aus_Fim&gt;=O$2)*(Aus_Cod&gt;0))&gt;1,"!",IFERROR(INDEX(Aus_Siglas,SUMPRODUCT((Aus_Tec=$B18)*(Aus_Ini&lt;=O$2)*(Aus_Fim&gt;=O$2)*Aus_Cod)),"!"))))</f>
        <v/>
      </c>
      <c r="P18" s="15">
        <f>IF(OR($B18="",P$2=""),"",IF(SUMPRODUCT((Aus_Tec=$B18)*(Aus_Ini&lt;=P$2)*(Aus_Fim&gt;=P$2)*(Aus_Cod&gt;0))=0,"",IF(SUMPRODUCT((Aus_Tec=$B18)*(Aus_Ini&lt;=P$2)*(Aus_Fim&gt;=P$2)*(Aus_Cod&gt;0))&gt;1,"!",IFERROR(INDEX(Aus_Siglas,SUMPRODUCT((Aus_Tec=$B18)*(Aus_Ini&lt;=P$2)*(Aus_Fim&gt;=P$2)*Aus_Cod)),"!"))))</f>
        <v/>
      </c>
      <c r="Q18" s="15">
        <f>IF(OR($B18="",Q$2=""),"",IF(SUMPRODUCT((Aus_Tec=$B18)*(Aus_Ini&lt;=Q$2)*(Aus_Fim&gt;=Q$2)*(Aus_Cod&gt;0))=0,"",IF(SUMPRODUCT((Aus_Tec=$B18)*(Aus_Ini&lt;=Q$2)*(Aus_Fim&gt;=Q$2)*(Aus_Cod&gt;0))&gt;1,"!",IFERROR(INDEX(Aus_Siglas,SUMPRODUCT((Aus_Tec=$B18)*(Aus_Ini&lt;=Q$2)*(Aus_Fim&gt;=Q$2)*Aus_Cod)),"!"))))</f>
        <v/>
      </c>
      <c r="R18" s="15">
        <f>IF(OR($B18="",R$2=""),"",IF(SUMPRODUCT((Aus_Tec=$B18)*(Aus_Ini&lt;=R$2)*(Aus_Fim&gt;=R$2)*(Aus_Cod&gt;0))=0,"",IF(SUMPRODUCT((Aus_Tec=$B18)*(Aus_Ini&lt;=R$2)*(Aus_Fim&gt;=R$2)*(Aus_Cod&gt;0))&gt;1,"!",IFERROR(INDEX(Aus_Siglas,SUMPRODUCT((Aus_Tec=$B18)*(Aus_Ini&lt;=R$2)*(Aus_Fim&gt;=R$2)*Aus_Cod)),"!"))))</f>
        <v/>
      </c>
      <c r="S18" s="15">
        <f>IF(OR($B18="",S$2=""),"",IF(SUMPRODUCT((Aus_Tec=$B18)*(Aus_Ini&lt;=S$2)*(Aus_Fim&gt;=S$2)*(Aus_Cod&gt;0))=0,"",IF(SUMPRODUCT((Aus_Tec=$B18)*(Aus_Ini&lt;=S$2)*(Aus_Fim&gt;=S$2)*(Aus_Cod&gt;0))&gt;1,"!",IFERROR(INDEX(Aus_Siglas,SUMPRODUCT((Aus_Tec=$B18)*(Aus_Ini&lt;=S$2)*(Aus_Fim&gt;=S$2)*Aus_Cod)),"!"))))</f>
        <v/>
      </c>
      <c r="T18" s="15">
        <f>IF(OR($B18="",T$2=""),"",IF(SUMPRODUCT((Aus_Tec=$B18)*(Aus_Ini&lt;=T$2)*(Aus_Fim&gt;=T$2)*(Aus_Cod&gt;0))=0,"",IF(SUMPRODUCT((Aus_Tec=$B18)*(Aus_Ini&lt;=T$2)*(Aus_Fim&gt;=T$2)*(Aus_Cod&gt;0))&gt;1,"!",IFERROR(INDEX(Aus_Siglas,SUMPRODUCT((Aus_Tec=$B18)*(Aus_Ini&lt;=T$2)*(Aus_Fim&gt;=T$2)*Aus_Cod)),"!"))))</f>
        <v/>
      </c>
      <c r="U18" s="15">
        <f>IF(OR($B18="",U$2=""),"",IF(SUMPRODUCT((Aus_Tec=$B18)*(Aus_Ini&lt;=U$2)*(Aus_Fim&gt;=U$2)*(Aus_Cod&gt;0))=0,"",IF(SUMPRODUCT((Aus_Tec=$B18)*(Aus_Ini&lt;=U$2)*(Aus_Fim&gt;=U$2)*(Aus_Cod&gt;0))&gt;1,"!",IFERROR(INDEX(Aus_Siglas,SUMPRODUCT((Aus_Tec=$B18)*(Aus_Ini&lt;=U$2)*(Aus_Fim&gt;=U$2)*Aus_Cod)),"!"))))</f>
        <v/>
      </c>
      <c r="V18" s="15">
        <f>IF(OR($B18="",V$2=""),"",IF(SUMPRODUCT((Aus_Tec=$B18)*(Aus_Ini&lt;=V$2)*(Aus_Fim&gt;=V$2)*(Aus_Cod&gt;0))=0,"",IF(SUMPRODUCT((Aus_Tec=$B18)*(Aus_Ini&lt;=V$2)*(Aus_Fim&gt;=V$2)*(Aus_Cod&gt;0))&gt;1,"!",IFERROR(INDEX(Aus_Siglas,SUMPRODUCT((Aus_Tec=$B18)*(Aus_Ini&lt;=V$2)*(Aus_Fim&gt;=V$2)*Aus_Cod)),"!"))))</f>
        <v/>
      </c>
      <c r="W18" s="15">
        <f>IF(OR($B18="",W$2=""),"",IF(SUMPRODUCT((Aus_Tec=$B18)*(Aus_Ini&lt;=W$2)*(Aus_Fim&gt;=W$2)*(Aus_Cod&gt;0))=0,"",IF(SUMPRODUCT((Aus_Tec=$B18)*(Aus_Ini&lt;=W$2)*(Aus_Fim&gt;=W$2)*(Aus_Cod&gt;0))&gt;1,"!",IFERROR(INDEX(Aus_Siglas,SUMPRODUCT((Aus_Tec=$B18)*(Aus_Ini&lt;=W$2)*(Aus_Fim&gt;=W$2)*Aus_Cod)),"!"))))</f>
        <v/>
      </c>
      <c r="X18" s="15">
        <f>IF(OR($B18="",X$2=""),"",IF(SUMPRODUCT((Aus_Tec=$B18)*(Aus_Ini&lt;=X$2)*(Aus_Fim&gt;=X$2)*(Aus_Cod&gt;0))=0,"",IF(SUMPRODUCT((Aus_Tec=$B18)*(Aus_Ini&lt;=X$2)*(Aus_Fim&gt;=X$2)*(Aus_Cod&gt;0))&gt;1,"!",IFERROR(INDEX(Aus_Siglas,SUMPRODUCT((Aus_Tec=$B18)*(Aus_Ini&lt;=X$2)*(Aus_Fim&gt;=X$2)*Aus_Cod)),"!"))))</f>
        <v/>
      </c>
      <c r="Y18" s="15">
        <f>IF(OR($B18="",Y$2=""),"",IF(SUMPRODUCT((Aus_Tec=$B18)*(Aus_Ini&lt;=Y$2)*(Aus_Fim&gt;=Y$2)*(Aus_Cod&gt;0))=0,"",IF(SUMPRODUCT((Aus_Tec=$B18)*(Aus_Ini&lt;=Y$2)*(Aus_Fim&gt;=Y$2)*(Aus_Cod&gt;0))&gt;1,"!",IFERROR(INDEX(Aus_Siglas,SUMPRODUCT((Aus_Tec=$B18)*(Aus_Ini&lt;=Y$2)*(Aus_Fim&gt;=Y$2)*Aus_Cod)),"!"))))</f>
        <v/>
      </c>
      <c r="Z18" s="15">
        <f>IF(OR($B18="",Z$2=""),"",IF(SUMPRODUCT((Aus_Tec=$B18)*(Aus_Ini&lt;=Z$2)*(Aus_Fim&gt;=Z$2)*(Aus_Cod&gt;0))=0,"",IF(SUMPRODUCT((Aus_Tec=$B18)*(Aus_Ini&lt;=Z$2)*(Aus_Fim&gt;=Z$2)*(Aus_Cod&gt;0))&gt;1,"!",IFERROR(INDEX(Aus_Siglas,SUMPRODUCT((Aus_Tec=$B18)*(Aus_Ini&lt;=Z$2)*(Aus_Fim&gt;=Z$2)*Aus_Cod)),"!"))))</f>
        <v/>
      </c>
      <c r="AA18" s="15">
        <f>IF(OR($B18="",AA$2=""),"",IF(SUMPRODUCT((Aus_Tec=$B18)*(Aus_Ini&lt;=AA$2)*(Aus_Fim&gt;=AA$2)*(Aus_Cod&gt;0))=0,"",IF(SUMPRODUCT((Aus_Tec=$B18)*(Aus_Ini&lt;=AA$2)*(Aus_Fim&gt;=AA$2)*(Aus_Cod&gt;0))&gt;1,"!",IFERROR(INDEX(Aus_Siglas,SUMPRODUCT((Aus_Tec=$B18)*(Aus_Ini&lt;=AA$2)*(Aus_Fim&gt;=AA$2)*Aus_Cod)),"!"))))</f>
        <v/>
      </c>
      <c r="AB18" s="15">
        <f>IF(OR($B18="",AB$2=""),"",IF(SUMPRODUCT((Aus_Tec=$B18)*(Aus_Ini&lt;=AB$2)*(Aus_Fim&gt;=AB$2)*(Aus_Cod&gt;0))=0,"",IF(SUMPRODUCT((Aus_Tec=$B18)*(Aus_Ini&lt;=AB$2)*(Aus_Fim&gt;=AB$2)*(Aus_Cod&gt;0))&gt;1,"!",IFERROR(INDEX(Aus_Siglas,SUMPRODUCT((Aus_Tec=$B18)*(Aus_Ini&lt;=AB$2)*(Aus_Fim&gt;=AB$2)*Aus_Cod)),"!"))))</f>
        <v/>
      </c>
      <c r="AC18" s="15">
        <f>IF(OR($B18="",AC$2=""),"",IF(SUMPRODUCT((Aus_Tec=$B18)*(Aus_Ini&lt;=AC$2)*(Aus_Fim&gt;=AC$2)*(Aus_Cod&gt;0))=0,"",IF(SUMPRODUCT((Aus_Tec=$B18)*(Aus_Ini&lt;=AC$2)*(Aus_Fim&gt;=AC$2)*(Aus_Cod&gt;0))&gt;1,"!",IFERROR(INDEX(Aus_Siglas,SUMPRODUCT((Aus_Tec=$B18)*(Aus_Ini&lt;=AC$2)*(Aus_Fim&gt;=AC$2)*Aus_Cod)),"!"))))</f>
        <v/>
      </c>
      <c r="AD18" s="15">
        <f>IF(OR($B18="",AD$2=""),"",IF(SUMPRODUCT((Aus_Tec=$B18)*(Aus_Ini&lt;=AD$2)*(Aus_Fim&gt;=AD$2)*(Aus_Cod&gt;0))=0,"",IF(SUMPRODUCT((Aus_Tec=$B18)*(Aus_Ini&lt;=AD$2)*(Aus_Fim&gt;=AD$2)*(Aus_Cod&gt;0))&gt;1,"!",IFERROR(INDEX(Aus_Siglas,SUMPRODUCT((Aus_Tec=$B18)*(Aus_Ini&lt;=AD$2)*(Aus_Fim&gt;=AD$2)*Aus_Cod)),"!"))))</f>
        <v/>
      </c>
      <c r="AE18" s="15">
        <f>IF(OR($B18="",AE$2=""),"",IF(SUMPRODUCT((Aus_Tec=$B18)*(Aus_Ini&lt;=AE$2)*(Aus_Fim&gt;=AE$2)*(Aus_Cod&gt;0))=0,"",IF(SUMPRODUCT((Aus_Tec=$B18)*(Aus_Ini&lt;=AE$2)*(Aus_Fim&gt;=AE$2)*(Aus_Cod&gt;0))&gt;1,"!",IFERROR(INDEX(Aus_Siglas,SUMPRODUCT((Aus_Tec=$B18)*(Aus_Ini&lt;=AE$2)*(Aus_Fim&gt;=AE$2)*Aus_Cod)),"!"))))</f>
        <v/>
      </c>
      <c r="AF18" s="15">
        <f>IF(OR($B18="",AF$2=""),"",IF(SUMPRODUCT((Aus_Tec=$B18)*(Aus_Ini&lt;=AF$2)*(Aus_Fim&gt;=AF$2)*(Aus_Cod&gt;0))=0,"",IF(SUMPRODUCT((Aus_Tec=$B18)*(Aus_Ini&lt;=AF$2)*(Aus_Fim&gt;=AF$2)*(Aus_Cod&gt;0))&gt;1,"!",IFERROR(INDEX(Aus_Siglas,SUMPRODUCT((Aus_Tec=$B18)*(Aus_Ini&lt;=AF$2)*(Aus_Fim&gt;=AF$2)*Aus_Cod)),"!"))))</f>
        <v/>
      </c>
      <c r="AG18" s="15">
        <f>IF(OR($B18="",AG$2=""),"",IF(SUMPRODUCT((Aus_Tec=$B18)*(Aus_Ini&lt;=AG$2)*(Aus_Fim&gt;=AG$2)*(Aus_Cod&gt;0))=0,"",IF(SUMPRODUCT((Aus_Tec=$B18)*(Aus_Ini&lt;=AG$2)*(Aus_Fim&gt;=AG$2)*(Aus_Cod&gt;0))&gt;1,"!",IFERROR(INDEX(Aus_Siglas,SUMPRODUCT((Aus_Tec=$B18)*(Aus_Ini&lt;=AG$2)*(Aus_Fim&gt;=AG$2)*Aus_Cod)),"!"))))</f>
        <v/>
      </c>
      <c r="AH18" s="37">
        <f>IF($B18="","",COUNTIF($C18:$AG18,"F"))</f>
        <v/>
      </c>
      <c r="AI18" s="37">
        <f>IF($B18="","",COUNTIF($C18:$AG18,"D"))</f>
        <v/>
      </c>
      <c r="AJ18" s="37">
        <f>IF($B18="","",COUNTIF($C18:$AG18,"A"))</f>
        <v/>
      </c>
      <c r="AK18" s="37">
        <f>IF($B18="","",SUMPRODUCT(($C18:$AG18&lt;&gt;"")*1))</f>
        <v/>
      </c>
    </row>
    <row r="19">
      <c r="A19" s="33">
        <f>IF('Equipe'!A17="","",'Equipe'!A17)</f>
        <v/>
      </c>
      <c r="B19" s="34">
        <f>IF('Equipe'!B17="","",'Equipe'!B17)</f>
        <v/>
      </c>
      <c r="C19" s="15">
        <f>IF(OR($B19="",C$2=""),"",IF(SUMPRODUCT((Aus_Tec=$B19)*(Aus_Ini&lt;=C$2)*(Aus_Fim&gt;=C$2)*(Aus_Cod&gt;0))=0,"",IF(SUMPRODUCT((Aus_Tec=$B19)*(Aus_Ini&lt;=C$2)*(Aus_Fim&gt;=C$2)*(Aus_Cod&gt;0))&gt;1,"!",IFERROR(INDEX(Aus_Siglas,SUMPRODUCT((Aus_Tec=$B19)*(Aus_Ini&lt;=C$2)*(Aus_Fim&gt;=C$2)*Aus_Cod)),"!"))))</f>
        <v/>
      </c>
      <c r="D19" s="15">
        <f>IF(OR($B19="",D$2=""),"",IF(SUMPRODUCT((Aus_Tec=$B19)*(Aus_Ini&lt;=D$2)*(Aus_Fim&gt;=D$2)*(Aus_Cod&gt;0))=0,"",IF(SUMPRODUCT((Aus_Tec=$B19)*(Aus_Ini&lt;=D$2)*(Aus_Fim&gt;=D$2)*(Aus_Cod&gt;0))&gt;1,"!",IFERROR(INDEX(Aus_Siglas,SUMPRODUCT((Aus_Tec=$B19)*(Aus_Ini&lt;=D$2)*(Aus_Fim&gt;=D$2)*Aus_Cod)),"!"))))</f>
        <v/>
      </c>
      <c r="E19" s="15">
        <f>IF(OR($B19="",E$2=""),"",IF(SUMPRODUCT((Aus_Tec=$B19)*(Aus_Ini&lt;=E$2)*(Aus_Fim&gt;=E$2)*(Aus_Cod&gt;0))=0,"",IF(SUMPRODUCT((Aus_Tec=$B19)*(Aus_Ini&lt;=E$2)*(Aus_Fim&gt;=E$2)*(Aus_Cod&gt;0))&gt;1,"!",IFERROR(INDEX(Aus_Siglas,SUMPRODUCT((Aus_Tec=$B19)*(Aus_Ini&lt;=E$2)*(Aus_Fim&gt;=E$2)*Aus_Cod)),"!"))))</f>
        <v/>
      </c>
      <c r="F19" s="15">
        <f>IF(OR($B19="",F$2=""),"",IF(SUMPRODUCT((Aus_Tec=$B19)*(Aus_Ini&lt;=F$2)*(Aus_Fim&gt;=F$2)*(Aus_Cod&gt;0))=0,"",IF(SUMPRODUCT((Aus_Tec=$B19)*(Aus_Ini&lt;=F$2)*(Aus_Fim&gt;=F$2)*(Aus_Cod&gt;0))&gt;1,"!",IFERROR(INDEX(Aus_Siglas,SUMPRODUCT((Aus_Tec=$B19)*(Aus_Ini&lt;=F$2)*(Aus_Fim&gt;=F$2)*Aus_Cod)),"!"))))</f>
        <v/>
      </c>
      <c r="G19" s="15">
        <f>IF(OR($B19="",G$2=""),"",IF(SUMPRODUCT((Aus_Tec=$B19)*(Aus_Ini&lt;=G$2)*(Aus_Fim&gt;=G$2)*(Aus_Cod&gt;0))=0,"",IF(SUMPRODUCT((Aus_Tec=$B19)*(Aus_Ini&lt;=G$2)*(Aus_Fim&gt;=G$2)*(Aus_Cod&gt;0))&gt;1,"!",IFERROR(INDEX(Aus_Siglas,SUMPRODUCT((Aus_Tec=$B19)*(Aus_Ini&lt;=G$2)*(Aus_Fim&gt;=G$2)*Aus_Cod)),"!"))))</f>
        <v/>
      </c>
      <c r="H19" s="15">
        <f>IF(OR($B19="",H$2=""),"",IF(SUMPRODUCT((Aus_Tec=$B19)*(Aus_Ini&lt;=H$2)*(Aus_Fim&gt;=H$2)*(Aus_Cod&gt;0))=0,"",IF(SUMPRODUCT((Aus_Tec=$B19)*(Aus_Ini&lt;=H$2)*(Aus_Fim&gt;=H$2)*(Aus_Cod&gt;0))&gt;1,"!",IFERROR(INDEX(Aus_Siglas,SUMPRODUCT((Aus_Tec=$B19)*(Aus_Ini&lt;=H$2)*(Aus_Fim&gt;=H$2)*Aus_Cod)),"!"))))</f>
        <v/>
      </c>
      <c r="I19" s="15">
        <f>IF(OR($B19="",I$2=""),"",IF(SUMPRODUCT((Aus_Tec=$B19)*(Aus_Ini&lt;=I$2)*(Aus_Fim&gt;=I$2)*(Aus_Cod&gt;0))=0,"",IF(SUMPRODUCT((Aus_Tec=$B19)*(Aus_Ini&lt;=I$2)*(Aus_Fim&gt;=I$2)*(Aus_Cod&gt;0))&gt;1,"!",IFERROR(INDEX(Aus_Siglas,SUMPRODUCT((Aus_Tec=$B19)*(Aus_Ini&lt;=I$2)*(Aus_Fim&gt;=I$2)*Aus_Cod)),"!"))))</f>
        <v/>
      </c>
      <c r="J19" s="15">
        <f>IF(OR($B19="",J$2=""),"",IF(SUMPRODUCT((Aus_Tec=$B19)*(Aus_Ini&lt;=J$2)*(Aus_Fim&gt;=J$2)*(Aus_Cod&gt;0))=0,"",IF(SUMPRODUCT((Aus_Tec=$B19)*(Aus_Ini&lt;=J$2)*(Aus_Fim&gt;=J$2)*(Aus_Cod&gt;0))&gt;1,"!",IFERROR(INDEX(Aus_Siglas,SUMPRODUCT((Aus_Tec=$B19)*(Aus_Ini&lt;=J$2)*(Aus_Fim&gt;=J$2)*Aus_Cod)),"!"))))</f>
        <v/>
      </c>
      <c r="K19" s="15">
        <f>IF(OR($B19="",K$2=""),"",IF(SUMPRODUCT((Aus_Tec=$B19)*(Aus_Ini&lt;=K$2)*(Aus_Fim&gt;=K$2)*(Aus_Cod&gt;0))=0,"",IF(SUMPRODUCT((Aus_Tec=$B19)*(Aus_Ini&lt;=K$2)*(Aus_Fim&gt;=K$2)*(Aus_Cod&gt;0))&gt;1,"!",IFERROR(INDEX(Aus_Siglas,SUMPRODUCT((Aus_Tec=$B19)*(Aus_Ini&lt;=K$2)*(Aus_Fim&gt;=K$2)*Aus_Cod)),"!"))))</f>
        <v/>
      </c>
      <c r="L19" s="15">
        <f>IF(OR($B19="",L$2=""),"",IF(SUMPRODUCT((Aus_Tec=$B19)*(Aus_Ini&lt;=L$2)*(Aus_Fim&gt;=L$2)*(Aus_Cod&gt;0))=0,"",IF(SUMPRODUCT((Aus_Tec=$B19)*(Aus_Ini&lt;=L$2)*(Aus_Fim&gt;=L$2)*(Aus_Cod&gt;0))&gt;1,"!",IFERROR(INDEX(Aus_Siglas,SUMPRODUCT((Aus_Tec=$B19)*(Aus_Ini&lt;=L$2)*(Aus_Fim&gt;=L$2)*Aus_Cod)),"!"))))</f>
        <v/>
      </c>
      <c r="M19" s="15">
        <f>IF(OR($B19="",M$2=""),"",IF(SUMPRODUCT((Aus_Tec=$B19)*(Aus_Ini&lt;=M$2)*(Aus_Fim&gt;=M$2)*(Aus_Cod&gt;0))=0,"",IF(SUMPRODUCT((Aus_Tec=$B19)*(Aus_Ini&lt;=M$2)*(Aus_Fim&gt;=M$2)*(Aus_Cod&gt;0))&gt;1,"!",IFERROR(INDEX(Aus_Siglas,SUMPRODUCT((Aus_Tec=$B19)*(Aus_Ini&lt;=M$2)*(Aus_Fim&gt;=M$2)*Aus_Cod)),"!"))))</f>
        <v/>
      </c>
      <c r="N19" s="15">
        <f>IF(OR($B19="",N$2=""),"",IF(SUMPRODUCT((Aus_Tec=$B19)*(Aus_Ini&lt;=N$2)*(Aus_Fim&gt;=N$2)*(Aus_Cod&gt;0))=0,"",IF(SUMPRODUCT((Aus_Tec=$B19)*(Aus_Ini&lt;=N$2)*(Aus_Fim&gt;=N$2)*(Aus_Cod&gt;0))&gt;1,"!",IFERROR(INDEX(Aus_Siglas,SUMPRODUCT((Aus_Tec=$B19)*(Aus_Ini&lt;=N$2)*(Aus_Fim&gt;=N$2)*Aus_Cod)),"!"))))</f>
        <v/>
      </c>
      <c r="O19" s="15">
        <f>IF(OR($B19="",O$2=""),"",IF(SUMPRODUCT((Aus_Tec=$B19)*(Aus_Ini&lt;=O$2)*(Aus_Fim&gt;=O$2)*(Aus_Cod&gt;0))=0,"",IF(SUMPRODUCT((Aus_Tec=$B19)*(Aus_Ini&lt;=O$2)*(Aus_Fim&gt;=O$2)*(Aus_Cod&gt;0))&gt;1,"!",IFERROR(INDEX(Aus_Siglas,SUMPRODUCT((Aus_Tec=$B19)*(Aus_Ini&lt;=O$2)*(Aus_Fim&gt;=O$2)*Aus_Cod)),"!"))))</f>
        <v/>
      </c>
      <c r="P19" s="15">
        <f>IF(OR($B19="",P$2=""),"",IF(SUMPRODUCT((Aus_Tec=$B19)*(Aus_Ini&lt;=P$2)*(Aus_Fim&gt;=P$2)*(Aus_Cod&gt;0))=0,"",IF(SUMPRODUCT((Aus_Tec=$B19)*(Aus_Ini&lt;=P$2)*(Aus_Fim&gt;=P$2)*(Aus_Cod&gt;0))&gt;1,"!",IFERROR(INDEX(Aus_Siglas,SUMPRODUCT((Aus_Tec=$B19)*(Aus_Ini&lt;=P$2)*(Aus_Fim&gt;=P$2)*Aus_Cod)),"!"))))</f>
        <v/>
      </c>
      <c r="Q19" s="15">
        <f>IF(OR($B19="",Q$2=""),"",IF(SUMPRODUCT((Aus_Tec=$B19)*(Aus_Ini&lt;=Q$2)*(Aus_Fim&gt;=Q$2)*(Aus_Cod&gt;0))=0,"",IF(SUMPRODUCT((Aus_Tec=$B19)*(Aus_Ini&lt;=Q$2)*(Aus_Fim&gt;=Q$2)*(Aus_Cod&gt;0))&gt;1,"!",IFERROR(INDEX(Aus_Siglas,SUMPRODUCT((Aus_Tec=$B19)*(Aus_Ini&lt;=Q$2)*(Aus_Fim&gt;=Q$2)*Aus_Cod)),"!"))))</f>
        <v/>
      </c>
      <c r="R19" s="15">
        <f>IF(OR($B19="",R$2=""),"",IF(SUMPRODUCT((Aus_Tec=$B19)*(Aus_Ini&lt;=R$2)*(Aus_Fim&gt;=R$2)*(Aus_Cod&gt;0))=0,"",IF(SUMPRODUCT((Aus_Tec=$B19)*(Aus_Ini&lt;=R$2)*(Aus_Fim&gt;=R$2)*(Aus_Cod&gt;0))&gt;1,"!",IFERROR(INDEX(Aus_Siglas,SUMPRODUCT((Aus_Tec=$B19)*(Aus_Ini&lt;=R$2)*(Aus_Fim&gt;=R$2)*Aus_Cod)),"!"))))</f>
        <v/>
      </c>
      <c r="S19" s="15">
        <f>IF(OR($B19="",S$2=""),"",IF(SUMPRODUCT((Aus_Tec=$B19)*(Aus_Ini&lt;=S$2)*(Aus_Fim&gt;=S$2)*(Aus_Cod&gt;0))=0,"",IF(SUMPRODUCT((Aus_Tec=$B19)*(Aus_Ini&lt;=S$2)*(Aus_Fim&gt;=S$2)*(Aus_Cod&gt;0))&gt;1,"!",IFERROR(INDEX(Aus_Siglas,SUMPRODUCT((Aus_Tec=$B19)*(Aus_Ini&lt;=S$2)*(Aus_Fim&gt;=S$2)*Aus_Cod)),"!"))))</f>
        <v/>
      </c>
      <c r="T19" s="15">
        <f>IF(OR($B19="",T$2=""),"",IF(SUMPRODUCT((Aus_Tec=$B19)*(Aus_Ini&lt;=T$2)*(Aus_Fim&gt;=T$2)*(Aus_Cod&gt;0))=0,"",IF(SUMPRODUCT((Aus_Tec=$B19)*(Aus_Ini&lt;=T$2)*(Aus_Fim&gt;=T$2)*(Aus_Cod&gt;0))&gt;1,"!",IFERROR(INDEX(Aus_Siglas,SUMPRODUCT((Aus_Tec=$B19)*(Aus_Ini&lt;=T$2)*(Aus_Fim&gt;=T$2)*Aus_Cod)),"!"))))</f>
        <v/>
      </c>
      <c r="U19" s="15">
        <f>IF(OR($B19="",U$2=""),"",IF(SUMPRODUCT((Aus_Tec=$B19)*(Aus_Ini&lt;=U$2)*(Aus_Fim&gt;=U$2)*(Aus_Cod&gt;0))=0,"",IF(SUMPRODUCT((Aus_Tec=$B19)*(Aus_Ini&lt;=U$2)*(Aus_Fim&gt;=U$2)*(Aus_Cod&gt;0))&gt;1,"!",IFERROR(INDEX(Aus_Siglas,SUMPRODUCT((Aus_Tec=$B19)*(Aus_Ini&lt;=U$2)*(Aus_Fim&gt;=U$2)*Aus_Cod)),"!"))))</f>
        <v/>
      </c>
      <c r="V19" s="15">
        <f>IF(OR($B19="",V$2=""),"",IF(SUMPRODUCT((Aus_Tec=$B19)*(Aus_Ini&lt;=V$2)*(Aus_Fim&gt;=V$2)*(Aus_Cod&gt;0))=0,"",IF(SUMPRODUCT((Aus_Tec=$B19)*(Aus_Ini&lt;=V$2)*(Aus_Fim&gt;=V$2)*(Aus_Cod&gt;0))&gt;1,"!",IFERROR(INDEX(Aus_Siglas,SUMPRODUCT((Aus_Tec=$B19)*(Aus_Ini&lt;=V$2)*(Aus_Fim&gt;=V$2)*Aus_Cod)),"!"))))</f>
        <v/>
      </c>
      <c r="W19" s="15">
        <f>IF(OR($B19="",W$2=""),"",IF(SUMPRODUCT((Aus_Tec=$B19)*(Aus_Ini&lt;=W$2)*(Aus_Fim&gt;=W$2)*(Aus_Cod&gt;0))=0,"",IF(SUMPRODUCT((Aus_Tec=$B19)*(Aus_Ini&lt;=W$2)*(Aus_Fim&gt;=W$2)*(Aus_Cod&gt;0))&gt;1,"!",IFERROR(INDEX(Aus_Siglas,SUMPRODUCT((Aus_Tec=$B19)*(Aus_Ini&lt;=W$2)*(Aus_Fim&gt;=W$2)*Aus_Cod)),"!"))))</f>
        <v/>
      </c>
      <c r="X19" s="15">
        <f>IF(OR($B19="",X$2=""),"",IF(SUMPRODUCT((Aus_Tec=$B19)*(Aus_Ini&lt;=X$2)*(Aus_Fim&gt;=X$2)*(Aus_Cod&gt;0))=0,"",IF(SUMPRODUCT((Aus_Tec=$B19)*(Aus_Ini&lt;=X$2)*(Aus_Fim&gt;=X$2)*(Aus_Cod&gt;0))&gt;1,"!",IFERROR(INDEX(Aus_Siglas,SUMPRODUCT((Aus_Tec=$B19)*(Aus_Ini&lt;=X$2)*(Aus_Fim&gt;=X$2)*Aus_Cod)),"!"))))</f>
        <v/>
      </c>
      <c r="Y19" s="15">
        <f>IF(OR($B19="",Y$2=""),"",IF(SUMPRODUCT((Aus_Tec=$B19)*(Aus_Ini&lt;=Y$2)*(Aus_Fim&gt;=Y$2)*(Aus_Cod&gt;0))=0,"",IF(SUMPRODUCT((Aus_Tec=$B19)*(Aus_Ini&lt;=Y$2)*(Aus_Fim&gt;=Y$2)*(Aus_Cod&gt;0))&gt;1,"!",IFERROR(INDEX(Aus_Siglas,SUMPRODUCT((Aus_Tec=$B19)*(Aus_Ini&lt;=Y$2)*(Aus_Fim&gt;=Y$2)*Aus_Cod)),"!"))))</f>
        <v/>
      </c>
      <c r="Z19" s="15">
        <f>IF(OR($B19="",Z$2=""),"",IF(SUMPRODUCT((Aus_Tec=$B19)*(Aus_Ini&lt;=Z$2)*(Aus_Fim&gt;=Z$2)*(Aus_Cod&gt;0))=0,"",IF(SUMPRODUCT((Aus_Tec=$B19)*(Aus_Ini&lt;=Z$2)*(Aus_Fim&gt;=Z$2)*(Aus_Cod&gt;0))&gt;1,"!",IFERROR(INDEX(Aus_Siglas,SUMPRODUCT((Aus_Tec=$B19)*(Aus_Ini&lt;=Z$2)*(Aus_Fim&gt;=Z$2)*Aus_Cod)),"!"))))</f>
        <v/>
      </c>
      <c r="AA19" s="15">
        <f>IF(OR($B19="",AA$2=""),"",IF(SUMPRODUCT((Aus_Tec=$B19)*(Aus_Ini&lt;=AA$2)*(Aus_Fim&gt;=AA$2)*(Aus_Cod&gt;0))=0,"",IF(SUMPRODUCT((Aus_Tec=$B19)*(Aus_Ini&lt;=AA$2)*(Aus_Fim&gt;=AA$2)*(Aus_Cod&gt;0))&gt;1,"!",IFERROR(INDEX(Aus_Siglas,SUMPRODUCT((Aus_Tec=$B19)*(Aus_Ini&lt;=AA$2)*(Aus_Fim&gt;=AA$2)*Aus_Cod)),"!"))))</f>
        <v/>
      </c>
      <c r="AB19" s="15">
        <f>IF(OR($B19="",AB$2=""),"",IF(SUMPRODUCT((Aus_Tec=$B19)*(Aus_Ini&lt;=AB$2)*(Aus_Fim&gt;=AB$2)*(Aus_Cod&gt;0))=0,"",IF(SUMPRODUCT((Aus_Tec=$B19)*(Aus_Ini&lt;=AB$2)*(Aus_Fim&gt;=AB$2)*(Aus_Cod&gt;0))&gt;1,"!",IFERROR(INDEX(Aus_Siglas,SUMPRODUCT((Aus_Tec=$B19)*(Aus_Ini&lt;=AB$2)*(Aus_Fim&gt;=AB$2)*Aus_Cod)),"!"))))</f>
        <v/>
      </c>
      <c r="AC19" s="15">
        <f>IF(OR($B19="",AC$2=""),"",IF(SUMPRODUCT((Aus_Tec=$B19)*(Aus_Ini&lt;=AC$2)*(Aus_Fim&gt;=AC$2)*(Aus_Cod&gt;0))=0,"",IF(SUMPRODUCT((Aus_Tec=$B19)*(Aus_Ini&lt;=AC$2)*(Aus_Fim&gt;=AC$2)*(Aus_Cod&gt;0))&gt;1,"!",IFERROR(INDEX(Aus_Siglas,SUMPRODUCT((Aus_Tec=$B19)*(Aus_Ini&lt;=AC$2)*(Aus_Fim&gt;=AC$2)*Aus_Cod)),"!"))))</f>
        <v/>
      </c>
      <c r="AD19" s="15">
        <f>IF(OR($B19="",AD$2=""),"",IF(SUMPRODUCT((Aus_Tec=$B19)*(Aus_Ini&lt;=AD$2)*(Aus_Fim&gt;=AD$2)*(Aus_Cod&gt;0))=0,"",IF(SUMPRODUCT((Aus_Tec=$B19)*(Aus_Ini&lt;=AD$2)*(Aus_Fim&gt;=AD$2)*(Aus_Cod&gt;0))&gt;1,"!",IFERROR(INDEX(Aus_Siglas,SUMPRODUCT((Aus_Tec=$B19)*(Aus_Ini&lt;=AD$2)*(Aus_Fim&gt;=AD$2)*Aus_Cod)),"!"))))</f>
        <v/>
      </c>
      <c r="AE19" s="15">
        <f>IF(OR($B19="",AE$2=""),"",IF(SUMPRODUCT((Aus_Tec=$B19)*(Aus_Ini&lt;=AE$2)*(Aus_Fim&gt;=AE$2)*(Aus_Cod&gt;0))=0,"",IF(SUMPRODUCT((Aus_Tec=$B19)*(Aus_Ini&lt;=AE$2)*(Aus_Fim&gt;=AE$2)*(Aus_Cod&gt;0))&gt;1,"!",IFERROR(INDEX(Aus_Siglas,SUMPRODUCT((Aus_Tec=$B19)*(Aus_Ini&lt;=AE$2)*(Aus_Fim&gt;=AE$2)*Aus_Cod)),"!"))))</f>
        <v/>
      </c>
      <c r="AF19" s="15">
        <f>IF(OR($B19="",AF$2=""),"",IF(SUMPRODUCT((Aus_Tec=$B19)*(Aus_Ini&lt;=AF$2)*(Aus_Fim&gt;=AF$2)*(Aus_Cod&gt;0))=0,"",IF(SUMPRODUCT((Aus_Tec=$B19)*(Aus_Ini&lt;=AF$2)*(Aus_Fim&gt;=AF$2)*(Aus_Cod&gt;0))&gt;1,"!",IFERROR(INDEX(Aus_Siglas,SUMPRODUCT((Aus_Tec=$B19)*(Aus_Ini&lt;=AF$2)*(Aus_Fim&gt;=AF$2)*Aus_Cod)),"!"))))</f>
        <v/>
      </c>
      <c r="AG19" s="15">
        <f>IF(OR($B19="",AG$2=""),"",IF(SUMPRODUCT((Aus_Tec=$B19)*(Aus_Ini&lt;=AG$2)*(Aus_Fim&gt;=AG$2)*(Aus_Cod&gt;0))=0,"",IF(SUMPRODUCT((Aus_Tec=$B19)*(Aus_Ini&lt;=AG$2)*(Aus_Fim&gt;=AG$2)*(Aus_Cod&gt;0))&gt;1,"!",IFERROR(INDEX(Aus_Siglas,SUMPRODUCT((Aus_Tec=$B19)*(Aus_Ini&lt;=AG$2)*(Aus_Fim&gt;=AG$2)*Aus_Cod)),"!"))))</f>
        <v/>
      </c>
      <c r="AH19" s="37">
        <f>IF($B19="","",COUNTIF($C19:$AG19,"F"))</f>
        <v/>
      </c>
      <c r="AI19" s="37">
        <f>IF($B19="","",COUNTIF($C19:$AG19,"D"))</f>
        <v/>
      </c>
      <c r="AJ19" s="37">
        <f>IF($B19="","",COUNTIF($C19:$AG19,"A"))</f>
        <v/>
      </c>
      <c r="AK19" s="37">
        <f>IF($B19="","",SUMPRODUCT(($C19:$AG19&lt;&gt;"")*1))</f>
        <v/>
      </c>
    </row>
    <row r="20">
      <c r="A20" s="33">
        <f>IF('Equipe'!A18="","",'Equipe'!A18)</f>
        <v/>
      </c>
      <c r="B20" s="34">
        <f>IF('Equipe'!B18="","",'Equipe'!B18)</f>
        <v/>
      </c>
      <c r="C20" s="15">
        <f>IF(OR($B20="",C$2=""),"",IF(SUMPRODUCT((Aus_Tec=$B20)*(Aus_Ini&lt;=C$2)*(Aus_Fim&gt;=C$2)*(Aus_Cod&gt;0))=0,"",IF(SUMPRODUCT((Aus_Tec=$B20)*(Aus_Ini&lt;=C$2)*(Aus_Fim&gt;=C$2)*(Aus_Cod&gt;0))&gt;1,"!",IFERROR(INDEX(Aus_Siglas,SUMPRODUCT((Aus_Tec=$B20)*(Aus_Ini&lt;=C$2)*(Aus_Fim&gt;=C$2)*Aus_Cod)),"!"))))</f>
        <v/>
      </c>
      <c r="D20" s="15">
        <f>IF(OR($B20="",D$2=""),"",IF(SUMPRODUCT((Aus_Tec=$B20)*(Aus_Ini&lt;=D$2)*(Aus_Fim&gt;=D$2)*(Aus_Cod&gt;0))=0,"",IF(SUMPRODUCT((Aus_Tec=$B20)*(Aus_Ini&lt;=D$2)*(Aus_Fim&gt;=D$2)*(Aus_Cod&gt;0))&gt;1,"!",IFERROR(INDEX(Aus_Siglas,SUMPRODUCT((Aus_Tec=$B20)*(Aus_Ini&lt;=D$2)*(Aus_Fim&gt;=D$2)*Aus_Cod)),"!"))))</f>
        <v/>
      </c>
      <c r="E20" s="15">
        <f>IF(OR($B20="",E$2=""),"",IF(SUMPRODUCT((Aus_Tec=$B20)*(Aus_Ini&lt;=E$2)*(Aus_Fim&gt;=E$2)*(Aus_Cod&gt;0))=0,"",IF(SUMPRODUCT((Aus_Tec=$B20)*(Aus_Ini&lt;=E$2)*(Aus_Fim&gt;=E$2)*(Aus_Cod&gt;0))&gt;1,"!",IFERROR(INDEX(Aus_Siglas,SUMPRODUCT((Aus_Tec=$B20)*(Aus_Ini&lt;=E$2)*(Aus_Fim&gt;=E$2)*Aus_Cod)),"!"))))</f>
        <v/>
      </c>
      <c r="F20" s="15">
        <f>IF(OR($B20="",F$2=""),"",IF(SUMPRODUCT((Aus_Tec=$B20)*(Aus_Ini&lt;=F$2)*(Aus_Fim&gt;=F$2)*(Aus_Cod&gt;0))=0,"",IF(SUMPRODUCT((Aus_Tec=$B20)*(Aus_Ini&lt;=F$2)*(Aus_Fim&gt;=F$2)*(Aus_Cod&gt;0))&gt;1,"!",IFERROR(INDEX(Aus_Siglas,SUMPRODUCT((Aus_Tec=$B20)*(Aus_Ini&lt;=F$2)*(Aus_Fim&gt;=F$2)*Aus_Cod)),"!"))))</f>
        <v/>
      </c>
      <c r="G20" s="15">
        <f>IF(OR($B20="",G$2=""),"",IF(SUMPRODUCT((Aus_Tec=$B20)*(Aus_Ini&lt;=G$2)*(Aus_Fim&gt;=G$2)*(Aus_Cod&gt;0))=0,"",IF(SUMPRODUCT((Aus_Tec=$B20)*(Aus_Ini&lt;=G$2)*(Aus_Fim&gt;=G$2)*(Aus_Cod&gt;0))&gt;1,"!",IFERROR(INDEX(Aus_Siglas,SUMPRODUCT((Aus_Tec=$B20)*(Aus_Ini&lt;=G$2)*(Aus_Fim&gt;=G$2)*Aus_Cod)),"!"))))</f>
        <v/>
      </c>
      <c r="H20" s="15">
        <f>IF(OR($B20="",H$2=""),"",IF(SUMPRODUCT((Aus_Tec=$B20)*(Aus_Ini&lt;=H$2)*(Aus_Fim&gt;=H$2)*(Aus_Cod&gt;0))=0,"",IF(SUMPRODUCT((Aus_Tec=$B20)*(Aus_Ini&lt;=H$2)*(Aus_Fim&gt;=H$2)*(Aus_Cod&gt;0))&gt;1,"!",IFERROR(INDEX(Aus_Siglas,SUMPRODUCT((Aus_Tec=$B20)*(Aus_Ini&lt;=H$2)*(Aus_Fim&gt;=H$2)*Aus_Cod)),"!"))))</f>
        <v/>
      </c>
      <c r="I20" s="15">
        <f>IF(OR($B20="",I$2=""),"",IF(SUMPRODUCT((Aus_Tec=$B20)*(Aus_Ini&lt;=I$2)*(Aus_Fim&gt;=I$2)*(Aus_Cod&gt;0))=0,"",IF(SUMPRODUCT((Aus_Tec=$B20)*(Aus_Ini&lt;=I$2)*(Aus_Fim&gt;=I$2)*(Aus_Cod&gt;0))&gt;1,"!",IFERROR(INDEX(Aus_Siglas,SUMPRODUCT((Aus_Tec=$B20)*(Aus_Ini&lt;=I$2)*(Aus_Fim&gt;=I$2)*Aus_Cod)),"!"))))</f>
        <v/>
      </c>
      <c r="J20" s="15">
        <f>IF(OR($B20="",J$2=""),"",IF(SUMPRODUCT((Aus_Tec=$B20)*(Aus_Ini&lt;=J$2)*(Aus_Fim&gt;=J$2)*(Aus_Cod&gt;0))=0,"",IF(SUMPRODUCT((Aus_Tec=$B20)*(Aus_Ini&lt;=J$2)*(Aus_Fim&gt;=J$2)*(Aus_Cod&gt;0))&gt;1,"!",IFERROR(INDEX(Aus_Siglas,SUMPRODUCT((Aus_Tec=$B20)*(Aus_Ini&lt;=J$2)*(Aus_Fim&gt;=J$2)*Aus_Cod)),"!"))))</f>
        <v/>
      </c>
      <c r="K20" s="15">
        <f>IF(OR($B20="",K$2=""),"",IF(SUMPRODUCT((Aus_Tec=$B20)*(Aus_Ini&lt;=K$2)*(Aus_Fim&gt;=K$2)*(Aus_Cod&gt;0))=0,"",IF(SUMPRODUCT((Aus_Tec=$B20)*(Aus_Ini&lt;=K$2)*(Aus_Fim&gt;=K$2)*(Aus_Cod&gt;0))&gt;1,"!",IFERROR(INDEX(Aus_Siglas,SUMPRODUCT((Aus_Tec=$B20)*(Aus_Ini&lt;=K$2)*(Aus_Fim&gt;=K$2)*Aus_Cod)),"!"))))</f>
        <v/>
      </c>
      <c r="L20" s="15">
        <f>IF(OR($B20="",L$2=""),"",IF(SUMPRODUCT((Aus_Tec=$B20)*(Aus_Ini&lt;=L$2)*(Aus_Fim&gt;=L$2)*(Aus_Cod&gt;0))=0,"",IF(SUMPRODUCT((Aus_Tec=$B20)*(Aus_Ini&lt;=L$2)*(Aus_Fim&gt;=L$2)*(Aus_Cod&gt;0))&gt;1,"!",IFERROR(INDEX(Aus_Siglas,SUMPRODUCT((Aus_Tec=$B20)*(Aus_Ini&lt;=L$2)*(Aus_Fim&gt;=L$2)*Aus_Cod)),"!"))))</f>
        <v/>
      </c>
      <c r="M20" s="15">
        <f>IF(OR($B20="",M$2=""),"",IF(SUMPRODUCT((Aus_Tec=$B20)*(Aus_Ini&lt;=M$2)*(Aus_Fim&gt;=M$2)*(Aus_Cod&gt;0))=0,"",IF(SUMPRODUCT((Aus_Tec=$B20)*(Aus_Ini&lt;=M$2)*(Aus_Fim&gt;=M$2)*(Aus_Cod&gt;0))&gt;1,"!",IFERROR(INDEX(Aus_Siglas,SUMPRODUCT((Aus_Tec=$B20)*(Aus_Ini&lt;=M$2)*(Aus_Fim&gt;=M$2)*Aus_Cod)),"!"))))</f>
        <v/>
      </c>
      <c r="N20" s="15">
        <f>IF(OR($B20="",N$2=""),"",IF(SUMPRODUCT((Aus_Tec=$B20)*(Aus_Ini&lt;=N$2)*(Aus_Fim&gt;=N$2)*(Aus_Cod&gt;0))=0,"",IF(SUMPRODUCT((Aus_Tec=$B20)*(Aus_Ini&lt;=N$2)*(Aus_Fim&gt;=N$2)*(Aus_Cod&gt;0))&gt;1,"!",IFERROR(INDEX(Aus_Siglas,SUMPRODUCT((Aus_Tec=$B20)*(Aus_Ini&lt;=N$2)*(Aus_Fim&gt;=N$2)*Aus_Cod)),"!"))))</f>
        <v/>
      </c>
      <c r="O20" s="15">
        <f>IF(OR($B20="",O$2=""),"",IF(SUMPRODUCT((Aus_Tec=$B20)*(Aus_Ini&lt;=O$2)*(Aus_Fim&gt;=O$2)*(Aus_Cod&gt;0))=0,"",IF(SUMPRODUCT((Aus_Tec=$B20)*(Aus_Ini&lt;=O$2)*(Aus_Fim&gt;=O$2)*(Aus_Cod&gt;0))&gt;1,"!",IFERROR(INDEX(Aus_Siglas,SUMPRODUCT((Aus_Tec=$B20)*(Aus_Ini&lt;=O$2)*(Aus_Fim&gt;=O$2)*Aus_Cod)),"!"))))</f>
        <v/>
      </c>
      <c r="P20" s="15">
        <f>IF(OR($B20="",P$2=""),"",IF(SUMPRODUCT((Aus_Tec=$B20)*(Aus_Ini&lt;=P$2)*(Aus_Fim&gt;=P$2)*(Aus_Cod&gt;0))=0,"",IF(SUMPRODUCT((Aus_Tec=$B20)*(Aus_Ini&lt;=P$2)*(Aus_Fim&gt;=P$2)*(Aus_Cod&gt;0))&gt;1,"!",IFERROR(INDEX(Aus_Siglas,SUMPRODUCT((Aus_Tec=$B20)*(Aus_Ini&lt;=P$2)*(Aus_Fim&gt;=P$2)*Aus_Cod)),"!"))))</f>
        <v/>
      </c>
      <c r="Q20" s="15">
        <f>IF(OR($B20="",Q$2=""),"",IF(SUMPRODUCT((Aus_Tec=$B20)*(Aus_Ini&lt;=Q$2)*(Aus_Fim&gt;=Q$2)*(Aus_Cod&gt;0))=0,"",IF(SUMPRODUCT((Aus_Tec=$B20)*(Aus_Ini&lt;=Q$2)*(Aus_Fim&gt;=Q$2)*(Aus_Cod&gt;0))&gt;1,"!",IFERROR(INDEX(Aus_Siglas,SUMPRODUCT((Aus_Tec=$B20)*(Aus_Ini&lt;=Q$2)*(Aus_Fim&gt;=Q$2)*Aus_Cod)),"!"))))</f>
        <v/>
      </c>
      <c r="R20" s="15">
        <f>IF(OR($B20="",R$2=""),"",IF(SUMPRODUCT((Aus_Tec=$B20)*(Aus_Ini&lt;=R$2)*(Aus_Fim&gt;=R$2)*(Aus_Cod&gt;0))=0,"",IF(SUMPRODUCT((Aus_Tec=$B20)*(Aus_Ini&lt;=R$2)*(Aus_Fim&gt;=R$2)*(Aus_Cod&gt;0))&gt;1,"!",IFERROR(INDEX(Aus_Siglas,SUMPRODUCT((Aus_Tec=$B20)*(Aus_Ini&lt;=R$2)*(Aus_Fim&gt;=R$2)*Aus_Cod)),"!"))))</f>
        <v/>
      </c>
      <c r="S20" s="15">
        <f>IF(OR($B20="",S$2=""),"",IF(SUMPRODUCT((Aus_Tec=$B20)*(Aus_Ini&lt;=S$2)*(Aus_Fim&gt;=S$2)*(Aus_Cod&gt;0))=0,"",IF(SUMPRODUCT((Aus_Tec=$B20)*(Aus_Ini&lt;=S$2)*(Aus_Fim&gt;=S$2)*(Aus_Cod&gt;0))&gt;1,"!",IFERROR(INDEX(Aus_Siglas,SUMPRODUCT((Aus_Tec=$B20)*(Aus_Ini&lt;=S$2)*(Aus_Fim&gt;=S$2)*Aus_Cod)),"!"))))</f>
        <v/>
      </c>
      <c r="T20" s="15">
        <f>IF(OR($B20="",T$2=""),"",IF(SUMPRODUCT((Aus_Tec=$B20)*(Aus_Ini&lt;=T$2)*(Aus_Fim&gt;=T$2)*(Aus_Cod&gt;0))=0,"",IF(SUMPRODUCT((Aus_Tec=$B20)*(Aus_Ini&lt;=T$2)*(Aus_Fim&gt;=T$2)*(Aus_Cod&gt;0))&gt;1,"!",IFERROR(INDEX(Aus_Siglas,SUMPRODUCT((Aus_Tec=$B20)*(Aus_Ini&lt;=T$2)*(Aus_Fim&gt;=T$2)*Aus_Cod)),"!"))))</f>
        <v/>
      </c>
      <c r="U20" s="15">
        <f>IF(OR($B20="",U$2=""),"",IF(SUMPRODUCT((Aus_Tec=$B20)*(Aus_Ini&lt;=U$2)*(Aus_Fim&gt;=U$2)*(Aus_Cod&gt;0))=0,"",IF(SUMPRODUCT((Aus_Tec=$B20)*(Aus_Ini&lt;=U$2)*(Aus_Fim&gt;=U$2)*(Aus_Cod&gt;0))&gt;1,"!",IFERROR(INDEX(Aus_Siglas,SUMPRODUCT((Aus_Tec=$B20)*(Aus_Ini&lt;=U$2)*(Aus_Fim&gt;=U$2)*Aus_Cod)),"!"))))</f>
        <v/>
      </c>
      <c r="V20" s="15">
        <f>IF(OR($B20="",V$2=""),"",IF(SUMPRODUCT((Aus_Tec=$B20)*(Aus_Ini&lt;=V$2)*(Aus_Fim&gt;=V$2)*(Aus_Cod&gt;0))=0,"",IF(SUMPRODUCT((Aus_Tec=$B20)*(Aus_Ini&lt;=V$2)*(Aus_Fim&gt;=V$2)*(Aus_Cod&gt;0))&gt;1,"!",IFERROR(INDEX(Aus_Siglas,SUMPRODUCT((Aus_Tec=$B20)*(Aus_Ini&lt;=V$2)*(Aus_Fim&gt;=V$2)*Aus_Cod)),"!"))))</f>
        <v/>
      </c>
      <c r="W20" s="15">
        <f>IF(OR($B20="",W$2=""),"",IF(SUMPRODUCT((Aus_Tec=$B20)*(Aus_Ini&lt;=W$2)*(Aus_Fim&gt;=W$2)*(Aus_Cod&gt;0))=0,"",IF(SUMPRODUCT((Aus_Tec=$B20)*(Aus_Ini&lt;=W$2)*(Aus_Fim&gt;=W$2)*(Aus_Cod&gt;0))&gt;1,"!",IFERROR(INDEX(Aus_Siglas,SUMPRODUCT((Aus_Tec=$B20)*(Aus_Ini&lt;=W$2)*(Aus_Fim&gt;=W$2)*Aus_Cod)),"!"))))</f>
        <v/>
      </c>
      <c r="X20" s="15">
        <f>IF(OR($B20="",X$2=""),"",IF(SUMPRODUCT((Aus_Tec=$B20)*(Aus_Ini&lt;=X$2)*(Aus_Fim&gt;=X$2)*(Aus_Cod&gt;0))=0,"",IF(SUMPRODUCT((Aus_Tec=$B20)*(Aus_Ini&lt;=X$2)*(Aus_Fim&gt;=X$2)*(Aus_Cod&gt;0))&gt;1,"!",IFERROR(INDEX(Aus_Siglas,SUMPRODUCT((Aus_Tec=$B20)*(Aus_Ini&lt;=X$2)*(Aus_Fim&gt;=X$2)*Aus_Cod)),"!"))))</f>
        <v/>
      </c>
      <c r="Y20" s="15">
        <f>IF(OR($B20="",Y$2=""),"",IF(SUMPRODUCT((Aus_Tec=$B20)*(Aus_Ini&lt;=Y$2)*(Aus_Fim&gt;=Y$2)*(Aus_Cod&gt;0))=0,"",IF(SUMPRODUCT((Aus_Tec=$B20)*(Aus_Ini&lt;=Y$2)*(Aus_Fim&gt;=Y$2)*(Aus_Cod&gt;0))&gt;1,"!",IFERROR(INDEX(Aus_Siglas,SUMPRODUCT((Aus_Tec=$B20)*(Aus_Ini&lt;=Y$2)*(Aus_Fim&gt;=Y$2)*Aus_Cod)),"!"))))</f>
        <v/>
      </c>
      <c r="Z20" s="15">
        <f>IF(OR($B20="",Z$2=""),"",IF(SUMPRODUCT((Aus_Tec=$B20)*(Aus_Ini&lt;=Z$2)*(Aus_Fim&gt;=Z$2)*(Aus_Cod&gt;0))=0,"",IF(SUMPRODUCT((Aus_Tec=$B20)*(Aus_Ini&lt;=Z$2)*(Aus_Fim&gt;=Z$2)*(Aus_Cod&gt;0))&gt;1,"!",IFERROR(INDEX(Aus_Siglas,SUMPRODUCT((Aus_Tec=$B20)*(Aus_Ini&lt;=Z$2)*(Aus_Fim&gt;=Z$2)*Aus_Cod)),"!"))))</f>
        <v/>
      </c>
      <c r="AA20" s="15">
        <f>IF(OR($B20="",AA$2=""),"",IF(SUMPRODUCT((Aus_Tec=$B20)*(Aus_Ini&lt;=AA$2)*(Aus_Fim&gt;=AA$2)*(Aus_Cod&gt;0))=0,"",IF(SUMPRODUCT((Aus_Tec=$B20)*(Aus_Ini&lt;=AA$2)*(Aus_Fim&gt;=AA$2)*(Aus_Cod&gt;0))&gt;1,"!",IFERROR(INDEX(Aus_Siglas,SUMPRODUCT((Aus_Tec=$B20)*(Aus_Ini&lt;=AA$2)*(Aus_Fim&gt;=AA$2)*Aus_Cod)),"!"))))</f>
        <v/>
      </c>
      <c r="AB20" s="15">
        <f>IF(OR($B20="",AB$2=""),"",IF(SUMPRODUCT((Aus_Tec=$B20)*(Aus_Ini&lt;=AB$2)*(Aus_Fim&gt;=AB$2)*(Aus_Cod&gt;0))=0,"",IF(SUMPRODUCT((Aus_Tec=$B20)*(Aus_Ini&lt;=AB$2)*(Aus_Fim&gt;=AB$2)*(Aus_Cod&gt;0))&gt;1,"!",IFERROR(INDEX(Aus_Siglas,SUMPRODUCT((Aus_Tec=$B20)*(Aus_Ini&lt;=AB$2)*(Aus_Fim&gt;=AB$2)*Aus_Cod)),"!"))))</f>
        <v/>
      </c>
      <c r="AC20" s="15">
        <f>IF(OR($B20="",AC$2=""),"",IF(SUMPRODUCT((Aus_Tec=$B20)*(Aus_Ini&lt;=AC$2)*(Aus_Fim&gt;=AC$2)*(Aus_Cod&gt;0))=0,"",IF(SUMPRODUCT((Aus_Tec=$B20)*(Aus_Ini&lt;=AC$2)*(Aus_Fim&gt;=AC$2)*(Aus_Cod&gt;0))&gt;1,"!",IFERROR(INDEX(Aus_Siglas,SUMPRODUCT((Aus_Tec=$B20)*(Aus_Ini&lt;=AC$2)*(Aus_Fim&gt;=AC$2)*Aus_Cod)),"!"))))</f>
        <v/>
      </c>
      <c r="AD20" s="15">
        <f>IF(OR($B20="",AD$2=""),"",IF(SUMPRODUCT((Aus_Tec=$B20)*(Aus_Ini&lt;=AD$2)*(Aus_Fim&gt;=AD$2)*(Aus_Cod&gt;0))=0,"",IF(SUMPRODUCT((Aus_Tec=$B20)*(Aus_Ini&lt;=AD$2)*(Aus_Fim&gt;=AD$2)*(Aus_Cod&gt;0))&gt;1,"!",IFERROR(INDEX(Aus_Siglas,SUMPRODUCT((Aus_Tec=$B20)*(Aus_Ini&lt;=AD$2)*(Aus_Fim&gt;=AD$2)*Aus_Cod)),"!"))))</f>
        <v/>
      </c>
      <c r="AE20" s="15">
        <f>IF(OR($B20="",AE$2=""),"",IF(SUMPRODUCT((Aus_Tec=$B20)*(Aus_Ini&lt;=AE$2)*(Aus_Fim&gt;=AE$2)*(Aus_Cod&gt;0))=0,"",IF(SUMPRODUCT((Aus_Tec=$B20)*(Aus_Ini&lt;=AE$2)*(Aus_Fim&gt;=AE$2)*(Aus_Cod&gt;0))&gt;1,"!",IFERROR(INDEX(Aus_Siglas,SUMPRODUCT((Aus_Tec=$B20)*(Aus_Ini&lt;=AE$2)*(Aus_Fim&gt;=AE$2)*Aus_Cod)),"!"))))</f>
        <v/>
      </c>
      <c r="AF20" s="15">
        <f>IF(OR($B20="",AF$2=""),"",IF(SUMPRODUCT((Aus_Tec=$B20)*(Aus_Ini&lt;=AF$2)*(Aus_Fim&gt;=AF$2)*(Aus_Cod&gt;0))=0,"",IF(SUMPRODUCT((Aus_Tec=$B20)*(Aus_Ini&lt;=AF$2)*(Aus_Fim&gt;=AF$2)*(Aus_Cod&gt;0))&gt;1,"!",IFERROR(INDEX(Aus_Siglas,SUMPRODUCT((Aus_Tec=$B20)*(Aus_Ini&lt;=AF$2)*(Aus_Fim&gt;=AF$2)*Aus_Cod)),"!"))))</f>
        <v/>
      </c>
      <c r="AG20" s="15">
        <f>IF(OR($B20="",AG$2=""),"",IF(SUMPRODUCT((Aus_Tec=$B20)*(Aus_Ini&lt;=AG$2)*(Aus_Fim&gt;=AG$2)*(Aus_Cod&gt;0))=0,"",IF(SUMPRODUCT((Aus_Tec=$B20)*(Aus_Ini&lt;=AG$2)*(Aus_Fim&gt;=AG$2)*(Aus_Cod&gt;0))&gt;1,"!",IFERROR(INDEX(Aus_Siglas,SUMPRODUCT((Aus_Tec=$B20)*(Aus_Ini&lt;=AG$2)*(Aus_Fim&gt;=AG$2)*Aus_Cod)),"!"))))</f>
        <v/>
      </c>
      <c r="AH20" s="37">
        <f>IF($B20="","",COUNTIF($C20:$AG20,"F"))</f>
        <v/>
      </c>
      <c r="AI20" s="37">
        <f>IF($B20="","",COUNTIF($C20:$AG20,"D"))</f>
        <v/>
      </c>
      <c r="AJ20" s="37">
        <f>IF($B20="","",COUNTIF($C20:$AG20,"A"))</f>
        <v/>
      </c>
      <c r="AK20" s="37">
        <f>IF($B20="","",SUMPRODUCT(($C20:$AG20&lt;&gt;"")*1))</f>
        <v/>
      </c>
    </row>
    <row r="21">
      <c r="A21" s="33">
        <f>IF('Equipe'!A19="","",'Equipe'!A19)</f>
        <v/>
      </c>
      <c r="B21" s="34">
        <f>IF('Equipe'!B19="","",'Equipe'!B19)</f>
        <v/>
      </c>
      <c r="C21" s="15">
        <f>IF(OR($B21="",C$2=""),"",IF(SUMPRODUCT((Aus_Tec=$B21)*(Aus_Ini&lt;=C$2)*(Aus_Fim&gt;=C$2)*(Aus_Cod&gt;0))=0,"",IF(SUMPRODUCT((Aus_Tec=$B21)*(Aus_Ini&lt;=C$2)*(Aus_Fim&gt;=C$2)*(Aus_Cod&gt;0))&gt;1,"!",IFERROR(INDEX(Aus_Siglas,SUMPRODUCT((Aus_Tec=$B21)*(Aus_Ini&lt;=C$2)*(Aus_Fim&gt;=C$2)*Aus_Cod)),"!"))))</f>
        <v/>
      </c>
      <c r="D21" s="15">
        <f>IF(OR($B21="",D$2=""),"",IF(SUMPRODUCT((Aus_Tec=$B21)*(Aus_Ini&lt;=D$2)*(Aus_Fim&gt;=D$2)*(Aus_Cod&gt;0))=0,"",IF(SUMPRODUCT((Aus_Tec=$B21)*(Aus_Ini&lt;=D$2)*(Aus_Fim&gt;=D$2)*(Aus_Cod&gt;0))&gt;1,"!",IFERROR(INDEX(Aus_Siglas,SUMPRODUCT((Aus_Tec=$B21)*(Aus_Ini&lt;=D$2)*(Aus_Fim&gt;=D$2)*Aus_Cod)),"!"))))</f>
        <v/>
      </c>
      <c r="E21" s="15">
        <f>IF(OR($B21="",E$2=""),"",IF(SUMPRODUCT((Aus_Tec=$B21)*(Aus_Ini&lt;=E$2)*(Aus_Fim&gt;=E$2)*(Aus_Cod&gt;0))=0,"",IF(SUMPRODUCT((Aus_Tec=$B21)*(Aus_Ini&lt;=E$2)*(Aus_Fim&gt;=E$2)*(Aus_Cod&gt;0))&gt;1,"!",IFERROR(INDEX(Aus_Siglas,SUMPRODUCT((Aus_Tec=$B21)*(Aus_Ini&lt;=E$2)*(Aus_Fim&gt;=E$2)*Aus_Cod)),"!"))))</f>
        <v/>
      </c>
      <c r="F21" s="15">
        <f>IF(OR($B21="",F$2=""),"",IF(SUMPRODUCT((Aus_Tec=$B21)*(Aus_Ini&lt;=F$2)*(Aus_Fim&gt;=F$2)*(Aus_Cod&gt;0))=0,"",IF(SUMPRODUCT((Aus_Tec=$B21)*(Aus_Ini&lt;=F$2)*(Aus_Fim&gt;=F$2)*(Aus_Cod&gt;0))&gt;1,"!",IFERROR(INDEX(Aus_Siglas,SUMPRODUCT((Aus_Tec=$B21)*(Aus_Ini&lt;=F$2)*(Aus_Fim&gt;=F$2)*Aus_Cod)),"!"))))</f>
        <v/>
      </c>
      <c r="G21" s="15">
        <f>IF(OR($B21="",G$2=""),"",IF(SUMPRODUCT((Aus_Tec=$B21)*(Aus_Ini&lt;=G$2)*(Aus_Fim&gt;=G$2)*(Aus_Cod&gt;0))=0,"",IF(SUMPRODUCT((Aus_Tec=$B21)*(Aus_Ini&lt;=G$2)*(Aus_Fim&gt;=G$2)*(Aus_Cod&gt;0))&gt;1,"!",IFERROR(INDEX(Aus_Siglas,SUMPRODUCT((Aus_Tec=$B21)*(Aus_Ini&lt;=G$2)*(Aus_Fim&gt;=G$2)*Aus_Cod)),"!"))))</f>
        <v/>
      </c>
      <c r="H21" s="15">
        <f>IF(OR($B21="",H$2=""),"",IF(SUMPRODUCT((Aus_Tec=$B21)*(Aus_Ini&lt;=H$2)*(Aus_Fim&gt;=H$2)*(Aus_Cod&gt;0))=0,"",IF(SUMPRODUCT((Aus_Tec=$B21)*(Aus_Ini&lt;=H$2)*(Aus_Fim&gt;=H$2)*(Aus_Cod&gt;0))&gt;1,"!",IFERROR(INDEX(Aus_Siglas,SUMPRODUCT((Aus_Tec=$B21)*(Aus_Ini&lt;=H$2)*(Aus_Fim&gt;=H$2)*Aus_Cod)),"!"))))</f>
        <v/>
      </c>
      <c r="I21" s="15">
        <f>IF(OR($B21="",I$2=""),"",IF(SUMPRODUCT((Aus_Tec=$B21)*(Aus_Ini&lt;=I$2)*(Aus_Fim&gt;=I$2)*(Aus_Cod&gt;0))=0,"",IF(SUMPRODUCT((Aus_Tec=$B21)*(Aus_Ini&lt;=I$2)*(Aus_Fim&gt;=I$2)*(Aus_Cod&gt;0))&gt;1,"!",IFERROR(INDEX(Aus_Siglas,SUMPRODUCT((Aus_Tec=$B21)*(Aus_Ini&lt;=I$2)*(Aus_Fim&gt;=I$2)*Aus_Cod)),"!"))))</f>
        <v/>
      </c>
      <c r="J21" s="15">
        <f>IF(OR($B21="",J$2=""),"",IF(SUMPRODUCT((Aus_Tec=$B21)*(Aus_Ini&lt;=J$2)*(Aus_Fim&gt;=J$2)*(Aus_Cod&gt;0))=0,"",IF(SUMPRODUCT((Aus_Tec=$B21)*(Aus_Ini&lt;=J$2)*(Aus_Fim&gt;=J$2)*(Aus_Cod&gt;0))&gt;1,"!",IFERROR(INDEX(Aus_Siglas,SUMPRODUCT((Aus_Tec=$B21)*(Aus_Ini&lt;=J$2)*(Aus_Fim&gt;=J$2)*Aus_Cod)),"!"))))</f>
        <v/>
      </c>
      <c r="K21" s="15">
        <f>IF(OR($B21="",K$2=""),"",IF(SUMPRODUCT((Aus_Tec=$B21)*(Aus_Ini&lt;=K$2)*(Aus_Fim&gt;=K$2)*(Aus_Cod&gt;0))=0,"",IF(SUMPRODUCT((Aus_Tec=$B21)*(Aus_Ini&lt;=K$2)*(Aus_Fim&gt;=K$2)*(Aus_Cod&gt;0))&gt;1,"!",IFERROR(INDEX(Aus_Siglas,SUMPRODUCT((Aus_Tec=$B21)*(Aus_Ini&lt;=K$2)*(Aus_Fim&gt;=K$2)*Aus_Cod)),"!"))))</f>
        <v/>
      </c>
      <c r="L21" s="15">
        <f>IF(OR($B21="",L$2=""),"",IF(SUMPRODUCT((Aus_Tec=$B21)*(Aus_Ini&lt;=L$2)*(Aus_Fim&gt;=L$2)*(Aus_Cod&gt;0))=0,"",IF(SUMPRODUCT((Aus_Tec=$B21)*(Aus_Ini&lt;=L$2)*(Aus_Fim&gt;=L$2)*(Aus_Cod&gt;0))&gt;1,"!",IFERROR(INDEX(Aus_Siglas,SUMPRODUCT((Aus_Tec=$B21)*(Aus_Ini&lt;=L$2)*(Aus_Fim&gt;=L$2)*Aus_Cod)),"!"))))</f>
        <v/>
      </c>
      <c r="M21" s="15">
        <f>IF(OR($B21="",M$2=""),"",IF(SUMPRODUCT((Aus_Tec=$B21)*(Aus_Ini&lt;=M$2)*(Aus_Fim&gt;=M$2)*(Aus_Cod&gt;0))=0,"",IF(SUMPRODUCT((Aus_Tec=$B21)*(Aus_Ini&lt;=M$2)*(Aus_Fim&gt;=M$2)*(Aus_Cod&gt;0))&gt;1,"!",IFERROR(INDEX(Aus_Siglas,SUMPRODUCT((Aus_Tec=$B21)*(Aus_Ini&lt;=M$2)*(Aus_Fim&gt;=M$2)*Aus_Cod)),"!"))))</f>
        <v/>
      </c>
      <c r="N21" s="15">
        <f>IF(OR($B21="",N$2=""),"",IF(SUMPRODUCT((Aus_Tec=$B21)*(Aus_Ini&lt;=N$2)*(Aus_Fim&gt;=N$2)*(Aus_Cod&gt;0))=0,"",IF(SUMPRODUCT((Aus_Tec=$B21)*(Aus_Ini&lt;=N$2)*(Aus_Fim&gt;=N$2)*(Aus_Cod&gt;0))&gt;1,"!",IFERROR(INDEX(Aus_Siglas,SUMPRODUCT((Aus_Tec=$B21)*(Aus_Ini&lt;=N$2)*(Aus_Fim&gt;=N$2)*Aus_Cod)),"!"))))</f>
        <v/>
      </c>
      <c r="O21" s="15">
        <f>IF(OR($B21="",O$2=""),"",IF(SUMPRODUCT((Aus_Tec=$B21)*(Aus_Ini&lt;=O$2)*(Aus_Fim&gt;=O$2)*(Aus_Cod&gt;0))=0,"",IF(SUMPRODUCT((Aus_Tec=$B21)*(Aus_Ini&lt;=O$2)*(Aus_Fim&gt;=O$2)*(Aus_Cod&gt;0))&gt;1,"!",IFERROR(INDEX(Aus_Siglas,SUMPRODUCT((Aus_Tec=$B21)*(Aus_Ini&lt;=O$2)*(Aus_Fim&gt;=O$2)*Aus_Cod)),"!"))))</f>
        <v/>
      </c>
      <c r="P21" s="15">
        <f>IF(OR($B21="",P$2=""),"",IF(SUMPRODUCT((Aus_Tec=$B21)*(Aus_Ini&lt;=P$2)*(Aus_Fim&gt;=P$2)*(Aus_Cod&gt;0))=0,"",IF(SUMPRODUCT((Aus_Tec=$B21)*(Aus_Ini&lt;=P$2)*(Aus_Fim&gt;=P$2)*(Aus_Cod&gt;0))&gt;1,"!",IFERROR(INDEX(Aus_Siglas,SUMPRODUCT((Aus_Tec=$B21)*(Aus_Ini&lt;=P$2)*(Aus_Fim&gt;=P$2)*Aus_Cod)),"!"))))</f>
        <v/>
      </c>
      <c r="Q21" s="15">
        <f>IF(OR($B21="",Q$2=""),"",IF(SUMPRODUCT((Aus_Tec=$B21)*(Aus_Ini&lt;=Q$2)*(Aus_Fim&gt;=Q$2)*(Aus_Cod&gt;0))=0,"",IF(SUMPRODUCT((Aus_Tec=$B21)*(Aus_Ini&lt;=Q$2)*(Aus_Fim&gt;=Q$2)*(Aus_Cod&gt;0))&gt;1,"!",IFERROR(INDEX(Aus_Siglas,SUMPRODUCT((Aus_Tec=$B21)*(Aus_Ini&lt;=Q$2)*(Aus_Fim&gt;=Q$2)*Aus_Cod)),"!"))))</f>
        <v/>
      </c>
      <c r="R21" s="15">
        <f>IF(OR($B21="",R$2=""),"",IF(SUMPRODUCT((Aus_Tec=$B21)*(Aus_Ini&lt;=R$2)*(Aus_Fim&gt;=R$2)*(Aus_Cod&gt;0))=0,"",IF(SUMPRODUCT((Aus_Tec=$B21)*(Aus_Ini&lt;=R$2)*(Aus_Fim&gt;=R$2)*(Aus_Cod&gt;0))&gt;1,"!",IFERROR(INDEX(Aus_Siglas,SUMPRODUCT((Aus_Tec=$B21)*(Aus_Ini&lt;=R$2)*(Aus_Fim&gt;=R$2)*Aus_Cod)),"!"))))</f>
        <v/>
      </c>
      <c r="S21" s="15">
        <f>IF(OR($B21="",S$2=""),"",IF(SUMPRODUCT((Aus_Tec=$B21)*(Aus_Ini&lt;=S$2)*(Aus_Fim&gt;=S$2)*(Aus_Cod&gt;0))=0,"",IF(SUMPRODUCT((Aus_Tec=$B21)*(Aus_Ini&lt;=S$2)*(Aus_Fim&gt;=S$2)*(Aus_Cod&gt;0))&gt;1,"!",IFERROR(INDEX(Aus_Siglas,SUMPRODUCT((Aus_Tec=$B21)*(Aus_Ini&lt;=S$2)*(Aus_Fim&gt;=S$2)*Aus_Cod)),"!"))))</f>
        <v/>
      </c>
      <c r="T21" s="15">
        <f>IF(OR($B21="",T$2=""),"",IF(SUMPRODUCT((Aus_Tec=$B21)*(Aus_Ini&lt;=T$2)*(Aus_Fim&gt;=T$2)*(Aus_Cod&gt;0))=0,"",IF(SUMPRODUCT((Aus_Tec=$B21)*(Aus_Ini&lt;=T$2)*(Aus_Fim&gt;=T$2)*(Aus_Cod&gt;0))&gt;1,"!",IFERROR(INDEX(Aus_Siglas,SUMPRODUCT((Aus_Tec=$B21)*(Aus_Ini&lt;=T$2)*(Aus_Fim&gt;=T$2)*Aus_Cod)),"!"))))</f>
        <v/>
      </c>
      <c r="U21" s="15">
        <f>IF(OR($B21="",U$2=""),"",IF(SUMPRODUCT((Aus_Tec=$B21)*(Aus_Ini&lt;=U$2)*(Aus_Fim&gt;=U$2)*(Aus_Cod&gt;0))=0,"",IF(SUMPRODUCT((Aus_Tec=$B21)*(Aus_Ini&lt;=U$2)*(Aus_Fim&gt;=U$2)*(Aus_Cod&gt;0))&gt;1,"!",IFERROR(INDEX(Aus_Siglas,SUMPRODUCT((Aus_Tec=$B21)*(Aus_Ini&lt;=U$2)*(Aus_Fim&gt;=U$2)*Aus_Cod)),"!"))))</f>
        <v/>
      </c>
      <c r="V21" s="15">
        <f>IF(OR($B21="",V$2=""),"",IF(SUMPRODUCT((Aus_Tec=$B21)*(Aus_Ini&lt;=V$2)*(Aus_Fim&gt;=V$2)*(Aus_Cod&gt;0))=0,"",IF(SUMPRODUCT((Aus_Tec=$B21)*(Aus_Ini&lt;=V$2)*(Aus_Fim&gt;=V$2)*(Aus_Cod&gt;0))&gt;1,"!",IFERROR(INDEX(Aus_Siglas,SUMPRODUCT((Aus_Tec=$B21)*(Aus_Ini&lt;=V$2)*(Aus_Fim&gt;=V$2)*Aus_Cod)),"!"))))</f>
        <v/>
      </c>
      <c r="W21" s="15">
        <f>IF(OR($B21="",W$2=""),"",IF(SUMPRODUCT((Aus_Tec=$B21)*(Aus_Ini&lt;=W$2)*(Aus_Fim&gt;=W$2)*(Aus_Cod&gt;0))=0,"",IF(SUMPRODUCT((Aus_Tec=$B21)*(Aus_Ini&lt;=W$2)*(Aus_Fim&gt;=W$2)*(Aus_Cod&gt;0))&gt;1,"!",IFERROR(INDEX(Aus_Siglas,SUMPRODUCT((Aus_Tec=$B21)*(Aus_Ini&lt;=W$2)*(Aus_Fim&gt;=W$2)*Aus_Cod)),"!"))))</f>
        <v/>
      </c>
      <c r="X21" s="15">
        <f>IF(OR($B21="",X$2=""),"",IF(SUMPRODUCT((Aus_Tec=$B21)*(Aus_Ini&lt;=X$2)*(Aus_Fim&gt;=X$2)*(Aus_Cod&gt;0))=0,"",IF(SUMPRODUCT((Aus_Tec=$B21)*(Aus_Ini&lt;=X$2)*(Aus_Fim&gt;=X$2)*(Aus_Cod&gt;0))&gt;1,"!",IFERROR(INDEX(Aus_Siglas,SUMPRODUCT((Aus_Tec=$B21)*(Aus_Ini&lt;=X$2)*(Aus_Fim&gt;=X$2)*Aus_Cod)),"!"))))</f>
        <v/>
      </c>
      <c r="Y21" s="15">
        <f>IF(OR($B21="",Y$2=""),"",IF(SUMPRODUCT((Aus_Tec=$B21)*(Aus_Ini&lt;=Y$2)*(Aus_Fim&gt;=Y$2)*(Aus_Cod&gt;0))=0,"",IF(SUMPRODUCT((Aus_Tec=$B21)*(Aus_Ini&lt;=Y$2)*(Aus_Fim&gt;=Y$2)*(Aus_Cod&gt;0))&gt;1,"!",IFERROR(INDEX(Aus_Siglas,SUMPRODUCT((Aus_Tec=$B21)*(Aus_Ini&lt;=Y$2)*(Aus_Fim&gt;=Y$2)*Aus_Cod)),"!"))))</f>
        <v/>
      </c>
      <c r="Z21" s="15">
        <f>IF(OR($B21="",Z$2=""),"",IF(SUMPRODUCT((Aus_Tec=$B21)*(Aus_Ini&lt;=Z$2)*(Aus_Fim&gt;=Z$2)*(Aus_Cod&gt;0))=0,"",IF(SUMPRODUCT((Aus_Tec=$B21)*(Aus_Ini&lt;=Z$2)*(Aus_Fim&gt;=Z$2)*(Aus_Cod&gt;0))&gt;1,"!",IFERROR(INDEX(Aus_Siglas,SUMPRODUCT((Aus_Tec=$B21)*(Aus_Ini&lt;=Z$2)*(Aus_Fim&gt;=Z$2)*Aus_Cod)),"!"))))</f>
        <v/>
      </c>
      <c r="AA21" s="15">
        <f>IF(OR($B21="",AA$2=""),"",IF(SUMPRODUCT((Aus_Tec=$B21)*(Aus_Ini&lt;=AA$2)*(Aus_Fim&gt;=AA$2)*(Aus_Cod&gt;0))=0,"",IF(SUMPRODUCT((Aus_Tec=$B21)*(Aus_Ini&lt;=AA$2)*(Aus_Fim&gt;=AA$2)*(Aus_Cod&gt;0))&gt;1,"!",IFERROR(INDEX(Aus_Siglas,SUMPRODUCT((Aus_Tec=$B21)*(Aus_Ini&lt;=AA$2)*(Aus_Fim&gt;=AA$2)*Aus_Cod)),"!"))))</f>
        <v/>
      </c>
      <c r="AB21" s="15">
        <f>IF(OR($B21="",AB$2=""),"",IF(SUMPRODUCT((Aus_Tec=$B21)*(Aus_Ini&lt;=AB$2)*(Aus_Fim&gt;=AB$2)*(Aus_Cod&gt;0))=0,"",IF(SUMPRODUCT((Aus_Tec=$B21)*(Aus_Ini&lt;=AB$2)*(Aus_Fim&gt;=AB$2)*(Aus_Cod&gt;0))&gt;1,"!",IFERROR(INDEX(Aus_Siglas,SUMPRODUCT((Aus_Tec=$B21)*(Aus_Ini&lt;=AB$2)*(Aus_Fim&gt;=AB$2)*Aus_Cod)),"!"))))</f>
        <v/>
      </c>
      <c r="AC21" s="15">
        <f>IF(OR($B21="",AC$2=""),"",IF(SUMPRODUCT((Aus_Tec=$B21)*(Aus_Ini&lt;=AC$2)*(Aus_Fim&gt;=AC$2)*(Aus_Cod&gt;0))=0,"",IF(SUMPRODUCT((Aus_Tec=$B21)*(Aus_Ini&lt;=AC$2)*(Aus_Fim&gt;=AC$2)*(Aus_Cod&gt;0))&gt;1,"!",IFERROR(INDEX(Aus_Siglas,SUMPRODUCT((Aus_Tec=$B21)*(Aus_Ini&lt;=AC$2)*(Aus_Fim&gt;=AC$2)*Aus_Cod)),"!"))))</f>
        <v/>
      </c>
      <c r="AD21" s="15">
        <f>IF(OR($B21="",AD$2=""),"",IF(SUMPRODUCT((Aus_Tec=$B21)*(Aus_Ini&lt;=AD$2)*(Aus_Fim&gt;=AD$2)*(Aus_Cod&gt;0))=0,"",IF(SUMPRODUCT((Aus_Tec=$B21)*(Aus_Ini&lt;=AD$2)*(Aus_Fim&gt;=AD$2)*(Aus_Cod&gt;0))&gt;1,"!",IFERROR(INDEX(Aus_Siglas,SUMPRODUCT((Aus_Tec=$B21)*(Aus_Ini&lt;=AD$2)*(Aus_Fim&gt;=AD$2)*Aus_Cod)),"!"))))</f>
        <v/>
      </c>
      <c r="AE21" s="15">
        <f>IF(OR($B21="",AE$2=""),"",IF(SUMPRODUCT((Aus_Tec=$B21)*(Aus_Ini&lt;=AE$2)*(Aus_Fim&gt;=AE$2)*(Aus_Cod&gt;0))=0,"",IF(SUMPRODUCT((Aus_Tec=$B21)*(Aus_Ini&lt;=AE$2)*(Aus_Fim&gt;=AE$2)*(Aus_Cod&gt;0))&gt;1,"!",IFERROR(INDEX(Aus_Siglas,SUMPRODUCT((Aus_Tec=$B21)*(Aus_Ini&lt;=AE$2)*(Aus_Fim&gt;=AE$2)*Aus_Cod)),"!"))))</f>
        <v/>
      </c>
      <c r="AF21" s="15">
        <f>IF(OR($B21="",AF$2=""),"",IF(SUMPRODUCT((Aus_Tec=$B21)*(Aus_Ini&lt;=AF$2)*(Aus_Fim&gt;=AF$2)*(Aus_Cod&gt;0))=0,"",IF(SUMPRODUCT((Aus_Tec=$B21)*(Aus_Ini&lt;=AF$2)*(Aus_Fim&gt;=AF$2)*(Aus_Cod&gt;0))&gt;1,"!",IFERROR(INDEX(Aus_Siglas,SUMPRODUCT((Aus_Tec=$B21)*(Aus_Ini&lt;=AF$2)*(Aus_Fim&gt;=AF$2)*Aus_Cod)),"!"))))</f>
        <v/>
      </c>
      <c r="AG21" s="15">
        <f>IF(OR($B21="",AG$2=""),"",IF(SUMPRODUCT((Aus_Tec=$B21)*(Aus_Ini&lt;=AG$2)*(Aus_Fim&gt;=AG$2)*(Aus_Cod&gt;0))=0,"",IF(SUMPRODUCT((Aus_Tec=$B21)*(Aus_Ini&lt;=AG$2)*(Aus_Fim&gt;=AG$2)*(Aus_Cod&gt;0))&gt;1,"!",IFERROR(INDEX(Aus_Siglas,SUMPRODUCT((Aus_Tec=$B21)*(Aus_Ini&lt;=AG$2)*(Aus_Fim&gt;=AG$2)*Aus_Cod)),"!"))))</f>
        <v/>
      </c>
      <c r="AH21" s="37">
        <f>IF($B21="","",COUNTIF($C21:$AG21,"F"))</f>
        <v/>
      </c>
      <c r="AI21" s="37">
        <f>IF($B21="","",COUNTIF($C21:$AG21,"D"))</f>
        <v/>
      </c>
      <c r="AJ21" s="37">
        <f>IF($B21="","",COUNTIF($C21:$AG21,"A"))</f>
        <v/>
      </c>
      <c r="AK21" s="37">
        <f>IF($B21="","",SUMPRODUCT(($C21:$AG21&lt;&gt;"")*1))</f>
        <v/>
      </c>
    </row>
    <row r="22">
      <c r="A22" s="33">
        <f>IF('Equipe'!A20="","",'Equipe'!A20)</f>
        <v/>
      </c>
      <c r="B22" s="34">
        <f>IF('Equipe'!B20="","",'Equipe'!B20)</f>
        <v/>
      </c>
      <c r="C22" s="15">
        <f>IF(OR($B22="",C$2=""),"",IF(SUMPRODUCT((Aus_Tec=$B22)*(Aus_Ini&lt;=C$2)*(Aus_Fim&gt;=C$2)*(Aus_Cod&gt;0))=0,"",IF(SUMPRODUCT((Aus_Tec=$B22)*(Aus_Ini&lt;=C$2)*(Aus_Fim&gt;=C$2)*(Aus_Cod&gt;0))&gt;1,"!",IFERROR(INDEX(Aus_Siglas,SUMPRODUCT((Aus_Tec=$B22)*(Aus_Ini&lt;=C$2)*(Aus_Fim&gt;=C$2)*Aus_Cod)),"!"))))</f>
        <v/>
      </c>
      <c r="D22" s="15">
        <f>IF(OR($B22="",D$2=""),"",IF(SUMPRODUCT((Aus_Tec=$B22)*(Aus_Ini&lt;=D$2)*(Aus_Fim&gt;=D$2)*(Aus_Cod&gt;0))=0,"",IF(SUMPRODUCT((Aus_Tec=$B22)*(Aus_Ini&lt;=D$2)*(Aus_Fim&gt;=D$2)*(Aus_Cod&gt;0))&gt;1,"!",IFERROR(INDEX(Aus_Siglas,SUMPRODUCT((Aus_Tec=$B22)*(Aus_Ini&lt;=D$2)*(Aus_Fim&gt;=D$2)*Aus_Cod)),"!"))))</f>
        <v/>
      </c>
      <c r="E22" s="15">
        <f>IF(OR($B22="",E$2=""),"",IF(SUMPRODUCT((Aus_Tec=$B22)*(Aus_Ini&lt;=E$2)*(Aus_Fim&gt;=E$2)*(Aus_Cod&gt;0))=0,"",IF(SUMPRODUCT((Aus_Tec=$B22)*(Aus_Ini&lt;=E$2)*(Aus_Fim&gt;=E$2)*(Aus_Cod&gt;0))&gt;1,"!",IFERROR(INDEX(Aus_Siglas,SUMPRODUCT((Aus_Tec=$B22)*(Aus_Ini&lt;=E$2)*(Aus_Fim&gt;=E$2)*Aus_Cod)),"!"))))</f>
        <v/>
      </c>
      <c r="F22" s="15">
        <f>IF(OR($B22="",F$2=""),"",IF(SUMPRODUCT((Aus_Tec=$B22)*(Aus_Ini&lt;=F$2)*(Aus_Fim&gt;=F$2)*(Aus_Cod&gt;0))=0,"",IF(SUMPRODUCT((Aus_Tec=$B22)*(Aus_Ini&lt;=F$2)*(Aus_Fim&gt;=F$2)*(Aus_Cod&gt;0))&gt;1,"!",IFERROR(INDEX(Aus_Siglas,SUMPRODUCT((Aus_Tec=$B22)*(Aus_Ini&lt;=F$2)*(Aus_Fim&gt;=F$2)*Aus_Cod)),"!"))))</f>
        <v/>
      </c>
      <c r="G22" s="15">
        <f>IF(OR($B22="",G$2=""),"",IF(SUMPRODUCT((Aus_Tec=$B22)*(Aus_Ini&lt;=G$2)*(Aus_Fim&gt;=G$2)*(Aus_Cod&gt;0))=0,"",IF(SUMPRODUCT((Aus_Tec=$B22)*(Aus_Ini&lt;=G$2)*(Aus_Fim&gt;=G$2)*(Aus_Cod&gt;0))&gt;1,"!",IFERROR(INDEX(Aus_Siglas,SUMPRODUCT((Aus_Tec=$B22)*(Aus_Ini&lt;=G$2)*(Aus_Fim&gt;=G$2)*Aus_Cod)),"!"))))</f>
        <v/>
      </c>
      <c r="H22" s="15">
        <f>IF(OR($B22="",H$2=""),"",IF(SUMPRODUCT((Aus_Tec=$B22)*(Aus_Ini&lt;=H$2)*(Aus_Fim&gt;=H$2)*(Aus_Cod&gt;0))=0,"",IF(SUMPRODUCT((Aus_Tec=$B22)*(Aus_Ini&lt;=H$2)*(Aus_Fim&gt;=H$2)*(Aus_Cod&gt;0))&gt;1,"!",IFERROR(INDEX(Aus_Siglas,SUMPRODUCT((Aus_Tec=$B22)*(Aus_Ini&lt;=H$2)*(Aus_Fim&gt;=H$2)*Aus_Cod)),"!"))))</f>
        <v/>
      </c>
      <c r="I22" s="15">
        <f>IF(OR($B22="",I$2=""),"",IF(SUMPRODUCT((Aus_Tec=$B22)*(Aus_Ini&lt;=I$2)*(Aus_Fim&gt;=I$2)*(Aus_Cod&gt;0))=0,"",IF(SUMPRODUCT((Aus_Tec=$B22)*(Aus_Ini&lt;=I$2)*(Aus_Fim&gt;=I$2)*(Aus_Cod&gt;0))&gt;1,"!",IFERROR(INDEX(Aus_Siglas,SUMPRODUCT((Aus_Tec=$B22)*(Aus_Ini&lt;=I$2)*(Aus_Fim&gt;=I$2)*Aus_Cod)),"!"))))</f>
        <v/>
      </c>
      <c r="J22" s="15">
        <f>IF(OR($B22="",J$2=""),"",IF(SUMPRODUCT((Aus_Tec=$B22)*(Aus_Ini&lt;=J$2)*(Aus_Fim&gt;=J$2)*(Aus_Cod&gt;0))=0,"",IF(SUMPRODUCT((Aus_Tec=$B22)*(Aus_Ini&lt;=J$2)*(Aus_Fim&gt;=J$2)*(Aus_Cod&gt;0))&gt;1,"!",IFERROR(INDEX(Aus_Siglas,SUMPRODUCT((Aus_Tec=$B22)*(Aus_Ini&lt;=J$2)*(Aus_Fim&gt;=J$2)*Aus_Cod)),"!"))))</f>
        <v/>
      </c>
      <c r="K22" s="15">
        <f>IF(OR($B22="",K$2=""),"",IF(SUMPRODUCT((Aus_Tec=$B22)*(Aus_Ini&lt;=K$2)*(Aus_Fim&gt;=K$2)*(Aus_Cod&gt;0))=0,"",IF(SUMPRODUCT((Aus_Tec=$B22)*(Aus_Ini&lt;=K$2)*(Aus_Fim&gt;=K$2)*(Aus_Cod&gt;0))&gt;1,"!",IFERROR(INDEX(Aus_Siglas,SUMPRODUCT((Aus_Tec=$B22)*(Aus_Ini&lt;=K$2)*(Aus_Fim&gt;=K$2)*Aus_Cod)),"!"))))</f>
        <v/>
      </c>
      <c r="L22" s="15">
        <f>IF(OR($B22="",L$2=""),"",IF(SUMPRODUCT((Aus_Tec=$B22)*(Aus_Ini&lt;=L$2)*(Aus_Fim&gt;=L$2)*(Aus_Cod&gt;0))=0,"",IF(SUMPRODUCT((Aus_Tec=$B22)*(Aus_Ini&lt;=L$2)*(Aus_Fim&gt;=L$2)*(Aus_Cod&gt;0))&gt;1,"!",IFERROR(INDEX(Aus_Siglas,SUMPRODUCT((Aus_Tec=$B22)*(Aus_Ini&lt;=L$2)*(Aus_Fim&gt;=L$2)*Aus_Cod)),"!"))))</f>
        <v/>
      </c>
      <c r="M22" s="15">
        <f>IF(OR($B22="",M$2=""),"",IF(SUMPRODUCT((Aus_Tec=$B22)*(Aus_Ini&lt;=M$2)*(Aus_Fim&gt;=M$2)*(Aus_Cod&gt;0))=0,"",IF(SUMPRODUCT((Aus_Tec=$B22)*(Aus_Ini&lt;=M$2)*(Aus_Fim&gt;=M$2)*(Aus_Cod&gt;0))&gt;1,"!",IFERROR(INDEX(Aus_Siglas,SUMPRODUCT((Aus_Tec=$B22)*(Aus_Ini&lt;=M$2)*(Aus_Fim&gt;=M$2)*Aus_Cod)),"!"))))</f>
        <v/>
      </c>
      <c r="N22" s="15">
        <f>IF(OR($B22="",N$2=""),"",IF(SUMPRODUCT((Aus_Tec=$B22)*(Aus_Ini&lt;=N$2)*(Aus_Fim&gt;=N$2)*(Aus_Cod&gt;0))=0,"",IF(SUMPRODUCT((Aus_Tec=$B22)*(Aus_Ini&lt;=N$2)*(Aus_Fim&gt;=N$2)*(Aus_Cod&gt;0))&gt;1,"!",IFERROR(INDEX(Aus_Siglas,SUMPRODUCT((Aus_Tec=$B22)*(Aus_Ini&lt;=N$2)*(Aus_Fim&gt;=N$2)*Aus_Cod)),"!"))))</f>
        <v/>
      </c>
      <c r="O22" s="15">
        <f>IF(OR($B22="",O$2=""),"",IF(SUMPRODUCT((Aus_Tec=$B22)*(Aus_Ini&lt;=O$2)*(Aus_Fim&gt;=O$2)*(Aus_Cod&gt;0))=0,"",IF(SUMPRODUCT((Aus_Tec=$B22)*(Aus_Ini&lt;=O$2)*(Aus_Fim&gt;=O$2)*(Aus_Cod&gt;0))&gt;1,"!",IFERROR(INDEX(Aus_Siglas,SUMPRODUCT((Aus_Tec=$B22)*(Aus_Ini&lt;=O$2)*(Aus_Fim&gt;=O$2)*Aus_Cod)),"!"))))</f>
        <v/>
      </c>
      <c r="P22" s="15">
        <f>IF(OR($B22="",P$2=""),"",IF(SUMPRODUCT((Aus_Tec=$B22)*(Aus_Ini&lt;=P$2)*(Aus_Fim&gt;=P$2)*(Aus_Cod&gt;0))=0,"",IF(SUMPRODUCT((Aus_Tec=$B22)*(Aus_Ini&lt;=P$2)*(Aus_Fim&gt;=P$2)*(Aus_Cod&gt;0))&gt;1,"!",IFERROR(INDEX(Aus_Siglas,SUMPRODUCT((Aus_Tec=$B22)*(Aus_Ini&lt;=P$2)*(Aus_Fim&gt;=P$2)*Aus_Cod)),"!"))))</f>
        <v/>
      </c>
      <c r="Q22" s="15">
        <f>IF(OR($B22="",Q$2=""),"",IF(SUMPRODUCT((Aus_Tec=$B22)*(Aus_Ini&lt;=Q$2)*(Aus_Fim&gt;=Q$2)*(Aus_Cod&gt;0))=0,"",IF(SUMPRODUCT((Aus_Tec=$B22)*(Aus_Ini&lt;=Q$2)*(Aus_Fim&gt;=Q$2)*(Aus_Cod&gt;0))&gt;1,"!",IFERROR(INDEX(Aus_Siglas,SUMPRODUCT((Aus_Tec=$B22)*(Aus_Ini&lt;=Q$2)*(Aus_Fim&gt;=Q$2)*Aus_Cod)),"!"))))</f>
        <v/>
      </c>
      <c r="R22" s="15">
        <f>IF(OR($B22="",R$2=""),"",IF(SUMPRODUCT((Aus_Tec=$B22)*(Aus_Ini&lt;=R$2)*(Aus_Fim&gt;=R$2)*(Aus_Cod&gt;0))=0,"",IF(SUMPRODUCT((Aus_Tec=$B22)*(Aus_Ini&lt;=R$2)*(Aus_Fim&gt;=R$2)*(Aus_Cod&gt;0))&gt;1,"!",IFERROR(INDEX(Aus_Siglas,SUMPRODUCT((Aus_Tec=$B22)*(Aus_Ini&lt;=R$2)*(Aus_Fim&gt;=R$2)*Aus_Cod)),"!"))))</f>
        <v/>
      </c>
      <c r="S22" s="15">
        <f>IF(OR($B22="",S$2=""),"",IF(SUMPRODUCT((Aus_Tec=$B22)*(Aus_Ini&lt;=S$2)*(Aus_Fim&gt;=S$2)*(Aus_Cod&gt;0))=0,"",IF(SUMPRODUCT((Aus_Tec=$B22)*(Aus_Ini&lt;=S$2)*(Aus_Fim&gt;=S$2)*(Aus_Cod&gt;0))&gt;1,"!",IFERROR(INDEX(Aus_Siglas,SUMPRODUCT((Aus_Tec=$B22)*(Aus_Ini&lt;=S$2)*(Aus_Fim&gt;=S$2)*Aus_Cod)),"!"))))</f>
        <v/>
      </c>
      <c r="T22" s="15">
        <f>IF(OR($B22="",T$2=""),"",IF(SUMPRODUCT((Aus_Tec=$B22)*(Aus_Ini&lt;=T$2)*(Aus_Fim&gt;=T$2)*(Aus_Cod&gt;0))=0,"",IF(SUMPRODUCT((Aus_Tec=$B22)*(Aus_Ini&lt;=T$2)*(Aus_Fim&gt;=T$2)*(Aus_Cod&gt;0))&gt;1,"!",IFERROR(INDEX(Aus_Siglas,SUMPRODUCT((Aus_Tec=$B22)*(Aus_Ini&lt;=T$2)*(Aus_Fim&gt;=T$2)*Aus_Cod)),"!"))))</f>
        <v/>
      </c>
      <c r="U22" s="15">
        <f>IF(OR($B22="",U$2=""),"",IF(SUMPRODUCT((Aus_Tec=$B22)*(Aus_Ini&lt;=U$2)*(Aus_Fim&gt;=U$2)*(Aus_Cod&gt;0))=0,"",IF(SUMPRODUCT((Aus_Tec=$B22)*(Aus_Ini&lt;=U$2)*(Aus_Fim&gt;=U$2)*(Aus_Cod&gt;0))&gt;1,"!",IFERROR(INDEX(Aus_Siglas,SUMPRODUCT((Aus_Tec=$B22)*(Aus_Ini&lt;=U$2)*(Aus_Fim&gt;=U$2)*Aus_Cod)),"!"))))</f>
        <v/>
      </c>
      <c r="V22" s="15">
        <f>IF(OR($B22="",V$2=""),"",IF(SUMPRODUCT((Aus_Tec=$B22)*(Aus_Ini&lt;=V$2)*(Aus_Fim&gt;=V$2)*(Aus_Cod&gt;0))=0,"",IF(SUMPRODUCT((Aus_Tec=$B22)*(Aus_Ini&lt;=V$2)*(Aus_Fim&gt;=V$2)*(Aus_Cod&gt;0))&gt;1,"!",IFERROR(INDEX(Aus_Siglas,SUMPRODUCT((Aus_Tec=$B22)*(Aus_Ini&lt;=V$2)*(Aus_Fim&gt;=V$2)*Aus_Cod)),"!"))))</f>
        <v/>
      </c>
      <c r="W22" s="15">
        <f>IF(OR($B22="",W$2=""),"",IF(SUMPRODUCT((Aus_Tec=$B22)*(Aus_Ini&lt;=W$2)*(Aus_Fim&gt;=W$2)*(Aus_Cod&gt;0))=0,"",IF(SUMPRODUCT((Aus_Tec=$B22)*(Aus_Ini&lt;=W$2)*(Aus_Fim&gt;=W$2)*(Aus_Cod&gt;0))&gt;1,"!",IFERROR(INDEX(Aus_Siglas,SUMPRODUCT((Aus_Tec=$B22)*(Aus_Ini&lt;=W$2)*(Aus_Fim&gt;=W$2)*Aus_Cod)),"!"))))</f>
        <v/>
      </c>
      <c r="X22" s="15">
        <f>IF(OR($B22="",X$2=""),"",IF(SUMPRODUCT((Aus_Tec=$B22)*(Aus_Ini&lt;=X$2)*(Aus_Fim&gt;=X$2)*(Aus_Cod&gt;0))=0,"",IF(SUMPRODUCT((Aus_Tec=$B22)*(Aus_Ini&lt;=X$2)*(Aus_Fim&gt;=X$2)*(Aus_Cod&gt;0))&gt;1,"!",IFERROR(INDEX(Aus_Siglas,SUMPRODUCT((Aus_Tec=$B22)*(Aus_Ini&lt;=X$2)*(Aus_Fim&gt;=X$2)*Aus_Cod)),"!"))))</f>
        <v/>
      </c>
      <c r="Y22" s="15">
        <f>IF(OR($B22="",Y$2=""),"",IF(SUMPRODUCT((Aus_Tec=$B22)*(Aus_Ini&lt;=Y$2)*(Aus_Fim&gt;=Y$2)*(Aus_Cod&gt;0))=0,"",IF(SUMPRODUCT((Aus_Tec=$B22)*(Aus_Ini&lt;=Y$2)*(Aus_Fim&gt;=Y$2)*(Aus_Cod&gt;0))&gt;1,"!",IFERROR(INDEX(Aus_Siglas,SUMPRODUCT((Aus_Tec=$B22)*(Aus_Ini&lt;=Y$2)*(Aus_Fim&gt;=Y$2)*Aus_Cod)),"!"))))</f>
        <v/>
      </c>
      <c r="Z22" s="15">
        <f>IF(OR($B22="",Z$2=""),"",IF(SUMPRODUCT((Aus_Tec=$B22)*(Aus_Ini&lt;=Z$2)*(Aus_Fim&gt;=Z$2)*(Aus_Cod&gt;0))=0,"",IF(SUMPRODUCT((Aus_Tec=$B22)*(Aus_Ini&lt;=Z$2)*(Aus_Fim&gt;=Z$2)*(Aus_Cod&gt;0))&gt;1,"!",IFERROR(INDEX(Aus_Siglas,SUMPRODUCT((Aus_Tec=$B22)*(Aus_Ini&lt;=Z$2)*(Aus_Fim&gt;=Z$2)*Aus_Cod)),"!"))))</f>
        <v/>
      </c>
      <c r="AA22" s="15">
        <f>IF(OR($B22="",AA$2=""),"",IF(SUMPRODUCT((Aus_Tec=$B22)*(Aus_Ini&lt;=AA$2)*(Aus_Fim&gt;=AA$2)*(Aus_Cod&gt;0))=0,"",IF(SUMPRODUCT((Aus_Tec=$B22)*(Aus_Ini&lt;=AA$2)*(Aus_Fim&gt;=AA$2)*(Aus_Cod&gt;0))&gt;1,"!",IFERROR(INDEX(Aus_Siglas,SUMPRODUCT((Aus_Tec=$B22)*(Aus_Ini&lt;=AA$2)*(Aus_Fim&gt;=AA$2)*Aus_Cod)),"!"))))</f>
        <v/>
      </c>
      <c r="AB22" s="15">
        <f>IF(OR($B22="",AB$2=""),"",IF(SUMPRODUCT((Aus_Tec=$B22)*(Aus_Ini&lt;=AB$2)*(Aus_Fim&gt;=AB$2)*(Aus_Cod&gt;0))=0,"",IF(SUMPRODUCT((Aus_Tec=$B22)*(Aus_Ini&lt;=AB$2)*(Aus_Fim&gt;=AB$2)*(Aus_Cod&gt;0))&gt;1,"!",IFERROR(INDEX(Aus_Siglas,SUMPRODUCT((Aus_Tec=$B22)*(Aus_Ini&lt;=AB$2)*(Aus_Fim&gt;=AB$2)*Aus_Cod)),"!"))))</f>
        <v/>
      </c>
      <c r="AC22" s="15">
        <f>IF(OR($B22="",AC$2=""),"",IF(SUMPRODUCT((Aus_Tec=$B22)*(Aus_Ini&lt;=AC$2)*(Aus_Fim&gt;=AC$2)*(Aus_Cod&gt;0))=0,"",IF(SUMPRODUCT((Aus_Tec=$B22)*(Aus_Ini&lt;=AC$2)*(Aus_Fim&gt;=AC$2)*(Aus_Cod&gt;0))&gt;1,"!",IFERROR(INDEX(Aus_Siglas,SUMPRODUCT((Aus_Tec=$B22)*(Aus_Ini&lt;=AC$2)*(Aus_Fim&gt;=AC$2)*Aus_Cod)),"!"))))</f>
        <v/>
      </c>
      <c r="AD22" s="15">
        <f>IF(OR($B22="",AD$2=""),"",IF(SUMPRODUCT((Aus_Tec=$B22)*(Aus_Ini&lt;=AD$2)*(Aus_Fim&gt;=AD$2)*(Aus_Cod&gt;0))=0,"",IF(SUMPRODUCT((Aus_Tec=$B22)*(Aus_Ini&lt;=AD$2)*(Aus_Fim&gt;=AD$2)*(Aus_Cod&gt;0))&gt;1,"!",IFERROR(INDEX(Aus_Siglas,SUMPRODUCT((Aus_Tec=$B22)*(Aus_Ini&lt;=AD$2)*(Aus_Fim&gt;=AD$2)*Aus_Cod)),"!"))))</f>
        <v/>
      </c>
      <c r="AE22" s="15">
        <f>IF(OR($B22="",AE$2=""),"",IF(SUMPRODUCT((Aus_Tec=$B22)*(Aus_Ini&lt;=AE$2)*(Aus_Fim&gt;=AE$2)*(Aus_Cod&gt;0))=0,"",IF(SUMPRODUCT((Aus_Tec=$B22)*(Aus_Ini&lt;=AE$2)*(Aus_Fim&gt;=AE$2)*(Aus_Cod&gt;0))&gt;1,"!",IFERROR(INDEX(Aus_Siglas,SUMPRODUCT((Aus_Tec=$B22)*(Aus_Ini&lt;=AE$2)*(Aus_Fim&gt;=AE$2)*Aus_Cod)),"!"))))</f>
        <v/>
      </c>
      <c r="AF22" s="15">
        <f>IF(OR($B22="",AF$2=""),"",IF(SUMPRODUCT((Aus_Tec=$B22)*(Aus_Ini&lt;=AF$2)*(Aus_Fim&gt;=AF$2)*(Aus_Cod&gt;0))=0,"",IF(SUMPRODUCT((Aus_Tec=$B22)*(Aus_Ini&lt;=AF$2)*(Aus_Fim&gt;=AF$2)*(Aus_Cod&gt;0))&gt;1,"!",IFERROR(INDEX(Aus_Siglas,SUMPRODUCT((Aus_Tec=$B22)*(Aus_Ini&lt;=AF$2)*(Aus_Fim&gt;=AF$2)*Aus_Cod)),"!"))))</f>
        <v/>
      </c>
      <c r="AG22" s="15">
        <f>IF(OR($B22="",AG$2=""),"",IF(SUMPRODUCT((Aus_Tec=$B22)*(Aus_Ini&lt;=AG$2)*(Aus_Fim&gt;=AG$2)*(Aus_Cod&gt;0))=0,"",IF(SUMPRODUCT((Aus_Tec=$B22)*(Aus_Ini&lt;=AG$2)*(Aus_Fim&gt;=AG$2)*(Aus_Cod&gt;0))&gt;1,"!",IFERROR(INDEX(Aus_Siglas,SUMPRODUCT((Aus_Tec=$B22)*(Aus_Ini&lt;=AG$2)*(Aus_Fim&gt;=AG$2)*Aus_Cod)),"!"))))</f>
        <v/>
      </c>
      <c r="AH22" s="37">
        <f>IF($B22="","",COUNTIF($C22:$AG22,"F"))</f>
        <v/>
      </c>
      <c r="AI22" s="37">
        <f>IF($B22="","",COUNTIF($C22:$AG22,"D"))</f>
        <v/>
      </c>
      <c r="AJ22" s="37">
        <f>IF($B22="","",COUNTIF($C22:$AG22,"A"))</f>
        <v/>
      </c>
      <c r="AK22" s="37">
        <f>IF($B22="","",SUMPRODUCT(($C22:$AG22&lt;&gt;"")*1))</f>
        <v/>
      </c>
    </row>
    <row r="23">
      <c r="A23" s="33">
        <f>IF('Equipe'!A21="","",'Equipe'!A21)</f>
        <v/>
      </c>
      <c r="B23" s="34">
        <f>IF('Equipe'!B21="","",'Equipe'!B21)</f>
        <v/>
      </c>
      <c r="C23" s="15">
        <f>IF(OR($B23="",C$2=""),"",IF(SUMPRODUCT((Aus_Tec=$B23)*(Aus_Ini&lt;=C$2)*(Aus_Fim&gt;=C$2)*(Aus_Cod&gt;0))=0,"",IF(SUMPRODUCT((Aus_Tec=$B23)*(Aus_Ini&lt;=C$2)*(Aus_Fim&gt;=C$2)*(Aus_Cod&gt;0))&gt;1,"!",IFERROR(INDEX(Aus_Siglas,SUMPRODUCT((Aus_Tec=$B23)*(Aus_Ini&lt;=C$2)*(Aus_Fim&gt;=C$2)*Aus_Cod)),"!"))))</f>
        <v/>
      </c>
      <c r="D23" s="15">
        <f>IF(OR($B23="",D$2=""),"",IF(SUMPRODUCT((Aus_Tec=$B23)*(Aus_Ini&lt;=D$2)*(Aus_Fim&gt;=D$2)*(Aus_Cod&gt;0))=0,"",IF(SUMPRODUCT((Aus_Tec=$B23)*(Aus_Ini&lt;=D$2)*(Aus_Fim&gt;=D$2)*(Aus_Cod&gt;0))&gt;1,"!",IFERROR(INDEX(Aus_Siglas,SUMPRODUCT((Aus_Tec=$B23)*(Aus_Ini&lt;=D$2)*(Aus_Fim&gt;=D$2)*Aus_Cod)),"!"))))</f>
        <v/>
      </c>
      <c r="E23" s="15">
        <f>IF(OR($B23="",E$2=""),"",IF(SUMPRODUCT((Aus_Tec=$B23)*(Aus_Ini&lt;=E$2)*(Aus_Fim&gt;=E$2)*(Aus_Cod&gt;0))=0,"",IF(SUMPRODUCT((Aus_Tec=$B23)*(Aus_Ini&lt;=E$2)*(Aus_Fim&gt;=E$2)*(Aus_Cod&gt;0))&gt;1,"!",IFERROR(INDEX(Aus_Siglas,SUMPRODUCT((Aus_Tec=$B23)*(Aus_Ini&lt;=E$2)*(Aus_Fim&gt;=E$2)*Aus_Cod)),"!"))))</f>
        <v/>
      </c>
      <c r="F23" s="15">
        <f>IF(OR($B23="",F$2=""),"",IF(SUMPRODUCT((Aus_Tec=$B23)*(Aus_Ini&lt;=F$2)*(Aus_Fim&gt;=F$2)*(Aus_Cod&gt;0))=0,"",IF(SUMPRODUCT((Aus_Tec=$B23)*(Aus_Ini&lt;=F$2)*(Aus_Fim&gt;=F$2)*(Aus_Cod&gt;0))&gt;1,"!",IFERROR(INDEX(Aus_Siglas,SUMPRODUCT((Aus_Tec=$B23)*(Aus_Ini&lt;=F$2)*(Aus_Fim&gt;=F$2)*Aus_Cod)),"!"))))</f>
        <v/>
      </c>
      <c r="G23" s="15">
        <f>IF(OR($B23="",G$2=""),"",IF(SUMPRODUCT((Aus_Tec=$B23)*(Aus_Ini&lt;=G$2)*(Aus_Fim&gt;=G$2)*(Aus_Cod&gt;0))=0,"",IF(SUMPRODUCT((Aus_Tec=$B23)*(Aus_Ini&lt;=G$2)*(Aus_Fim&gt;=G$2)*(Aus_Cod&gt;0))&gt;1,"!",IFERROR(INDEX(Aus_Siglas,SUMPRODUCT((Aus_Tec=$B23)*(Aus_Ini&lt;=G$2)*(Aus_Fim&gt;=G$2)*Aus_Cod)),"!"))))</f>
        <v/>
      </c>
      <c r="H23" s="15">
        <f>IF(OR($B23="",H$2=""),"",IF(SUMPRODUCT((Aus_Tec=$B23)*(Aus_Ini&lt;=H$2)*(Aus_Fim&gt;=H$2)*(Aus_Cod&gt;0))=0,"",IF(SUMPRODUCT((Aus_Tec=$B23)*(Aus_Ini&lt;=H$2)*(Aus_Fim&gt;=H$2)*(Aus_Cod&gt;0))&gt;1,"!",IFERROR(INDEX(Aus_Siglas,SUMPRODUCT((Aus_Tec=$B23)*(Aus_Ini&lt;=H$2)*(Aus_Fim&gt;=H$2)*Aus_Cod)),"!"))))</f>
        <v/>
      </c>
      <c r="I23" s="15">
        <f>IF(OR($B23="",I$2=""),"",IF(SUMPRODUCT((Aus_Tec=$B23)*(Aus_Ini&lt;=I$2)*(Aus_Fim&gt;=I$2)*(Aus_Cod&gt;0))=0,"",IF(SUMPRODUCT((Aus_Tec=$B23)*(Aus_Ini&lt;=I$2)*(Aus_Fim&gt;=I$2)*(Aus_Cod&gt;0))&gt;1,"!",IFERROR(INDEX(Aus_Siglas,SUMPRODUCT((Aus_Tec=$B23)*(Aus_Ini&lt;=I$2)*(Aus_Fim&gt;=I$2)*Aus_Cod)),"!"))))</f>
        <v/>
      </c>
      <c r="J23" s="15">
        <f>IF(OR($B23="",J$2=""),"",IF(SUMPRODUCT((Aus_Tec=$B23)*(Aus_Ini&lt;=J$2)*(Aus_Fim&gt;=J$2)*(Aus_Cod&gt;0))=0,"",IF(SUMPRODUCT((Aus_Tec=$B23)*(Aus_Ini&lt;=J$2)*(Aus_Fim&gt;=J$2)*(Aus_Cod&gt;0))&gt;1,"!",IFERROR(INDEX(Aus_Siglas,SUMPRODUCT((Aus_Tec=$B23)*(Aus_Ini&lt;=J$2)*(Aus_Fim&gt;=J$2)*Aus_Cod)),"!"))))</f>
        <v/>
      </c>
      <c r="K23" s="15">
        <f>IF(OR($B23="",K$2=""),"",IF(SUMPRODUCT((Aus_Tec=$B23)*(Aus_Ini&lt;=K$2)*(Aus_Fim&gt;=K$2)*(Aus_Cod&gt;0))=0,"",IF(SUMPRODUCT((Aus_Tec=$B23)*(Aus_Ini&lt;=K$2)*(Aus_Fim&gt;=K$2)*(Aus_Cod&gt;0))&gt;1,"!",IFERROR(INDEX(Aus_Siglas,SUMPRODUCT((Aus_Tec=$B23)*(Aus_Ini&lt;=K$2)*(Aus_Fim&gt;=K$2)*Aus_Cod)),"!"))))</f>
        <v/>
      </c>
      <c r="L23" s="15">
        <f>IF(OR($B23="",L$2=""),"",IF(SUMPRODUCT((Aus_Tec=$B23)*(Aus_Ini&lt;=L$2)*(Aus_Fim&gt;=L$2)*(Aus_Cod&gt;0))=0,"",IF(SUMPRODUCT((Aus_Tec=$B23)*(Aus_Ini&lt;=L$2)*(Aus_Fim&gt;=L$2)*(Aus_Cod&gt;0))&gt;1,"!",IFERROR(INDEX(Aus_Siglas,SUMPRODUCT((Aus_Tec=$B23)*(Aus_Ini&lt;=L$2)*(Aus_Fim&gt;=L$2)*Aus_Cod)),"!"))))</f>
        <v/>
      </c>
      <c r="M23" s="15">
        <f>IF(OR($B23="",M$2=""),"",IF(SUMPRODUCT((Aus_Tec=$B23)*(Aus_Ini&lt;=M$2)*(Aus_Fim&gt;=M$2)*(Aus_Cod&gt;0))=0,"",IF(SUMPRODUCT((Aus_Tec=$B23)*(Aus_Ini&lt;=M$2)*(Aus_Fim&gt;=M$2)*(Aus_Cod&gt;0))&gt;1,"!",IFERROR(INDEX(Aus_Siglas,SUMPRODUCT((Aus_Tec=$B23)*(Aus_Ini&lt;=M$2)*(Aus_Fim&gt;=M$2)*Aus_Cod)),"!"))))</f>
        <v/>
      </c>
      <c r="N23" s="15">
        <f>IF(OR($B23="",N$2=""),"",IF(SUMPRODUCT((Aus_Tec=$B23)*(Aus_Ini&lt;=N$2)*(Aus_Fim&gt;=N$2)*(Aus_Cod&gt;0))=0,"",IF(SUMPRODUCT((Aus_Tec=$B23)*(Aus_Ini&lt;=N$2)*(Aus_Fim&gt;=N$2)*(Aus_Cod&gt;0))&gt;1,"!",IFERROR(INDEX(Aus_Siglas,SUMPRODUCT((Aus_Tec=$B23)*(Aus_Ini&lt;=N$2)*(Aus_Fim&gt;=N$2)*Aus_Cod)),"!"))))</f>
        <v/>
      </c>
      <c r="O23" s="15">
        <f>IF(OR($B23="",O$2=""),"",IF(SUMPRODUCT((Aus_Tec=$B23)*(Aus_Ini&lt;=O$2)*(Aus_Fim&gt;=O$2)*(Aus_Cod&gt;0))=0,"",IF(SUMPRODUCT((Aus_Tec=$B23)*(Aus_Ini&lt;=O$2)*(Aus_Fim&gt;=O$2)*(Aus_Cod&gt;0))&gt;1,"!",IFERROR(INDEX(Aus_Siglas,SUMPRODUCT((Aus_Tec=$B23)*(Aus_Ini&lt;=O$2)*(Aus_Fim&gt;=O$2)*Aus_Cod)),"!"))))</f>
        <v/>
      </c>
      <c r="P23" s="15">
        <f>IF(OR($B23="",P$2=""),"",IF(SUMPRODUCT((Aus_Tec=$B23)*(Aus_Ini&lt;=P$2)*(Aus_Fim&gt;=P$2)*(Aus_Cod&gt;0))=0,"",IF(SUMPRODUCT((Aus_Tec=$B23)*(Aus_Ini&lt;=P$2)*(Aus_Fim&gt;=P$2)*(Aus_Cod&gt;0))&gt;1,"!",IFERROR(INDEX(Aus_Siglas,SUMPRODUCT((Aus_Tec=$B23)*(Aus_Ini&lt;=P$2)*(Aus_Fim&gt;=P$2)*Aus_Cod)),"!"))))</f>
        <v/>
      </c>
      <c r="Q23" s="15">
        <f>IF(OR($B23="",Q$2=""),"",IF(SUMPRODUCT((Aus_Tec=$B23)*(Aus_Ini&lt;=Q$2)*(Aus_Fim&gt;=Q$2)*(Aus_Cod&gt;0))=0,"",IF(SUMPRODUCT((Aus_Tec=$B23)*(Aus_Ini&lt;=Q$2)*(Aus_Fim&gt;=Q$2)*(Aus_Cod&gt;0))&gt;1,"!",IFERROR(INDEX(Aus_Siglas,SUMPRODUCT((Aus_Tec=$B23)*(Aus_Ini&lt;=Q$2)*(Aus_Fim&gt;=Q$2)*Aus_Cod)),"!"))))</f>
        <v/>
      </c>
      <c r="R23" s="15">
        <f>IF(OR($B23="",R$2=""),"",IF(SUMPRODUCT((Aus_Tec=$B23)*(Aus_Ini&lt;=R$2)*(Aus_Fim&gt;=R$2)*(Aus_Cod&gt;0))=0,"",IF(SUMPRODUCT((Aus_Tec=$B23)*(Aus_Ini&lt;=R$2)*(Aus_Fim&gt;=R$2)*(Aus_Cod&gt;0))&gt;1,"!",IFERROR(INDEX(Aus_Siglas,SUMPRODUCT((Aus_Tec=$B23)*(Aus_Ini&lt;=R$2)*(Aus_Fim&gt;=R$2)*Aus_Cod)),"!"))))</f>
        <v/>
      </c>
      <c r="S23" s="15">
        <f>IF(OR($B23="",S$2=""),"",IF(SUMPRODUCT((Aus_Tec=$B23)*(Aus_Ini&lt;=S$2)*(Aus_Fim&gt;=S$2)*(Aus_Cod&gt;0))=0,"",IF(SUMPRODUCT((Aus_Tec=$B23)*(Aus_Ini&lt;=S$2)*(Aus_Fim&gt;=S$2)*(Aus_Cod&gt;0))&gt;1,"!",IFERROR(INDEX(Aus_Siglas,SUMPRODUCT((Aus_Tec=$B23)*(Aus_Ini&lt;=S$2)*(Aus_Fim&gt;=S$2)*Aus_Cod)),"!"))))</f>
        <v/>
      </c>
      <c r="T23" s="15">
        <f>IF(OR($B23="",T$2=""),"",IF(SUMPRODUCT((Aus_Tec=$B23)*(Aus_Ini&lt;=T$2)*(Aus_Fim&gt;=T$2)*(Aus_Cod&gt;0))=0,"",IF(SUMPRODUCT((Aus_Tec=$B23)*(Aus_Ini&lt;=T$2)*(Aus_Fim&gt;=T$2)*(Aus_Cod&gt;0))&gt;1,"!",IFERROR(INDEX(Aus_Siglas,SUMPRODUCT((Aus_Tec=$B23)*(Aus_Ini&lt;=T$2)*(Aus_Fim&gt;=T$2)*Aus_Cod)),"!"))))</f>
        <v/>
      </c>
      <c r="U23" s="15">
        <f>IF(OR($B23="",U$2=""),"",IF(SUMPRODUCT((Aus_Tec=$B23)*(Aus_Ini&lt;=U$2)*(Aus_Fim&gt;=U$2)*(Aus_Cod&gt;0))=0,"",IF(SUMPRODUCT((Aus_Tec=$B23)*(Aus_Ini&lt;=U$2)*(Aus_Fim&gt;=U$2)*(Aus_Cod&gt;0))&gt;1,"!",IFERROR(INDEX(Aus_Siglas,SUMPRODUCT((Aus_Tec=$B23)*(Aus_Ini&lt;=U$2)*(Aus_Fim&gt;=U$2)*Aus_Cod)),"!"))))</f>
        <v/>
      </c>
      <c r="V23" s="15">
        <f>IF(OR($B23="",V$2=""),"",IF(SUMPRODUCT((Aus_Tec=$B23)*(Aus_Ini&lt;=V$2)*(Aus_Fim&gt;=V$2)*(Aus_Cod&gt;0))=0,"",IF(SUMPRODUCT((Aus_Tec=$B23)*(Aus_Ini&lt;=V$2)*(Aus_Fim&gt;=V$2)*(Aus_Cod&gt;0))&gt;1,"!",IFERROR(INDEX(Aus_Siglas,SUMPRODUCT((Aus_Tec=$B23)*(Aus_Ini&lt;=V$2)*(Aus_Fim&gt;=V$2)*Aus_Cod)),"!"))))</f>
        <v/>
      </c>
      <c r="W23" s="15">
        <f>IF(OR($B23="",W$2=""),"",IF(SUMPRODUCT((Aus_Tec=$B23)*(Aus_Ini&lt;=W$2)*(Aus_Fim&gt;=W$2)*(Aus_Cod&gt;0))=0,"",IF(SUMPRODUCT((Aus_Tec=$B23)*(Aus_Ini&lt;=W$2)*(Aus_Fim&gt;=W$2)*(Aus_Cod&gt;0))&gt;1,"!",IFERROR(INDEX(Aus_Siglas,SUMPRODUCT((Aus_Tec=$B23)*(Aus_Ini&lt;=W$2)*(Aus_Fim&gt;=W$2)*Aus_Cod)),"!"))))</f>
        <v/>
      </c>
      <c r="X23" s="15">
        <f>IF(OR($B23="",X$2=""),"",IF(SUMPRODUCT((Aus_Tec=$B23)*(Aus_Ini&lt;=X$2)*(Aus_Fim&gt;=X$2)*(Aus_Cod&gt;0))=0,"",IF(SUMPRODUCT((Aus_Tec=$B23)*(Aus_Ini&lt;=X$2)*(Aus_Fim&gt;=X$2)*(Aus_Cod&gt;0))&gt;1,"!",IFERROR(INDEX(Aus_Siglas,SUMPRODUCT((Aus_Tec=$B23)*(Aus_Ini&lt;=X$2)*(Aus_Fim&gt;=X$2)*Aus_Cod)),"!"))))</f>
        <v/>
      </c>
      <c r="Y23" s="15">
        <f>IF(OR($B23="",Y$2=""),"",IF(SUMPRODUCT((Aus_Tec=$B23)*(Aus_Ini&lt;=Y$2)*(Aus_Fim&gt;=Y$2)*(Aus_Cod&gt;0))=0,"",IF(SUMPRODUCT((Aus_Tec=$B23)*(Aus_Ini&lt;=Y$2)*(Aus_Fim&gt;=Y$2)*(Aus_Cod&gt;0))&gt;1,"!",IFERROR(INDEX(Aus_Siglas,SUMPRODUCT((Aus_Tec=$B23)*(Aus_Ini&lt;=Y$2)*(Aus_Fim&gt;=Y$2)*Aus_Cod)),"!"))))</f>
        <v/>
      </c>
      <c r="Z23" s="15">
        <f>IF(OR($B23="",Z$2=""),"",IF(SUMPRODUCT((Aus_Tec=$B23)*(Aus_Ini&lt;=Z$2)*(Aus_Fim&gt;=Z$2)*(Aus_Cod&gt;0))=0,"",IF(SUMPRODUCT((Aus_Tec=$B23)*(Aus_Ini&lt;=Z$2)*(Aus_Fim&gt;=Z$2)*(Aus_Cod&gt;0))&gt;1,"!",IFERROR(INDEX(Aus_Siglas,SUMPRODUCT((Aus_Tec=$B23)*(Aus_Ini&lt;=Z$2)*(Aus_Fim&gt;=Z$2)*Aus_Cod)),"!"))))</f>
        <v/>
      </c>
      <c r="AA23" s="15">
        <f>IF(OR($B23="",AA$2=""),"",IF(SUMPRODUCT((Aus_Tec=$B23)*(Aus_Ini&lt;=AA$2)*(Aus_Fim&gt;=AA$2)*(Aus_Cod&gt;0))=0,"",IF(SUMPRODUCT((Aus_Tec=$B23)*(Aus_Ini&lt;=AA$2)*(Aus_Fim&gt;=AA$2)*(Aus_Cod&gt;0))&gt;1,"!",IFERROR(INDEX(Aus_Siglas,SUMPRODUCT((Aus_Tec=$B23)*(Aus_Ini&lt;=AA$2)*(Aus_Fim&gt;=AA$2)*Aus_Cod)),"!"))))</f>
        <v/>
      </c>
      <c r="AB23" s="15">
        <f>IF(OR($B23="",AB$2=""),"",IF(SUMPRODUCT((Aus_Tec=$B23)*(Aus_Ini&lt;=AB$2)*(Aus_Fim&gt;=AB$2)*(Aus_Cod&gt;0))=0,"",IF(SUMPRODUCT((Aus_Tec=$B23)*(Aus_Ini&lt;=AB$2)*(Aus_Fim&gt;=AB$2)*(Aus_Cod&gt;0))&gt;1,"!",IFERROR(INDEX(Aus_Siglas,SUMPRODUCT((Aus_Tec=$B23)*(Aus_Ini&lt;=AB$2)*(Aus_Fim&gt;=AB$2)*Aus_Cod)),"!"))))</f>
        <v/>
      </c>
      <c r="AC23" s="15">
        <f>IF(OR($B23="",AC$2=""),"",IF(SUMPRODUCT((Aus_Tec=$B23)*(Aus_Ini&lt;=AC$2)*(Aus_Fim&gt;=AC$2)*(Aus_Cod&gt;0))=0,"",IF(SUMPRODUCT((Aus_Tec=$B23)*(Aus_Ini&lt;=AC$2)*(Aus_Fim&gt;=AC$2)*(Aus_Cod&gt;0))&gt;1,"!",IFERROR(INDEX(Aus_Siglas,SUMPRODUCT((Aus_Tec=$B23)*(Aus_Ini&lt;=AC$2)*(Aus_Fim&gt;=AC$2)*Aus_Cod)),"!"))))</f>
        <v/>
      </c>
      <c r="AD23" s="15">
        <f>IF(OR($B23="",AD$2=""),"",IF(SUMPRODUCT((Aus_Tec=$B23)*(Aus_Ini&lt;=AD$2)*(Aus_Fim&gt;=AD$2)*(Aus_Cod&gt;0))=0,"",IF(SUMPRODUCT((Aus_Tec=$B23)*(Aus_Ini&lt;=AD$2)*(Aus_Fim&gt;=AD$2)*(Aus_Cod&gt;0))&gt;1,"!",IFERROR(INDEX(Aus_Siglas,SUMPRODUCT((Aus_Tec=$B23)*(Aus_Ini&lt;=AD$2)*(Aus_Fim&gt;=AD$2)*Aus_Cod)),"!"))))</f>
        <v/>
      </c>
      <c r="AE23" s="15">
        <f>IF(OR($B23="",AE$2=""),"",IF(SUMPRODUCT((Aus_Tec=$B23)*(Aus_Ini&lt;=AE$2)*(Aus_Fim&gt;=AE$2)*(Aus_Cod&gt;0))=0,"",IF(SUMPRODUCT((Aus_Tec=$B23)*(Aus_Ini&lt;=AE$2)*(Aus_Fim&gt;=AE$2)*(Aus_Cod&gt;0))&gt;1,"!",IFERROR(INDEX(Aus_Siglas,SUMPRODUCT((Aus_Tec=$B23)*(Aus_Ini&lt;=AE$2)*(Aus_Fim&gt;=AE$2)*Aus_Cod)),"!"))))</f>
        <v/>
      </c>
      <c r="AF23" s="15">
        <f>IF(OR($B23="",AF$2=""),"",IF(SUMPRODUCT((Aus_Tec=$B23)*(Aus_Ini&lt;=AF$2)*(Aus_Fim&gt;=AF$2)*(Aus_Cod&gt;0))=0,"",IF(SUMPRODUCT((Aus_Tec=$B23)*(Aus_Ini&lt;=AF$2)*(Aus_Fim&gt;=AF$2)*(Aus_Cod&gt;0))&gt;1,"!",IFERROR(INDEX(Aus_Siglas,SUMPRODUCT((Aus_Tec=$B23)*(Aus_Ini&lt;=AF$2)*(Aus_Fim&gt;=AF$2)*Aus_Cod)),"!"))))</f>
        <v/>
      </c>
      <c r="AG23" s="15">
        <f>IF(OR($B23="",AG$2=""),"",IF(SUMPRODUCT((Aus_Tec=$B23)*(Aus_Ini&lt;=AG$2)*(Aus_Fim&gt;=AG$2)*(Aus_Cod&gt;0))=0,"",IF(SUMPRODUCT((Aus_Tec=$B23)*(Aus_Ini&lt;=AG$2)*(Aus_Fim&gt;=AG$2)*(Aus_Cod&gt;0))&gt;1,"!",IFERROR(INDEX(Aus_Siglas,SUMPRODUCT((Aus_Tec=$B23)*(Aus_Ini&lt;=AG$2)*(Aus_Fim&gt;=AG$2)*Aus_Cod)),"!"))))</f>
        <v/>
      </c>
      <c r="AH23" s="37">
        <f>IF($B23="","",COUNTIF($C23:$AG23,"F"))</f>
        <v/>
      </c>
      <c r="AI23" s="37">
        <f>IF($B23="","",COUNTIF($C23:$AG23,"D"))</f>
        <v/>
      </c>
      <c r="AJ23" s="37">
        <f>IF($B23="","",COUNTIF($C23:$AG23,"A"))</f>
        <v/>
      </c>
      <c r="AK23" s="37">
        <f>IF($B23="","",SUMPRODUCT(($C23:$AG23&lt;&gt;"")*1))</f>
        <v/>
      </c>
    </row>
    <row r="24">
      <c r="A24" s="33">
        <f>IF('Equipe'!A22="","",'Equipe'!A22)</f>
        <v/>
      </c>
      <c r="B24" s="34">
        <f>IF('Equipe'!B22="","",'Equipe'!B22)</f>
        <v/>
      </c>
      <c r="C24" s="15">
        <f>IF(OR($B24="",C$2=""),"",IF(SUMPRODUCT((Aus_Tec=$B24)*(Aus_Ini&lt;=C$2)*(Aus_Fim&gt;=C$2)*(Aus_Cod&gt;0))=0,"",IF(SUMPRODUCT((Aus_Tec=$B24)*(Aus_Ini&lt;=C$2)*(Aus_Fim&gt;=C$2)*(Aus_Cod&gt;0))&gt;1,"!",IFERROR(INDEX(Aus_Siglas,SUMPRODUCT((Aus_Tec=$B24)*(Aus_Ini&lt;=C$2)*(Aus_Fim&gt;=C$2)*Aus_Cod)),"!"))))</f>
        <v/>
      </c>
      <c r="D24" s="15">
        <f>IF(OR($B24="",D$2=""),"",IF(SUMPRODUCT((Aus_Tec=$B24)*(Aus_Ini&lt;=D$2)*(Aus_Fim&gt;=D$2)*(Aus_Cod&gt;0))=0,"",IF(SUMPRODUCT((Aus_Tec=$B24)*(Aus_Ini&lt;=D$2)*(Aus_Fim&gt;=D$2)*(Aus_Cod&gt;0))&gt;1,"!",IFERROR(INDEX(Aus_Siglas,SUMPRODUCT((Aus_Tec=$B24)*(Aus_Ini&lt;=D$2)*(Aus_Fim&gt;=D$2)*Aus_Cod)),"!"))))</f>
        <v/>
      </c>
      <c r="E24" s="15">
        <f>IF(OR($B24="",E$2=""),"",IF(SUMPRODUCT((Aus_Tec=$B24)*(Aus_Ini&lt;=E$2)*(Aus_Fim&gt;=E$2)*(Aus_Cod&gt;0))=0,"",IF(SUMPRODUCT((Aus_Tec=$B24)*(Aus_Ini&lt;=E$2)*(Aus_Fim&gt;=E$2)*(Aus_Cod&gt;0))&gt;1,"!",IFERROR(INDEX(Aus_Siglas,SUMPRODUCT((Aus_Tec=$B24)*(Aus_Ini&lt;=E$2)*(Aus_Fim&gt;=E$2)*Aus_Cod)),"!"))))</f>
        <v/>
      </c>
      <c r="F24" s="15">
        <f>IF(OR($B24="",F$2=""),"",IF(SUMPRODUCT((Aus_Tec=$B24)*(Aus_Ini&lt;=F$2)*(Aus_Fim&gt;=F$2)*(Aus_Cod&gt;0))=0,"",IF(SUMPRODUCT((Aus_Tec=$B24)*(Aus_Ini&lt;=F$2)*(Aus_Fim&gt;=F$2)*(Aus_Cod&gt;0))&gt;1,"!",IFERROR(INDEX(Aus_Siglas,SUMPRODUCT((Aus_Tec=$B24)*(Aus_Ini&lt;=F$2)*(Aus_Fim&gt;=F$2)*Aus_Cod)),"!"))))</f>
        <v/>
      </c>
      <c r="G24" s="15">
        <f>IF(OR($B24="",G$2=""),"",IF(SUMPRODUCT((Aus_Tec=$B24)*(Aus_Ini&lt;=G$2)*(Aus_Fim&gt;=G$2)*(Aus_Cod&gt;0))=0,"",IF(SUMPRODUCT((Aus_Tec=$B24)*(Aus_Ini&lt;=G$2)*(Aus_Fim&gt;=G$2)*(Aus_Cod&gt;0))&gt;1,"!",IFERROR(INDEX(Aus_Siglas,SUMPRODUCT((Aus_Tec=$B24)*(Aus_Ini&lt;=G$2)*(Aus_Fim&gt;=G$2)*Aus_Cod)),"!"))))</f>
        <v/>
      </c>
      <c r="H24" s="15">
        <f>IF(OR($B24="",H$2=""),"",IF(SUMPRODUCT((Aus_Tec=$B24)*(Aus_Ini&lt;=H$2)*(Aus_Fim&gt;=H$2)*(Aus_Cod&gt;0))=0,"",IF(SUMPRODUCT((Aus_Tec=$B24)*(Aus_Ini&lt;=H$2)*(Aus_Fim&gt;=H$2)*(Aus_Cod&gt;0))&gt;1,"!",IFERROR(INDEX(Aus_Siglas,SUMPRODUCT((Aus_Tec=$B24)*(Aus_Ini&lt;=H$2)*(Aus_Fim&gt;=H$2)*Aus_Cod)),"!"))))</f>
        <v/>
      </c>
      <c r="I24" s="15">
        <f>IF(OR($B24="",I$2=""),"",IF(SUMPRODUCT((Aus_Tec=$B24)*(Aus_Ini&lt;=I$2)*(Aus_Fim&gt;=I$2)*(Aus_Cod&gt;0))=0,"",IF(SUMPRODUCT((Aus_Tec=$B24)*(Aus_Ini&lt;=I$2)*(Aus_Fim&gt;=I$2)*(Aus_Cod&gt;0))&gt;1,"!",IFERROR(INDEX(Aus_Siglas,SUMPRODUCT((Aus_Tec=$B24)*(Aus_Ini&lt;=I$2)*(Aus_Fim&gt;=I$2)*Aus_Cod)),"!"))))</f>
        <v/>
      </c>
      <c r="J24" s="15">
        <f>IF(OR($B24="",J$2=""),"",IF(SUMPRODUCT((Aus_Tec=$B24)*(Aus_Ini&lt;=J$2)*(Aus_Fim&gt;=J$2)*(Aus_Cod&gt;0))=0,"",IF(SUMPRODUCT((Aus_Tec=$B24)*(Aus_Ini&lt;=J$2)*(Aus_Fim&gt;=J$2)*(Aus_Cod&gt;0))&gt;1,"!",IFERROR(INDEX(Aus_Siglas,SUMPRODUCT((Aus_Tec=$B24)*(Aus_Ini&lt;=J$2)*(Aus_Fim&gt;=J$2)*Aus_Cod)),"!"))))</f>
        <v/>
      </c>
      <c r="K24" s="15">
        <f>IF(OR($B24="",K$2=""),"",IF(SUMPRODUCT((Aus_Tec=$B24)*(Aus_Ini&lt;=K$2)*(Aus_Fim&gt;=K$2)*(Aus_Cod&gt;0))=0,"",IF(SUMPRODUCT((Aus_Tec=$B24)*(Aus_Ini&lt;=K$2)*(Aus_Fim&gt;=K$2)*(Aus_Cod&gt;0))&gt;1,"!",IFERROR(INDEX(Aus_Siglas,SUMPRODUCT((Aus_Tec=$B24)*(Aus_Ini&lt;=K$2)*(Aus_Fim&gt;=K$2)*Aus_Cod)),"!"))))</f>
        <v/>
      </c>
      <c r="L24" s="15">
        <f>IF(OR($B24="",L$2=""),"",IF(SUMPRODUCT((Aus_Tec=$B24)*(Aus_Ini&lt;=L$2)*(Aus_Fim&gt;=L$2)*(Aus_Cod&gt;0))=0,"",IF(SUMPRODUCT((Aus_Tec=$B24)*(Aus_Ini&lt;=L$2)*(Aus_Fim&gt;=L$2)*(Aus_Cod&gt;0))&gt;1,"!",IFERROR(INDEX(Aus_Siglas,SUMPRODUCT((Aus_Tec=$B24)*(Aus_Ini&lt;=L$2)*(Aus_Fim&gt;=L$2)*Aus_Cod)),"!"))))</f>
        <v/>
      </c>
      <c r="M24" s="15">
        <f>IF(OR($B24="",M$2=""),"",IF(SUMPRODUCT((Aus_Tec=$B24)*(Aus_Ini&lt;=M$2)*(Aus_Fim&gt;=M$2)*(Aus_Cod&gt;0))=0,"",IF(SUMPRODUCT((Aus_Tec=$B24)*(Aus_Ini&lt;=M$2)*(Aus_Fim&gt;=M$2)*(Aus_Cod&gt;0))&gt;1,"!",IFERROR(INDEX(Aus_Siglas,SUMPRODUCT((Aus_Tec=$B24)*(Aus_Ini&lt;=M$2)*(Aus_Fim&gt;=M$2)*Aus_Cod)),"!"))))</f>
        <v/>
      </c>
      <c r="N24" s="15">
        <f>IF(OR($B24="",N$2=""),"",IF(SUMPRODUCT((Aus_Tec=$B24)*(Aus_Ini&lt;=N$2)*(Aus_Fim&gt;=N$2)*(Aus_Cod&gt;0))=0,"",IF(SUMPRODUCT((Aus_Tec=$B24)*(Aus_Ini&lt;=N$2)*(Aus_Fim&gt;=N$2)*(Aus_Cod&gt;0))&gt;1,"!",IFERROR(INDEX(Aus_Siglas,SUMPRODUCT((Aus_Tec=$B24)*(Aus_Ini&lt;=N$2)*(Aus_Fim&gt;=N$2)*Aus_Cod)),"!"))))</f>
        <v/>
      </c>
      <c r="O24" s="15">
        <f>IF(OR($B24="",O$2=""),"",IF(SUMPRODUCT((Aus_Tec=$B24)*(Aus_Ini&lt;=O$2)*(Aus_Fim&gt;=O$2)*(Aus_Cod&gt;0))=0,"",IF(SUMPRODUCT((Aus_Tec=$B24)*(Aus_Ini&lt;=O$2)*(Aus_Fim&gt;=O$2)*(Aus_Cod&gt;0))&gt;1,"!",IFERROR(INDEX(Aus_Siglas,SUMPRODUCT((Aus_Tec=$B24)*(Aus_Ini&lt;=O$2)*(Aus_Fim&gt;=O$2)*Aus_Cod)),"!"))))</f>
        <v/>
      </c>
      <c r="P24" s="15">
        <f>IF(OR($B24="",P$2=""),"",IF(SUMPRODUCT((Aus_Tec=$B24)*(Aus_Ini&lt;=P$2)*(Aus_Fim&gt;=P$2)*(Aus_Cod&gt;0))=0,"",IF(SUMPRODUCT((Aus_Tec=$B24)*(Aus_Ini&lt;=P$2)*(Aus_Fim&gt;=P$2)*(Aus_Cod&gt;0))&gt;1,"!",IFERROR(INDEX(Aus_Siglas,SUMPRODUCT((Aus_Tec=$B24)*(Aus_Ini&lt;=P$2)*(Aus_Fim&gt;=P$2)*Aus_Cod)),"!"))))</f>
        <v/>
      </c>
      <c r="Q24" s="15">
        <f>IF(OR($B24="",Q$2=""),"",IF(SUMPRODUCT((Aus_Tec=$B24)*(Aus_Ini&lt;=Q$2)*(Aus_Fim&gt;=Q$2)*(Aus_Cod&gt;0))=0,"",IF(SUMPRODUCT((Aus_Tec=$B24)*(Aus_Ini&lt;=Q$2)*(Aus_Fim&gt;=Q$2)*(Aus_Cod&gt;0))&gt;1,"!",IFERROR(INDEX(Aus_Siglas,SUMPRODUCT((Aus_Tec=$B24)*(Aus_Ini&lt;=Q$2)*(Aus_Fim&gt;=Q$2)*Aus_Cod)),"!"))))</f>
        <v/>
      </c>
      <c r="R24" s="15">
        <f>IF(OR($B24="",R$2=""),"",IF(SUMPRODUCT((Aus_Tec=$B24)*(Aus_Ini&lt;=R$2)*(Aus_Fim&gt;=R$2)*(Aus_Cod&gt;0))=0,"",IF(SUMPRODUCT((Aus_Tec=$B24)*(Aus_Ini&lt;=R$2)*(Aus_Fim&gt;=R$2)*(Aus_Cod&gt;0))&gt;1,"!",IFERROR(INDEX(Aus_Siglas,SUMPRODUCT((Aus_Tec=$B24)*(Aus_Ini&lt;=R$2)*(Aus_Fim&gt;=R$2)*Aus_Cod)),"!"))))</f>
        <v/>
      </c>
      <c r="S24" s="15">
        <f>IF(OR($B24="",S$2=""),"",IF(SUMPRODUCT((Aus_Tec=$B24)*(Aus_Ini&lt;=S$2)*(Aus_Fim&gt;=S$2)*(Aus_Cod&gt;0))=0,"",IF(SUMPRODUCT((Aus_Tec=$B24)*(Aus_Ini&lt;=S$2)*(Aus_Fim&gt;=S$2)*(Aus_Cod&gt;0))&gt;1,"!",IFERROR(INDEX(Aus_Siglas,SUMPRODUCT((Aus_Tec=$B24)*(Aus_Ini&lt;=S$2)*(Aus_Fim&gt;=S$2)*Aus_Cod)),"!"))))</f>
        <v/>
      </c>
      <c r="T24" s="15">
        <f>IF(OR($B24="",T$2=""),"",IF(SUMPRODUCT((Aus_Tec=$B24)*(Aus_Ini&lt;=T$2)*(Aus_Fim&gt;=T$2)*(Aus_Cod&gt;0))=0,"",IF(SUMPRODUCT((Aus_Tec=$B24)*(Aus_Ini&lt;=T$2)*(Aus_Fim&gt;=T$2)*(Aus_Cod&gt;0))&gt;1,"!",IFERROR(INDEX(Aus_Siglas,SUMPRODUCT((Aus_Tec=$B24)*(Aus_Ini&lt;=T$2)*(Aus_Fim&gt;=T$2)*Aus_Cod)),"!"))))</f>
        <v/>
      </c>
      <c r="U24" s="15">
        <f>IF(OR($B24="",U$2=""),"",IF(SUMPRODUCT((Aus_Tec=$B24)*(Aus_Ini&lt;=U$2)*(Aus_Fim&gt;=U$2)*(Aus_Cod&gt;0))=0,"",IF(SUMPRODUCT((Aus_Tec=$B24)*(Aus_Ini&lt;=U$2)*(Aus_Fim&gt;=U$2)*(Aus_Cod&gt;0))&gt;1,"!",IFERROR(INDEX(Aus_Siglas,SUMPRODUCT((Aus_Tec=$B24)*(Aus_Ini&lt;=U$2)*(Aus_Fim&gt;=U$2)*Aus_Cod)),"!"))))</f>
        <v/>
      </c>
      <c r="V24" s="15">
        <f>IF(OR($B24="",V$2=""),"",IF(SUMPRODUCT((Aus_Tec=$B24)*(Aus_Ini&lt;=V$2)*(Aus_Fim&gt;=V$2)*(Aus_Cod&gt;0))=0,"",IF(SUMPRODUCT((Aus_Tec=$B24)*(Aus_Ini&lt;=V$2)*(Aus_Fim&gt;=V$2)*(Aus_Cod&gt;0))&gt;1,"!",IFERROR(INDEX(Aus_Siglas,SUMPRODUCT((Aus_Tec=$B24)*(Aus_Ini&lt;=V$2)*(Aus_Fim&gt;=V$2)*Aus_Cod)),"!"))))</f>
        <v/>
      </c>
      <c r="W24" s="15">
        <f>IF(OR($B24="",W$2=""),"",IF(SUMPRODUCT((Aus_Tec=$B24)*(Aus_Ini&lt;=W$2)*(Aus_Fim&gt;=W$2)*(Aus_Cod&gt;0))=0,"",IF(SUMPRODUCT((Aus_Tec=$B24)*(Aus_Ini&lt;=W$2)*(Aus_Fim&gt;=W$2)*(Aus_Cod&gt;0))&gt;1,"!",IFERROR(INDEX(Aus_Siglas,SUMPRODUCT((Aus_Tec=$B24)*(Aus_Ini&lt;=W$2)*(Aus_Fim&gt;=W$2)*Aus_Cod)),"!"))))</f>
        <v/>
      </c>
      <c r="X24" s="15">
        <f>IF(OR($B24="",X$2=""),"",IF(SUMPRODUCT((Aus_Tec=$B24)*(Aus_Ini&lt;=X$2)*(Aus_Fim&gt;=X$2)*(Aus_Cod&gt;0))=0,"",IF(SUMPRODUCT((Aus_Tec=$B24)*(Aus_Ini&lt;=X$2)*(Aus_Fim&gt;=X$2)*(Aus_Cod&gt;0))&gt;1,"!",IFERROR(INDEX(Aus_Siglas,SUMPRODUCT((Aus_Tec=$B24)*(Aus_Ini&lt;=X$2)*(Aus_Fim&gt;=X$2)*Aus_Cod)),"!"))))</f>
        <v/>
      </c>
      <c r="Y24" s="15">
        <f>IF(OR($B24="",Y$2=""),"",IF(SUMPRODUCT((Aus_Tec=$B24)*(Aus_Ini&lt;=Y$2)*(Aus_Fim&gt;=Y$2)*(Aus_Cod&gt;0))=0,"",IF(SUMPRODUCT((Aus_Tec=$B24)*(Aus_Ini&lt;=Y$2)*(Aus_Fim&gt;=Y$2)*(Aus_Cod&gt;0))&gt;1,"!",IFERROR(INDEX(Aus_Siglas,SUMPRODUCT((Aus_Tec=$B24)*(Aus_Ini&lt;=Y$2)*(Aus_Fim&gt;=Y$2)*Aus_Cod)),"!"))))</f>
        <v/>
      </c>
      <c r="Z24" s="15">
        <f>IF(OR($B24="",Z$2=""),"",IF(SUMPRODUCT((Aus_Tec=$B24)*(Aus_Ini&lt;=Z$2)*(Aus_Fim&gt;=Z$2)*(Aus_Cod&gt;0))=0,"",IF(SUMPRODUCT((Aus_Tec=$B24)*(Aus_Ini&lt;=Z$2)*(Aus_Fim&gt;=Z$2)*(Aus_Cod&gt;0))&gt;1,"!",IFERROR(INDEX(Aus_Siglas,SUMPRODUCT((Aus_Tec=$B24)*(Aus_Ini&lt;=Z$2)*(Aus_Fim&gt;=Z$2)*Aus_Cod)),"!"))))</f>
        <v/>
      </c>
      <c r="AA24" s="15">
        <f>IF(OR($B24="",AA$2=""),"",IF(SUMPRODUCT((Aus_Tec=$B24)*(Aus_Ini&lt;=AA$2)*(Aus_Fim&gt;=AA$2)*(Aus_Cod&gt;0))=0,"",IF(SUMPRODUCT((Aus_Tec=$B24)*(Aus_Ini&lt;=AA$2)*(Aus_Fim&gt;=AA$2)*(Aus_Cod&gt;0))&gt;1,"!",IFERROR(INDEX(Aus_Siglas,SUMPRODUCT((Aus_Tec=$B24)*(Aus_Ini&lt;=AA$2)*(Aus_Fim&gt;=AA$2)*Aus_Cod)),"!"))))</f>
        <v/>
      </c>
      <c r="AB24" s="15">
        <f>IF(OR($B24="",AB$2=""),"",IF(SUMPRODUCT((Aus_Tec=$B24)*(Aus_Ini&lt;=AB$2)*(Aus_Fim&gt;=AB$2)*(Aus_Cod&gt;0))=0,"",IF(SUMPRODUCT((Aus_Tec=$B24)*(Aus_Ini&lt;=AB$2)*(Aus_Fim&gt;=AB$2)*(Aus_Cod&gt;0))&gt;1,"!",IFERROR(INDEX(Aus_Siglas,SUMPRODUCT((Aus_Tec=$B24)*(Aus_Ini&lt;=AB$2)*(Aus_Fim&gt;=AB$2)*Aus_Cod)),"!"))))</f>
        <v/>
      </c>
      <c r="AC24" s="15">
        <f>IF(OR($B24="",AC$2=""),"",IF(SUMPRODUCT((Aus_Tec=$B24)*(Aus_Ini&lt;=AC$2)*(Aus_Fim&gt;=AC$2)*(Aus_Cod&gt;0))=0,"",IF(SUMPRODUCT((Aus_Tec=$B24)*(Aus_Ini&lt;=AC$2)*(Aus_Fim&gt;=AC$2)*(Aus_Cod&gt;0))&gt;1,"!",IFERROR(INDEX(Aus_Siglas,SUMPRODUCT((Aus_Tec=$B24)*(Aus_Ini&lt;=AC$2)*(Aus_Fim&gt;=AC$2)*Aus_Cod)),"!"))))</f>
        <v/>
      </c>
      <c r="AD24" s="15">
        <f>IF(OR($B24="",AD$2=""),"",IF(SUMPRODUCT((Aus_Tec=$B24)*(Aus_Ini&lt;=AD$2)*(Aus_Fim&gt;=AD$2)*(Aus_Cod&gt;0))=0,"",IF(SUMPRODUCT((Aus_Tec=$B24)*(Aus_Ini&lt;=AD$2)*(Aus_Fim&gt;=AD$2)*(Aus_Cod&gt;0))&gt;1,"!",IFERROR(INDEX(Aus_Siglas,SUMPRODUCT((Aus_Tec=$B24)*(Aus_Ini&lt;=AD$2)*(Aus_Fim&gt;=AD$2)*Aus_Cod)),"!"))))</f>
        <v/>
      </c>
      <c r="AE24" s="15">
        <f>IF(OR($B24="",AE$2=""),"",IF(SUMPRODUCT((Aus_Tec=$B24)*(Aus_Ini&lt;=AE$2)*(Aus_Fim&gt;=AE$2)*(Aus_Cod&gt;0))=0,"",IF(SUMPRODUCT((Aus_Tec=$B24)*(Aus_Ini&lt;=AE$2)*(Aus_Fim&gt;=AE$2)*(Aus_Cod&gt;0))&gt;1,"!",IFERROR(INDEX(Aus_Siglas,SUMPRODUCT((Aus_Tec=$B24)*(Aus_Ini&lt;=AE$2)*(Aus_Fim&gt;=AE$2)*Aus_Cod)),"!"))))</f>
        <v/>
      </c>
      <c r="AF24" s="15">
        <f>IF(OR($B24="",AF$2=""),"",IF(SUMPRODUCT((Aus_Tec=$B24)*(Aus_Ini&lt;=AF$2)*(Aus_Fim&gt;=AF$2)*(Aus_Cod&gt;0))=0,"",IF(SUMPRODUCT((Aus_Tec=$B24)*(Aus_Ini&lt;=AF$2)*(Aus_Fim&gt;=AF$2)*(Aus_Cod&gt;0))&gt;1,"!",IFERROR(INDEX(Aus_Siglas,SUMPRODUCT((Aus_Tec=$B24)*(Aus_Ini&lt;=AF$2)*(Aus_Fim&gt;=AF$2)*Aus_Cod)),"!"))))</f>
        <v/>
      </c>
      <c r="AG24" s="15">
        <f>IF(OR($B24="",AG$2=""),"",IF(SUMPRODUCT((Aus_Tec=$B24)*(Aus_Ini&lt;=AG$2)*(Aus_Fim&gt;=AG$2)*(Aus_Cod&gt;0))=0,"",IF(SUMPRODUCT((Aus_Tec=$B24)*(Aus_Ini&lt;=AG$2)*(Aus_Fim&gt;=AG$2)*(Aus_Cod&gt;0))&gt;1,"!",IFERROR(INDEX(Aus_Siglas,SUMPRODUCT((Aus_Tec=$B24)*(Aus_Ini&lt;=AG$2)*(Aus_Fim&gt;=AG$2)*Aus_Cod)),"!"))))</f>
        <v/>
      </c>
      <c r="AH24" s="37">
        <f>IF($B24="","",COUNTIF($C24:$AG24,"F"))</f>
        <v/>
      </c>
      <c r="AI24" s="37">
        <f>IF($B24="","",COUNTIF($C24:$AG24,"D"))</f>
        <v/>
      </c>
      <c r="AJ24" s="37">
        <f>IF($B24="","",COUNTIF($C24:$AG24,"A"))</f>
        <v/>
      </c>
      <c r="AK24" s="37">
        <f>IF($B24="","",SUMPRODUCT(($C24:$AG24&lt;&gt;"")*1))</f>
        <v/>
      </c>
    </row>
    <row r="25">
      <c r="A25" s="33">
        <f>IF('Equipe'!A23="","",'Equipe'!A23)</f>
        <v/>
      </c>
      <c r="B25" s="34">
        <f>IF('Equipe'!B23="","",'Equipe'!B23)</f>
        <v/>
      </c>
      <c r="C25" s="15">
        <f>IF(OR($B25="",C$2=""),"",IF(SUMPRODUCT((Aus_Tec=$B25)*(Aus_Ini&lt;=C$2)*(Aus_Fim&gt;=C$2)*(Aus_Cod&gt;0))=0,"",IF(SUMPRODUCT((Aus_Tec=$B25)*(Aus_Ini&lt;=C$2)*(Aus_Fim&gt;=C$2)*(Aus_Cod&gt;0))&gt;1,"!",IFERROR(INDEX(Aus_Siglas,SUMPRODUCT((Aus_Tec=$B25)*(Aus_Ini&lt;=C$2)*(Aus_Fim&gt;=C$2)*Aus_Cod)),"!"))))</f>
        <v/>
      </c>
      <c r="D25" s="15">
        <f>IF(OR($B25="",D$2=""),"",IF(SUMPRODUCT((Aus_Tec=$B25)*(Aus_Ini&lt;=D$2)*(Aus_Fim&gt;=D$2)*(Aus_Cod&gt;0))=0,"",IF(SUMPRODUCT((Aus_Tec=$B25)*(Aus_Ini&lt;=D$2)*(Aus_Fim&gt;=D$2)*(Aus_Cod&gt;0))&gt;1,"!",IFERROR(INDEX(Aus_Siglas,SUMPRODUCT((Aus_Tec=$B25)*(Aus_Ini&lt;=D$2)*(Aus_Fim&gt;=D$2)*Aus_Cod)),"!"))))</f>
        <v/>
      </c>
      <c r="E25" s="15">
        <f>IF(OR($B25="",E$2=""),"",IF(SUMPRODUCT((Aus_Tec=$B25)*(Aus_Ini&lt;=E$2)*(Aus_Fim&gt;=E$2)*(Aus_Cod&gt;0))=0,"",IF(SUMPRODUCT((Aus_Tec=$B25)*(Aus_Ini&lt;=E$2)*(Aus_Fim&gt;=E$2)*(Aus_Cod&gt;0))&gt;1,"!",IFERROR(INDEX(Aus_Siglas,SUMPRODUCT((Aus_Tec=$B25)*(Aus_Ini&lt;=E$2)*(Aus_Fim&gt;=E$2)*Aus_Cod)),"!"))))</f>
        <v/>
      </c>
      <c r="F25" s="15">
        <f>IF(OR($B25="",F$2=""),"",IF(SUMPRODUCT((Aus_Tec=$B25)*(Aus_Ini&lt;=F$2)*(Aus_Fim&gt;=F$2)*(Aus_Cod&gt;0))=0,"",IF(SUMPRODUCT((Aus_Tec=$B25)*(Aus_Ini&lt;=F$2)*(Aus_Fim&gt;=F$2)*(Aus_Cod&gt;0))&gt;1,"!",IFERROR(INDEX(Aus_Siglas,SUMPRODUCT((Aus_Tec=$B25)*(Aus_Ini&lt;=F$2)*(Aus_Fim&gt;=F$2)*Aus_Cod)),"!"))))</f>
        <v/>
      </c>
      <c r="G25" s="15">
        <f>IF(OR($B25="",G$2=""),"",IF(SUMPRODUCT((Aus_Tec=$B25)*(Aus_Ini&lt;=G$2)*(Aus_Fim&gt;=G$2)*(Aus_Cod&gt;0))=0,"",IF(SUMPRODUCT((Aus_Tec=$B25)*(Aus_Ini&lt;=G$2)*(Aus_Fim&gt;=G$2)*(Aus_Cod&gt;0))&gt;1,"!",IFERROR(INDEX(Aus_Siglas,SUMPRODUCT((Aus_Tec=$B25)*(Aus_Ini&lt;=G$2)*(Aus_Fim&gt;=G$2)*Aus_Cod)),"!"))))</f>
        <v/>
      </c>
      <c r="H25" s="15">
        <f>IF(OR($B25="",H$2=""),"",IF(SUMPRODUCT((Aus_Tec=$B25)*(Aus_Ini&lt;=H$2)*(Aus_Fim&gt;=H$2)*(Aus_Cod&gt;0))=0,"",IF(SUMPRODUCT((Aus_Tec=$B25)*(Aus_Ini&lt;=H$2)*(Aus_Fim&gt;=H$2)*(Aus_Cod&gt;0))&gt;1,"!",IFERROR(INDEX(Aus_Siglas,SUMPRODUCT((Aus_Tec=$B25)*(Aus_Ini&lt;=H$2)*(Aus_Fim&gt;=H$2)*Aus_Cod)),"!"))))</f>
        <v/>
      </c>
      <c r="I25" s="15">
        <f>IF(OR($B25="",I$2=""),"",IF(SUMPRODUCT((Aus_Tec=$B25)*(Aus_Ini&lt;=I$2)*(Aus_Fim&gt;=I$2)*(Aus_Cod&gt;0))=0,"",IF(SUMPRODUCT((Aus_Tec=$B25)*(Aus_Ini&lt;=I$2)*(Aus_Fim&gt;=I$2)*(Aus_Cod&gt;0))&gt;1,"!",IFERROR(INDEX(Aus_Siglas,SUMPRODUCT((Aus_Tec=$B25)*(Aus_Ini&lt;=I$2)*(Aus_Fim&gt;=I$2)*Aus_Cod)),"!"))))</f>
        <v/>
      </c>
      <c r="J25" s="15">
        <f>IF(OR($B25="",J$2=""),"",IF(SUMPRODUCT((Aus_Tec=$B25)*(Aus_Ini&lt;=J$2)*(Aus_Fim&gt;=J$2)*(Aus_Cod&gt;0))=0,"",IF(SUMPRODUCT((Aus_Tec=$B25)*(Aus_Ini&lt;=J$2)*(Aus_Fim&gt;=J$2)*(Aus_Cod&gt;0))&gt;1,"!",IFERROR(INDEX(Aus_Siglas,SUMPRODUCT((Aus_Tec=$B25)*(Aus_Ini&lt;=J$2)*(Aus_Fim&gt;=J$2)*Aus_Cod)),"!"))))</f>
        <v/>
      </c>
      <c r="K25" s="15">
        <f>IF(OR($B25="",K$2=""),"",IF(SUMPRODUCT((Aus_Tec=$B25)*(Aus_Ini&lt;=K$2)*(Aus_Fim&gt;=K$2)*(Aus_Cod&gt;0))=0,"",IF(SUMPRODUCT((Aus_Tec=$B25)*(Aus_Ini&lt;=K$2)*(Aus_Fim&gt;=K$2)*(Aus_Cod&gt;0))&gt;1,"!",IFERROR(INDEX(Aus_Siglas,SUMPRODUCT((Aus_Tec=$B25)*(Aus_Ini&lt;=K$2)*(Aus_Fim&gt;=K$2)*Aus_Cod)),"!"))))</f>
        <v/>
      </c>
      <c r="L25" s="15">
        <f>IF(OR($B25="",L$2=""),"",IF(SUMPRODUCT((Aus_Tec=$B25)*(Aus_Ini&lt;=L$2)*(Aus_Fim&gt;=L$2)*(Aus_Cod&gt;0))=0,"",IF(SUMPRODUCT((Aus_Tec=$B25)*(Aus_Ini&lt;=L$2)*(Aus_Fim&gt;=L$2)*(Aus_Cod&gt;0))&gt;1,"!",IFERROR(INDEX(Aus_Siglas,SUMPRODUCT((Aus_Tec=$B25)*(Aus_Ini&lt;=L$2)*(Aus_Fim&gt;=L$2)*Aus_Cod)),"!"))))</f>
        <v/>
      </c>
      <c r="M25" s="15">
        <f>IF(OR($B25="",M$2=""),"",IF(SUMPRODUCT((Aus_Tec=$B25)*(Aus_Ini&lt;=M$2)*(Aus_Fim&gt;=M$2)*(Aus_Cod&gt;0))=0,"",IF(SUMPRODUCT((Aus_Tec=$B25)*(Aus_Ini&lt;=M$2)*(Aus_Fim&gt;=M$2)*(Aus_Cod&gt;0))&gt;1,"!",IFERROR(INDEX(Aus_Siglas,SUMPRODUCT((Aus_Tec=$B25)*(Aus_Ini&lt;=M$2)*(Aus_Fim&gt;=M$2)*Aus_Cod)),"!"))))</f>
        <v/>
      </c>
      <c r="N25" s="15">
        <f>IF(OR($B25="",N$2=""),"",IF(SUMPRODUCT((Aus_Tec=$B25)*(Aus_Ini&lt;=N$2)*(Aus_Fim&gt;=N$2)*(Aus_Cod&gt;0))=0,"",IF(SUMPRODUCT((Aus_Tec=$B25)*(Aus_Ini&lt;=N$2)*(Aus_Fim&gt;=N$2)*(Aus_Cod&gt;0))&gt;1,"!",IFERROR(INDEX(Aus_Siglas,SUMPRODUCT((Aus_Tec=$B25)*(Aus_Ini&lt;=N$2)*(Aus_Fim&gt;=N$2)*Aus_Cod)),"!"))))</f>
        <v/>
      </c>
      <c r="O25" s="15">
        <f>IF(OR($B25="",O$2=""),"",IF(SUMPRODUCT((Aus_Tec=$B25)*(Aus_Ini&lt;=O$2)*(Aus_Fim&gt;=O$2)*(Aus_Cod&gt;0))=0,"",IF(SUMPRODUCT((Aus_Tec=$B25)*(Aus_Ini&lt;=O$2)*(Aus_Fim&gt;=O$2)*(Aus_Cod&gt;0))&gt;1,"!",IFERROR(INDEX(Aus_Siglas,SUMPRODUCT((Aus_Tec=$B25)*(Aus_Ini&lt;=O$2)*(Aus_Fim&gt;=O$2)*Aus_Cod)),"!"))))</f>
        <v/>
      </c>
      <c r="P25" s="15">
        <f>IF(OR($B25="",P$2=""),"",IF(SUMPRODUCT((Aus_Tec=$B25)*(Aus_Ini&lt;=P$2)*(Aus_Fim&gt;=P$2)*(Aus_Cod&gt;0))=0,"",IF(SUMPRODUCT((Aus_Tec=$B25)*(Aus_Ini&lt;=P$2)*(Aus_Fim&gt;=P$2)*(Aus_Cod&gt;0))&gt;1,"!",IFERROR(INDEX(Aus_Siglas,SUMPRODUCT((Aus_Tec=$B25)*(Aus_Ini&lt;=P$2)*(Aus_Fim&gt;=P$2)*Aus_Cod)),"!"))))</f>
        <v/>
      </c>
      <c r="Q25" s="15">
        <f>IF(OR($B25="",Q$2=""),"",IF(SUMPRODUCT((Aus_Tec=$B25)*(Aus_Ini&lt;=Q$2)*(Aus_Fim&gt;=Q$2)*(Aus_Cod&gt;0))=0,"",IF(SUMPRODUCT((Aus_Tec=$B25)*(Aus_Ini&lt;=Q$2)*(Aus_Fim&gt;=Q$2)*(Aus_Cod&gt;0))&gt;1,"!",IFERROR(INDEX(Aus_Siglas,SUMPRODUCT((Aus_Tec=$B25)*(Aus_Ini&lt;=Q$2)*(Aus_Fim&gt;=Q$2)*Aus_Cod)),"!"))))</f>
        <v/>
      </c>
      <c r="R25" s="15">
        <f>IF(OR($B25="",R$2=""),"",IF(SUMPRODUCT((Aus_Tec=$B25)*(Aus_Ini&lt;=R$2)*(Aus_Fim&gt;=R$2)*(Aus_Cod&gt;0))=0,"",IF(SUMPRODUCT((Aus_Tec=$B25)*(Aus_Ini&lt;=R$2)*(Aus_Fim&gt;=R$2)*(Aus_Cod&gt;0))&gt;1,"!",IFERROR(INDEX(Aus_Siglas,SUMPRODUCT((Aus_Tec=$B25)*(Aus_Ini&lt;=R$2)*(Aus_Fim&gt;=R$2)*Aus_Cod)),"!"))))</f>
        <v/>
      </c>
      <c r="S25" s="15">
        <f>IF(OR($B25="",S$2=""),"",IF(SUMPRODUCT((Aus_Tec=$B25)*(Aus_Ini&lt;=S$2)*(Aus_Fim&gt;=S$2)*(Aus_Cod&gt;0))=0,"",IF(SUMPRODUCT((Aus_Tec=$B25)*(Aus_Ini&lt;=S$2)*(Aus_Fim&gt;=S$2)*(Aus_Cod&gt;0))&gt;1,"!",IFERROR(INDEX(Aus_Siglas,SUMPRODUCT((Aus_Tec=$B25)*(Aus_Ini&lt;=S$2)*(Aus_Fim&gt;=S$2)*Aus_Cod)),"!"))))</f>
        <v/>
      </c>
      <c r="T25" s="15">
        <f>IF(OR($B25="",T$2=""),"",IF(SUMPRODUCT((Aus_Tec=$B25)*(Aus_Ini&lt;=T$2)*(Aus_Fim&gt;=T$2)*(Aus_Cod&gt;0))=0,"",IF(SUMPRODUCT((Aus_Tec=$B25)*(Aus_Ini&lt;=T$2)*(Aus_Fim&gt;=T$2)*(Aus_Cod&gt;0))&gt;1,"!",IFERROR(INDEX(Aus_Siglas,SUMPRODUCT((Aus_Tec=$B25)*(Aus_Ini&lt;=T$2)*(Aus_Fim&gt;=T$2)*Aus_Cod)),"!"))))</f>
        <v/>
      </c>
      <c r="U25" s="15">
        <f>IF(OR($B25="",U$2=""),"",IF(SUMPRODUCT((Aus_Tec=$B25)*(Aus_Ini&lt;=U$2)*(Aus_Fim&gt;=U$2)*(Aus_Cod&gt;0))=0,"",IF(SUMPRODUCT((Aus_Tec=$B25)*(Aus_Ini&lt;=U$2)*(Aus_Fim&gt;=U$2)*(Aus_Cod&gt;0))&gt;1,"!",IFERROR(INDEX(Aus_Siglas,SUMPRODUCT((Aus_Tec=$B25)*(Aus_Ini&lt;=U$2)*(Aus_Fim&gt;=U$2)*Aus_Cod)),"!"))))</f>
        <v/>
      </c>
      <c r="V25" s="15">
        <f>IF(OR($B25="",V$2=""),"",IF(SUMPRODUCT((Aus_Tec=$B25)*(Aus_Ini&lt;=V$2)*(Aus_Fim&gt;=V$2)*(Aus_Cod&gt;0))=0,"",IF(SUMPRODUCT((Aus_Tec=$B25)*(Aus_Ini&lt;=V$2)*(Aus_Fim&gt;=V$2)*(Aus_Cod&gt;0))&gt;1,"!",IFERROR(INDEX(Aus_Siglas,SUMPRODUCT((Aus_Tec=$B25)*(Aus_Ini&lt;=V$2)*(Aus_Fim&gt;=V$2)*Aus_Cod)),"!"))))</f>
        <v/>
      </c>
      <c r="W25" s="15">
        <f>IF(OR($B25="",W$2=""),"",IF(SUMPRODUCT((Aus_Tec=$B25)*(Aus_Ini&lt;=W$2)*(Aus_Fim&gt;=W$2)*(Aus_Cod&gt;0))=0,"",IF(SUMPRODUCT((Aus_Tec=$B25)*(Aus_Ini&lt;=W$2)*(Aus_Fim&gt;=W$2)*(Aus_Cod&gt;0))&gt;1,"!",IFERROR(INDEX(Aus_Siglas,SUMPRODUCT((Aus_Tec=$B25)*(Aus_Ini&lt;=W$2)*(Aus_Fim&gt;=W$2)*Aus_Cod)),"!"))))</f>
        <v/>
      </c>
      <c r="X25" s="15">
        <f>IF(OR($B25="",X$2=""),"",IF(SUMPRODUCT((Aus_Tec=$B25)*(Aus_Ini&lt;=X$2)*(Aus_Fim&gt;=X$2)*(Aus_Cod&gt;0))=0,"",IF(SUMPRODUCT((Aus_Tec=$B25)*(Aus_Ini&lt;=X$2)*(Aus_Fim&gt;=X$2)*(Aus_Cod&gt;0))&gt;1,"!",IFERROR(INDEX(Aus_Siglas,SUMPRODUCT((Aus_Tec=$B25)*(Aus_Ini&lt;=X$2)*(Aus_Fim&gt;=X$2)*Aus_Cod)),"!"))))</f>
        <v/>
      </c>
      <c r="Y25" s="15">
        <f>IF(OR($B25="",Y$2=""),"",IF(SUMPRODUCT((Aus_Tec=$B25)*(Aus_Ini&lt;=Y$2)*(Aus_Fim&gt;=Y$2)*(Aus_Cod&gt;0))=0,"",IF(SUMPRODUCT((Aus_Tec=$B25)*(Aus_Ini&lt;=Y$2)*(Aus_Fim&gt;=Y$2)*(Aus_Cod&gt;0))&gt;1,"!",IFERROR(INDEX(Aus_Siglas,SUMPRODUCT((Aus_Tec=$B25)*(Aus_Ini&lt;=Y$2)*(Aus_Fim&gt;=Y$2)*Aus_Cod)),"!"))))</f>
        <v/>
      </c>
      <c r="Z25" s="15">
        <f>IF(OR($B25="",Z$2=""),"",IF(SUMPRODUCT((Aus_Tec=$B25)*(Aus_Ini&lt;=Z$2)*(Aus_Fim&gt;=Z$2)*(Aus_Cod&gt;0))=0,"",IF(SUMPRODUCT((Aus_Tec=$B25)*(Aus_Ini&lt;=Z$2)*(Aus_Fim&gt;=Z$2)*(Aus_Cod&gt;0))&gt;1,"!",IFERROR(INDEX(Aus_Siglas,SUMPRODUCT((Aus_Tec=$B25)*(Aus_Ini&lt;=Z$2)*(Aus_Fim&gt;=Z$2)*Aus_Cod)),"!"))))</f>
        <v/>
      </c>
      <c r="AA25" s="15">
        <f>IF(OR($B25="",AA$2=""),"",IF(SUMPRODUCT((Aus_Tec=$B25)*(Aus_Ini&lt;=AA$2)*(Aus_Fim&gt;=AA$2)*(Aus_Cod&gt;0))=0,"",IF(SUMPRODUCT((Aus_Tec=$B25)*(Aus_Ini&lt;=AA$2)*(Aus_Fim&gt;=AA$2)*(Aus_Cod&gt;0))&gt;1,"!",IFERROR(INDEX(Aus_Siglas,SUMPRODUCT((Aus_Tec=$B25)*(Aus_Ini&lt;=AA$2)*(Aus_Fim&gt;=AA$2)*Aus_Cod)),"!"))))</f>
        <v/>
      </c>
      <c r="AB25" s="15">
        <f>IF(OR($B25="",AB$2=""),"",IF(SUMPRODUCT((Aus_Tec=$B25)*(Aus_Ini&lt;=AB$2)*(Aus_Fim&gt;=AB$2)*(Aus_Cod&gt;0))=0,"",IF(SUMPRODUCT((Aus_Tec=$B25)*(Aus_Ini&lt;=AB$2)*(Aus_Fim&gt;=AB$2)*(Aus_Cod&gt;0))&gt;1,"!",IFERROR(INDEX(Aus_Siglas,SUMPRODUCT((Aus_Tec=$B25)*(Aus_Ini&lt;=AB$2)*(Aus_Fim&gt;=AB$2)*Aus_Cod)),"!"))))</f>
        <v/>
      </c>
      <c r="AC25" s="15">
        <f>IF(OR($B25="",AC$2=""),"",IF(SUMPRODUCT((Aus_Tec=$B25)*(Aus_Ini&lt;=AC$2)*(Aus_Fim&gt;=AC$2)*(Aus_Cod&gt;0))=0,"",IF(SUMPRODUCT((Aus_Tec=$B25)*(Aus_Ini&lt;=AC$2)*(Aus_Fim&gt;=AC$2)*(Aus_Cod&gt;0))&gt;1,"!",IFERROR(INDEX(Aus_Siglas,SUMPRODUCT((Aus_Tec=$B25)*(Aus_Ini&lt;=AC$2)*(Aus_Fim&gt;=AC$2)*Aus_Cod)),"!"))))</f>
        <v/>
      </c>
      <c r="AD25" s="15">
        <f>IF(OR($B25="",AD$2=""),"",IF(SUMPRODUCT((Aus_Tec=$B25)*(Aus_Ini&lt;=AD$2)*(Aus_Fim&gt;=AD$2)*(Aus_Cod&gt;0))=0,"",IF(SUMPRODUCT((Aus_Tec=$B25)*(Aus_Ini&lt;=AD$2)*(Aus_Fim&gt;=AD$2)*(Aus_Cod&gt;0))&gt;1,"!",IFERROR(INDEX(Aus_Siglas,SUMPRODUCT((Aus_Tec=$B25)*(Aus_Ini&lt;=AD$2)*(Aus_Fim&gt;=AD$2)*Aus_Cod)),"!"))))</f>
        <v/>
      </c>
      <c r="AE25" s="15">
        <f>IF(OR($B25="",AE$2=""),"",IF(SUMPRODUCT((Aus_Tec=$B25)*(Aus_Ini&lt;=AE$2)*(Aus_Fim&gt;=AE$2)*(Aus_Cod&gt;0))=0,"",IF(SUMPRODUCT((Aus_Tec=$B25)*(Aus_Ini&lt;=AE$2)*(Aus_Fim&gt;=AE$2)*(Aus_Cod&gt;0))&gt;1,"!",IFERROR(INDEX(Aus_Siglas,SUMPRODUCT((Aus_Tec=$B25)*(Aus_Ini&lt;=AE$2)*(Aus_Fim&gt;=AE$2)*Aus_Cod)),"!"))))</f>
        <v/>
      </c>
      <c r="AF25" s="15">
        <f>IF(OR($B25="",AF$2=""),"",IF(SUMPRODUCT((Aus_Tec=$B25)*(Aus_Ini&lt;=AF$2)*(Aus_Fim&gt;=AF$2)*(Aus_Cod&gt;0))=0,"",IF(SUMPRODUCT((Aus_Tec=$B25)*(Aus_Ini&lt;=AF$2)*(Aus_Fim&gt;=AF$2)*(Aus_Cod&gt;0))&gt;1,"!",IFERROR(INDEX(Aus_Siglas,SUMPRODUCT((Aus_Tec=$B25)*(Aus_Ini&lt;=AF$2)*(Aus_Fim&gt;=AF$2)*Aus_Cod)),"!"))))</f>
        <v/>
      </c>
      <c r="AG25" s="15">
        <f>IF(OR($B25="",AG$2=""),"",IF(SUMPRODUCT((Aus_Tec=$B25)*(Aus_Ini&lt;=AG$2)*(Aus_Fim&gt;=AG$2)*(Aus_Cod&gt;0))=0,"",IF(SUMPRODUCT((Aus_Tec=$B25)*(Aus_Ini&lt;=AG$2)*(Aus_Fim&gt;=AG$2)*(Aus_Cod&gt;0))&gt;1,"!",IFERROR(INDEX(Aus_Siglas,SUMPRODUCT((Aus_Tec=$B25)*(Aus_Ini&lt;=AG$2)*(Aus_Fim&gt;=AG$2)*Aus_Cod)),"!"))))</f>
        <v/>
      </c>
      <c r="AH25" s="37">
        <f>IF($B25="","",COUNTIF($C25:$AG25,"F"))</f>
        <v/>
      </c>
      <c r="AI25" s="37">
        <f>IF($B25="","",COUNTIF($C25:$AG25,"D"))</f>
        <v/>
      </c>
      <c r="AJ25" s="37">
        <f>IF($B25="","",COUNTIF($C25:$AG25,"A"))</f>
        <v/>
      </c>
      <c r="AK25" s="37">
        <f>IF($B25="","",SUMPRODUCT(($C25:$AG25&lt;&gt;"")*1))</f>
        <v/>
      </c>
    </row>
    <row r="26">
      <c r="A26" s="33">
        <f>IF('Equipe'!A24="","",'Equipe'!A24)</f>
        <v/>
      </c>
      <c r="B26" s="34">
        <f>IF('Equipe'!B24="","",'Equipe'!B24)</f>
        <v/>
      </c>
      <c r="C26" s="15">
        <f>IF(OR($B26="",C$2=""),"",IF(SUMPRODUCT((Aus_Tec=$B26)*(Aus_Ini&lt;=C$2)*(Aus_Fim&gt;=C$2)*(Aus_Cod&gt;0))=0,"",IF(SUMPRODUCT((Aus_Tec=$B26)*(Aus_Ini&lt;=C$2)*(Aus_Fim&gt;=C$2)*(Aus_Cod&gt;0))&gt;1,"!",IFERROR(INDEX(Aus_Siglas,SUMPRODUCT((Aus_Tec=$B26)*(Aus_Ini&lt;=C$2)*(Aus_Fim&gt;=C$2)*Aus_Cod)),"!"))))</f>
        <v/>
      </c>
      <c r="D26" s="15">
        <f>IF(OR($B26="",D$2=""),"",IF(SUMPRODUCT((Aus_Tec=$B26)*(Aus_Ini&lt;=D$2)*(Aus_Fim&gt;=D$2)*(Aus_Cod&gt;0))=0,"",IF(SUMPRODUCT((Aus_Tec=$B26)*(Aus_Ini&lt;=D$2)*(Aus_Fim&gt;=D$2)*(Aus_Cod&gt;0))&gt;1,"!",IFERROR(INDEX(Aus_Siglas,SUMPRODUCT((Aus_Tec=$B26)*(Aus_Ini&lt;=D$2)*(Aus_Fim&gt;=D$2)*Aus_Cod)),"!"))))</f>
        <v/>
      </c>
      <c r="E26" s="15">
        <f>IF(OR($B26="",E$2=""),"",IF(SUMPRODUCT((Aus_Tec=$B26)*(Aus_Ini&lt;=E$2)*(Aus_Fim&gt;=E$2)*(Aus_Cod&gt;0))=0,"",IF(SUMPRODUCT((Aus_Tec=$B26)*(Aus_Ini&lt;=E$2)*(Aus_Fim&gt;=E$2)*(Aus_Cod&gt;0))&gt;1,"!",IFERROR(INDEX(Aus_Siglas,SUMPRODUCT((Aus_Tec=$B26)*(Aus_Ini&lt;=E$2)*(Aus_Fim&gt;=E$2)*Aus_Cod)),"!"))))</f>
        <v/>
      </c>
      <c r="F26" s="15">
        <f>IF(OR($B26="",F$2=""),"",IF(SUMPRODUCT((Aus_Tec=$B26)*(Aus_Ini&lt;=F$2)*(Aus_Fim&gt;=F$2)*(Aus_Cod&gt;0))=0,"",IF(SUMPRODUCT((Aus_Tec=$B26)*(Aus_Ini&lt;=F$2)*(Aus_Fim&gt;=F$2)*(Aus_Cod&gt;0))&gt;1,"!",IFERROR(INDEX(Aus_Siglas,SUMPRODUCT((Aus_Tec=$B26)*(Aus_Ini&lt;=F$2)*(Aus_Fim&gt;=F$2)*Aus_Cod)),"!"))))</f>
        <v/>
      </c>
      <c r="G26" s="15">
        <f>IF(OR($B26="",G$2=""),"",IF(SUMPRODUCT((Aus_Tec=$B26)*(Aus_Ini&lt;=G$2)*(Aus_Fim&gt;=G$2)*(Aus_Cod&gt;0))=0,"",IF(SUMPRODUCT((Aus_Tec=$B26)*(Aus_Ini&lt;=G$2)*(Aus_Fim&gt;=G$2)*(Aus_Cod&gt;0))&gt;1,"!",IFERROR(INDEX(Aus_Siglas,SUMPRODUCT((Aus_Tec=$B26)*(Aus_Ini&lt;=G$2)*(Aus_Fim&gt;=G$2)*Aus_Cod)),"!"))))</f>
        <v/>
      </c>
      <c r="H26" s="15">
        <f>IF(OR($B26="",H$2=""),"",IF(SUMPRODUCT((Aus_Tec=$B26)*(Aus_Ini&lt;=H$2)*(Aus_Fim&gt;=H$2)*(Aus_Cod&gt;0))=0,"",IF(SUMPRODUCT((Aus_Tec=$B26)*(Aus_Ini&lt;=H$2)*(Aus_Fim&gt;=H$2)*(Aus_Cod&gt;0))&gt;1,"!",IFERROR(INDEX(Aus_Siglas,SUMPRODUCT((Aus_Tec=$B26)*(Aus_Ini&lt;=H$2)*(Aus_Fim&gt;=H$2)*Aus_Cod)),"!"))))</f>
        <v/>
      </c>
      <c r="I26" s="15">
        <f>IF(OR($B26="",I$2=""),"",IF(SUMPRODUCT((Aus_Tec=$B26)*(Aus_Ini&lt;=I$2)*(Aus_Fim&gt;=I$2)*(Aus_Cod&gt;0))=0,"",IF(SUMPRODUCT((Aus_Tec=$B26)*(Aus_Ini&lt;=I$2)*(Aus_Fim&gt;=I$2)*(Aus_Cod&gt;0))&gt;1,"!",IFERROR(INDEX(Aus_Siglas,SUMPRODUCT((Aus_Tec=$B26)*(Aus_Ini&lt;=I$2)*(Aus_Fim&gt;=I$2)*Aus_Cod)),"!"))))</f>
        <v/>
      </c>
      <c r="J26" s="15">
        <f>IF(OR($B26="",J$2=""),"",IF(SUMPRODUCT((Aus_Tec=$B26)*(Aus_Ini&lt;=J$2)*(Aus_Fim&gt;=J$2)*(Aus_Cod&gt;0))=0,"",IF(SUMPRODUCT((Aus_Tec=$B26)*(Aus_Ini&lt;=J$2)*(Aus_Fim&gt;=J$2)*(Aus_Cod&gt;0))&gt;1,"!",IFERROR(INDEX(Aus_Siglas,SUMPRODUCT((Aus_Tec=$B26)*(Aus_Ini&lt;=J$2)*(Aus_Fim&gt;=J$2)*Aus_Cod)),"!"))))</f>
        <v/>
      </c>
      <c r="K26" s="15">
        <f>IF(OR($B26="",K$2=""),"",IF(SUMPRODUCT((Aus_Tec=$B26)*(Aus_Ini&lt;=K$2)*(Aus_Fim&gt;=K$2)*(Aus_Cod&gt;0))=0,"",IF(SUMPRODUCT((Aus_Tec=$B26)*(Aus_Ini&lt;=K$2)*(Aus_Fim&gt;=K$2)*(Aus_Cod&gt;0))&gt;1,"!",IFERROR(INDEX(Aus_Siglas,SUMPRODUCT((Aus_Tec=$B26)*(Aus_Ini&lt;=K$2)*(Aus_Fim&gt;=K$2)*Aus_Cod)),"!"))))</f>
        <v/>
      </c>
      <c r="L26" s="15">
        <f>IF(OR($B26="",L$2=""),"",IF(SUMPRODUCT((Aus_Tec=$B26)*(Aus_Ini&lt;=L$2)*(Aus_Fim&gt;=L$2)*(Aus_Cod&gt;0))=0,"",IF(SUMPRODUCT((Aus_Tec=$B26)*(Aus_Ini&lt;=L$2)*(Aus_Fim&gt;=L$2)*(Aus_Cod&gt;0))&gt;1,"!",IFERROR(INDEX(Aus_Siglas,SUMPRODUCT((Aus_Tec=$B26)*(Aus_Ini&lt;=L$2)*(Aus_Fim&gt;=L$2)*Aus_Cod)),"!"))))</f>
        <v/>
      </c>
      <c r="M26" s="15">
        <f>IF(OR($B26="",M$2=""),"",IF(SUMPRODUCT((Aus_Tec=$B26)*(Aus_Ini&lt;=M$2)*(Aus_Fim&gt;=M$2)*(Aus_Cod&gt;0))=0,"",IF(SUMPRODUCT((Aus_Tec=$B26)*(Aus_Ini&lt;=M$2)*(Aus_Fim&gt;=M$2)*(Aus_Cod&gt;0))&gt;1,"!",IFERROR(INDEX(Aus_Siglas,SUMPRODUCT((Aus_Tec=$B26)*(Aus_Ini&lt;=M$2)*(Aus_Fim&gt;=M$2)*Aus_Cod)),"!"))))</f>
        <v/>
      </c>
      <c r="N26" s="15">
        <f>IF(OR($B26="",N$2=""),"",IF(SUMPRODUCT((Aus_Tec=$B26)*(Aus_Ini&lt;=N$2)*(Aus_Fim&gt;=N$2)*(Aus_Cod&gt;0))=0,"",IF(SUMPRODUCT((Aus_Tec=$B26)*(Aus_Ini&lt;=N$2)*(Aus_Fim&gt;=N$2)*(Aus_Cod&gt;0))&gt;1,"!",IFERROR(INDEX(Aus_Siglas,SUMPRODUCT((Aus_Tec=$B26)*(Aus_Ini&lt;=N$2)*(Aus_Fim&gt;=N$2)*Aus_Cod)),"!"))))</f>
        <v/>
      </c>
      <c r="O26" s="15">
        <f>IF(OR($B26="",O$2=""),"",IF(SUMPRODUCT((Aus_Tec=$B26)*(Aus_Ini&lt;=O$2)*(Aus_Fim&gt;=O$2)*(Aus_Cod&gt;0))=0,"",IF(SUMPRODUCT((Aus_Tec=$B26)*(Aus_Ini&lt;=O$2)*(Aus_Fim&gt;=O$2)*(Aus_Cod&gt;0))&gt;1,"!",IFERROR(INDEX(Aus_Siglas,SUMPRODUCT((Aus_Tec=$B26)*(Aus_Ini&lt;=O$2)*(Aus_Fim&gt;=O$2)*Aus_Cod)),"!"))))</f>
        <v/>
      </c>
      <c r="P26" s="15">
        <f>IF(OR($B26="",P$2=""),"",IF(SUMPRODUCT((Aus_Tec=$B26)*(Aus_Ini&lt;=P$2)*(Aus_Fim&gt;=P$2)*(Aus_Cod&gt;0))=0,"",IF(SUMPRODUCT((Aus_Tec=$B26)*(Aus_Ini&lt;=P$2)*(Aus_Fim&gt;=P$2)*(Aus_Cod&gt;0))&gt;1,"!",IFERROR(INDEX(Aus_Siglas,SUMPRODUCT((Aus_Tec=$B26)*(Aus_Ini&lt;=P$2)*(Aus_Fim&gt;=P$2)*Aus_Cod)),"!"))))</f>
        <v/>
      </c>
      <c r="Q26" s="15">
        <f>IF(OR($B26="",Q$2=""),"",IF(SUMPRODUCT((Aus_Tec=$B26)*(Aus_Ini&lt;=Q$2)*(Aus_Fim&gt;=Q$2)*(Aus_Cod&gt;0))=0,"",IF(SUMPRODUCT((Aus_Tec=$B26)*(Aus_Ini&lt;=Q$2)*(Aus_Fim&gt;=Q$2)*(Aus_Cod&gt;0))&gt;1,"!",IFERROR(INDEX(Aus_Siglas,SUMPRODUCT((Aus_Tec=$B26)*(Aus_Ini&lt;=Q$2)*(Aus_Fim&gt;=Q$2)*Aus_Cod)),"!"))))</f>
        <v/>
      </c>
      <c r="R26" s="15">
        <f>IF(OR($B26="",R$2=""),"",IF(SUMPRODUCT((Aus_Tec=$B26)*(Aus_Ini&lt;=R$2)*(Aus_Fim&gt;=R$2)*(Aus_Cod&gt;0))=0,"",IF(SUMPRODUCT((Aus_Tec=$B26)*(Aus_Ini&lt;=R$2)*(Aus_Fim&gt;=R$2)*(Aus_Cod&gt;0))&gt;1,"!",IFERROR(INDEX(Aus_Siglas,SUMPRODUCT((Aus_Tec=$B26)*(Aus_Ini&lt;=R$2)*(Aus_Fim&gt;=R$2)*Aus_Cod)),"!"))))</f>
        <v/>
      </c>
      <c r="S26" s="15">
        <f>IF(OR($B26="",S$2=""),"",IF(SUMPRODUCT((Aus_Tec=$B26)*(Aus_Ini&lt;=S$2)*(Aus_Fim&gt;=S$2)*(Aus_Cod&gt;0))=0,"",IF(SUMPRODUCT((Aus_Tec=$B26)*(Aus_Ini&lt;=S$2)*(Aus_Fim&gt;=S$2)*(Aus_Cod&gt;0))&gt;1,"!",IFERROR(INDEX(Aus_Siglas,SUMPRODUCT((Aus_Tec=$B26)*(Aus_Ini&lt;=S$2)*(Aus_Fim&gt;=S$2)*Aus_Cod)),"!"))))</f>
        <v/>
      </c>
      <c r="T26" s="15">
        <f>IF(OR($B26="",T$2=""),"",IF(SUMPRODUCT((Aus_Tec=$B26)*(Aus_Ini&lt;=T$2)*(Aus_Fim&gt;=T$2)*(Aus_Cod&gt;0))=0,"",IF(SUMPRODUCT((Aus_Tec=$B26)*(Aus_Ini&lt;=T$2)*(Aus_Fim&gt;=T$2)*(Aus_Cod&gt;0))&gt;1,"!",IFERROR(INDEX(Aus_Siglas,SUMPRODUCT((Aus_Tec=$B26)*(Aus_Ini&lt;=T$2)*(Aus_Fim&gt;=T$2)*Aus_Cod)),"!"))))</f>
        <v/>
      </c>
      <c r="U26" s="15">
        <f>IF(OR($B26="",U$2=""),"",IF(SUMPRODUCT((Aus_Tec=$B26)*(Aus_Ini&lt;=U$2)*(Aus_Fim&gt;=U$2)*(Aus_Cod&gt;0))=0,"",IF(SUMPRODUCT((Aus_Tec=$B26)*(Aus_Ini&lt;=U$2)*(Aus_Fim&gt;=U$2)*(Aus_Cod&gt;0))&gt;1,"!",IFERROR(INDEX(Aus_Siglas,SUMPRODUCT((Aus_Tec=$B26)*(Aus_Ini&lt;=U$2)*(Aus_Fim&gt;=U$2)*Aus_Cod)),"!"))))</f>
        <v/>
      </c>
      <c r="V26" s="15">
        <f>IF(OR($B26="",V$2=""),"",IF(SUMPRODUCT((Aus_Tec=$B26)*(Aus_Ini&lt;=V$2)*(Aus_Fim&gt;=V$2)*(Aus_Cod&gt;0))=0,"",IF(SUMPRODUCT((Aus_Tec=$B26)*(Aus_Ini&lt;=V$2)*(Aus_Fim&gt;=V$2)*(Aus_Cod&gt;0))&gt;1,"!",IFERROR(INDEX(Aus_Siglas,SUMPRODUCT((Aus_Tec=$B26)*(Aus_Ini&lt;=V$2)*(Aus_Fim&gt;=V$2)*Aus_Cod)),"!"))))</f>
        <v/>
      </c>
      <c r="W26" s="15">
        <f>IF(OR($B26="",W$2=""),"",IF(SUMPRODUCT((Aus_Tec=$B26)*(Aus_Ini&lt;=W$2)*(Aus_Fim&gt;=W$2)*(Aus_Cod&gt;0))=0,"",IF(SUMPRODUCT((Aus_Tec=$B26)*(Aus_Ini&lt;=W$2)*(Aus_Fim&gt;=W$2)*(Aus_Cod&gt;0))&gt;1,"!",IFERROR(INDEX(Aus_Siglas,SUMPRODUCT((Aus_Tec=$B26)*(Aus_Ini&lt;=W$2)*(Aus_Fim&gt;=W$2)*Aus_Cod)),"!"))))</f>
        <v/>
      </c>
      <c r="X26" s="15">
        <f>IF(OR($B26="",X$2=""),"",IF(SUMPRODUCT((Aus_Tec=$B26)*(Aus_Ini&lt;=X$2)*(Aus_Fim&gt;=X$2)*(Aus_Cod&gt;0))=0,"",IF(SUMPRODUCT((Aus_Tec=$B26)*(Aus_Ini&lt;=X$2)*(Aus_Fim&gt;=X$2)*(Aus_Cod&gt;0))&gt;1,"!",IFERROR(INDEX(Aus_Siglas,SUMPRODUCT((Aus_Tec=$B26)*(Aus_Ini&lt;=X$2)*(Aus_Fim&gt;=X$2)*Aus_Cod)),"!"))))</f>
        <v/>
      </c>
      <c r="Y26" s="15">
        <f>IF(OR($B26="",Y$2=""),"",IF(SUMPRODUCT((Aus_Tec=$B26)*(Aus_Ini&lt;=Y$2)*(Aus_Fim&gt;=Y$2)*(Aus_Cod&gt;0))=0,"",IF(SUMPRODUCT((Aus_Tec=$B26)*(Aus_Ini&lt;=Y$2)*(Aus_Fim&gt;=Y$2)*(Aus_Cod&gt;0))&gt;1,"!",IFERROR(INDEX(Aus_Siglas,SUMPRODUCT((Aus_Tec=$B26)*(Aus_Ini&lt;=Y$2)*(Aus_Fim&gt;=Y$2)*Aus_Cod)),"!"))))</f>
        <v/>
      </c>
      <c r="Z26" s="15">
        <f>IF(OR($B26="",Z$2=""),"",IF(SUMPRODUCT((Aus_Tec=$B26)*(Aus_Ini&lt;=Z$2)*(Aus_Fim&gt;=Z$2)*(Aus_Cod&gt;0))=0,"",IF(SUMPRODUCT((Aus_Tec=$B26)*(Aus_Ini&lt;=Z$2)*(Aus_Fim&gt;=Z$2)*(Aus_Cod&gt;0))&gt;1,"!",IFERROR(INDEX(Aus_Siglas,SUMPRODUCT((Aus_Tec=$B26)*(Aus_Ini&lt;=Z$2)*(Aus_Fim&gt;=Z$2)*Aus_Cod)),"!"))))</f>
        <v/>
      </c>
      <c r="AA26" s="15">
        <f>IF(OR($B26="",AA$2=""),"",IF(SUMPRODUCT((Aus_Tec=$B26)*(Aus_Ini&lt;=AA$2)*(Aus_Fim&gt;=AA$2)*(Aus_Cod&gt;0))=0,"",IF(SUMPRODUCT((Aus_Tec=$B26)*(Aus_Ini&lt;=AA$2)*(Aus_Fim&gt;=AA$2)*(Aus_Cod&gt;0))&gt;1,"!",IFERROR(INDEX(Aus_Siglas,SUMPRODUCT((Aus_Tec=$B26)*(Aus_Ini&lt;=AA$2)*(Aus_Fim&gt;=AA$2)*Aus_Cod)),"!"))))</f>
        <v/>
      </c>
      <c r="AB26" s="15">
        <f>IF(OR($B26="",AB$2=""),"",IF(SUMPRODUCT((Aus_Tec=$B26)*(Aus_Ini&lt;=AB$2)*(Aus_Fim&gt;=AB$2)*(Aus_Cod&gt;0))=0,"",IF(SUMPRODUCT((Aus_Tec=$B26)*(Aus_Ini&lt;=AB$2)*(Aus_Fim&gt;=AB$2)*(Aus_Cod&gt;0))&gt;1,"!",IFERROR(INDEX(Aus_Siglas,SUMPRODUCT((Aus_Tec=$B26)*(Aus_Ini&lt;=AB$2)*(Aus_Fim&gt;=AB$2)*Aus_Cod)),"!"))))</f>
        <v/>
      </c>
      <c r="AC26" s="15">
        <f>IF(OR($B26="",AC$2=""),"",IF(SUMPRODUCT((Aus_Tec=$B26)*(Aus_Ini&lt;=AC$2)*(Aus_Fim&gt;=AC$2)*(Aus_Cod&gt;0))=0,"",IF(SUMPRODUCT((Aus_Tec=$B26)*(Aus_Ini&lt;=AC$2)*(Aus_Fim&gt;=AC$2)*(Aus_Cod&gt;0))&gt;1,"!",IFERROR(INDEX(Aus_Siglas,SUMPRODUCT((Aus_Tec=$B26)*(Aus_Ini&lt;=AC$2)*(Aus_Fim&gt;=AC$2)*Aus_Cod)),"!"))))</f>
        <v/>
      </c>
      <c r="AD26" s="15">
        <f>IF(OR($B26="",AD$2=""),"",IF(SUMPRODUCT((Aus_Tec=$B26)*(Aus_Ini&lt;=AD$2)*(Aus_Fim&gt;=AD$2)*(Aus_Cod&gt;0))=0,"",IF(SUMPRODUCT((Aus_Tec=$B26)*(Aus_Ini&lt;=AD$2)*(Aus_Fim&gt;=AD$2)*(Aus_Cod&gt;0))&gt;1,"!",IFERROR(INDEX(Aus_Siglas,SUMPRODUCT((Aus_Tec=$B26)*(Aus_Ini&lt;=AD$2)*(Aus_Fim&gt;=AD$2)*Aus_Cod)),"!"))))</f>
        <v/>
      </c>
      <c r="AE26" s="15">
        <f>IF(OR($B26="",AE$2=""),"",IF(SUMPRODUCT((Aus_Tec=$B26)*(Aus_Ini&lt;=AE$2)*(Aus_Fim&gt;=AE$2)*(Aus_Cod&gt;0))=0,"",IF(SUMPRODUCT((Aus_Tec=$B26)*(Aus_Ini&lt;=AE$2)*(Aus_Fim&gt;=AE$2)*(Aus_Cod&gt;0))&gt;1,"!",IFERROR(INDEX(Aus_Siglas,SUMPRODUCT((Aus_Tec=$B26)*(Aus_Ini&lt;=AE$2)*(Aus_Fim&gt;=AE$2)*Aus_Cod)),"!"))))</f>
        <v/>
      </c>
      <c r="AF26" s="15">
        <f>IF(OR($B26="",AF$2=""),"",IF(SUMPRODUCT((Aus_Tec=$B26)*(Aus_Ini&lt;=AF$2)*(Aus_Fim&gt;=AF$2)*(Aus_Cod&gt;0))=0,"",IF(SUMPRODUCT((Aus_Tec=$B26)*(Aus_Ini&lt;=AF$2)*(Aus_Fim&gt;=AF$2)*(Aus_Cod&gt;0))&gt;1,"!",IFERROR(INDEX(Aus_Siglas,SUMPRODUCT((Aus_Tec=$B26)*(Aus_Ini&lt;=AF$2)*(Aus_Fim&gt;=AF$2)*Aus_Cod)),"!"))))</f>
        <v/>
      </c>
      <c r="AG26" s="15">
        <f>IF(OR($B26="",AG$2=""),"",IF(SUMPRODUCT((Aus_Tec=$B26)*(Aus_Ini&lt;=AG$2)*(Aus_Fim&gt;=AG$2)*(Aus_Cod&gt;0))=0,"",IF(SUMPRODUCT((Aus_Tec=$B26)*(Aus_Ini&lt;=AG$2)*(Aus_Fim&gt;=AG$2)*(Aus_Cod&gt;0))&gt;1,"!",IFERROR(INDEX(Aus_Siglas,SUMPRODUCT((Aus_Tec=$B26)*(Aus_Ini&lt;=AG$2)*(Aus_Fim&gt;=AG$2)*Aus_Cod)),"!"))))</f>
        <v/>
      </c>
      <c r="AH26" s="37">
        <f>IF($B26="","",COUNTIF($C26:$AG26,"F"))</f>
        <v/>
      </c>
      <c r="AI26" s="37">
        <f>IF($B26="","",COUNTIF($C26:$AG26,"D"))</f>
        <v/>
      </c>
      <c r="AJ26" s="37">
        <f>IF($B26="","",COUNTIF($C26:$AG26,"A"))</f>
        <v/>
      </c>
      <c r="AK26" s="37">
        <f>IF($B26="","",SUMPRODUCT(($C26:$AG26&lt;&gt;"")*1))</f>
        <v/>
      </c>
    </row>
    <row r="27">
      <c r="A27" s="33">
        <f>IF('Equipe'!A25="","",'Equipe'!A25)</f>
        <v/>
      </c>
      <c r="B27" s="34">
        <f>IF('Equipe'!B25="","",'Equipe'!B25)</f>
        <v/>
      </c>
      <c r="C27" s="15">
        <f>IF(OR($B27="",C$2=""),"",IF(SUMPRODUCT((Aus_Tec=$B27)*(Aus_Ini&lt;=C$2)*(Aus_Fim&gt;=C$2)*(Aus_Cod&gt;0))=0,"",IF(SUMPRODUCT((Aus_Tec=$B27)*(Aus_Ini&lt;=C$2)*(Aus_Fim&gt;=C$2)*(Aus_Cod&gt;0))&gt;1,"!",IFERROR(INDEX(Aus_Siglas,SUMPRODUCT((Aus_Tec=$B27)*(Aus_Ini&lt;=C$2)*(Aus_Fim&gt;=C$2)*Aus_Cod)),"!"))))</f>
        <v/>
      </c>
      <c r="D27" s="15">
        <f>IF(OR($B27="",D$2=""),"",IF(SUMPRODUCT((Aus_Tec=$B27)*(Aus_Ini&lt;=D$2)*(Aus_Fim&gt;=D$2)*(Aus_Cod&gt;0))=0,"",IF(SUMPRODUCT((Aus_Tec=$B27)*(Aus_Ini&lt;=D$2)*(Aus_Fim&gt;=D$2)*(Aus_Cod&gt;0))&gt;1,"!",IFERROR(INDEX(Aus_Siglas,SUMPRODUCT((Aus_Tec=$B27)*(Aus_Ini&lt;=D$2)*(Aus_Fim&gt;=D$2)*Aus_Cod)),"!"))))</f>
        <v/>
      </c>
      <c r="E27" s="15">
        <f>IF(OR($B27="",E$2=""),"",IF(SUMPRODUCT((Aus_Tec=$B27)*(Aus_Ini&lt;=E$2)*(Aus_Fim&gt;=E$2)*(Aus_Cod&gt;0))=0,"",IF(SUMPRODUCT((Aus_Tec=$B27)*(Aus_Ini&lt;=E$2)*(Aus_Fim&gt;=E$2)*(Aus_Cod&gt;0))&gt;1,"!",IFERROR(INDEX(Aus_Siglas,SUMPRODUCT((Aus_Tec=$B27)*(Aus_Ini&lt;=E$2)*(Aus_Fim&gt;=E$2)*Aus_Cod)),"!"))))</f>
        <v/>
      </c>
      <c r="F27" s="15">
        <f>IF(OR($B27="",F$2=""),"",IF(SUMPRODUCT((Aus_Tec=$B27)*(Aus_Ini&lt;=F$2)*(Aus_Fim&gt;=F$2)*(Aus_Cod&gt;0))=0,"",IF(SUMPRODUCT((Aus_Tec=$B27)*(Aus_Ini&lt;=F$2)*(Aus_Fim&gt;=F$2)*(Aus_Cod&gt;0))&gt;1,"!",IFERROR(INDEX(Aus_Siglas,SUMPRODUCT((Aus_Tec=$B27)*(Aus_Ini&lt;=F$2)*(Aus_Fim&gt;=F$2)*Aus_Cod)),"!"))))</f>
        <v/>
      </c>
      <c r="G27" s="15">
        <f>IF(OR($B27="",G$2=""),"",IF(SUMPRODUCT((Aus_Tec=$B27)*(Aus_Ini&lt;=G$2)*(Aus_Fim&gt;=G$2)*(Aus_Cod&gt;0))=0,"",IF(SUMPRODUCT((Aus_Tec=$B27)*(Aus_Ini&lt;=G$2)*(Aus_Fim&gt;=G$2)*(Aus_Cod&gt;0))&gt;1,"!",IFERROR(INDEX(Aus_Siglas,SUMPRODUCT((Aus_Tec=$B27)*(Aus_Ini&lt;=G$2)*(Aus_Fim&gt;=G$2)*Aus_Cod)),"!"))))</f>
        <v/>
      </c>
      <c r="H27" s="15">
        <f>IF(OR($B27="",H$2=""),"",IF(SUMPRODUCT((Aus_Tec=$B27)*(Aus_Ini&lt;=H$2)*(Aus_Fim&gt;=H$2)*(Aus_Cod&gt;0))=0,"",IF(SUMPRODUCT((Aus_Tec=$B27)*(Aus_Ini&lt;=H$2)*(Aus_Fim&gt;=H$2)*(Aus_Cod&gt;0))&gt;1,"!",IFERROR(INDEX(Aus_Siglas,SUMPRODUCT((Aus_Tec=$B27)*(Aus_Ini&lt;=H$2)*(Aus_Fim&gt;=H$2)*Aus_Cod)),"!"))))</f>
        <v/>
      </c>
      <c r="I27" s="15">
        <f>IF(OR($B27="",I$2=""),"",IF(SUMPRODUCT((Aus_Tec=$B27)*(Aus_Ini&lt;=I$2)*(Aus_Fim&gt;=I$2)*(Aus_Cod&gt;0))=0,"",IF(SUMPRODUCT((Aus_Tec=$B27)*(Aus_Ini&lt;=I$2)*(Aus_Fim&gt;=I$2)*(Aus_Cod&gt;0))&gt;1,"!",IFERROR(INDEX(Aus_Siglas,SUMPRODUCT((Aus_Tec=$B27)*(Aus_Ini&lt;=I$2)*(Aus_Fim&gt;=I$2)*Aus_Cod)),"!"))))</f>
        <v/>
      </c>
      <c r="J27" s="15">
        <f>IF(OR($B27="",J$2=""),"",IF(SUMPRODUCT((Aus_Tec=$B27)*(Aus_Ini&lt;=J$2)*(Aus_Fim&gt;=J$2)*(Aus_Cod&gt;0))=0,"",IF(SUMPRODUCT((Aus_Tec=$B27)*(Aus_Ini&lt;=J$2)*(Aus_Fim&gt;=J$2)*(Aus_Cod&gt;0))&gt;1,"!",IFERROR(INDEX(Aus_Siglas,SUMPRODUCT((Aus_Tec=$B27)*(Aus_Ini&lt;=J$2)*(Aus_Fim&gt;=J$2)*Aus_Cod)),"!"))))</f>
        <v/>
      </c>
      <c r="K27" s="15">
        <f>IF(OR($B27="",K$2=""),"",IF(SUMPRODUCT((Aus_Tec=$B27)*(Aus_Ini&lt;=K$2)*(Aus_Fim&gt;=K$2)*(Aus_Cod&gt;0))=0,"",IF(SUMPRODUCT((Aus_Tec=$B27)*(Aus_Ini&lt;=K$2)*(Aus_Fim&gt;=K$2)*(Aus_Cod&gt;0))&gt;1,"!",IFERROR(INDEX(Aus_Siglas,SUMPRODUCT((Aus_Tec=$B27)*(Aus_Ini&lt;=K$2)*(Aus_Fim&gt;=K$2)*Aus_Cod)),"!"))))</f>
        <v/>
      </c>
      <c r="L27" s="15">
        <f>IF(OR($B27="",L$2=""),"",IF(SUMPRODUCT((Aus_Tec=$B27)*(Aus_Ini&lt;=L$2)*(Aus_Fim&gt;=L$2)*(Aus_Cod&gt;0))=0,"",IF(SUMPRODUCT((Aus_Tec=$B27)*(Aus_Ini&lt;=L$2)*(Aus_Fim&gt;=L$2)*(Aus_Cod&gt;0))&gt;1,"!",IFERROR(INDEX(Aus_Siglas,SUMPRODUCT((Aus_Tec=$B27)*(Aus_Ini&lt;=L$2)*(Aus_Fim&gt;=L$2)*Aus_Cod)),"!"))))</f>
        <v/>
      </c>
      <c r="M27" s="15">
        <f>IF(OR($B27="",M$2=""),"",IF(SUMPRODUCT((Aus_Tec=$B27)*(Aus_Ini&lt;=M$2)*(Aus_Fim&gt;=M$2)*(Aus_Cod&gt;0))=0,"",IF(SUMPRODUCT((Aus_Tec=$B27)*(Aus_Ini&lt;=M$2)*(Aus_Fim&gt;=M$2)*(Aus_Cod&gt;0))&gt;1,"!",IFERROR(INDEX(Aus_Siglas,SUMPRODUCT((Aus_Tec=$B27)*(Aus_Ini&lt;=M$2)*(Aus_Fim&gt;=M$2)*Aus_Cod)),"!"))))</f>
        <v/>
      </c>
      <c r="N27" s="15">
        <f>IF(OR($B27="",N$2=""),"",IF(SUMPRODUCT((Aus_Tec=$B27)*(Aus_Ini&lt;=N$2)*(Aus_Fim&gt;=N$2)*(Aus_Cod&gt;0))=0,"",IF(SUMPRODUCT((Aus_Tec=$B27)*(Aus_Ini&lt;=N$2)*(Aus_Fim&gt;=N$2)*(Aus_Cod&gt;0))&gt;1,"!",IFERROR(INDEX(Aus_Siglas,SUMPRODUCT((Aus_Tec=$B27)*(Aus_Ini&lt;=N$2)*(Aus_Fim&gt;=N$2)*Aus_Cod)),"!"))))</f>
        <v/>
      </c>
      <c r="O27" s="15">
        <f>IF(OR($B27="",O$2=""),"",IF(SUMPRODUCT((Aus_Tec=$B27)*(Aus_Ini&lt;=O$2)*(Aus_Fim&gt;=O$2)*(Aus_Cod&gt;0))=0,"",IF(SUMPRODUCT((Aus_Tec=$B27)*(Aus_Ini&lt;=O$2)*(Aus_Fim&gt;=O$2)*(Aus_Cod&gt;0))&gt;1,"!",IFERROR(INDEX(Aus_Siglas,SUMPRODUCT((Aus_Tec=$B27)*(Aus_Ini&lt;=O$2)*(Aus_Fim&gt;=O$2)*Aus_Cod)),"!"))))</f>
        <v/>
      </c>
      <c r="P27" s="15">
        <f>IF(OR($B27="",P$2=""),"",IF(SUMPRODUCT((Aus_Tec=$B27)*(Aus_Ini&lt;=P$2)*(Aus_Fim&gt;=P$2)*(Aus_Cod&gt;0))=0,"",IF(SUMPRODUCT((Aus_Tec=$B27)*(Aus_Ini&lt;=P$2)*(Aus_Fim&gt;=P$2)*(Aus_Cod&gt;0))&gt;1,"!",IFERROR(INDEX(Aus_Siglas,SUMPRODUCT((Aus_Tec=$B27)*(Aus_Ini&lt;=P$2)*(Aus_Fim&gt;=P$2)*Aus_Cod)),"!"))))</f>
        <v/>
      </c>
      <c r="Q27" s="15">
        <f>IF(OR($B27="",Q$2=""),"",IF(SUMPRODUCT((Aus_Tec=$B27)*(Aus_Ini&lt;=Q$2)*(Aus_Fim&gt;=Q$2)*(Aus_Cod&gt;0))=0,"",IF(SUMPRODUCT((Aus_Tec=$B27)*(Aus_Ini&lt;=Q$2)*(Aus_Fim&gt;=Q$2)*(Aus_Cod&gt;0))&gt;1,"!",IFERROR(INDEX(Aus_Siglas,SUMPRODUCT((Aus_Tec=$B27)*(Aus_Ini&lt;=Q$2)*(Aus_Fim&gt;=Q$2)*Aus_Cod)),"!"))))</f>
        <v/>
      </c>
      <c r="R27" s="15">
        <f>IF(OR($B27="",R$2=""),"",IF(SUMPRODUCT((Aus_Tec=$B27)*(Aus_Ini&lt;=R$2)*(Aus_Fim&gt;=R$2)*(Aus_Cod&gt;0))=0,"",IF(SUMPRODUCT((Aus_Tec=$B27)*(Aus_Ini&lt;=R$2)*(Aus_Fim&gt;=R$2)*(Aus_Cod&gt;0))&gt;1,"!",IFERROR(INDEX(Aus_Siglas,SUMPRODUCT((Aus_Tec=$B27)*(Aus_Ini&lt;=R$2)*(Aus_Fim&gt;=R$2)*Aus_Cod)),"!"))))</f>
        <v/>
      </c>
      <c r="S27" s="15">
        <f>IF(OR($B27="",S$2=""),"",IF(SUMPRODUCT((Aus_Tec=$B27)*(Aus_Ini&lt;=S$2)*(Aus_Fim&gt;=S$2)*(Aus_Cod&gt;0))=0,"",IF(SUMPRODUCT((Aus_Tec=$B27)*(Aus_Ini&lt;=S$2)*(Aus_Fim&gt;=S$2)*(Aus_Cod&gt;0))&gt;1,"!",IFERROR(INDEX(Aus_Siglas,SUMPRODUCT((Aus_Tec=$B27)*(Aus_Ini&lt;=S$2)*(Aus_Fim&gt;=S$2)*Aus_Cod)),"!"))))</f>
        <v/>
      </c>
      <c r="T27" s="15">
        <f>IF(OR($B27="",T$2=""),"",IF(SUMPRODUCT((Aus_Tec=$B27)*(Aus_Ini&lt;=T$2)*(Aus_Fim&gt;=T$2)*(Aus_Cod&gt;0))=0,"",IF(SUMPRODUCT((Aus_Tec=$B27)*(Aus_Ini&lt;=T$2)*(Aus_Fim&gt;=T$2)*(Aus_Cod&gt;0))&gt;1,"!",IFERROR(INDEX(Aus_Siglas,SUMPRODUCT((Aus_Tec=$B27)*(Aus_Ini&lt;=T$2)*(Aus_Fim&gt;=T$2)*Aus_Cod)),"!"))))</f>
        <v/>
      </c>
      <c r="U27" s="15">
        <f>IF(OR($B27="",U$2=""),"",IF(SUMPRODUCT((Aus_Tec=$B27)*(Aus_Ini&lt;=U$2)*(Aus_Fim&gt;=U$2)*(Aus_Cod&gt;0))=0,"",IF(SUMPRODUCT((Aus_Tec=$B27)*(Aus_Ini&lt;=U$2)*(Aus_Fim&gt;=U$2)*(Aus_Cod&gt;0))&gt;1,"!",IFERROR(INDEX(Aus_Siglas,SUMPRODUCT((Aus_Tec=$B27)*(Aus_Ini&lt;=U$2)*(Aus_Fim&gt;=U$2)*Aus_Cod)),"!"))))</f>
        <v/>
      </c>
      <c r="V27" s="15">
        <f>IF(OR($B27="",V$2=""),"",IF(SUMPRODUCT((Aus_Tec=$B27)*(Aus_Ini&lt;=V$2)*(Aus_Fim&gt;=V$2)*(Aus_Cod&gt;0))=0,"",IF(SUMPRODUCT((Aus_Tec=$B27)*(Aus_Ini&lt;=V$2)*(Aus_Fim&gt;=V$2)*(Aus_Cod&gt;0))&gt;1,"!",IFERROR(INDEX(Aus_Siglas,SUMPRODUCT((Aus_Tec=$B27)*(Aus_Ini&lt;=V$2)*(Aus_Fim&gt;=V$2)*Aus_Cod)),"!"))))</f>
        <v/>
      </c>
      <c r="W27" s="15">
        <f>IF(OR($B27="",W$2=""),"",IF(SUMPRODUCT((Aus_Tec=$B27)*(Aus_Ini&lt;=W$2)*(Aus_Fim&gt;=W$2)*(Aus_Cod&gt;0))=0,"",IF(SUMPRODUCT((Aus_Tec=$B27)*(Aus_Ini&lt;=W$2)*(Aus_Fim&gt;=W$2)*(Aus_Cod&gt;0))&gt;1,"!",IFERROR(INDEX(Aus_Siglas,SUMPRODUCT((Aus_Tec=$B27)*(Aus_Ini&lt;=W$2)*(Aus_Fim&gt;=W$2)*Aus_Cod)),"!"))))</f>
        <v/>
      </c>
      <c r="X27" s="15">
        <f>IF(OR($B27="",X$2=""),"",IF(SUMPRODUCT((Aus_Tec=$B27)*(Aus_Ini&lt;=X$2)*(Aus_Fim&gt;=X$2)*(Aus_Cod&gt;0))=0,"",IF(SUMPRODUCT((Aus_Tec=$B27)*(Aus_Ini&lt;=X$2)*(Aus_Fim&gt;=X$2)*(Aus_Cod&gt;0))&gt;1,"!",IFERROR(INDEX(Aus_Siglas,SUMPRODUCT((Aus_Tec=$B27)*(Aus_Ini&lt;=X$2)*(Aus_Fim&gt;=X$2)*Aus_Cod)),"!"))))</f>
        <v/>
      </c>
      <c r="Y27" s="15">
        <f>IF(OR($B27="",Y$2=""),"",IF(SUMPRODUCT((Aus_Tec=$B27)*(Aus_Ini&lt;=Y$2)*(Aus_Fim&gt;=Y$2)*(Aus_Cod&gt;0))=0,"",IF(SUMPRODUCT((Aus_Tec=$B27)*(Aus_Ini&lt;=Y$2)*(Aus_Fim&gt;=Y$2)*(Aus_Cod&gt;0))&gt;1,"!",IFERROR(INDEX(Aus_Siglas,SUMPRODUCT((Aus_Tec=$B27)*(Aus_Ini&lt;=Y$2)*(Aus_Fim&gt;=Y$2)*Aus_Cod)),"!"))))</f>
        <v/>
      </c>
      <c r="Z27" s="15">
        <f>IF(OR($B27="",Z$2=""),"",IF(SUMPRODUCT((Aus_Tec=$B27)*(Aus_Ini&lt;=Z$2)*(Aus_Fim&gt;=Z$2)*(Aus_Cod&gt;0))=0,"",IF(SUMPRODUCT((Aus_Tec=$B27)*(Aus_Ini&lt;=Z$2)*(Aus_Fim&gt;=Z$2)*(Aus_Cod&gt;0))&gt;1,"!",IFERROR(INDEX(Aus_Siglas,SUMPRODUCT((Aus_Tec=$B27)*(Aus_Ini&lt;=Z$2)*(Aus_Fim&gt;=Z$2)*Aus_Cod)),"!"))))</f>
        <v/>
      </c>
      <c r="AA27" s="15">
        <f>IF(OR($B27="",AA$2=""),"",IF(SUMPRODUCT((Aus_Tec=$B27)*(Aus_Ini&lt;=AA$2)*(Aus_Fim&gt;=AA$2)*(Aus_Cod&gt;0))=0,"",IF(SUMPRODUCT((Aus_Tec=$B27)*(Aus_Ini&lt;=AA$2)*(Aus_Fim&gt;=AA$2)*(Aus_Cod&gt;0))&gt;1,"!",IFERROR(INDEX(Aus_Siglas,SUMPRODUCT((Aus_Tec=$B27)*(Aus_Ini&lt;=AA$2)*(Aus_Fim&gt;=AA$2)*Aus_Cod)),"!"))))</f>
        <v/>
      </c>
      <c r="AB27" s="15">
        <f>IF(OR($B27="",AB$2=""),"",IF(SUMPRODUCT((Aus_Tec=$B27)*(Aus_Ini&lt;=AB$2)*(Aus_Fim&gt;=AB$2)*(Aus_Cod&gt;0))=0,"",IF(SUMPRODUCT((Aus_Tec=$B27)*(Aus_Ini&lt;=AB$2)*(Aus_Fim&gt;=AB$2)*(Aus_Cod&gt;0))&gt;1,"!",IFERROR(INDEX(Aus_Siglas,SUMPRODUCT((Aus_Tec=$B27)*(Aus_Ini&lt;=AB$2)*(Aus_Fim&gt;=AB$2)*Aus_Cod)),"!"))))</f>
        <v/>
      </c>
      <c r="AC27" s="15">
        <f>IF(OR($B27="",AC$2=""),"",IF(SUMPRODUCT((Aus_Tec=$B27)*(Aus_Ini&lt;=AC$2)*(Aus_Fim&gt;=AC$2)*(Aus_Cod&gt;0))=0,"",IF(SUMPRODUCT((Aus_Tec=$B27)*(Aus_Ini&lt;=AC$2)*(Aus_Fim&gt;=AC$2)*(Aus_Cod&gt;0))&gt;1,"!",IFERROR(INDEX(Aus_Siglas,SUMPRODUCT((Aus_Tec=$B27)*(Aus_Ini&lt;=AC$2)*(Aus_Fim&gt;=AC$2)*Aus_Cod)),"!"))))</f>
        <v/>
      </c>
      <c r="AD27" s="15">
        <f>IF(OR($B27="",AD$2=""),"",IF(SUMPRODUCT((Aus_Tec=$B27)*(Aus_Ini&lt;=AD$2)*(Aus_Fim&gt;=AD$2)*(Aus_Cod&gt;0))=0,"",IF(SUMPRODUCT((Aus_Tec=$B27)*(Aus_Ini&lt;=AD$2)*(Aus_Fim&gt;=AD$2)*(Aus_Cod&gt;0))&gt;1,"!",IFERROR(INDEX(Aus_Siglas,SUMPRODUCT((Aus_Tec=$B27)*(Aus_Ini&lt;=AD$2)*(Aus_Fim&gt;=AD$2)*Aus_Cod)),"!"))))</f>
        <v/>
      </c>
      <c r="AE27" s="15">
        <f>IF(OR($B27="",AE$2=""),"",IF(SUMPRODUCT((Aus_Tec=$B27)*(Aus_Ini&lt;=AE$2)*(Aus_Fim&gt;=AE$2)*(Aus_Cod&gt;0))=0,"",IF(SUMPRODUCT((Aus_Tec=$B27)*(Aus_Ini&lt;=AE$2)*(Aus_Fim&gt;=AE$2)*(Aus_Cod&gt;0))&gt;1,"!",IFERROR(INDEX(Aus_Siglas,SUMPRODUCT((Aus_Tec=$B27)*(Aus_Ini&lt;=AE$2)*(Aus_Fim&gt;=AE$2)*Aus_Cod)),"!"))))</f>
        <v/>
      </c>
      <c r="AF27" s="15">
        <f>IF(OR($B27="",AF$2=""),"",IF(SUMPRODUCT((Aus_Tec=$B27)*(Aus_Ini&lt;=AF$2)*(Aus_Fim&gt;=AF$2)*(Aus_Cod&gt;0))=0,"",IF(SUMPRODUCT((Aus_Tec=$B27)*(Aus_Ini&lt;=AF$2)*(Aus_Fim&gt;=AF$2)*(Aus_Cod&gt;0))&gt;1,"!",IFERROR(INDEX(Aus_Siglas,SUMPRODUCT((Aus_Tec=$B27)*(Aus_Ini&lt;=AF$2)*(Aus_Fim&gt;=AF$2)*Aus_Cod)),"!"))))</f>
        <v/>
      </c>
      <c r="AG27" s="15">
        <f>IF(OR($B27="",AG$2=""),"",IF(SUMPRODUCT((Aus_Tec=$B27)*(Aus_Ini&lt;=AG$2)*(Aus_Fim&gt;=AG$2)*(Aus_Cod&gt;0))=0,"",IF(SUMPRODUCT((Aus_Tec=$B27)*(Aus_Ini&lt;=AG$2)*(Aus_Fim&gt;=AG$2)*(Aus_Cod&gt;0))&gt;1,"!",IFERROR(INDEX(Aus_Siglas,SUMPRODUCT((Aus_Tec=$B27)*(Aus_Ini&lt;=AG$2)*(Aus_Fim&gt;=AG$2)*Aus_Cod)),"!"))))</f>
        <v/>
      </c>
      <c r="AH27" s="37">
        <f>IF($B27="","",COUNTIF($C27:$AG27,"F"))</f>
        <v/>
      </c>
      <c r="AI27" s="37">
        <f>IF($B27="","",COUNTIF($C27:$AG27,"D"))</f>
        <v/>
      </c>
      <c r="AJ27" s="37">
        <f>IF($B27="","",COUNTIF($C27:$AG27,"A"))</f>
        <v/>
      </c>
      <c r="AK27" s="37">
        <f>IF($B27="","",SUMPRODUCT(($C27:$AG27&lt;&gt;"")*1))</f>
        <v/>
      </c>
    </row>
    <row r="28">
      <c r="A28" s="33">
        <f>IF('Equipe'!A26="","",'Equipe'!A26)</f>
        <v/>
      </c>
      <c r="B28" s="34">
        <f>IF('Equipe'!B26="","",'Equipe'!B26)</f>
        <v/>
      </c>
      <c r="C28" s="15">
        <f>IF(OR($B28="",C$2=""),"",IF(SUMPRODUCT((Aus_Tec=$B28)*(Aus_Ini&lt;=C$2)*(Aus_Fim&gt;=C$2)*(Aus_Cod&gt;0))=0,"",IF(SUMPRODUCT((Aus_Tec=$B28)*(Aus_Ini&lt;=C$2)*(Aus_Fim&gt;=C$2)*(Aus_Cod&gt;0))&gt;1,"!",IFERROR(INDEX(Aus_Siglas,SUMPRODUCT((Aus_Tec=$B28)*(Aus_Ini&lt;=C$2)*(Aus_Fim&gt;=C$2)*Aus_Cod)),"!"))))</f>
        <v/>
      </c>
      <c r="D28" s="15">
        <f>IF(OR($B28="",D$2=""),"",IF(SUMPRODUCT((Aus_Tec=$B28)*(Aus_Ini&lt;=D$2)*(Aus_Fim&gt;=D$2)*(Aus_Cod&gt;0))=0,"",IF(SUMPRODUCT((Aus_Tec=$B28)*(Aus_Ini&lt;=D$2)*(Aus_Fim&gt;=D$2)*(Aus_Cod&gt;0))&gt;1,"!",IFERROR(INDEX(Aus_Siglas,SUMPRODUCT((Aus_Tec=$B28)*(Aus_Ini&lt;=D$2)*(Aus_Fim&gt;=D$2)*Aus_Cod)),"!"))))</f>
        <v/>
      </c>
      <c r="E28" s="15">
        <f>IF(OR($B28="",E$2=""),"",IF(SUMPRODUCT((Aus_Tec=$B28)*(Aus_Ini&lt;=E$2)*(Aus_Fim&gt;=E$2)*(Aus_Cod&gt;0))=0,"",IF(SUMPRODUCT((Aus_Tec=$B28)*(Aus_Ini&lt;=E$2)*(Aus_Fim&gt;=E$2)*(Aus_Cod&gt;0))&gt;1,"!",IFERROR(INDEX(Aus_Siglas,SUMPRODUCT((Aus_Tec=$B28)*(Aus_Ini&lt;=E$2)*(Aus_Fim&gt;=E$2)*Aus_Cod)),"!"))))</f>
        <v/>
      </c>
      <c r="F28" s="15">
        <f>IF(OR($B28="",F$2=""),"",IF(SUMPRODUCT((Aus_Tec=$B28)*(Aus_Ini&lt;=F$2)*(Aus_Fim&gt;=F$2)*(Aus_Cod&gt;0))=0,"",IF(SUMPRODUCT((Aus_Tec=$B28)*(Aus_Ini&lt;=F$2)*(Aus_Fim&gt;=F$2)*(Aus_Cod&gt;0))&gt;1,"!",IFERROR(INDEX(Aus_Siglas,SUMPRODUCT((Aus_Tec=$B28)*(Aus_Ini&lt;=F$2)*(Aus_Fim&gt;=F$2)*Aus_Cod)),"!"))))</f>
        <v/>
      </c>
      <c r="G28" s="15">
        <f>IF(OR($B28="",G$2=""),"",IF(SUMPRODUCT((Aus_Tec=$B28)*(Aus_Ini&lt;=G$2)*(Aus_Fim&gt;=G$2)*(Aus_Cod&gt;0))=0,"",IF(SUMPRODUCT((Aus_Tec=$B28)*(Aus_Ini&lt;=G$2)*(Aus_Fim&gt;=G$2)*(Aus_Cod&gt;0))&gt;1,"!",IFERROR(INDEX(Aus_Siglas,SUMPRODUCT((Aus_Tec=$B28)*(Aus_Ini&lt;=G$2)*(Aus_Fim&gt;=G$2)*Aus_Cod)),"!"))))</f>
        <v/>
      </c>
      <c r="H28" s="15">
        <f>IF(OR($B28="",H$2=""),"",IF(SUMPRODUCT((Aus_Tec=$B28)*(Aus_Ini&lt;=H$2)*(Aus_Fim&gt;=H$2)*(Aus_Cod&gt;0))=0,"",IF(SUMPRODUCT((Aus_Tec=$B28)*(Aus_Ini&lt;=H$2)*(Aus_Fim&gt;=H$2)*(Aus_Cod&gt;0))&gt;1,"!",IFERROR(INDEX(Aus_Siglas,SUMPRODUCT((Aus_Tec=$B28)*(Aus_Ini&lt;=H$2)*(Aus_Fim&gt;=H$2)*Aus_Cod)),"!"))))</f>
        <v/>
      </c>
      <c r="I28" s="15">
        <f>IF(OR($B28="",I$2=""),"",IF(SUMPRODUCT((Aus_Tec=$B28)*(Aus_Ini&lt;=I$2)*(Aus_Fim&gt;=I$2)*(Aus_Cod&gt;0))=0,"",IF(SUMPRODUCT((Aus_Tec=$B28)*(Aus_Ini&lt;=I$2)*(Aus_Fim&gt;=I$2)*(Aus_Cod&gt;0))&gt;1,"!",IFERROR(INDEX(Aus_Siglas,SUMPRODUCT((Aus_Tec=$B28)*(Aus_Ini&lt;=I$2)*(Aus_Fim&gt;=I$2)*Aus_Cod)),"!"))))</f>
        <v/>
      </c>
      <c r="J28" s="15">
        <f>IF(OR($B28="",J$2=""),"",IF(SUMPRODUCT((Aus_Tec=$B28)*(Aus_Ini&lt;=J$2)*(Aus_Fim&gt;=J$2)*(Aus_Cod&gt;0))=0,"",IF(SUMPRODUCT((Aus_Tec=$B28)*(Aus_Ini&lt;=J$2)*(Aus_Fim&gt;=J$2)*(Aus_Cod&gt;0))&gt;1,"!",IFERROR(INDEX(Aus_Siglas,SUMPRODUCT((Aus_Tec=$B28)*(Aus_Ini&lt;=J$2)*(Aus_Fim&gt;=J$2)*Aus_Cod)),"!"))))</f>
        <v/>
      </c>
      <c r="K28" s="15">
        <f>IF(OR($B28="",K$2=""),"",IF(SUMPRODUCT((Aus_Tec=$B28)*(Aus_Ini&lt;=K$2)*(Aus_Fim&gt;=K$2)*(Aus_Cod&gt;0))=0,"",IF(SUMPRODUCT((Aus_Tec=$B28)*(Aus_Ini&lt;=K$2)*(Aus_Fim&gt;=K$2)*(Aus_Cod&gt;0))&gt;1,"!",IFERROR(INDEX(Aus_Siglas,SUMPRODUCT((Aus_Tec=$B28)*(Aus_Ini&lt;=K$2)*(Aus_Fim&gt;=K$2)*Aus_Cod)),"!"))))</f>
        <v/>
      </c>
      <c r="L28" s="15">
        <f>IF(OR($B28="",L$2=""),"",IF(SUMPRODUCT((Aus_Tec=$B28)*(Aus_Ini&lt;=L$2)*(Aus_Fim&gt;=L$2)*(Aus_Cod&gt;0))=0,"",IF(SUMPRODUCT((Aus_Tec=$B28)*(Aus_Ini&lt;=L$2)*(Aus_Fim&gt;=L$2)*(Aus_Cod&gt;0))&gt;1,"!",IFERROR(INDEX(Aus_Siglas,SUMPRODUCT((Aus_Tec=$B28)*(Aus_Ini&lt;=L$2)*(Aus_Fim&gt;=L$2)*Aus_Cod)),"!"))))</f>
        <v/>
      </c>
      <c r="M28" s="15">
        <f>IF(OR($B28="",M$2=""),"",IF(SUMPRODUCT((Aus_Tec=$B28)*(Aus_Ini&lt;=M$2)*(Aus_Fim&gt;=M$2)*(Aus_Cod&gt;0))=0,"",IF(SUMPRODUCT((Aus_Tec=$B28)*(Aus_Ini&lt;=M$2)*(Aus_Fim&gt;=M$2)*(Aus_Cod&gt;0))&gt;1,"!",IFERROR(INDEX(Aus_Siglas,SUMPRODUCT((Aus_Tec=$B28)*(Aus_Ini&lt;=M$2)*(Aus_Fim&gt;=M$2)*Aus_Cod)),"!"))))</f>
        <v/>
      </c>
      <c r="N28" s="15">
        <f>IF(OR($B28="",N$2=""),"",IF(SUMPRODUCT((Aus_Tec=$B28)*(Aus_Ini&lt;=N$2)*(Aus_Fim&gt;=N$2)*(Aus_Cod&gt;0))=0,"",IF(SUMPRODUCT((Aus_Tec=$B28)*(Aus_Ini&lt;=N$2)*(Aus_Fim&gt;=N$2)*(Aus_Cod&gt;0))&gt;1,"!",IFERROR(INDEX(Aus_Siglas,SUMPRODUCT((Aus_Tec=$B28)*(Aus_Ini&lt;=N$2)*(Aus_Fim&gt;=N$2)*Aus_Cod)),"!"))))</f>
        <v/>
      </c>
      <c r="O28" s="15">
        <f>IF(OR($B28="",O$2=""),"",IF(SUMPRODUCT((Aus_Tec=$B28)*(Aus_Ini&lt;=O$2)*(Aus_Fim&gt;=O$2)*(Aus_Cod&gt;0))=0,"",IF(SUMPRODUCT((Aus_Tec=$B28)*(Aus_Ini&lt;=O$2)*(Aus_Fim&gt;=O$2)*(Aus_Cod&gt;0))&gt;1,"!",IFERROR(INDEX(Aus_Siglas,SUMPRODUCT((Aus_Tec=$B28)*(Aus_Ini&lt;=O$2)*(Aus_Fim&gt;=O$2)*Aus_Cod)),"!"))))</f>
        <v/>
      </c>
      <c r="P28" s="15">
        <f>IF(OR($B28="",P$2=""),"",IF(SUMPRODUCT((Aus_Tec=$B28)*(Aus_Ini&lt;=P$2)*(Aus_Fim&gt;=P$2)*(Aus_Cod&gt;0))=0,"",IF(SUMPRODUCT((Aus_Tec=$B28)*(Aus_Ini&lt;=P$2)*(Aus_Fim&gt;=P$2)*(Aus_Cod&gt;0))&gt;1,"!",IFERROR(INDEX(Aus_Siglas,SUMPRODUCT((Aus_Tec=$B28)*(Aus_Ini&lt;=P$2)*(Aus_Fim&gt;=P$2)*Aus_Cod)),"!"))))</f>
        <v/>
      </c>
      <c r="Q28" s="15">
        <f>IF(OR($B28="",Q$2=""),"",IF(SUMPRODUCT((Aus_Tec=$B28)*(Aus_Ini&lt;=Q$2)*(Aus_Fim&gt;=Q$2)*(Aus_Cod&gt;0))=0,"",IF(SUMPRODUCT((Aus_Tec=$B28)*(Aus_Ini&lt;=Q$2)*(Aus_Fim&gt;=Q$2)*(Aus_Cod&gt;0))&gt;1,"!",IFERROR(INDEX(Aus_Siglas,SUMPRODUCT((Aus_Tec=$B28)*(Aus_Ini&lt;=Q$2)*(Aus_Fim&gt;=Q$2)*Aus_Cod)),"!"))))</f>
        <v/>
      </c>
      <c r="R28" s="15">
        <f>IF(OR($B28="",R$2=""),"",IF(SUMPRODUCT((Aus_Tec=$B28)*(Aus_Ini&lt;=R$2)*(Aus_Fim&gt;=R$2)*(Aus_Cod&gt;0))=0,"",IF(SUMPRODUCT((Aus_Tec=$B28)*(Aus_Ini&lt;=R$2)*(Aus_Fim&gt;=R$2)*(Aus_Cod&gt;0))&gt;1,"!",IFERROR(INDEX(Aus_Siglas,SUMPRODUCT((Aus_Tec=$B28)*(Aus_Ini&lt;=R$2)*(Aus_Fim&gt;=R$2)*Aus_Cod)),"!"))))</f>
        <v/>
      </c>
      <c r="S28" s="15">
        <f>IF(OR($B28="",S$2=""),"",IF(SUMPRODUCT((Aus_Tec=$B28)*(Aus_Ini&lt;=S$2)*(Aus_Fim&gt;=S$2)*(Aus_Cod&gt;0))=0,"",IF(SUMPRODUCT((Aus_Tec=$B28)*(Aus_Ini&lt;=S$2)*(Aus_Fim&gt;=S$2)*(Aus_Cod&gt;0))&gt;1,"!",IFERROR(INDEX(Aus_Siglas,SUMPRODUCT((Aus_Tec=$B28)*(Aus_Ini&lt;=S$2)*(Aus_Fim&gt;=S$2)*Aus_Cod)),"!"))))</f>
        <v/>
      </c>
      <c r="T28" s="15">
        <f>IF(OR($B28="",T$2=""),"",IF(SUMPRODUCT((Aus_Tec=$B28)*(Aus_Ini&lt;=T$2)*(Aus_Fim&gt;=T$2)*(Aus_Cod&gt;0))=0,"",IF(SUMPRODUCT((Aus_Tec=$B28)*(Aus_Ini&lt;=T$2)*(Aus_Fim&gt;=T$2)*(Aus_Cod&gt;0))&gt;1,"!",IFERROR(INDEX(Aus_Siglas,SUMPRODUCT((Aus_Tec=$B28)*(Aus_Ini&lt;=T$2)*(Aus_Fim&gt;=T$2)*Aus_Cod)),"!"))))</f>
        <v/>
      </c>
      <c r="U28" s="15">
        <f>IF(OR($B28="",U$2=""),"",IF(SUMPRODUCT((Aus_Tec=$B28)*(Aus_Ini&lt;=U$2)*(Aus_Fim&gt;=U$2)*(Aus_Cod&gt;0))=0,"",IF(SUMPRODUCT((Aus_Tec=$B28)*(Aus_Ini&lt;=U$2)*(Aus_Fim&gt;=U$2)*(Aus_Cod&gt;0))&gt;1,"!",IFERROR(INDEX(Aus_Siglas,SUMPRODUCT((Aus_Tec=$B28)*(Aus_Ini&lt;=U$2)*(Aus_Fim&gt;=U$2)*Aus_Cod)),"!"))))</f>
        <v/>
      </c>
      <c r="V28" s="15">
        <f>IF(OR($B28="",V$2=""),"",IF(SUMPRODUCT((Aus_Tec=$B28)*(Aus_Ini&lt;=V$2)*(Aus_Fim&gt;=V$2)*(Aus_Cod&gt;0))=0,"",IF(SUMPRODUCT((Aus_Tec=$B28)*(Aus_Ini&lt;=V$2)*(Aus_Fim&gt;=V$2)*(Aus_Cod&gt;0))&gt;1,"!",IFERROR(INDEX(Aus_Siglas,SUMPRODUCT((Aus_Tec=$B28)*(Aus_Ini&lt;=V$2)*(Aus_Fim&gt;=V$2)*Aus_Cod)),"!"))))</f>
        <v/>
      </c>
      <c r="W28" s="15">
        <f>IF(OR($B28="",W$2=""),"",IF(SUMPRODUCT((Aus_Tec=$B28)*(Aus_Ini&lt;=W$2)*(Aus_Fim&gt;=W$2)*(Aus_Cod&gt;0))=0,"",IF(SUMPRODUCT((Aus_Tec=$B28)*(Aus_Ini&lt;=W$2)*(Aus_Fim&gt;=W$2)*(Aus_Cod&gt;0))&gt;1,"!",IFERROR(INDEX(Aus_Siglas,SUMPRODUCT((Aus_Tec=$B28)*(Aus_Ini&lt;=W$2)*(Aus_Fim&gt;=W$2)*Aus_Cod)),"!"))))</f>
        <v/>
      </c>
      <c r="X28" s="15">
        <f>IF(OR($B28="",X$2=""),"",IF(SUMPRODUCT((Aus_Tec=$B28)*(Aus_Ini&lt;=X$2)*(Aus_Fim&gt;=X$2)*(Aus_Cod&gt;0))=0,"",IF(SUMPRODUCT((Aus_Tec=$B28)*(Aus_Ini&lt;=X$2)*(Aus_Fim&gt;=X$2)*(Aus_Cod&gt;0))&gt;1,"!",IFERROR(INDEX(Aus_Siglas,SUMPRODUCT((Aus_Tec=$B28)*(Aus_Ini&lt;=X$2)*(Aus_Fim&gt;=X$2)*Aus_Cod)),"!"))))</f>
        <v/>
      </c>
      <c r="Y28" s="15">
        <f>IF(OR($B28="",Y$2=""),"",IF(SUMPRODUCT((Aus_Tec=$B28)*(Aus_Ini&lt;=Y$2)*(Aus_Fim&gt;=Y$2)*(Aus_Cod&gt;0))=0,"",IF(SUMPRODUCT((Aus_Tec=$B28)*(Aus_Ini&lt;=Y$2)*(Aus_Fim&gt;=Y$2)*(Aus_Cod&gt;0))&gt;1,"!",IFERROR(INDEX(Aus_Siglas,SUMPRODUCT((Aus_Tec=$B28)*(Aus_Ini&lt;=Y$2)*(Aus_Fim&gt;=Y$2)*Aus_Cod)),"!"))))</f>
        <v/>
      </c>
      <c r="Z28" s="15">
        <f>IF(OR($B28="",Z$2=""),"",IF(SUMPRODUCT((Aus_Tec=$B28)*(Aus_Ini&lt;=Z$2)*(Aus_Fim&gt;=Z$2)*(Aus_Cod&gt;0))=0,"",IF(SUMPRODUCT((Aus_Tec=$B28)*(Aus_Ini&lt;=Z$2)*(Aus_Fim&gt;=Z$2)*(Aus_Cod&gt;0))&gt;1,"!",IFERROR(INDEX(Aus_Siglas,SUMPRODUCT((Aus_Tec=$B28)*(Aus_Ini&lt;=Z$2)*(Aus_Fim&gt;=Z$2)*Aus_Cod)),"!"))))</f>
        <v/>
      </c>
      <c r="AA28" s="15">
        <f>IF(OR($B28="",AA$2=""),"",IF(SUMPRODUCT((Aus_Tec=$B28)*(Aus_Ini&lt;=AA$2)*(Aus_Fim&gt;=AA$2)*(Aus_Cod&gt;0))=0,"",IF(SUMPRODUCT((Aus_Tec=$B28)*(Aus_Ini&lt;=AA$2)*(Aus_Fim&gt;=AA$2)*(Aus_Cod&gt;0))&gt;1,"!",IFERROR(INDEX(Aus_Siglas,SUMPRODUCT((Aus_Tec=$B28)*(Aus_Ini&lt;=AA$2)*(Aus_Fim&gt;=AA$2)*Aus_Cod)),"!"))))</f>
        <v/>
      </c>
      <c r="AB28" s="15">
        <f>IF(OR($B28="",AB$2=""),"",IF(SUMPRODUCT((Aus_Tec=$B28)*(Aus_Ini&lt;=AB$2)*(Aus_Fim&gt;=AB$2)*(Aus_Cod&gt;0))=0,"",IF(SUMPRODUCT((Aus_Tec=$B28)*(Aus_Ini&lt;=AB$2)*(Aus_Fim&gt;=AB$2)*(Aus_Cod&gt;0))&gt;1,"!",IFERROR(INDEX(Aus_Siglas,SUMPRODUCT((Aus_Tec=$B28)*(Aus_Ini&lt;=AB$2)*(Aus_Fim&gt;=AB$2)*Aus_Cod)),"!"))))</f>
        <v/>
      </c>
      <c r="AC28" s="15">
        <f>IF(OR($B28="",AC$2=""),"",IF(SUMPRODUCT((Aus_Tec=$B28)*(Aus_Ini&lt;=AC$2)*(Aus_Fim&gt;=AC$2)*(Aus_Cod&gt;0))=0,"",IF(SUMPRODUCT((Aus_Tec=$B28)*(Aus_Ini&lt;=AC$2)*(Aus_Fim&gt;=AC$2)*(Aus_Cod&gt;0))&gt;1,"!",IFERROR(INDEX(Aus_Siglas,SUMPRODUCT((Aus_Tec=$B28)*(Aus_Ini&lt;=AC$2)*(Aus_Fim&gt;=AC$2)*Aus_Cod)),"!"))))</f>
        <v/>
      </c>
      <c r="AD28" s="15">
        <f>IF(OR($B28="",AD$2=""),"",IF(SUMPRODUCT((Aus_Tec=$B28)*(Aus_Ini&lt;=AD$2)*(Aus_Fim&gt;=AD$2)*(Aus_Cod&gt;0))=0,"",IF(SUMPRODUCT((Aus_Tec=$B28)*(Aus_Ini&lt;=AD$2)*(Aus_Fim&gt;=AD$2)*(Aus_Cod&gt;0))&gt;1,"!",IFERROR(INDEX(Aus_Siglas,SUMPRODUCT((Aus_Tec=$B28)*(Aus_Ini&lt;=AD$2)*(Aus_Fim&gt;=AD$2)*Aus_Cod)),"!"))))</f>
        <v/>
      </c>
      <c r="AE28" s="15">
        <f>IF(OR($B28="",AE$2=""),"",IF(SUMPRODUCT((Aus_Tec=$B28)*(Aus_Ini&lt;=AE$2)*(Aus_Fim&gt;=AE$2)*(Aus_Cod&gt;0))=0,"",IF(SUMPRODUCT((Aus_Tec=$B28)*(Aus_Ini&lt;=AE$2)*(Aus_Fim&gt;=AE$2)*(Aus_Cod&gt;0))&gt;1,"!",IFERROR(INDEX(Aus_Siglas,SUMPRODUCT((Aus_Tec=$B28)*(Aus_Ini&lt;=AE$2)*(Aus_Fim&gt;=AE$2)*Aus_Cod)),"!"))))</f>
        <v/>
      </c>
      <c r="AF28" s="15">
        <f>IF(OR($B28="",AF$2=""),"",IF(SUMPRODUCT((Aus_Tec=$B28)*(Aus_Ini&lt;=AF$2)*(Aus_Fim&gt;=AF$2)*(Aus_Cod&gt;0))=0,"",IF(SUMPRODUCT((Aus_Tec=$B28)*(Aus_Ini&lt;=AF$2)*(Aus_Fim&gt;=AF$2)*(Aus_Cod&gt;0))&gt;1,"!",IFERROR(INDEX(Aus_Siglas,SUMPRODUCT((Aus_Tec=$B28)*(Aus_Ini&lt;=AF$2)*(Aus_Fim&gt;=AF$2)*Aus_Cod)),"!"))))</f>
        <v/>
      </c>
      <c r="AG28" s="15">
        <f>IF(OR($B28="",AG$2=""),"",IF(SUMPRODUCT((Aus_Tec=$B28)*(Aus_Ini&lt;=AG$2)*(Aus_Fim&gt;=AG$2)*(Aus_Cod&gt;0))=0,"",IF(SUMPRODUCT((Aus_Tec=$B28)*(Aus_Ini&lt;=AG$2)*(Aus_Fim&gt;=AG$2)*(Aus_Cod&gt;0))&gt;1,"!",IFERROR(INDEX(Aus_Siglas,SUMPRODUCT((Aus_Tec=$B28)*(Aus_Ini&lt;=AG$2)*(Aus_Fim&gt;=AG$2)*Aus_Cod)),"!"))))</f>
        <v/>
      </c>
      <c r="AH28" s="37">
        <f>IF($B28="","",COUNTIF($C28:$AG28,"F"))</f>
        <v/>
      </c>
      <c r="AI28" s="37">
        <f>IF($B28="","",COUNTIF($C28:$AG28,"D"))</f>
        <v/>
      </c>
      <c r="AJ28" s="37">
        <f>IF($B28="","",COUNTIF($C28:$AG28,"A"))</f>
        <v/>
      </c>
      <c r="AK28" s="37">
        <f>IF($B28="","",SUMPRODUCT(($C28:$AG28&lt;&gt;"")*1))</f>
        <v/>
      </c>
    </row>
    <row r="29">
      <c r="A29" s="33">
        <f>IF('Equipe'!A27="","",'Equipe'!A27)</f>
        <v/>
      </c>
      <c r="B29" s="34">
        <f>IF('Equipe'!B27="","",'Equipe'!B27)</f>
        <v/>
      </c>
      <c r="C29" s="15">
        <f>IF(OR($B29="",C$2=""),"",IF(SUMPRODUCT((Aus_Tec=$B29)*(Aus_Ini&lt;=C$2)*(Aus_Fim&gt;=C$2)*(Aus_Cod&gt;0))=0,"",IF(SUMPRODUCT((Aus_Tec=$B29)*(Aus_Ini&lt;=C$2)*(Aus_Fim&gt;=C$2)*(Aus_Cod&gt;0))&gt;1,"!",IFERROR(INDEX(Aus_Siglas,SUMPRODUCT((Aus_Tec=$B29)*(Aus_Ini&lt;=C$2)*(Aus_Fim&gt;=C$2)*Aus_Cod)),"!"))))</f>
        <v/>
      </c>
      <c r="D29" s="15">
        <f>IF(OR($B29="",D$2=""),"",IF(SUMPRODUCT((Aus_Tec=$B29)*(Aus_Ini&lt;=D$2)*(Aus_Fim&gt;=D$2)*(Aus_Cod&gt;0))=0,"",IF(SUMPRODUCT((Aus_Tec=$B29)*(Aus_Ini&lt;=D$2)*(Aus_Fim&gt;=D$2)*(Aus_Cod&gt;0))&gt;1,"!",IFERROR(INDEX(Aus_Siglas,SUMPRODUCT((Aus_Tec=$B29)*(Aus_Ini&lt;=D$2)*(Aus_Fim&gt;=D$2)*Aus_Cod)),"!"))))</f>
        <v/>
      </c>
      <c r="E29" s="15">
        <f>IF(OR($B29="",E$2=""),"",IF(SUMPRODUCT((Aus_Tec=$B29)*(Aus_Ini&lt;=E$2)*(Aus_Fim&gt;=E$2)*(Aus_Cod&gt;0))=0,"",IF(SUMPRODUCT((Aus_Tec=$B29)*(Aus_Ini&lt;=E$2)*(Aus_Fim&gt;=E$2)*(Aus_Cod&gt;0))&gt;1,"!",IFERROR(INDEX(Aus_Siglas,SUMPRODUCT((Aus_Tec=$B29)*(Aus_Ini&lt;=E$2)*(Aus_Fim&gt;=E$2)*Aus_Cod)),"!"))))</f>
        <v/>
      </c>
      <c r="F29" s="15">
        <f>IF(OR($B29="",F$2=""),"",IF(SUMPRODUCT((Aus_Tec=$B29)*(Aus_Ini&lt;=F$2)*(Aus_Fim&gt;=F$2)*(Aus_Cod&gt;0))=0,"",IF(SUMPRODUCT((Aus_Tec=$B29)*(Aus_Ini&lt;=F$2)*(Aus_Fim&gt;=F$2)*(Aus_Cod&gt;0))&gt;1,"!",IFERROR(INDEX(Aus_Siglas,SUMPRODUCT((Aus_Tec=$B29)*(Aus_Ini&lt;=F$2)*(Aus_Fim&gt;=F$2)*Aus_Cod)),"!"))))</f>
        <v/>
      </c>
      <c r="G29" s="15">
        <f>IF(OR($B29="",G$2=""),"",IF(SUMPRODUCT((Aus_Tec=$B29)*(Aus_Ini&lt;=G$2)*(Aus_Fim&gt;=G$2)*(Aus_Cod&gt;0))=0,"",IF(SUMPRODUCT((Aus_Tec=$B29)*(Aus_Ini&lt;=G$2)*(Aus_Fim&gt;=G$2)*(Aus_Cod&gt;0))&gt;1,"!",IFERROR(INDEX(Aus_Siglas,SUMPRODUCT((Aus_Tec=$B29)*(Aus_Ini&lt;=G$2)*(Aus_Fim&gt;=G$2)*Aus_Cod)),"!"))))</f>
        <v/>
      </c>
      <c r="H29" s="15">
        <f>IF(OR($B29="",H$2=""),"",IF(SUMPRODUCT((Aus_Tec=$B29)*(Aus_Ini&lt;=H$2)*(Aus_Fim&gt;=H$2)*(Aus_Cod&gt;0))=0,"",IF(SUMPRODUCT((Aus_Tec=$B29)*(Aus_Ini&lt;=H$2)*(Aus_Fim&gt;=H$2)*(Aus_Cod&gt;0))&gt;1,"!",IFERROR(INDEX(Aus_Siglas,SUMPRODUCT((Aus_Tec=$B29)*(Aus_Ini&lt;=H$2)*(Aus_Fim&gt;=H$2)*Aus_Cod)),"!"))))</f>
        <v/>
      </c>
      <c r="I29" s="15">
        <f>IF(OR($B29="",I$2=""),"",IF(SUMPRODUCT((Aus_Tec=$B29)*(Aus_Ini&lt;=I$2)*(Aus_Fim&gt;=I$2)*(Aus_Cod&gt;0))=0,"",IF(SUMPRODUCT((Aus_Tec=$B29)*(Aus_Ini&lt;=I$2)*(Aus_Fim&gt;=I$2)*(Aus_Cod&gt;0))&gt;1,"!",IFERROR(INDEX(Aus_Siglas,SUMPRODUCT((Aus_Tec=$B29)*(Aus_Ini&lt;=I$2)*(Aus_Fim&gt;=I$2)*Aus_Cod)),"!"))))</f>
        <v/>
      </c>
      <c r="J29" s="15">
        <f>IF(OR($B29="",J$2=""),"",IF(SUMPRODUCT((Aus_Tec=$B29)*(Aus_Ini&lt;=J$2)*(Aus_Fim&gt;=J$2)*(Aus_Cod&gt;0))=0,"",IF(SUMPRODUCT((Aus_Tec=$B29)*(Aus_Ini&lt;=J$2)*(Aus_Fim&gt;=J$2)*(Aus_Cod&gt;0))&gt;1,"!",IFERROR(INDEX(Aus_Siglas,SUMPRODUCT((Aus_Tec=$B29)*(Aus_Ini&lt;=J$2)*(Aus_Fim&gt;=J$2)*Aus_Cod)),"!"))))</f>
        <v/>
      </c>
      <c r="K29" s="15">
        <f>IF(OR($B29="",K$2=""),"",IF(SUMPRODUCT((Aus_Tec=$B29)*(Aus_Ini&lt;=K$2)*(Aus_Fim&gt;=K$2)*(Aus_Cod&gt;0))=0,"",IF(SUMPRODUCT((Aus_Tec=$B29)*(Aus_Ini&lt;=K$2)*(Aus_Fim&gt;=K$2)*(Aus_Cod&gt;0))&gt;1,"!",IFERROR(INDEX(Aus_Siglas,SUMPRODUCT((Aus_Tec=$B29)*(Aus_Ini&lt;=K$2)*(Aus_Fim&gt;=K$2)*Aus_Cod)),"!"))))</f>
        <v/>
      </c>
      <c r="L29" s="15">
        <f>IF(OR($B29="",L$2=""),"",IF(SUMPRODUCT((Aus_Tec=$B29)*(Aus_Ini&lt;=L$2)*(Aus_Fim&gt;=L$2)*(Aus_Cod&gt;0))=0,"",IF(SUMPRODUCT((Aus_Tec=$B29)*(Aus_Ini&lt;=L$2)*(Aus_Fim&gt;=L$2)*(Aus_Cod&gt;0))&gt;1,"!",IFERROR(INDEX(Aus_Siglas,SUMPRODUCT((Aus_Tec=$B29)*(Aus_Ini&lt;=L$2)*(Aus_Fim&gt;=L$2)*Aus_Cod)),"!"))))</f>
        <v/>
      </c>
      <c r="M29" s="15">
        <f>IF(OR($B29="",M$2=""),"",IF(SUMPRODUCT((Aus_Tec=$B29)*(Aus_Ini&lt;=M$2)*(Aus_Fim&gt;=M$2)*(Aus_Cod&gt;0))=0,"",IF(SUMPRODUCT((Aus_Tec=$B29)*(Aus_Ini&lt;=M$2)*(Aus_Fim&gt;=M$2)*(Aus_Cod&gt;0))&gt;1,"!",IFERROR(INDEX(Aus_Siglas,SUMPRODUCT((Aus_Tec=$B29)*(Aus_Ini&lt;=M$2)*(Aus_Fim&gt;=M$2)*Aus_Cod)),"!"))))</f>
        <v/>
      </c>
      <c r="N29" s="15">
        <f>IF(OR($B29="",N$2=""),"",IF(SUMPRODUCT((Aus_Tec=$B29)*(Aus_Ini&lt;=N$2)*(Aus_Fim&gt;=N$2)*(Aus_Cod&gt;0))=0,"",IF(SUMPRODUCT((Aus_Tec=$B29)*(Aus_Ini&lt;=N$2)*(Aus_Fim&gt;=N$2)*(Aus_Cod&gt;0))&gt;1,"!",IFERROR(INDEX(Aus_Siglas,SUMPRODUCT((Aus_Tec=$B29)*(Aus_Ini&lt;=N$2)*(Aus_Fim&gt;=N$2)*Aus_Cod)),"!"))))</f>
        <v/>
      </c>
      <c r="O29" s="15">
        <f>IF(OR($B29="",O$2=""),"",IF(SUMPRODUCT((Aus_Tec=$B29)*(Aus_Ini&lt;=O$2)*(Aus_Fim&gt;=O$2)*(Aus_Cod&gt;0))=0,"",IF(SUMPRODUCT((Aus_Tec=$B29)*(Aus_Ini&lt;=O$2)*(Aus_Fim&gt;=O$2)*(Aus_Cod&gt;0))&gt;1,"!",IFERROR(INDEX(Aus_Siglas,SUMPRODUCT((Aus_Tec=$B29)*(Aus_Ini&lt;=O$2)*(Aus_Fim&gt;=O$2)*Aus_Cod)),"!"))))</f>
        <v/>
      </c>
      <c r="P29" s="15">
        <f>IF(OR($B29="",P$2=""),"",IF(SUMPRODUCT((Aus_Tec=$B29)*(Aus_Ini&lt;=P$2)*(Aus_Fim&gt;=P$2)*(Aus_Cod&gt;0))=0,"",IF(SUMPRODUCT((Aus_Tec=$B29)*(Aus_Ini&lt;=P$2)*(Aus_Fim&gt;=P$2)*(Aus_Cod&gt;0))&gt;1,"!",IFERROR(INDEX(Aus_Siglas,SUMPRODUCT((Aus_Tec=$B29)*(Aus_Ini&lt;=P$2)*(Aus_Fim&gt;=P$2)*Aus_Cod)),"!"))))</f>
        <v/>
      </c>
      <c r="Q29" s="15">
        <f>IF(OR($B29="",Q$2=""),"",IF(SUMPRODUCT((Aus_Tec=$B29)*(Aus_Ini&lt;=Q$2)*(Aus_Fim&gt;=Q$2)*(Aus_Cod&gt;0))=0,"",IF(SUMPRODUCT((Aus_Tec=$B29)*(Aus_Ini&lt;=Q$2)*(Aus_Fim&gt;=Q$2)*(Aus_Cod&gt;0))&gt;1,"!",IFERROR(INDEX(Aus_Siglas,SUMPRODUCT((Aus_Tec=$B29)*(Aus_Ini&lt;=Q$2)*(Aus_Fim&gt;=Q$2)*Aus_Cod)),"!"))))</f>
        <v/>
      </c>
      <c r="R29" s="15">
        <f>IF(OR($B29="",R$2=""),"",IF(SUMPRODUCT((Aus_Tec=$B29)*(Aus_Ini&lt;=R$2)*(Aus_Fim&gt;=R$2)*(Aus_Cod&gt;0))=0,"",IF(SUMPRODUCT((Aus_Tec=$B29)*(Aus_Ini&lt;=R$2)*(Aus_Fim&gt;=R$2)*(Aus_Cod&gt;0))&gt;1,"!",IFERROR(INDEX(Aus_Siglas,SUMPRODUCT((Aus_Tec=$B29)*(Aus_Ini&lt;=R$2)*(Aus_Fim&gt;=R$2)*Aus_Cod)),"!"))))</f>
        <v/>
      </c>
      <c r="S29" s="15">
        <f>IF(OR($B29="",S$2=""),"",IF(SUMPRODUCT((Aus_Tec=$B29)*(Aus_Ini&lt;=S$2)*(Aus_Fim&gt;=S$2)*(Aus_Cod&gt;0))=0,"",IF(SUMPRODUCT((Aus_Tec=$B29)*(Aus_Ini&lt;=S$2)*(Aus_Fim&gt;=S$2)*(Aus_Cod&gt;0))&gt;1,"!",IFERROR(INDEX(Aus_Siglas,SUMPRODUCT((Aus_Tec=$B29)*(Aus_Ini&lt;=S$2)*(Aus_Fim&gt;=S$2)*Aus_Cod)),"!"))))</f>
        <v/>
      </c>
      <c r="T29" s="15">
        <f>IF(OR($B29="",T$2=""),"",IF(SUMPRODUCT((Aus_Tec=$B29)*(Aus_Ini&lt;=T$2)*(Aus_Fim&gt;=T$2)*(Aus_Cod&gt;0))=0,"",IF(SUMPRODUCT((Aus_Tec=$B29)*(Aus_Ini&lt;=T$2)*(Aus_Fim&gt;=T$2)*(Aus_Cod&gt;0))&gt;1,"!",IFERROR(INDEX(Aus_Siglas,SUMPRODUCT((Aus_Tec=$B29)*(Aus_Ini&lt;=T$2)*(Aus_Fim&gt;=T$2)*Aus_Cod)),"!"))))</f>
        <v/>
      </c>
      <c r="U29" s="15">
        <f>IF(OR($B29="",U$2=""),"",IF(SUMPRODUCT((Aus_Tec=$B29)*(Aus_Ini&lt;=U$2)*(Aus_Fim&gt;=U$2)*(Aus_Cod&gt;0))=0,"",IF(SUMPRODUCT((Aus_Tec=$B29)*(Aus_Ini&lt;=U$2)*(Aus_Fim&gt;=U$2)*(Aus_Cod&gt;0))&gt;1,"!",IFERROR(INDEX(Aus_Siglas,SUMPRODUCT((Aus_Tec=$B29)*(Aus_Ini&lt;=U$2)*(Aus_Fim&gt;=U$2)*Aus_Cod)),"!"))))</f>
        <v/>
      </c>
      <c r="V29" s="15">
        <f>IF(OR($B29="",V$2=""),"",IF(SUMPRODUCT((Aus_Tec=$B29)*(Aus_Ini&lt;=V$2)*(Aus_Fim&gt;=V$2)*(Aus_Cod&gt;0))=0,"",IF(SUMPRODUCT((Aus_Tec=$B29)*(Aus_Ini&lt;=V$2)*(Aus_Fim&gt;=V$2)*(Aus_Cod&gt;0))&gt;1,"!",IFERROR(INDEX(Aus_Siglas,SUMPRODUCT((Aus_Tec=$B29)*(Aus_Ini&lt;=V$2)*(Aus_Fim&gt;=V$2)*Aus_Cod)),"!"))))</f>
        <v/>
      </c>
      <c r="W29" s="15">
        <f>IF(OR($B29="",W$2=""),"",IF(SUMPRODUCT((Aus_Tec=$B29)*(Aus_Ini&lt;=W$2)*(Aus_Fim&gt;=W$2)*(Aus_Cod&gt;0))=0,"",IF(SUMPRODUCT((Aus_Tec=$B29)*(Aus_Ini&lt;=W$2)*(Aus_Fim&gt;=W$2)*(Aus_Cod&gt;0))&gt;1,"!",IFERROR(INDEX(Aus_Siglas,SUMPRODUCT((Aus_Tec=$B29)*(Aus_Ini&lt;=W$2)*(Aus_Fim&gt;=W$2)*Aus_Cod)),"!"))))</f>
        <v/>
      </c>
      <c r="X29" s="15">
        <f>IF(OR($B29="",X$2=""),"",IF(SUMPRODUCT((Aus_Tec=$B29)*(Aus_Ini&lt;=X$2)*(Aus_Fim&gt;=X$2)*(Aus_Cod&gt;0))=0,"",IF(SUMPRODUCT((Aus_Tec=$B29)*(Aus_Ini&lt;=X$2)*(Aus_Fim&gt;=X$2)*(Aus_Cod&gt;0))&gt;1,"!",IFERROR(INDEX(Aus_Siglas,SUMPRODUCT((Aus_Tec=$B29)*(Aus_Ini&lt;=X$2)*(Aus_Fim&gt;=X$2)*Aus_Cod)),"!"))))</f>
        <v/>
      </c>
      <c r="Y29" s="15">
        <f>IF(OR($B29="",Y$2=""),"",IF(SUMPRODUCT((Aus_Tec=$B29)*(Aus_Ini&lt;=Y$2)*(Aus_Fim&gt;=Y$2)*(Aus_Cod&gt;0))=0,"",IF(SUMPRODUCT((Aus_Tec=$B29)*(Aus_Ini&lt;=Y$2)*(Aus_Fim&gt;=Y$2)*(Aus_Cod&gt;0))&gt;1,"!",IFERROR(INDEX(Aus_Siglas,SUMPRODUCT((Aus_Tec=$B29)*(Aus_Ini&lt;=Y$2)*(Aus_Fim&gt;=Y$2)*Aus_Cod)),"!"))))</f>
        <v/>
      </c>
      <c r="Z29" s="15">
        <f>IF(OR($B29="",Z$2=""),"",IF(SUMPRODUCT((Aus_Tec=$B29)*(Aus_Ini&lt;=Z$2)*(Aus_Fim&gt;=Z$2)*(Aus_Cod&gt;0))=0,"",IF(SUMPRODUCT((Aus_Tec=$B29)*(Aus_Ini&lt;=Z$2)*(Aus_Fim&gt;=Z$2)*(Aus_Cod&gt;0))&gt;1,"!",IFERROR(INDEX(Aus_Siglas,SUMPRODUCT((Aus_Tec=$B29)*(Aus_Ini&lt;=Z$2)*(Aus_Fim&gt;=Z$2)*Aus_Cod)),"!"))))</f>
        <v/>
      </c>
      <c r="AA29" s="15">
        <f>IF(OR($B29="",AA$2=""),"",IF(SUMPRODUCT((Aus_Tec=$B29)*(Aus_Ini&lt;=AA$2)*(Aus_Fim&gt;=AA$2)*(Aus_Cod&gt;0))=0,"",IF(SUMPRODUCT((Aus_Tec=$B29)*(Aus_Ini&lt;=AA$2)*(Aus_Fim&gt;=AA$2)*(Aus_Cod&gt;0))&gt;1,"!",IFERROR(INDEX(Aus_Siglas,SUMPRODUCT((Aus_Tec=$B29)*(Aus_Ini&lt;=AA$2)*(Aus_Fim&gt;=AA$2)*Aus_Cod)),"!"))))</f>
        <v/>
      </c>
      <c r="AB29" s="15">
        <f>IF(OR($B29="",AB$2=""),"",IF(SUMPRODUCT((Aus_Tec=$B29)*(Aus_Ini&lt;=AB$2)*(Aus_Fim&gt;=AB$2)*(Aus_Cod&gt;0))=0,"",IF(SUMPRODUCT((Aus_Tec=$B29)*(Aus_Ini&lt;=AB$2)*(Aus_Fim&gt;=AB$2)*(Aus_Cod&gt;0))&gt;1,"!",IFERROR(INDEX(Aus_Siglas,SUMPRODUCT((Aus_Tec=$B29)*(Aus_Ini&lt;=AB$2)*(Aus_Fim&gt;=AB$2)*Aus_Cod)),"!"))))</f>
        <v/>
      </c>
      <c r="AC29" s="15">
        <f>IF(OR($B29="",AC$2=""),"",IF(SUMPRODUCT((Aus_Tec=$B29)*(Aus_Ini&lt;=AC$2)*(Aus_Fim&gt;=AC$2)*(Aus_Cod&gt;0))=0,"",IF(SUMPRODUCT((Aus_Tec=$B29)*(Aus_Ini&lt;=AC$2)*(Aus_Fim&gt;=AC$2)*(Aus_Cod&gt;0))&gt;1,"!",IFERROR(INDEX(Aus_Siglas,SUMPRODUCT((Aus_Tec=$B29)*(Aus_Ini&lt;=AC$2)*(Aus_Fim&gt;=AC$2)*Aus_Cod)),"!"))))</f>
        <v/>
      </c>
      <c r="AD29" s="15">
        <f>IF(OR($B29="",AD$2=""),"",IF(SUMPRODUCT((Aus_Tec=$B29)*(Aus_Ini&lt;=AD$2)*(Aus_Fim&gt;=AD$2)*(Aus_Cod&gt;0))=0,"",IF(SUMPRODUCT((Aus_Tec=$B29)*(Aus_Ini&lt;=AD$2)*(Aus_Fim&gt;=AD$2)*(Aus_Cod&gt;0))&gt;1,"!",IFERROR(INDEX(Aus_Siglas,SUMPRODUCT((Aus_Tec=$B29)*(Aus_Ini&lt;=AD$2)*(Aus_Fim&gt;=AD$2)*Aus_Cod)),"!"))))</f>
        <v/>
      </c>
      <c r="AE29" s="15">
        <f>IF(OR($B29="",AE$2=""),"",IF(SUMPRODUCT((Aus_Tec=$B29)*(Aus_Ini&lt;=AE$2)*(Aus_Fim&gt;=AE$2)*(Aus_Cod&gt;0))=0,"",IF(SUMPRODUCT((Aus_Tec=$B29)*(Aus_Ini&lt;=AE$2)*(Aus_Fim&gt;=AE$2)*(Aus_Cod&gt;0))&gt;1,"!",IFERROR(INDEX(Aus_Siglas,SUMPRODUCT((Aus_Tec=$B29)*(Aus_Ini&lt;=AE$2)*(Aus_Fim&gt;=AE$2)*Aus_Cod)),"!"))))</f>
        <v/>
      </c>
      <c r="AF29" s="15">
        <f>IF(OR($B29="",AF$2=""),"",IF(SUMPRODUCT((Aus_Tec=$B29)*(Aus_Ini&lt;=AF$2)*(Aus_Fim&gt;=AF$2)*(Aus_Cod&gt;0))=0,"",IF(SUMPRODUCT((Aus_Tec=$B29)*(Aus_Ini&lt;=AF$2)*(Aus_Fim&gt;=AF$2)*(Aus_Cod&gt;0))&gt;1,"!",IFERROR(INDEX(Aus_Siglas,SUMPRODUCT((Aus_Tec=$B29)*(Aus_Ini&lt;=AF$2)*(Aus_Fim&gt;=AF$2)*Aus_Cod)),"!"))))</f>
        <v/>
      </c>
      <c r="AG29" s="15">
        <f>IF(OR($B29="",AG$2=""),"",IF(SUMPRODUCT((Aus_Tec=$B29)*(Aus_Ini&lt;=AG$2)*(Aus_Fim&gt;=AG$2)*(Aus_Cod&gt;0))=0,"",IF(SUMPRODUCT((Aus_Tec=$B29)*(Aus_Ini&lt;=AG$2)*(Aus_Fim&gt;=AG$2)*(Aus_Cod&gt;0))&gt;1,"!",IFERROR(INDEX(Aus_Siglas,SUMPRODUCT((Aus_Tec=$B29)*(Aus_Ini&lt;=AG$2)*(Aus_Fim&gt;=AG$2)*Aus_Cod)),"!"))))</f>
        <v/>
      </c>
      <c r="AH29" s="37">
        <f>IF($B29="","",COUNTIF($C29:$AG29,"F"))</f>
        <v/>
      </c>
      <c r="AI29" s="37">
        <f>IF($B29="","",COUNTIF($C29:$AG29,"D"))</f>
        <v/>
      </c>
      <c r="AJ29" s="37">
        <f>IF($B29="","",COUNTIF($C29:$AG29,"A"))</f>
        <v/>
      </c>
      <c r="AK29" s="37">
        <f>IF($B29="","",SUMPRODUCT(($C29:$AG29&lt;&gt;"")*1))</f>
        <v/>
      </c>
    </row>
    <row r="30">
      <c r="A30" s="33">
        <f>IF('Equipe'!A28="","",'Equipe'!A28)</f>
        <v/>
      </c>
      <c r="B30" s="34">
        <f>IF('Equipe'!B28="","",'Equipe'!B28)</f>
        <v/>
      </c>
      <c r="C30" s="15">
        <f>IF(OR($B30="",C$2=""),"",IF(SUMPRODUCT((Aus_Tec=$B30)*(Aus_Ini&lt;=C$2)*(Aus_Fim&gt;=C$2)*(Aus_Cod&gt;0))=0,"",IF(SUMPRODUCT((Aus_Tec=$B30)*(Aus_Ini&lt;=C$2)*(Aus_Fim&gt;=C$2)*(Aus_Cod&gt;0))&gt;1,"!",IFERROR(INDEX(Aus_Siglas,SUMPRODUCT((Aus_Tec=$B30)*(Aus_Ini&lt;=C$2)*(Aus_Fim&gt;=C$2)*Aus_Cod)),"!"))))</f>
        <v/>
      </c>
      <c r="D30" s="15">
        <f>IF(OR($B30="",D$2=""),"",IF(SUMPRODUCT((Aus_Tec=$B30)*(Aus_Ini&lt;=D$2)*(Aus_Fim&gt;=D$2)*(Aus_Cod&gt;0))=0,"",IF(SUMPRODUCT((Aus_Tec=$B30)*(Aus_Ini&lt;=D$2)*(Aus_Fim&gt;=D$2)*(Aus_Cod&gt;0))&gt;1,"!",IFERROR(INDEX(Aus_Siglas,SUMPRODUCT((Aus_Tec=$B30)*(Aus_Ini&lt;=D$2)*(Aus_Fim&gt;=D$2)*Aus_Cod)),"!"))))</f>
        <v/>
      </c>
      <c r="E30" s="15">
        <f>IF(OR($B30="",E$2=""),"",IF(SUMPRODUCT((Aus_Tec=$B30)*(Aus_Ini&lt;=E$2)*(Aus_Fim&gt;=E$2)*(Aus_Cod&gt;0))=0,"",IF(SUMPRODUCT((Aus_Tec=$B30)*(Aus_Ini&lt;=E$2)*(Aus_Fim&gt;=E$2)*(Aus_Cod&gt;0))&gt;1,"!",IFERROR(INDEX(Aus_Siglas,SUMPRODUCT((Aus_Tec=$B30)*(Aus_Ini&lt;=E$2)*(Aus_Fim&gt;=E$2)*Aus_Cod)),"!"))))</f>
        <v/>
      </c>
      <c r="F30" s="15">
        <f>IF(OR($B30="",F$2=""),"",IF(SUMPRODUCT((Aus_Tec=$B30)*(Aus_Ini&lt;=F$2)*(Aus_Fim&gt;=F$2)*(Aus_Cod&gt;0))=0,"",IF(SUMPRODUCT((Aus_Tec=$B30)*(Aus_Ini&lt;=F$2)*(Aus_Fim&gt;=F$2)*(Aus_Cod&gt;0))&gt;1,"!",IFERROR(INDEX(Aus_Siglas,SUMPRODUCT((Aus_Tec=$B30)*(Aus_Ini&lt;=F$2)*(Aus_Fim&gt;=F$2)*Aus_Cod)),"!"))))</f>
        <v/>
      </c>
      <c r="G30" s="15">
        <f>IF(OR($B30="",G$2=""),"",IF(SUMPRODUCT((Aus_Tec=$B30)*(Aus_Ini&lt;=G$2)*(Aus_Fim&gt;=G$2)*(Aus_Cod&gt;0))=0,"",IF(SUMPRODUCT((Aus_Tec=$B30)*(Aus_Ini&lt;=G$2)*(Aus_Fim&gt;=G$2)*(Aus_Cod&gt;0))&gt;1,"!",IFERROR(INDEX(Aus_Siglas,SUMPRODUCT((Aus_Tec=$B30)*(Aus_Ini&lt;=G$2)*(Aus_Fim&gt;=G$2)*Aus_Cod)),"!"))))</f>
        <v/>
      </c>
      <c r="H30" s="15">
        <f>IF(OR($B30="",H$2=""),"",IF(SUMPRODUCT((Aus_Tec=$B30)*(Aus_Ini&lt;=H$2)*(Aus_Fim&gt;=H$2)*(Aus_Cod&gt;0))=0,"",IF(SUMPRODUCT((Aus_Tec=$B30)*(Aus_Ini&lt;=H$2)*(Aus_Fim&gt;=H$2)*(Aus_Cod&gt;0))&gt;1,"!",IFERROR(INDEX(Aus_Siglas,SUMPRODUCT((Aus_Tec=$B30)*(Aus_Ini&lt;=H$2)*(Aus_Fim&gt;=H$2)*Aus_Cod)),"!"))))</f>
        <v/>
      </c>
      <c r="I30" s="15">
        <f>IF(OR($B30="",I$2=""),"",IF(SUMPRODUCT((Aus_Tec=$B30)*(Aus_Ini&lt;=I$2)*(Aus_Fim&gt;=I$2)*(Aus_Cod&gt;0))=0,"",IF(SUMPRODUCT((Aus_Tec=$B30)*(Aus_Ini&lt;=I$2)*(Aus_Fim&gt;=I$2)*(Aus_Cod&gt;0))&gt;1,"!",IFERROR(INDEX(Aus_Siglas,SUMPRODUCT((Aus_Tec=$B30)*(Aus_Ini&lt;=I$2)*(Aus_Fim&gt;=I$2)*Aus_Cod)),"!"))))</f>
        <v/>
      </c>
      <c r="J30" s="15">
        <f>IF(OR($B30="",J$2=""),"",IF(SUMPRODUCT((Aus_Tec=$B30)*(Aus_Ini&lt;=J$2)*(Aus_Fim&gt;=J$2)*(Aus_Cod&gt;0))=0,"",IF(SUMPRODUCT((Aus_Tec=$B30)*(Aus_Ini&lt;=J$2)*(Aus_Fim&gt;=J$2)*(Aus_Cod&gt;0))&gt;1,"!",IFERROR(INDEX(Aus_Siglas,SUMPRODUCT((Aus_Tec=$B30)*(Aus_Ini&lt;=J$2)*(Aus_Fim&gt;=J$2)*Aus_Cod)),"!"))))</f>
        <v/>
      </c>
      <c r="K30" s="15">
        <f>IF(OR($B30="",K$2=""),"",IF(SUMPRODUCT((Aus_Tec=$B30)*(Aus_Ini&lt;=K$2)*(Aus_Fim&gt;=K$2)*(Aus_Cod&gt;0))=0,"",IF(SUMPRODUCT((Aus_Tec=$B30)*(Aus_Ini&lt;=K$2)*(Aus_Fim&gt;=K$2)*(Aus_Cod&gt;0))&gt;1,"!",IFERROR(INDEX(Aus_Siglas,SUMPRODUCT((Aus_Tec=$B30)*(Aus_Ini&lt;=K$2)*(Aus_Fim&gt;=K$2)*Aus_Cod)),"!"))))</f>
        <v/>
      </c>
      <c r="L30" s="15">
        <f>IF(OR($B30="",L$2=""),"",IF(SUMPRODUCT((Aus_Tec=$B30)*(Aus_Ini&lt;=L$2)*(Aus_Fim&gt;=L$2)*(Aus_Cod&gt;0))=0,"",IF(SUMPRODUCT((Aus_Tec=$B30)*(Aus_Ini&lt;=L$2)*(Aus_Fim&gt;=L$2)*(Aus_Cod&gt;0))&gt;1,"!",IFERROR(INDEX(Aus_Siglas,SUMPRODUCT((Aus_Tec=$B30)*(Aus_Ini&lt;=L$2)*(Aus_Fim&gt;=L$2)*Aus_Cod)),"!"))))</f>
        <v/>
      </c>
      <c r="M30" s="15">
        <f>IF(OR($B30="",M$2=""),"",IF(SUMPRODUCT((Aus_Tec=$B30)*(Aus_Ini&lt;=M$2)*(Aus_Fim&gt;=M$2)*(Aus_Cod&gt;0))=0,"",IF(SUMPRODUCT((Aus_Tec=$B30)*(Aus_Ini&lt;=M$2)*(Aus_Fim&gt;=M$2)*(Aus_Cod&gt;0))&gt;1,"!",IFERROR(INDEX(Aus_Siglas,SUMPRODUCT((Aus_Tec=$B30)*(Aus_Ini&lt;=M$2)*(Aus_Fim&gt;=M$2)*Aus_Cod)),"!"))))</f>
        <v/>
      </c>
      <c r="N30" s="15">
        <f>IF(OR($B30="",N$2=""),"",IF(SUMPRODUCT((Aus_Tec=$B30)*(Aus_Ini&lt;=N$2)*(Aus_Fim&gt;=N$2)*(Aus_Cod&gt;0))=0,"",IF(SUMPRODUCT((Aus_Tec=$B30)*(Aus_Ini&lt;=N$2)*(Aus_Fim&gt;=N$2)*(Aus_Cod&gt;0))&gt;1,"!",IFERROR(INDEX(Aus_Siglas,SUMPRODUCT((Aus_Tec=$B30)*(Aus_Ini&lt;=N$2)*(Aus_Fim&gt;=N$2)*Aus_Cod)),"!"))))</f>
        <v/>
      </c>
      <c r="O30" s="15">
        <f>IF(OR($B30="",O$2=""),"",IF(SUMPRODUCT((Aus_Tec=$B30)*(Aus_Ini&lt;=O$2)*(Aus_Fim&gt;=O$2)*(Aus_Cod&gt;0))=0,"",IF(SUMPRODUCT((Aus_Tec=$B30)*(Aus_Ini&lt;=O$2)*(Aus_Fim&gt;=O$2)*(Aus_Cod&gt;0))&gt;1,"!",IFERROR(INDEX(Aus_Siglas,SUMPRODUCT((Aus_Tec=$B30)*(Aus_Ini&lt;=O$2)*(Aus_Fim&gt;=O$2)*Aus_Cod)),"!"))))</f>
        <v/>
      </c>
      <c r="P30" s="15">
        <f>IF(OR($B30="",P$2=""),"",IF(SUMPRODUCT((Aus_Tec=$B30)*(Aus_Ini&lt;=P$2)*(Aus_Fim&gt;=P$2)*(Aus_Cod&gt;0))=0,"",IF(SUMPRODUCT((Aus_Tec=$B30)*(Aus_Ini&lt;=P$2)*(Aus_Fim&gt;=P$2)*(Aus_Cod&gt;0))&gt;1,"!",IFERROR(INDEX(Aus_Siglas,SUMPRODUCT((Aus_Tec=$B30)*(Aus_Ini&lt;=P$2)*(Aus_Fim&gt;=P$2)*Aus_Cod)),"!"))))</f>
        <v/>
      </c>
      <c r="Q30" s="15">
        <f>IF(OR($B30="",Q$2=""),"",IF(SUMPRODUCT((Aus_Tec=$B30)*(Aus_Ini&lt;=Q$2)*(Aus_Fim&gt;=Q$2)*(Aus_Cod&gt;0))=0,"",IF(SUMPRODUCT((Aus_Tec=$B30)*(Aus_Ini&lt;=Q$2)*(Aus_Fim&gt;=Q$2)*(Aus_Cod&gt;0))&gt;1,"!",IFERROR(INDEX(Aus_Siglas,SUMPRODUCT((Aus_Tec=$B30)*(Aus_Ini&lt;=Q$2)*(Aus_Fim&gt;=Q$2)*Aus_Cod)),"!"))))</f>
        <v/>
      </c>
      <c r="R30" s="15">
        <f>IF(OR($B30="",R$2=""),"",IF(SUMPRODUCT((Aus_Tec=$B30)*(Aus_Ini&lt;=R$2)*(Aus_Fim&gt;=R$2)*(Aus_Cod&gt;0))=0,"",IF(SUMPRODUCT((Aus_Tec=$B30)*(Aus_Ini&lt;=R$2)*(Aus_Fim&gt;=R$2)*(Aus_Cod&gt;0))&gt;1,"!",IFERROR(INDEX(Aus_Siglas,SUMPRODUCT((Aus_Tec=$B30)*(Aus_Ini&lt;=R$2)*(Aus_Fim&gt;=R$2)*Aus_Cod)),"!"))))</f>
        <v/>
      </c>
      <c r="S30" s="15">
        <f>IF(OR($B30="",S$2=""),"",IF(SUMPRODUCT((Aus_Tec=$B30)*(Aus_Ini&lt;=S$2)*(Aus_Fim&gt;=S$2)*(Aus_Cod&gt;0))=0,"",IF(SUMPRODUCT((Aus_Tec=$B30)*(Aus_Ini&lt;=S$2)*(Aus_Fim&gt;=S$2)*(Aus_Cod&gt;0))&gt;1,"!",IFERROR(INDEX(Aus_Siglas,SUMPRODUCT((Aus_Tec=$B30)*(Aus_Ini&lt;=S$2)*(Aus_Fim&gt;=S$2)*Aus_Cod)),"!"))))</f>
        <v/>
      </c>
      <c r="T30" s="15">
        <f>IF(OR($B30="",T$2=""),"",IF(SUMPRODUCT((Aus_Tec=$B30)*(Aus_Ini&lt;=T$2)*(Aus_Fim&gt;=T$2)*(Aus_Cod&gt;0))=0,"",IF(SUMPRODUCT((Aus_Tec=$B30)*(Aus_Ini&lt;=T$2)*(Aus_Fim&gt;=T$2)*(Aus_Cod&gt;0))&gt;1,"!",IFERROR(INDEX(Aus_Siglas,SUMPRODUCT((Aus_Tec=$B30)*(Aus_Ini&lt;=T$2)*(Aus_Fim&gt;=T$2)*Aus_Cod)),"!"))))</f>
        <v/>
      </c>
      <c r="U30" s="15">
        <f>IF(OR($B30="",U$2=""),"",IF(SUMPRODUCT((Aus_Tec=$B30)*(Aus_Ini&lt;=U$2)*(Aus_Fim&gt;=U$2)*(Aus_Cod&gt;0))=0,"",IF(SUMPRODUCT((Aus_Tec=$B30)*(Aus_Ini&lt;=U$2)*(Aus_Fim&gt;=U$2)*(Aus_Cod&gt;0))&gt;1,"!",IFERROR(INDEX(Aus_Siglas,SUMPRODUCT((Aus_Tec=$B30)*(Aus_Ini&lt;=U$2)*(Aus_Fim&gt;=U$2)*Aus_Cod)),"!"))))</f>
        <v/>
      </c>
      <c r="V30" s="15">
        <f>IF(OR($B30="",V$2=""),"",IF(SUMPRODUCT((Aus_Tec=$B30)*(Aus_Ini&lt;=V$2)*(Aus_Fim&gt;=V$2)*(Aus_Cod&gt;0))=0,"",IF(SUMPRODUCT((Aus_Tec=$B30)*(Aus_Ini&lt;=V$2)*(Aus_Fim&gt;=V$2)*(Aus_Cod&gt;0))&gt;1,"!",IFERROR(INDEX(Aus_Siglas,SUMPRODUCT((Aus_Tec=$B30)*(Aus_Ini&lt;=V$2)*(Aus_Fim&gt;=V$2)*Aus_Cod)),"!"))))</f>
        <v/>
      </c>
      <c r="W30" s="15">
        <f>IF(OR($B30="",W$2=""),"",IF(SUMPRODUCT((Aus_Tec=$B30)*(Aus_Ini&lt;=W$2)*(Aus_Fim&gt;=W$2)*(Aus_Cod&gt;0))=0,"",IF(SUMPRODUCT((Aus_Tec=$B30)*(Aus_Ini&lt;=W$2)*(Aus_Fim&gt;=W$2)*(Aus_Cod&gt;0))&gt;1,"!",IFERROR(INDEX(Aus_Siglas,SUMPRODUCT((Aus_Tec=$B30)*(Aus_Ini&lt;=W$2)*(Aus_Fim&gt;=W$2)*Aus_Cod)),"!"))))</f>
        <v/>
      </c>
      <c r="X30" s="15">
        <f>IF(OR($B30="",X$2=""),"",IF(SUMPRODUCT((Aus_Tec=$B30)*(Aus_Ini&lt;=X$2)*(Aus_Fim&gt;=X$2)*(Aus_Cod&gt;0))=0,"",IF(SUMPRODUCT((Aus_Tec=$B30)*(Aus_Ini&lt;=X$2)*(Aus_Fim&gt;=X$2)*(Aus_Cod&gt;0))&gt;1,"!",IFERROR(INDEX(Aus_Siglas,SUMPRODUCT((Aus_Tec=$B30)*(Aus_Ini&lt;=X$2)*(Aus_Fim&gt;=X$2)*Aus_Cod)),"!"))))</f>
        <v/>
      </c>
      <c r="Y30" s="15">
        <f>IF(OR($B30="",Y$2=""),"",IF(SUMPRODUCT((Aus_Tec=$B30)*(Aus_Ini&lt;=Y$2)*(Aus_Fim&gt;=Y$2)*(Aus_Cod&gt;0))=0,"",IF(SUMPRODUCT((Aus_Tec=$B30)*(Aus_Ini&lt;=Y$2)*(Aus_Fim&gt;=Y$2)*(Aus_Cod&gt;0))&gt;1,"!",IFERROR(INDEX(Aus_Siglas,SUMPRODUCT((Aus_Tec=$B30)*(Aus_Ini&lt;=Y$2)*(Aus_Fim&gt;=Y$2)*Aus_Cod)),"!"))))</f>
        <v/>
      </c>
      <c r="Z30" s="15">
        <f>IF(OR($B30="",Z$2=""),"",IF(SUMPRODUCT((Aus_Tec=$B30)*(Aus_Ini&lt;=Z$2)*(Aus_Fim&gt;=Z$2)*(Aus_Cod&gt;0))=0,"",IF(SUMPRODUCT((Aus_Tec=$B30)*(Aus_Ini&lt;=Z$2)*(Aus_Fim&gt;=Z$2)*(Aus_Cod&gt;0))&gt;1,"!",IFERROR(INDEX(Aus_Siglas,SUMPRODUCT((Aus_Tec=$B30)*(Aus_Ini&lt;=Z$2)*(Aus_Fim&gt;=Z$2)*Aus_Cod)),"!"))))</f>
        <v/>
      </c>
      <c r="AA30" s="15">
        <f>IF(OR($B30="",AA$2=""),"",IF(SUMPRODUCT((Aus_Tec=$B30)*(Aus_Ini&lt;=AA$2)*(Aus_Fim&gt;=AA$2)*(Aus_Cod&gt;0))=0,"",IF(SUMPRODUCT((Aus_Tec=$B30)*(Aus_Ini&lt;=AA$2)*(Aus_Fim&gt;=AA$2)*(Aus_Cod&gt;0))&gt;1,"!",IFERROR(INDEX(Aus_Siglas,SUMPRODUCT((Aus_Tec=$B30)*(Aus_Ini&lt;=AA$2)*(Aus_Fim&gt;=AA$2)*Aus_Cod)),"!"))))</f>
        <v/>
      </c>
      <c r="AB30" s="15">
        <f>IF(OR($B30="",AB$2=""),"",IF(SUMPRODUCT((Aus_Tec=$B30)*(Aus_Ini&lt;=AB$2)*(Aus_Fim&gt;=AB$2)*(Aus_Cod&gt;0))=0,"",IF(SUMPRODUCT((Aus_Tec=$B30)*(Aus_Ini&lt;=AB$2)*(Aus_Fim&gt;=AB$2)*(Aus_Cod&gt;0))&gt;1,"!",IFERROR(INDEX(Aus_Siglas,SUMPRODUCT((Aus_Tec=$B30)*(Aus_Ini&lt;=AB$2)*(Aus_Fim&gt;=AB$2)*Aus_Cod)),"!"))))</f>
        <v/>
      </c>
      <c r="AC30" s="15">
        <f>IF(OR($B30="",AC$2=""),"",IF(SUMPRODUCT((Aus_Tec=$B30)*(Aus_Ini&lt;=AC$2)*(Aus_Fim&gt;=AC$2)*(Aus_Cod&gt;0))=0,"",IF(SUMPRODUCT((Aus_Tec=$B30)*(Aus_Ini&lt;=AC$2)*(Aus_Fim&gt;=AC$2)*(Aus_Cod&gt;0))&gt;1,"!",IFERROR(INDEX(Aus_Siglas,SUMPRODUCT((Aus_Tec=$B30)*(Aus_Ini&lt;=AC$2)*(Aus_Fim&gt;=AC$2)*Aus_Cod)),"!"))))</f>
        <v/>
      </c>
      <c r="AD30" s="15">
        <f>IF(OR($B30="",AD$2=""),"",IF(SUMPRODUCT((Aus_Tec=$B30)*(Aus_Ini&lt;=AD$2)*(Aus_Fim&gt;=AD$2)*(Aus_Cod&gt;0))=0,"",IF(SUMPRODUCT((Aus_Tec=$B30)*(Aus_Ini&lt;=AD$2)*(Aus_Fim&gt;=AD$2)*(Aus_Cod&gt;0))&gt;1,"!",IFERROR(INDEX(Aus_Siglas,SUMPRODUCT((Aus_Tec=$B30)*(Aus_Ini&lt;=AD$2)*(Aus_Fim&gt;=AD$2)*Aus_Cod)),"!"))))</f>
        <v/>
      </c>
      <c r="AE30" s="15">
        <f>IF(OR($B30="",AE$2=""),"",IF(SUMPRODUCT((Aus_Tec=$B30)*(Aus_Ini&lt;=AE$2)*(Aus_Fim&gt;=AE$2)*(Aus_Cod&gt;0))=0,"",IF(SUMPRODUCT((Aus_Tec=$B30)*(Aus_Ini&lt;=AE$2)*(Aus_Fim&gt;=AE$2)*(Aus_Cod&gt;0))&gt;1,"!",IFERROR(INDEX(Aus_Siglas,SUMPRODUCT((Aus_Tec=$B30)*(Aus_Ini&lt;=AE$2)*(Aus_Fim&gt;=AE$2)*Aus_Cod)),"!"))))</f>
        <v/>
      </c>
      <c r="AF30" s="15">
        <f>IF(OR($B30="",AF$2=""),"",IF(SUMPRODUCT((Aus_Tec=$B30)*(Aus_Ini&lt;=AF$2)*(Aus_Fim&gt;=AF$2)*(Aus_Cod&gt;0))=0,"",IF(SUMPRODUCT((Aus_Tec=$B30)*(Aus_Ini&lt;=AF$2)*(Aus_Fim&gt;=AF$2)*(Aus_Cod&gt;0))&gt;1,"!",IFERROR(INDEX(Aus_Siglas,SUMPRODUCT((Aus_Tec=$B30)*(Aus_Ini&lt;=AF$2)*(Aus_Fim&gt;=AF$2)*Aus_Cod)),"!"))))</f>
        <v/>
      </c>
      <c r="AG30" s="15">
        <f>IF(OR($B30="",AG$2=""),"",IF(SUMPRODUCT((Aus_Tec=$B30)*(Aus_Ini&lt;=AG$2)*(Aus_Fim&gt;=AG$2)*(Aus_Cod&gt;0))=0,"",IF(SUMPRODUCT((Aus_Tec=$B30)*(Aus_Ini&lt;=AG$2)*(Aus_Fim&gt;=AG$2)*(Aus_Cod&gt;0))&gt;1,"!",IFERROR(INDEX(Aus_Siglas,SUMPRODUCT((Aus_Tec=$B30)*(Aus_Ini&lt;=AG$2)*(Aus_Fim&gt;=AG$2)*Aus_Cod)),"!"))))</f>
        <v/>
      </c>
      <c r="AH30" s="37">
        <f>IF($B30="","",COUNTIF($C30:$AG30,"F"))</f>
        <v/>
      </c>
      <c r="AI30" s="37">
        <f>IF($B30="","",COUNTIF($C30:$AG30,"D"))</f>
        <v/>
      </c>
      <c r="AJ30" s="37">
        <f>IF($B30="","",COUNTIF($C30:$AG30,"A"))</f>
        <v/>
      </c>
      <c r="AK30" s="37">
        <f>IF($B30="","",SUMPRODUCT(($C30:$AG30&lt;&gt;"")*1))</f>
        <v/>
      </c>
    </row>
    <row r="31">
      <c r="A31" s="33">
        <f>IF('Equipe'!A29="","",'Equipe'!A29)</f>
        <v/>
      </c>
      <c r="B31" s="34">
        <f>IF('Equipe'!B29="","",'Equipe'!B29)</f>
        <v/>
      </c>
      <c r="C31" s="15">
        <f>IF(OR($B31="",C$2=""),"",IF(SUMPRODUCT((Aus_Tec=$B31)*(Aus_Ini&lt;=C$2)*(Aus_Fim&gt;=C$2)*(Aus_Cod&gt;0))=0,"",IF(SUMPRODUCT((Aus_Tec=$B31)*(Aus_Ini&lt;=C$2)*(Aus_Fim&gt;=C$2)*(Aus_Cod&gt;0))&gt;1,"!",IFERROR(INDEX(Aus_Siglas,SUMPRODUCT((Aus_Tec=$B31)*(Aus_Ini&lt;=C$2)*(Aus_Fim&gt;=C$2)*Aus_Cod)),"!"))))</f>
        <v/>
      </c>
      <c r="D31" s="15">
        <f>IF(OR($B31="",D$2=""),"",IF(SUMPRODUCT((Aus_Tec=$B31)*(Aus_Ini&lt;=D$2)*(Aus_Fim&gt;=D$2)*(Aus_Cod&gt;0))=0,"",IF(SUMPRODUCT((Aus_Tec=$B31)*(Aus_Ini&lt;=D$2)*(Aus_Fim&gt;=D$2)*(Aus_Cod&gt;0))&gt;1,"!",IFERROR(INDEX(Aus_Siglas,SUMPRODUCT((Aus_Tec=$B31)*(Aus_Ini&lt;=D$2)*(Aus_Fim&gt;=D$2)*Aus_Cod)),"!"))))</f>
        <v/>
      </c>
      <c r="E31" s="15">
        <f>IF(OR($B31="",E$2=""),"",IF(SUMPRODUCT((Aus_Tec=$B31)*(Aus_Ini&lt;=E$2)*(Aus_Fim&gt;=E$2)*(Aus_Cod&gt;0))=0,"",IF(SUMPRODUCT((Aus_Tec=$B31)*(Aus_Ini&lt;=E$2)*(Aus_Fim&gt;=E$2)*(Aus_Cod&gt;0))&gt;1,"!",IFERROR(INDEX(Aus_Siglas,SUMPRODUCT((Aus_Tec=$B31)*(Aus_Ini&lt;=E$2)*(Aus_Fim&gt;=E$2)*Aus_Cod)),"!"))))</f>
        <v/>
      </c>
      <c r="F31" s="15">
        <f>IF(OR($B31="",F$2=""),"",IF(SUMPRODUCT((Aus_Tec=$B31)*(Aus_Ini&lt;=F$2)*(Aus_Fim&gt;=F$2)*(Aus_Cod&gt;0))=0,"",IF(SUMPRODUCT((Aus_Tec=$B31)*(Aus_Ini&lt;=F$2)*(Aus_Fim&gt;=F$2)*(Aus_Cod&gt;0))&gt;1,"!",IFERROR(INDEX(Aus_Siglas,SUMPRODUCT((Aus_Tec=$B31)*(Aus_Ini&lt;=F$2)*(Aus_Fim&gt;=F$2)*Aus_Cod)),"!"))))</f>
        <v/>
      </c>
      <c r="G31" s="15">
        <f>IF(OR($B31="",G$2=""),"",IF(SUMPRODUCT((Aus_Tec=$B31)*(Aus_Ini&lt;=G$2)*(Aus_Fim&gt;=G$2)*(Aus_Cod&gt;0))=0,"",IF(SUMPRODUCT((Aus_Tec=$B31)*(Aus_Ini&lt;=G$2)*(Aus_Fim&gt;=G$2)*(Aus_Cod&gt;0))&gt;1,"!",IFERROR(INDEX(Aus_Siglas,SUMPRODUCT((Aus_Tec=$B31)*(Aus_Ini&lt;=G$2)*(Aus_Fim&gt;=G$2)*Aus_Cod)),"!"))))</f>
        <v/>
      </c>
      <c r="H31" s="15">
        <f>IF(OR($B31="",H$2=""),"",IF(SUMPRODUCT((Aus_Tec=$B31)*(Aus_Ini&lt;=H$2)*(Aus_Fim&gt;=H$2)*(Aus_Cod&gt;0))=0,"",IF(SUMPRODUCT((Aus_Tec=$B31)*(Aus_Ini&lt;=H$2)*(Aus_Fim&gt;=H$2)*(Aus_Cod&gt;0))&gt;1,"!",IFERROR(INDEX(Aus_Siglas,SUMPRODUCT((Aus_Tec=$B31)*(Aus_Ini&lt;=H$2)*(Aus_Fim&gt;=H$2)*Aus_Cod)),"!"))))</f>
        <v/>
      </c>
      <c r="I31" s="15">
        <f>IF(OR($B31="",I$2=""),"",IF(SUMPRODUCT((Aus_Tec=$B31)*(Aus_Ini&lt;=I$2)*(Aus_Fim&gt;=I$2)*(Aus_Cod&gt;0))=0,"",IF(SUMPRODUCT((Aus_Tec=$B31)*(Aus_Ini&lt;=I$2)*(Aus_Fim&gt;=I$2)*(Aus_Cod&gt;0))&gt;1,"!",IFERROR(INDEX(Aus_Siglas,SUMPRODUCT((Aus_Tec=$B31)*(Aus_Ini&lt;=I$2)*(Aus_Fim&gt;=I$2)*Aus_Cod)),"!"))))</f>
        <v/>
      </c>
      <c r="J31" s="15">
        <f>IF(OR($B31="",J$2=""),"",IF(SUMPRODUCT((Aus_Tec=$B31)*(Aus_Ini&lt;=J$2)*(Aus_Fim&gt;=J$2)*(Aus_Cod&gt;0))=0,"",IF(SUMPRODUCT((Aus_Tec=$B31)*(Aus_Ini&lt;=J$2)*(Aus_Fim&gt;=J$2)*(Aus_Cod&gt;0))&gt;1,"!",IFERROR(INDEX(Aus_Siglas,SUMPRODUCT((Aus_Tec=$B31)*(Aus_Ini&lt;=J$2)*(Aus_Fim&gt;=J$2)*Aus_Cod)),"!"))))</f>
        <v/>
      </c>
      <c r="K31" s="15">
        <f>IF(OR($B31="",K$2=""),"",IF(SUMPRODUCT((Aus_Tec=$B31)*(Aus_Ini&lt;=K$2)*(Aus_Fim&gt;=K$2)*(Aus_Cod&gt;0))=0,"",IF(SUMPRODUCT((Aus_Tec=$B31)*(Aus_Ini&lt;=K$2)*(Aus_Fim&gt;=K$2)*(Aus_Cod&gt;0))&gt;1,"!",IFERROR(INDEX(Aus_Siglas,SUMPRODUCT((Aus_Tec=$B31)*(Aus_Ini&lt;=K$2)*(Aus_Fim&gt;=K$2)*Aus_Cod)),"!"))))</f>
        <v/>
      </c>
      <c r="L31" s="15">
        <f>IF(OR($B31="",L$2=""),"",IF(SUMPRODUCT((Aus_Tec=$B31)*(Aus_Ini&lt;=L$2)*(Aus_Fim&gt;=L$2)*(Aus_Cod&gt;0))=0,"",IF(SUMPRODUCT((Aus_Tec=$B31)*(Aus_Ini&lt;=L$2)*(Aus_Fim&gt;=L$2)*(Aus_Cod&gt;0))&gt;1,"!",IFERROR(INDEX(Aus_Siglas,SUMPRODUCT((Aus_Tec=$B31)*(Aus_Ini&lt;=L$2)*(Aus_Fim&gt;=L$2)*Aus_Cod)),"!"))))</f>
        <v/>
      </c>
      <c r="M31" s="15">
        <f>IF(OR($B31="",M$2=""),"",IF(SUMPRODUCT((Aus_Tec=$B31)*(Aus_Ini&lt;=M$2)*(Aus_Fim&gt;=M$2)*(Aus_Cod&gt;0))=0,"",IF(SUMPRODUCT((Aus_Tec=$B31)*(Aus_Ini&lt;=M$2)*(Aus_Fim&gt;=M$2)*(Aus_Cod&gt;0))&gt;1,"!",IFERROR(INDEX(Aus_Siglas,SUMPRODUCT((Aus_Tec=$B31)*(Aus_Ini&lt;=M$2)*(Aus_Fim&gt;=M$2)*Aus_Cod)),"!"))))</f>
        <v/>
      </c>
      <c r="N31" s="15">
        <f>IF(OR($B31="",N$2=""),"",IF(SUMPRODUCT((Aus_Tec=$B31)*(Aus_Ini&lt;=N$2)*(Aus_Fim&gt;=N$2)*(Aus_Cod&gt;0))=0,"",IF(SUMPRODUCT((Aus_Tec=$B31)*(Aus_Ini&lt;=N$2)*(Aus_Fim&gt;=N$2)*(Aus_Cod&gt;0))&gt;1,"!",IFERROR(INDEX(Aus_Siglas,SUMPRODUCT((Aus_Tec=$B31)*(Aus_Ini&lt;=N$2)*(Aus_Fim&gt;=N$2)*Aus_Cod)),"!"))))</f>
        <v/>
      </c>
      <c r="O31" s="15">
        <f>IF(OR($B31="",O$2=""),"",IF(SUMPRODUCT((Aus_Tec=$B31)*(Aus_Ini&lt;=O$2)*(Aus_Fim&gt;=O$2)*(Aus_Cod&gt;0))=0,"",IF(SUMPRODUCT((Aus_Tec=$B31)*(Aus_Ini&lt;=O$2)*(Aus_Fim&gt;=O$2)*(Aus_Cod&gt;0))&gt;1,"!",IFERROR(INDEX(Aus_Siglas,SUMPRODUCT((Aus_Tec=$B31)*(Aus_Ini&lt;=O$2)*(Aus_Fim&gt;=O$2)*Aus_Cod)),"!"))))</f>
        <v/>
      </c>
      <c r="P31" s="15">
        <f>IF(OR($B31="",P$2=""),"",IF(SUMPRODUCT((Aus_Tec=$B31)*(Aus_Ini&lt;=P$2)*(Aus_Fim&gt;=P$2)*(Aus_Cod&gt;0))=0,"",IF(SUMPRODUCT((Aus_Tec=$B31)*(Aus_Ini&lt;=P$2)*(Aus_Fim&gt;=P$2)*(Aus_Cod&gt;0))&gt;1,"!",IFERROR(INDEX(Aus_Siglas,SUMPRODUCT((Aus_Tec=$B31)*(Aus_Ini&lt;=P$2)*(Aus_Fim&gt;=P$2)*Aus_Cod)),"!"))))</f>
        <v/>
      </c>
      <c r="Q31" s="15">
        <f>IF(OR($B31="",Q$2=""),"",IF(SUMPRODUCT((Aus_Tec=$B31)*(Aus_Ini&lt;=Q$2)*(Aus_Fim&gt;=Q$2)*(Aus_Cod&gt;0))=0,"",IF(SUMPRODUCT((Aus_Tec=$B31)*(Aus_Ini&lt;=Q$2)*(Aus_Fim&gt;=Q$2)*(Aus_Cod&gt;0))&gt;1,"!",IFERROR(INDEX(Aus_Siglas,SUMPRODUCT((Aus_Tec=$B31)*(Aus_Ini&lt;=Q$2)*(Aus_Fim&gt;=Q$2)*Aus_Cod)),"!"))))</f>
        <v/>
      </c>
      <c r="R31" s="15">
        <f>IF(OR($B31="",R$2=""),"",IF(SUMPRODUCT((Aus_Tec=$B31)*(Aus_Ini&lt;=R$2)*(Aus_Fim&gt;=R$2)*(Aus_Cod&gt;0))=0,"",IF(SUMPRODUCT((Aus_Tec=$B31)*(Aus_Ini&lt;=R$2)*(Aus_Fim&gt;=R$2)*(Aus_Cod&gt;0))&gt;1,"!",IFERROR(INDEX(Aus_Siglas,SUMPRODUCT((Aus_Tec=$B31)*(Aus_Ini&lt;=R$2)*(Aus_Fim&gt;=R$2)*Aus_Cod)),"!"))))</f>
        <v/>
      </c>
      <c r="S31" s="15">
        <f>IF(OR($B31="",S$2=""),"",IF(SUMPRODUCT((Aus_Tec=$B31)*(Aus_Ini&lt;=S$2)*(Aus_Fim&gt;=S$2)*(Aus_Cod&gt;0))=0,"",IF(SUMPRODUCT((Aus_Tec=$B31)*(Aus_Ini&lt;=S$2)*(Aus_Fim&gt;=S$2)*(Aus_Cod&gt;0))&gt;1,"!",IFERROR(INDEX(Aus_Siglas,SUMPRODUCT((Aus_Tec=$B31)*(Aus_Ini&lt;=S$2)*(Aus_Fim&gt;=S$2)*Aus_Cod)),"!"))))</f>
        <v/>
      </c>
      <c r="T31" s="15">
        <f>IF(OR($B31="",T$2=""),"",IF(SUMPRODUCT((Aus_Tec=$B31)*(Aus_Ini&lt;=T$2)*(Aus_Fim&gt;=T$2)*(Aus_Cod&gt;0))=0,"",IF(SUMPRODUCT((Aus_Tec=$B31)*(Aus_Ini&lt;=T$2)*(Aus_Fim&gt;=T$2)*(Aus_Cod&gt;0))&gt;1,"!",IFERROR(INDEX(Aus_Siglas,SUMPRODUCT((Aus_Tec=$B31)*(Aus_Ini&lt;=T$2)*(Aus_Fim&gt;=T$2)*Aus_Cod)),"!"))))</f>
        <v/>
      </c>
      <c r="U31" s="15">
        <f>IF(OR($B31="",U$2=""),"",IF(SUMPRODUCT((Aus_Tec=$B31)*(Aus_Ini&lt;=U$2)*(Aus_Fim&gt;=U$2)*(Aus_Cod&gt;0))=0,"",IF(SUMPRODUCT((Aus_Tec=$B31)*(Aus_Ini&lt;=U$2)*(Aus_Fim&gt;=U$2)*(Aus_Cod&gt;0))&gt;1,"!",IFERROR(INDEX(Aus_Siglas,SUMPRODUCT((Aus_Tec=$B31)*(Aus_Ini&lt;=U$2)*(Aus_Fim&gt;=U$2)*Aus_Cod)),"!"))))</f>
        <v/>
      </c>
      <c r="V31" s="15">
        <f>IF(OR($B31="",V$2=""),"",IF(SUMPRODUCT((Aus_Tec=$B31)*(Aus_Ini&lt;=V$2)*(Aus_Fim&gt;=V$2)*(Aus_Cod&gt;0))=0,"",IF(SUMPRODUCT((Aus_Tec=$B31)*(Aus_Ini&lt;=V$2)*(Aus_Fim&gt;=V$2)*(Aus_Cod&gt;0))&gt;1,"!",IFERROR(INDEX(Aus_Siglas,SUMPRODUCT((Aus_Tec=$B31)*(Aus_Ini&lt;=V$2)*(Aus_Fim&gt;=V$2)*Aus_Cod)),"!"))))</f>
        <v/>
      </c>
      <c r="W31" s="15">
        <f>IF(OR($B31="",W$2=""),"",IF(SUMPRODUCT((Aus_Tec=$B31)*(Aus_Ini&lt;=W$2)*(Aus_Fim&gt;=W$2)*(Aus_Cod&gt;0))=0,"",IF(SUMPRODUCT((Aus_Tec=$B31)*(Aus_Ini&lt;=W$2)*(Aus_Fim&gt;=W$2)*(Aus_Cod&gt;0))&gt;1,"!",IFERROR(INDEX(Aus_Siglas,SUMPRODUCT((Aus_Tec=$B31)*(Aus_Ini&lt;=W$2)*(Aus_Fim&gt;=W$2)*Aus_Cod)),"!"))))</f>
        <v/>
      </c>
      <c r="X31" s="15">
        <f>IF(OR($B31="",X$2=""),"",IF(SUMPRODUCT((Aus_Tec=$B31)*(Aus_Ini&lt;=X$2)*(Aus_Fim&gt;=X$2)*(Aus_Cod&gt;0))=0,"",IF(SUMPRODUCT((Aus_Tec=$B31)*(Aus_Ini&lt;=X$2)*(Aus_Fim&gt;=X$2)*(Aus_Cod&gt;0))&gt;1,"!",IFERROR(INDEX(Aus_Siglas,SUMPRODUCT((Aus_Tec=$B31)*(Aus_Ini&lt;=X$2)*(Aus_Fim&gt;=X$2)*Aus_Cod)),"!"))))</f>
        <v/>
      </c>
      <c r="Y31" s="15">
        <f>IF(OR($B31="",Y$2=""),"",IF(SUMPRODUCT((Aus_Tec=$B31)*(Aus_Ini&lt;=Y$2)*(Aus_Fim&gt;=Y$2)*(Aus_Cod&gt;0))=0,"",IF(SUMPRODUCT((Aus_Tec=$B31)*(Aus_Ini&lt;=Y$2)*(Aus_Fim&gt;=Y$2)*(Aus_Cod&gt;0))&gt;1,"!",IFERROR(INDEX(Aus_Siglas,SUMPRODUCT((Aus_Tec=$B31)*(Aus_Ini&lt;=Y$2)*(Aus_Fim&gt;=Y$2)*Aus_Cod)),"!"))))</f>
        <v/>
      </c>
      <c r="Z31" s="15">
        <f>IF(OR($B31="",Z$2=""),"",IF(SUMPRODUCT((Aus_Tec=$B31)*(Aus_Ini&lt;=Z$2)*(Aus_Fim&gt;=Z$2)*(Aus_Cod&gt;0))=0,"",IF(SUMPRODUCT((Aus_Tec=$B31)*(Aus_Ini&lt;=Z$2)*(Aus_Fim&gt;=Z$2)*(Aus_Cod&gt;0))&gt;1,"!",IFERROR(INDEX(Aus_Siglas,SUMPRODUCT((Aus_Tec=$B31)*(Aus_Ini&lt;=Z$2)*(Aus_Fim&gt;=Z$2)*Aus_Cod)),"!"))))</f>
        <v/>
      </c>
      <c r="AA31" s="15">
        <f>IF(OR($B31="",AA$2=""),"",IF(SUMPRODUCT((Aus_Tec=$B31)*(Aus_Ini&lt;=AA$2)*(Aus_Fim&gt;=AA$2)*(Aus_Cod&gt;0))=0,"",IF(SUMPRODUCT((Aus_Tec=$B31)*(Aus_Ini&lt;=AA$2)*(Aus_Fim&gt;=AA$2)*(Aus_Cod&gt;0))&gt;1,"!",IFERROR(INDEX(Aus_Siglas,SUMPRODUCT((Aus_Tec=$B31)*(Aus_Ini&lt;=AA$2)*(Aus_Fim&gt;=AA$2)*Aus_Cod)),"!"))))</f>
        <v/>
      </c>
      <c r="AB31" s="15">
        <f>IF(OR($B31="",AB$2=""),"",IF(SUMPRODUCT((Aus_Tec=$B31)*(Aus_Ini&lt;=AB$2)*(Aus_Fim&gt;=AB$2)*(Aus_Cod&gt;0))=0,"",IF(SUMPRODUCT((Aus_Tec=$B31)*(Aus_Ini&lt;=AB$2)*(Aus_Fim&gt;=AB$2)*(Aus_Cod&gt;0))&gt;1,"!",IFERROR(INDEX(Aus_Siglas,SUMPRODUCT((Aus_Tec=$B31)*(Aus_Ini&lt;=AB$2)*(Aus_Fim&gt;=AB$2)*Aus_Cod)),"!"))))</f>
        <v/>
      </c>
      <c r="AC31" s="15">
        <f>IF(OR($B31="",AC$2=""),"",IF(SUMPRODUCT((Aus_Tec=$B31)*(Aus_Ini&lt;=AC$2)*(Aus_Fim&gt;=AC$2)*(Aus_Cod&gt;0))=0,"",IF(SUMPRODUCT((Aus_Tec=$B31)*(Aus_Ini&lt;=AC$2)*(Aus_Fim&gt;=AC$2)*(Aus_Cod&gt;0))&gt;1,"!",IFERROR(INDEX(Aus_Siglas,SUMPRODUCT((Aus_Tec=$B31)*(Aus_Ini&lt;=AC$2)*(Aus_Fim&gt;=AC$2)*Aus_Cod)),"!"))))</f>
        <v/>
      </c>
      <c r="AD31" s="15">
        <f>IF(OR($B31="",AD$2=""),"",IF(SUMPRODUCT((Aus_Tec=$B31)*(Aus_Ini&lt;=AD$2)*(Aus_Fim&gt;=AD$2)*(Aus_Cod&gt;0))=0,"",IF(SUMPRODUCT((Aus_Tec=$B31)*(Aus_Ini&lt;=AD$2)*(Aus_Fim&gt;=AD$2)*(Aus_Cod&gt;0))&gt;1,"!",IFERROR(INDEX(Aus_Siglas,SUMPRODUCT((Aus_Tec=$B31)*(Aus_Ini&lt;=AD$2)*(Aus_Fim&gt;=AD$2)*Aus_Cod)),"!"))))</f>
        <v/>
      </c>
      <c r="AE31" s="15">
        <f>IF(OR($B31="",AE$2=""),"",IF(SUMPRODUCT((Aus_Tec=$B31)*(Aus_Ini&lt;=AE$2)*(Aus_Fim&gt;=AE$2)*(Aus_Cod&gt;0))=0,"",IF(SUMPRODUCT((Aus_Tec=$B31)*(Aus_Ini&lt;=AE$2)*(Aus_Fim&gt;=AE$2)*(Aus_Cod&gt;0))&gt;1,"!",IFERROR(INDEX(Aus_Siglas,SUMPRODUCT((Aus_Tec=$B31)*(Aus_Ini&lt;=AE$2)*(Aus_Fim&gt;=AE$2)*Aus_Cod)),"!"))))</f>
        <v/>
      </c>
      <c r="AF31" s="15">
        <f>IF(OR($B31="",AF$2=""),"",IF(SUMPRODUCT((Aus_Tec=$B31)*(Aus_Ini&lt;=AF$2)*(Aus_Fim&gt;=AF$2)*(Aus_Cod&gt;0))=0,"",IF(SUMPRODUCT((Aus_Tec=$B31)*(Aus_Ini&lt;=AF$2)*(Aus_Fim&gt;=AF$2)*(Aus_Cod&gt;0))&gt;1,"!",IFERROR(INDEX(Aus_Siglas,SUMPRODUCT((Aus_Tec=$B31)*(Aus_Ini&lt;=AF$2)*(Aus_Fim&gt;=AF$2)*Aus_Cod)),"!"))))</f>
        <v/>
      </c>
      <c r="AG31" s="15">
        <f>IF(OR($B31="",AG$2=""),"",IF(SUMPRODUCT((Aus_Tec=$B31)*(Aus_Ini&lt;=AG$2)*(Aus_Fim&gt;=AG$2)*(Aus_Cod&gt;0))=0,"",IF(SUMPRODUCT((Aus_Tec=$B31)*(Aus_Ini&lt;=AG$2)*(Aus_Fim&gt;=AG$2)*(Aus_Cod&gt;0))&gt;1,"!",IFERROR(INDEX(Aus_Siglas,SUMPRODUCT((Aus_Tec=$B31)*(Aus_Ini&lt;=AG$2)*(Aus_Fim&gt;=AG$2)*Aus_Cod)),"!"))))</f>
        <v/>
      </c>
      <c r="AH31" s="37">
        <f>IF($B31="","",COUNTIF($C31:$AG31,"F"))</f>
        <v/>
      </c>
      <c r="AI31" s="37">
        <f>IF($B31="","",COUNTIF($C31:$AG31,"D"))</f>
        <v/>
      </c>
      <c r="AJ31" s="37">
        <f>IF($B31="","",COUNTIF($C31:$AG31,"A"))</f>
        <v/>
      </c>
      <c r="AK31" s="37">
        <f>IF($B31="","",SUMPRODUCT(($C31:$AG31&lt;&gt;"")*1))</f>
        <v/>
      </c>
    </row>
    <row r="32">
      <c r="A32" s="33">
        <f>IF('Equipe'!A30="","",'Equipe'!A30)</f>
        <v/>
      </c>
      <c r="B32" s="34">
        <f>IF('Equipe'!B30="","",'Equipe'!B30)</f>
        <v/>
      </c>
      <c r="C32" s="15">
        <f>IF(OR($B32="",C$2=""),"",IF(SUMPRODUCT((Aus_Tec=$B32)*(Aus_Ini&lt;=C$2)*(Aus_Fim&gt;=C$2)*(Aus_Cod&gt;0))=0,"",IF(SUMPRODUCT((Aus_Tec=$B32)*(Aus_Ini&lt;=C$2)*(Aus_Fim&gt;=C$2)*(Aus_Cod&gt;0))&gt;1,"!",IFERROR(INDEX(Aus_Siglas,SUMPRODUCT((Aus_Tec=$B32)*(Aus_Ini&lt;=C$2)*(Aus_Fim&gt;=C$2)*Aus_Cod)),"!"))))</f>
        <v/>
      </c>
      <c r="D32" s="15">
        <f>IF(OR($B32="",D$2=""),"",IF(SUMPRODUCT((Aus_Tec=$B32)*(Aus_Ini&lt;=D$2)*(Aus_Fim&gt;=D$2)*(Aus_Cod&gt;0))=0,"",IF(SUMPRODUCT((Aus_Tec=$B32)*(Aus_Ini&lt;=D$2)*(Aus_Fim&gt;=D$2)*(Aus_Cod&gt;0))&gt;1,"!",IFERROR(INDEX(Aus_Siglas,SUMPRODUCT((Aus_Tec=$B32)*(Aus_Ini&lt;=D$2)*(Aus_Fim&gt;=D$2)*Aus_Cod)),"!"))))</f>
        <v/>
      </c>
      <c r="E32" s="15">
        <f>IF(OR($B32="",E$2=""),"",IF(SUMPRODUCT((Aus_Tec=$B32)*(Aus_Ini&lt;=E$2)*(Aus_Fim&gt;=E$2)*(Aus_Cod&gt;0))=0,"",IF(SUMPRODUCT((Aus_Tec=$B32)*(Aus_Ini&lt;=E$2)*(Aus_Fim&gt;=E$2)*(Aus_Cod&gt;0))&gt;1,"!",IFERROR(INDEX(Aus_Siglas,SUMPRODUCT((Aus_Tec=$B32)*(Aus_Ini&lt;=E$2)*(Aus_Fim&gt;=E$2)*Aus_Cod)),"!"))))</f>
        <v/>
      </c>
      <c r="F32" s="15">
        <f>IF(OR($B32="",F$2=""),"",IF(SUMPRODUCT((Aus_Tec=$B32)*(Aus_Ini&lt;=F$2)*(Aus_Fim&gt;=F$2)*(Aus_Cod&gt;0))=0,"",IF(SUMPRODUCT((Aus_Tec=$B32)*(Aus_Ini&lt;=F$2)*(Aus_Fim&gt;=F$2)*(Aus_Cod&gt;0))&gt;1,"!",IFERROR(INDEX(Aus_Siglas,SUMPRODUCT((Aus_Tec=$B32)*(Aus_Ini&lt;=F$2)*(Aus_Fim&gt;=F$2)*Aus_Cod)),"!"))))</f>
        <v/>
      </c>
      <c r="G32" s="15">
        <f>IF(OR($B32="",G$2=""),"",IF(SUMPRODUCT((Aus_Tec=$B32)*(Aus_Ini&lt;=G$2)*(Aus_Fim&gt;=G$2)*(Aus_Cod&gt;0))=0,"",IF(SUMPRODUCT((Aus_Tec=$B32)*(Aus_Ini&lt;=G$2)*(Aus_Fim&gt;=G$2)*(Aus_Cod&gt;0))&gt;1,"!",IFERROR(INDEX(Aus_Siglas,SUMPRODUCT((Aus_Tec=$B32)*(Aus_Ini&lt;=G$2)*(Aus_Fim&gt;=G$2)*Aus_Cod)),"!"))))</f>
        <v/>
      </c>
      <c r="H32" s="15">
        <f>IF(OR($B32="",H$2=""),"",IF(SUMPRODUCT((Aus_Tec=$B32)*(Aus_Ini&lt;=H$2)*(Aus_Fim&gt;=H$2)*(Aus_Cod&gt;0))=0,"",IF(SUMPRODUCT((Aus_Tec=$B32)*(Aus_Ini&lt;=H$2)*(Aus_Fim&gt;=H$2)*(Aus_Cod&gt;0))&gt;1,"!",IFERROR(INDEX(Aus_Siglas,SUMPRODUCT((Aus_Tec=$B32)*(Aus_Ini&lt;=H$2)*(Aus_Fim&gt;=H$2)*Aus_Cod)),"!"))))</f>
        <v/>
      </c>
      <c r="I32" s="15">
        <f>IF(OR($B32="",I$2=""),"",IF(SUMPRODUCT((Aus_Tec=$B32)*(Aus_Ini&lt;=I$2)*(Aus_Fim&gt;=I$2)*(Aus_Cod&gt;0))=0,"",IF(SUMPRODUCT((Aus_Tec=$B32)*(Aus_Ini&lt;=I$2)*(Aus_Fim&gt;=I$2)*(Aus_Cod&gt;0))&gt;1,"!",IFERROR(INDEX(Aus_Siglas,SUMPRODUCT((Aus_Tec=$B32)*(Aus_Ini&lt;=I$2)*(Aus_Fim&gt;=I$2)*Aus_Cod)),"!"))))</f>
        <v/>
      </c>
      <c r="J32" s="15">
        <f>IF(OR($B32="",J$2=""),"",IF(SUMPRODUCT((Aus_Tec=$B32)*(Aus_Ini&lt;=J$2)*(Aus_Fim&gt;=J$2)*(Aus_Cod&gt;0))=0,"",IF(SUMPRODUCT((Aus_Tec=$B32)*(Aus_Ini&lt;=J$2)*(Aus_Fim&gt;=J$2)*(Aus_Cod&gt;0))&gt;1,"!",IFERROR(INDEX(Aus_Siglas,SUMPRODUCT((Aus_Tec=$B32)*(Aus_Ini&lt;=J$2)*(Aus_Fim&gt;=J$2)*Aus_Cod)),"!"))))</f>
        <v/>
      </c>
      <c r="K32" s="15">
        <f>IF(OR($B32="",K$2=""),"",IF(SUMPRODUCT((Aus_Tec=$B32)*(Aus_Ini&lt;=K$2)*(Aus_Fim&gt;=K$2)*(Aus_Cod&gt;0))=0,"",IF(SUMPRODUCT((Aus_Tec=$B32)*(Aus_Ini&lt;=K$2)*(Aus_Fim&gt;=K$2)*(Aus_Cod&gt;0))&gt;1,"!",IFERROR(INDEX(Aus_Siglas,SUMPRODUCT((Aus_Tec=$B32)*(Aus_Ini&lt;=K$2)*(Aus_Fim&gt;=K$2)*Aus_Cod)),"!"))))</f>
        <v/>
      </c>
      <c r="L32" s="15">
        <f>IF(OR($B32="",L$2=""),"",IF(SUMPRODUCT((Aus_Tec=$B32)*(Aus_Ini&lt;=L$2)*(Aus_Fim&gt;=L$2)*(Aus_Cod&gt;0))=0,"",IF(SUMPRODUCT((Aus_Tec=$B32)*(Aus_Ini&lt;=L$2)*(Aus_Fim&gt;=L$2)*(Aus_Cod&gt;0))&gt;1,"!",IFERROR(INDEX(Aus_Siglas,SUMPRODUCT((Aus_Tec=$B32)*(Aus_Ini&lt;=L$2)*(Aus_Fim&gt;=L$2)*Aus_Cod)),"!"))))</f>
        <v/>
      </c>
      <c r="M32" s="15">
        <f>IF(OR($B32="",M$2=""),"",IF(SUMPRODUCT((Aus_Tec=$B32)*(Aus_Ini&lt;=M$2)*(Aus_Fim&gt;=M$2)*(Aus_Cod&gt;0))=0,"",IF(SUMPRODUCT((Aus_Tec=$B32)*(Aus_Ini&lt;=M$2)*(Aus_Fim&gt;=M$2)*(Aus_Cod&gt;0))&gt;1,"!",IFERROR(INDEX(Aus_Siglas,SUMPRODUCT((Aus_Tec=$B32)*(Aus_Ini&lt;=M$2)*(Aus_Fim&gt;=M$2)*Aus_Cod)),"!"))))</f>
        <v/>
      </c>
      <c r="N32" s="15">
        <f>IF(OR($B32="",N$2=""),"",IF(SUMPRODUCT((Aus_Tec=$B32)*(Aus_Ini&lt;=N$2)*(Aus_Fim&gt;=N$2)*(Aus_Cod&gt;0))=0,"",IF(SUMPRODUCT((Aus_Tec=$B32)*(Aus_Ini&lt;=N$2)*(Aus_Fim&gt;=N$2)*(Aus_Cod&gt;0))&gt;1,"!",IFERROR(INDEX(Aus_Siglas,SUMPRODUCT((Aus_Tec=$B32)*(Aus_Ini&lt;=N$2)*(Aus_Fim&gt;=N$2)*Aus_Cod)),"!"))))</f>
        <v/>
      </c>
      <c r="O32" s="15">
        <f>IF(OR($B32="",O$2=""),"",IF(SUMPRODUCT((Aus_Tec=$B32)*(Aus_Ini&lt;=O$2)*(Aus_Fim&gt;=O$2)*(Aus_Cod&gt;0))=0,"",IF(SUMPRODUCT((Aus_Tec=$B32)*(Aus_Ini&lt;=O$2)*(Aus_Fim&gt;=O$2)*(Aus_Cod&gt;0))&gt;1,"!",IFERROR(INDEX(Aus_Siglas,SUMPRODUCT((Aus_Tec=$B32)*(Aus_Ini&lt;=O$2)*(Aus_Fim&gt;=O$2)*Aus_Cod)),"!"))))</f>
        <v/>
      </c>
      <c r="P32" s="15">
        <f>IF(OR($B32="",P$2=""),"",IF(SUMPRODUCT((Aus_Tec=$B32)*(Aus_Ini&lt;=P$2)*(Aus_Fim&gt;=P$2)*(Aus_Cod&gt;0))=0,"",IF(SUMPRODUCT((Aus_Tec=$B32)*(Aus_Ini&lt;=P$2)*(Aus_Fim&gt;=P$2)*(Aus_Cod&gt;0))&gt;1,"!",IFERROR(INDEX(Aus_Siglas,SUMPRODUCT((Aus_Tec=$B32)*(Aus_Ini&lt;=P$2)*(Aus_Fim&gt;=P$2)*Aus_Cod)),"!"))))</f>
        <v/>
      </c>
      <c r="Q32" s="15">
        <f>IF(OR($B32="",Q$2=""),"",IF(SUMPRODUCT((Aus_Tec=$B32)*(Aus_Ini&lt;=Q$2)*(Aus_Fim&gt;=Q$2)*(Aus_Cod&gt;0))=0,"",IF(SUMPRODUCT((Aus_Tec=$B32)*(Aus_Ini&lt;=Q$2)*(Aus_Fim&gt;=Q$2)*(Aus_Cod&gt;0))&gt;1,"!",IFERROR(INDEX(Aus_Siglas,SUMPRODUCT((Aus_Tec=$B32)*(Aus_Ini&lt;=Q$2)*(Aus_Fim&gt;=Q$2)*Aus_Cod)),"!"))))</f>
        <v/>
      </c>
      <c r="R32" s="15">
        <f>IF(OR($B32="",R$2=""),"",IF(SUMPRODUCT((Aus_Tec=$B32)*(Aus_Ini&lt;=R$2)*(Aus_Fim&gt;=R$2)*(Aus_Cod&gt;0))=0,"",IF(SUMPRODUCT((Aus_Tec=$B32)*(Aus_Ini&lt;=R$2)*(Aus_Fim&gt;=R$2)*(Aus_Cod&gt;0))&gt;1,"!",IFERROR(INDEX(Aus_Siglas,SUMPRODUCT((Aus_Tec=$B32)*(Aus_Ini&lt;=R$2)*(Aus_Fim&gt;=R$2)*Aus_Cod)),"!"))))</f>
        <v/>
      </c>
      <c r="S32" s="15">
        <f>IF(OR($B32="",S$2=""),"",IF(SUMPRODUCT((Aus_Tec=$B32)*(Aus_Ini&lt;=S$2)*(Aus_Fim&gt;=S$2)*(Aus_Cod&gt;0))=0,"",IF(SUMPRODUCT((Aus_Tec=$B32)*(Aus_Ini&lt;=S$2)*(Aus_Fim&gt;=S$2)*(Aus_Cod&gt;0))&gt;1,"!",IFERROR(INDEX(Aus_Siglas,SUMPRODUCT((Aus_Tec=$B32)*(Aus_Ini&lt;=S$2)*(Aus_Fim&gt;=S$2)*Aus_Cod)),"!"))))</f>
        <v/>
      </c>
      <c r="T32" s="15">
        <f>IF(OR($B32="",T$2=""),"",IF(SUMPRODUCT((Aus_Tec=$B32)*(Aus_Ini&lt;=T$2)*(Aus_Fim&gt;=T$2)*(Aus_Cod&gt;0))=0,"",IF(SUMPRODUCT((Aus_Tec=$B32)*(Aus_Ini&lt;=T$2)*(Aus_Fim&gt;=T$2)*(Aus_Cod&gt;0))&gt;1,"!",IFERROR(INDEX(Aus_Siglas,SUMPRODUCT((Aus_Tec=$B32)*(Aus_Ini&lt;=T$2)*(Aus_Fim&gt;=T$2)*Aus_Cod)),"!"))))</f>
        <v/>
      </c>
      <c r="U32" s="15">
        <f>IF(OR($B32="",U$2=""),"",IF(SUMPRODUCT((Aus_Tec=$B32)*(Aus_Ini&lt;=U$2)*(Aus_Fim&gt;=U$2)*(Aus_Cod&gt;0))=0,"",IF(SUMPRODUCT((Aus_Tec=$B32)*(Aus_Ini&lt;=U$2)*(Aus_Fim&gt;=U$2)*(Aus_Cod&gt;0))&gt;1,"!",IFERROR(INDEX(Aus_Siglas,SUMPRODUCT((Aus_Tec=$B32)*(Aus_Ini&lt;=U$2)*(Aus_Fim&gt;=U$2)*Aus_Cod)),"!"))))</f>
        <v/>
      </c>
      <c r="V32" s="15">
        <f>IF(OR($B32="",V$2=""),"",IF(SUMPRODUCT((Aus_Tec=$B32)*(Aus_Ini&lt;=V$2)*(Aus_Fim&gt;=V$2)*(Aus_Cod&gt;0))=0,"",IF(SUMPRODUCT((Aus_Tec=$B32)*(Aus_Ini&lt;=V$2)*(Aus_Fim&gt;=V$2)*(Aus_Cod&gt;0))&gt;1,"!",IFERROR(INDEX(Aus_Siglas,SUMPRODUCT((Aus_Tec=$B32)*(Aus_Ini&lt;=V$2)*(Aus_Fim&gt;=V$2)*Aus_Cod)),"!"))))</f>
        <v/>
      </c>
      <c r="W32" s="15">
        <f>IF(OR($B32="",W$2=""),"",IF(SUMPRODUCT((Aus_Tec=$B32)*(Aus_Ini&lt;=W$2)*(Aus_Fim&gt;=W$2)*(Aus_Cod&gt;0))=0,"",IF(SUMPRODUCT((Aus_Tec=$B32)*(Aus_Ini&lt;=W$2)*(Aus_Fim&gt;=W$2)*(Aus_Cod&gt;0))&gt;1,"!",IFERROR(INDEX(Aus_Siglas,SUMPRODUCT((Aus_Tec=$B32)*(Aus_Ini&lt;=W$2)*(Aus_Fim&gt;=W$2)*Aus_Cod)),"!"))))</f>
        <v/>
      </c>
      <c r="X32" s="15">
        <f>IF(OR($B32="",X$2=""),"",IF(SUMPRODUCT((Aus_Tec=$B32)*(Aus_Ini&lt;=X$2)*(Aus_Fim&gt;=X$2)*(Aus_Cod&gt;0))=0,"",IF(SUMPRODUCT((Aus_Tec=$B32)*(Aus_Ini&lt;=X$2)*(Aus_Fim&gt;=X$2)*(Aus_Cod&gt;0))&gt;1,"!",IFERROR(INDEX(Aus_Siglas,SUMPRODUCT((Aus_Tec=$B32)*(Aus_Ini&lt;=X$2)*(Aus_Fim&gt;=X$2)*Aus_Cod)),"!"))))</f>
        <v/>
      </c>
      <c r="Y32" s="15">
        <f>IF(OR($B32="",Y$2=""),"",IF(SUMPRODUCT((Aus_Tec=$B32)*(Aus_Ini&lt;=Y$2)*(Aus_Fim&gt;=Y$2)*(Aus_Cod&gt;0))=0,"",IF(SUMPRODUCT((Aus_Tec=$B32)*(Aus_Ini&lt;=Y$2)*(Aus_Fim&gt;=Y$2)*(Aus_Cod&gt;0))&gt;1,"!",IFERROR(INDEX(Aus_Siglas,SUMPRODUCT((Aus_Tec=$B32)*(Aus_Ini&lt;=Y$2)*(Aus_Fim&gt;=Y$2)*Aus_Cod)),"!"))))</f>
        <v/>
      </c>
      <c r="Z32" s="15">
        <f>IF(OR($B32="",Z$2=""),"",IF(SUMPRODUCT((Aus_Tec=$B32)*(Aus_Ini&lt;=Z$2)*(Aus_Fim&gt;=Z$2)*(Aus_Cod&gt;0))=0,"",IF(SUMPRODUCT((Aus_Tec=$B32)*(Aus_Ini&lt;=Z$2)*(Aus_Fim&gt;=Z$2)*(Aus_Cod&gt;0))&gt;1,"!",IFERROR(INDEX(Aus_Siglas,SUMPRODUCT((Aus_Tec=$B32)*(Aus_Ini&lt;=Z$2)*(Aus_Fim&gt;=Z$2)*Aus_Cod)),"!"))))</f>
        <v/>
      </c>
      <c r="AA32" s="15">
        <f>IF(OR($B32="",AA$2=""),"",IF(SUMPRODUCT((Aus_Tec=$B32)*(Aus_Ini&lt;=AA$2)*(Aus_Fim&gt;=AA$2)*(Aus_Cod&gt;0))=0,"",IF(SUMPRODUCT((Aus_Tec=$B32)*(Aus_Ini&lt;=AA$2)*(Aus_Fim&gt;=AA$2)*(Aus_Cod&gt;0))&gt;1,"!",IFERROR(INDEX(Aus_Siglas,SUMPRODUCT((Aus_Tec=$B32)*(Aus_Ini&lt;=AA$2)*(Aus_Fim&gt;=AA$2)*Aus_Cod)),"!"))))</f>
        <v/>
      </c>
      <c r="AB32" s="15">
        <f>IF(OR($B32="",AB$2=""),"",IF(SUMPRODUCT((Aus_Tec=$B32)*(Aus_Ini&lt;=AB$2)*(Aus_Fim&gt;=AB$2)*(Aus_Cod&gt;0))=0,"",IF(SUMPRODUCT((Aus_Tec=$B32)*(Aus_Ini&lt;=AB$2)*(Aus_Fim&gt;=AB$2)*(Aus_Cod&gt;0))&gt;1,"!",IFERROR(INDEX(Aus_Siglas,SUMPRODUCT((Aus_Tec=$B32)*(Aus_Ini&lt;=AB$2)*(Aus_Fim&gt;=AB$2)*Aus_Cod)),"!"))))</f>
        <v/>
      </c>
      <c r="AC32" s="15">
        <f>IF(OR($B32="",AC$2=""),"",IF(SUMPRODUCT((Aus_Tec=$B32)*(Aus_Ini&lt;=AC$2)*(Aus_Fim&gt;=AC$2)*(Aus_Cod&gt;0))=0,"",IF(SUMPRODUCT((Aus_Tec=$B32)*(Aus_Ini&lt;=AC$2)*(Aus_Fim&gt;=AC$2)*(Aus_Cod&gt;0))&gt;1,"!",IFERROR(INDEX(Aus_Siglas,SUMPRODUCT((Aus_Tec=$B32)*(Aus_Ini&lt;=AC$2)*(Aus_Fim&gt;=AC$2)*Aus_Cod)),"!"))))</f>
        <v/>
      </c>
      <c r="AD32" s="15">
        <f>IF(OR($B32="",AD$2=""),"",IF(SUMPRODUCT((Aus_Tec=$B32)*(Aus_Ini&lt;=AD$2)*(Aus_Fim&gt;=AD$2)*(Aus_Cod&gt;0))=0,"",IF(SUMPRODUCT((Aus_Tec=$B32)*(Aus_Ini&lt;=AD$2)*(Aus_Fim&gt;=AD$2)*(Aus_Cod&gt;0))&gt;1,"!",IFERROR(INDEX(Aus_Siglas,SUMPRODUCT((Aus_Tec=$B32)*(Aus_Ini&lt;=AD$2)*(Aus_Fim&gt;=AD$2)*Aus_Cod)),"!"))))</f>
        <v/>
      </c>
      <c r="AE32" s="15">
        <f>IF(OR($B32="",AE$2=""),"",IF(SUMPRODUCT((Aus_Tec=$B32)*(Aus_Ini&lt;=AE$2)*(Aus_Fim&gt;=AE$2)*(Aus_Cod&gt;0))=0,"",IF(SUMPRODUCT((Aus_Tec=$B32)*(Aus_Ini&lt;=AE$2)*(Aus_Fim&gt;=AE$2)*(Aus_Cod&gt;0))&gt;1,"!",IFERROR(INDEX(Aus_Siglas,SUMPRODUCT((Aus_Tec=$B32)*(Aus_Ini&lt;=AE$2)*(Aus_Fim&gt;=AE$2)*Aus_Cod)),"!"))))</f>
        <v/>
      </c>
      <c r="AF32" s="15">
        <f>IF(OR($B32="",AF$2=""),"",IF(SUMPRODUCT((Aus_Tec=$B32)*(Aus_Ini&lt;=AF$2)*(Aus_Fim&gt;=AF$2)*(Aus_Cod&gt;0))=0,"",IF(SUMPRODUCT((Aus_Tec=$B32)*(Aus_Ini&lt;=AF$2)*(Aus_Fim&gt;=AF$2)*(Aus_Cod&gt;0))&gt;1,"!",IFERROR(INDEX(Aus_Siglas,SUMPRODUCT((Aus_Tec=$B32)*(Aus_Ini&lt;=AF$2)*(Aus_Fim&gt;=AF$2)*Aus_Cod)),"!"))))</f>
        <v/>
      </c>
      <c r="AG32" s="15">
        <f>IF(OR($B32="",AG$2=""),"",IF(SUMPRODUCT((Aus_Tec=$B32)*(Aus_Ini&lt;=AG$2)*(Aus_Fim&gt;=AG$2)*(Aus_Cod&gt;0))=0,"",IF(SUMPRODUCT((Aus_Tec=$B32)*(Aus_Ini&lt;=AG$2)*(Aus_Fim&gt;=AG$2)*(Aus_Cod&gt;0))&gt;1,"!",IFERROR(INDEX(Aus_Siglas,SUMPRODUCT((Aus_Tec=$B32)*(Aus_Ini&lt;=AG$2)*(Aus_Fim&gt;=AG$2)*Aus_Cod)),"!"))))</f>
        <v/>
      </c>
      <c r="AH32" s="37">
        <f>IF($B32="","",COUNTIF($C32:$AG32,"F"))</f>
        <v/>
      </c>
      <c r="AI32" s="37">
        <f>IF($B32="","",COUNTIF($C32:$AG32,"D"))</f>
        <v/>
      </c>
      <c r="AJ32" s="37">
        <f>IF($B32="","",COUNTIF($C32:$AG32,"A"))</f>
        <v/>
      </c>
      <c r="AK32" s="37">
        <f>IF($B32="","",SUMPRODUCT(($C32:$AG32&lt;&gt;"")*1))</f>
        <v/>
      </c>
    </row>
    <row r="33">
      <c r="A33" s="33">
        <f>IF('Equipe'!A31="","",'Equipe'!A31)</f>
        <v/>
      </c>
      <c r="B33" s="34">
        <f>IF('Equipe'!B31="","",'Equipe'!B31)</f>
        <v/>
      </c>
      <c r="C33" s="15">
        <f>IF(OR($B33="",C$2=""),"",IF(SUMPRODUCT((Aus_Tec=$B33)*(Aus_Ini&lt;=C$2)*(Aus_Fim&gt;=C$2)*(Aus_Cod&gt;0))=0,"",IF(SUMPRODUCT((Aus_Tec=$B33)*(Aus_Ini&lt;=C$2)*(Aus_Fim&gt;=C$2)*(Aus_Cod&gt;0))&gt;1,"!",IFERROR(INDEX(Aus_Siglas,SUMPRODUCT((Aus_Tec=$B33)*(Aus_Ini&lt;=C$2)*(Aus_Fim&gt;=C$2)*Aus_Cod)),"!"))))</f>
        <v/>
      </c>
      <c r="D33" s="15">
        <f>IF(OR($B33="",D$2=""),"",IF(SUMPRODUCT((Aus_Tec=$B33)*(Aus_Ini&lt;=D$2)*(Aus_Fim&gt;=D$2)*(Aus_Cod&gt;0))=0,"",IF(SUMPRODUCT((Aus_Tec=$B33)*(Aus_Ini&lt;=D$2)*(Aus_Fim&gt;=D$2)*(Aus_Cod&gt;0))&gt;1,"!",IFERROR(INDEX(Aus_Siglas,SUMPRODUCT((Aus_Tec=$B33)*(Aus_Ini&lt;=D$2)*(Aus_Fim&gt;=D$2)*Aus_Cod)),"!"))))</f>
        <v/>
      </c>
      <c r="E33" s="15">
        <f>IF(OR($B33="",E$2=""),"",IF(SUMPRODUCT((Aus_Tec=$B33)*(Aus_Ini&lt;=E$2)*(Aus_Fim&gt;=E$2)*(Aus_Cod&gt;0))=0,"",IF(SUMPRODUCT((Aus_Tec=$B33)*(Aus_Ini&lt;=E$2)*(Aus_Fim&gt;=E$2)*(Aus_Cod&gt;0))&gt;1,"!",IFERROR(INDEX(Aus_Siglas,SUMPRODUCT((Aus_Tec=$B33)*(Aus_Ini&lt;=E$2)*(Aus_Fim&gt;=E$2)*Aus_Cod)),"!"))))</f>
        <v/>
      </c>
      <c r="F33" s="15">
        <f>IF(OR($B33="",F$2=""),"",IF(SUMPRODUCT((Aus_Tec=$B33)*(Aus_Ini&lt;=F$2)*(Aus_Fim&gt;=F$2)*(Aus_Cod&gt;0))=0,"",IF(SUMPRODUCT((Aus_Tec=$B33)*(Aus_Ini&lt;=F$2)*(Aus_Fim&gt;=F$2)*(Aus_Cod&gt;0))&gt;1,"!",IFERROR(INDEX(Aus_Siglas,SUMPRODUCT((Aus_Tec=$B33)*(Aus_Ini&lt;=F$2)*(Aus_Fim&gt;=F$2)*Aus_Cod)),"!"))))</f>
        <v/>
      </c>
      <c r="G33" s="15">
        <f>IF(OR($B33="",G$2=""),"",IF(SUMPRODUCT((Aus_Tec=$B33)*(Aus_Ini&lt;=G$2)*(Aus_Fim&gt;=G$2)*(Aus_Cod&gt;0))=0,"",IF(SUMPRODUCT((Aus_Tec=$B33)*(Aus_Ini&lt;=G$2)*(Aus_Fim&gt;=G$2)*(Aus_Cod&gt;0))&gt;1,"!",IFERROR(INDEX(Aus_Siglas,SUMPRODUCT((Aus_Tec=$B33)*(Aus_Ini&lt;=G$2)*(Aus_Fim&gt;=G$2)*Aus_Cod)),"!"))))</f>
        <v/>
      </c>
      <c r="H33" s="15">
        <f>IF(OR($B33="",H$2=""),"",IF(SUMPRODUCT((Aus_Tec=$B33)*(Aus_Ini&lt;=H$2)*(Aus_Fim&gt;=H$2)*(Aus_Cod&gt;0))=0,"",IF(SUMPRODUCT((Aus_Tec=$B33)*(Aus_Ini&lt;=H$2)*(Aus_Fim&gt;=H$2)*(Aus_Cod&gt;0))&gt;1,"!",IFERROR(INDEX(Aus_Siglas,SUMPRODUCT((Aus_Tec=$B33)*(Aus_Ini&lt;=H$2)*(Aus_Fim&gt;=H$2)*Aus_Cod)),"!"))))</f>
        <v/>
      </c>
      <c r="I33" s="15">
        <f>IF(OR($B33="",I$2=""),"",IF(SUMPRODUCT((Aus_Tec=$B33)*(Aus_Ini&lt;=I$2)*(Aus_Fim&gt;=I$2)*(Aus_Cod&gt;0))=0,"",IF(SUMPRODUCT((Aus_Tec=$B33)*(Aus_Ini&lt;=I$2)*(Aus_Fim&gt;=I$2)*(Aus_Cod&gt;0))&gt;1,"!",IFERROR(INDEX(Aus_Siglas,SUMPRODUCT((Aus_Tec=$B33)*(Aus_Ini&lt;=I$2)*(Aus_Fim&gt;=I$2)*Aus_Cod)),"!"))))</f>
        <v/>
      </c>
      <c r="J33" s="15">
        <f>IF(OR($B33="",J$2=""),"",IF(SUMPRODUCT((Aus_Tec=$B33)*(Aus_Ini&lt;=J$2)*(Aus_Fim&gt;=J$2)*(Aus_Cod&gt;0))=0,"",IF(SUMPRODUCT((Aus_Tec=$B33)*(Aus_Ini&lt;=J$2)*(Aus_Fim&gt;=J$2)*(Aus_Cod&gt;0))&gt;1,"!",IFERROR(INDEX(Aus_Siglas,SUMPRODUCT((Aus_Tec=$B33)*(Aus_Ini&lt;=J$2)*(Aus_Fim&gt;=J$2)*Aus_Cod)),"!"))))</f>
        <v/>
      </c>
      <c r="K33" s="15">
        <f>IF(OR($B33="",K$2=""),"",IF(SUMPRODUCT((Aus_Tec=$B33)*(Aus_Ini&lt;=K$2)*(Aus_Fim&gt;=K$2)*(Aus_Cod&gt;0))=0,"",IF(SUMPRODUCT((Aus_Tec=$B33)*(Aus_Ini&lt;=K$2)*(Aus_Fim&gt;=K$2)*(Aus_Cod&gt;0))&gt;1,"!",IFERROR(INDEX(Aus_Siglas,SUMPRODUCT((Aus_Tec=$B33)*(Aus_Ini&lt;=K$2)*(Aus_Fim&gt;=K$2)*Aus_Cod)),"!"))))</f>
        <v/>
      </c>
      <c r="L33" s="15">
        <f>IF(OR($B33="",L$2=""),"",IF(SUMPRODUCT((Aus_Tec=$B33)*(Aus_Ini&lt;=L$2)*(Aus_Fim&gt;=L$2)*(Aus_Cod&gt;0))=0,"",IF(SUMPRODUCT((Aus_Tec=$B33)*(Aus_Ini&lt;=L$2)*(Aus_Fim&gt;=L$2)*(Aus_Cod&gt;0))&gt;1,"!",IFERROR(INDEX(Aus_Siglas,SUMPRODUCT((Aus_Tec=$B33)*(Aus_Ini&lt;=L$2)*(Aus_Fim&gt;=L$2)*Aus_Cod)),"!"))))</f>
        <v/>
      </c>
      <c r="M33" s="15">
        <f>IF(OR($B33="",M$2=""),"",IF(SUMPRODUCT((Aus_Tec=$B33)*(Aus_Ini&lt;=M$2)*(Aus_Fim&gt;=M$2)*(Aus_Cod&gt;0))=0,"",IF(SUMPRODUCT((Aus_Tec=$B33)*(Aus_Ini&lt;=M$2)*(Aus_Fim&gt;=M$2)*(Aus_Cod&gt;0))&gt;1,"!",IFERROR(INDEX(Aus_Siglas,SUMPRODUCT((Aus_Tec=$B33)*(Aus_Ini&lt;=M$2)*(Aus_Fim&gt;=M$2)*Aus_Cod)),"!"))))</f>
        <v/>
      </c>
      <c r="N33" s="15">
        <f>IF(OR($B33="",N$2=""),"",IF(SUMPRODUCT((Aus_Tec=$B33)*(Aus_Ini&lt;=N$2)*(Aus_Fim&gt;=N$2)*(Aus_Cod&gt;0))=0,"",IF(SUMPRODUCT((Aus_Tec=$B33)*(Aus_Ini&lt;=N$2)*(Aus_Fim&gt;=N$2)*(Aus_Cod&gt;0))&gt;1,"!",IFERROR(INDEX(Aus_Siglas,SUMPRODUCT((Aus_Tec=$B33)*(Aus_Ini&lt;=N$2)*(Aus_Fim&gt;=N$2)*Aus_Cod)),"!"))))</f>
        <v/>
      </c>
      <c r="O33" s="15">
        <f>IF(OR($B33="",O$2=""),"",IF(SUMPRODUCT((Aus_Tec=$B33)*(Aus_Ini&lt;=O$2)*(Aus_Fim&gt;=O$2)*(Aus_Cod&gt;0))=0,"",IF(SUMPRODUCT((Aus_Tec=$B33)*(Aus_Ini&lt;=O$2)*(Aus_Fim&gt;=O$2)*(Aus_Cod&gt;0))&gt;1,"!",IFERROR(INDEX(Aus_Siglas,SUMPRODUCT((Aus_Tec=$B33)*(Aus_Ini&lt;=O$2)*(Aus_Fim&gt;=O$2)*Aus_Cod)),"!"))))</f>
        <v/>
      </c>
      <c r="P33" s="15">
        <f>IF(OR($B33="",P$2=""),"",IF(SUMPRODUCT((Aus_Tec=$B33)*(Aus_Ini&lt;=P$2)*(Aus_Fim&gt;=P$2)*(Aus_Cod&gt;0))=0,"",IF(SUMPRODUCT((Aus_Tec=$B33)*(Aus_Ini&lt;=P$2)*(Aus_Fim&gt;=P$2)*(Aus_Cod&gt;0))&gt;1,"!",IFERROR(INDEX(Aus_Siglas,SUMPRODUCT((Aus_Tec=$B33)*(Aus_Ini&lt;=P$2)*(Aus_Fim&gt;=P$2)*Aus_Cod)),"!"))))</f>
        <v/>
      </c>
      <c r="Q33" s="15">
        <f>IF(OR($B33="",Q$2=""),"",IF(SUMPRODUCT((Aus_Tec=$B33)*(Aus_Ini&lt;=Q$2)*(Aus_Fim&gt;=Q$2)*(Aus_Cod&gt;0))=0,"",IF(SUMPRODUCT((Aus_Tec=$B33)*(Aus_Ini&lt;=Q$2)*(Aus_Fim&gt;=Q$2)*(Aus_Cod&gt;0))&gt;1,"!",IFERROR(INDEX(Aus_Siglas,SUMPRODUCT((Aus_Tec=$B33)*(Aus_Ini&lt;=Q$2)*(Aus_Fim&gt;=Q$2)*Aus_Cod)),"!"))))</f>
        <v/>
      </c>
      <c r="R33" s="15">
        <f>IF(OR($B33="",R$2=""),"",IF(SUMPRODUCT((Aus_Tec=$B33)*(Aus_Ini&lt;=R$2)*(Aus_Fim&gt;=R$2)*(Aus_Cod&gt;0))=0,"",IF(SUMPRODUCT((Aus_Tec=$B33)*(Aus_Ini&lt;=R$2)*(Aus_Fim&gt;=R$2)*(Aus_Cod&gt;0))&gt;1,"!",IFERROR(INDEX(Aus_Siglas,SUMPRODUCT((Aus_Tec=$B33)*(Aus_Ini&lt;=R$2)*(Aus_Fim&gt;=R$2)*Aus_Cod)),"!"))))</f>
        <v/>
      </c>
      <c r="S33" s="15">
        <f>IF(OR($B33="",S$2=""),"",IF(SUMPRODUCT((Aus_Tec=$B33)*(Aus_Ini&lt;=S$2)*(Aus_Fim&gt;=S$2)*(Aus_Cod&gt;0))=0,"",IF(SUMPRODUCT((Aus_Tec=$B33)*(Aus_Ini&lt;=S$2)*(Aus_Fim&gt;=S$2)*(Aus_Cod&gt;0))&gt;1,"!",IFERROR(INDEX(Aus_Siglas,SUMPRODUCT((Aus_Tec=$B33)*(Aus_Ini&lt;=S$2)*(Aus_Fim&gt;=S$2)*Aus_Cod)),"!"))))</f>
        <v/>
      </c>
      <c r="T33" s="15">
        <f>IF(OR($B33="",T$2=""),"",IF(SUMPRODUCT((Aus_Tec=$B33)*(Aus_Ini&lt;=T$2)*(Aus_Fim&gt;=T$2)*(Aus_Cod&gt;0))=0,"",IF(SUMPRODUCT((Aus_Tec=$B33)*(Aus_Ini&lt;=T$2)*(Aus_Fim&gt;=T$2)*(Aus_Cod&gt;0))&gt;1,"!",IFERROR(INDEX(Aus_Siglas,SUMPRODUCT((Aus_Tec=$B33)*(Aus_Ini&lt;=T$2)*(Aus_Fim&gt;=T$2)*Aus_Cod)),"!"))))</f>
        <v/>
      </c>
      <c r="U33" s="15">
        <f>IF(OR($B33="",U$2=""),"",IF(SUMPRODUCT((Aus_Tec=$B33)*(Aus_Ini&lt;=U$2)*(Aus_Fim&gt;=U$2)*(Aus_Cod&gt;0))=0,"",IF(SUMPRODUCT((Aus_Tec=$B33)*(Aus_Ini&lt;=U$2)*(Aus_Fim&gt;=U$2)*(Aus_Cod&gt;0))&gt;1,"!",IFERROR(INDEX(Aus_Siglas,SUMPRODUCT((Aus_Tec=$B33)*(Aus_Ini&lt;=U$2)*(Aus_Fim&gt;=U$2)*Aus_Cod)),"!"))))</f>
        <v/>
      </c>
      <c r="V33" s="15">
        <f>IF(OR($B33="",V$2=""),"",IF(SUMPRODUCT((Aus_Tec=$B33)*(Aus_Ini&lt;=V$2)*(Aus_Fim&gt;=V$2)*(Aus_Cod&gt;0))=0,"",IF(SUMPRODUCT((Aus_Tec=$B33)*(Aus_Ini&lt;=V$2)*(Aus_Fim&gt;=V$2)*(Aus_Cod&gt;0))&gt;1,"!",IFERROR(INDEX(Aus_Siglas,SUMPRODUCT((Aus_Tec=$B33)*(Aus_Ini&lt;=V$2)*(Aus_Fim&gt;=V$2)*Aus_Cod)),"!"))))</f>
        <v/>
      </c>
      <c r="W33" s="15">
        <f>IF(OR($B33="",W$2=""),"",IF(SUMPRODUCT((Aus_Tec=$B33)*(Aus_Ini&lt;=W$2)*(Aus_Fim&gt;=W$2)*(Aus_Cod&gt;0))=0,"",IF(SUMPRODUCT((Aus_Tec=$B33)*(Aus_Ini&lt;=W$2)*(Aus_Fim&gt;=W$2)*(Aus_Cod&gt;0))&gt;1,"!",IFERROR(INDEX(Aus_Siglas,SUMPRODUCT((Aus_Tec=$B33)*(Aus_Ini&lt;=W$2)*(Aus_Fim&gt;=W$2)*Aus_Cod)),"!"))))</f>
        <v/>
      </c>
      <c r="X33" s="15">
        <f>IF(OR($B33="",X$2=""),"",IF(SUMPRODUCT((Aus_Tec=$B33)*(Aus_Ini&lt;=X$2)*(Aus_Fim&gt;=X$2)*(Aus_Cod&gt;0))=0,"",IF(SUMPRODUCT((Aus_Tec=$B33)*(Aus_Ini&lt;=X$2)*(Aus_Fim&gt;=X$2)*(Aus_Cod&gt;0))&gt;1,"!",IFERROR(INDEX(Aus_Siglas,SUMPRODUCT((Aus_Tec=$B33)*(Aus_Ini&lt;=X$2)*(Aus_Fim&gt;=X$2)*Aus_Cod)),"!"))))</f>
        <v/>
      </c>
      <c r="Y33" s="15">
        <f>IF(OR($B33="",Y$2=""),"",IF(SUMPRODUCT((Aus_Tec=$B33)*(Aus_Ini&lt;=Y$2)*(Aus_Fim&gt;=Y$2)*(Aus_Cod&gt;0))=0,"",IF(SUMPRODUCT((Aus_Tec=$B33)*(Aus_Ini&lt;=Y$2)*(Aus_Fim&gt;=Y$2)*(Aus_Cod&gt;0))&gt;1,"!",IFERROR(INDEX(Aus_Siglas,SUMPRODUCT((Aus_Tec=$B33)*(Aus_Ini&lt;=Y$2)*(Aus_Fim&gt;=Y$2)*Aus_Cod)),"!"))))</f>
        <v/>
      </c>
      <c r="Z33" s="15">
        <f>IF(OR($B33="",Z$2=""),"",IF(SUMPRODUCT((Aus_Tec=$B33)*(Aus_Ini&lt;=Z$2)*(Aus_Fim&gt;=Z$2)*(Aus_Cod&gt;0))=0,"",IF(SUMPRODUCT((Aus_Tec=$B33)*(Aus_Ini&lt;=Z$2)*(Aus_Fim&gt;=Z$2)*(Aus_Cod&gt;0))&gt;1,"!",IFERROR(INDEX(Aus_Siglas,SUMPRODUCT((Aus_Tec=$B33)*(Aus_Ini&lt;=Z$2)*(Aus_Fim&gt;=Z$2)*Aus_Cod)),"!"))))</f>
        <v/>
      </c>
      <c r="AA33" s="15">
        <f>IF(OR($B33="",AA$2=""),"",IF(SUMPRODUCT((Aus_Tec=$B33)*(Aus_Ini&lt;=AA$2)*(Aus_Fim&gt;=AA$2)*(Aus_Cod&gt;0))=0,"",IF(SUMPRODUCT((Aus_Tec=$B33)*(Aus_Ini&lt;=AA$2)*(Aus_Fim&gt;=AA$2)*(Aus_Cod&gt;0))&gt;1,"!",IFERROR(INDEX(Aus_Siglas,SUMPRODUCT((Aus_Tec=$B33)*(Aus_Ini&lt;=AA$2)*(Aus_Fim&gt;=AA$2)*Aus_Cod)),"!"))))</f>
        <v/>
      </c>
      <c r="AB33" s="15">
        <f>IF(OR($B33="",AB$2=""),"",IF(SUMPRODUCT((Aus_Tec=$B33)*(Aus_Ini&lt;=AB$2)*(Aus_Fim&gt;=AB$2)*(Aus_Cod&gt;0))=0,"",IF(SUMPRODUCT((Aus_Tec=$B33)*(Aus_Ini&lt;=AB$2)*(Aus_Fim&gt;=AB$2)*(Aus_Cod&gt;0))&gt;1,"!",IFERROR(INDEX(Aus_Siglas,SUMPRODUCT((Aus_Tec=$B33)*(Aus_Ini&lt;=AB$2)*(Aus_Fim&gt;=AB$2)*Aus_Cod)),"!"))))</f>
        <v/>
      </c>
      <c r="AC33" s="15">
        <f>IF(OR($B33="",AC$2=""),"",IF(SUMPRODUCT((Aus_Tec=$B33)*(Aus_Ini&lt;=AC$2)*(Aus_Fim&gt;=AC$2)*(Aus_Cod&gt;0))=0,"",IF(SUMPRODUCT((Aus_Tec=$B33)*(Aus_Ini&lt;=AC$2)*(Aus_Fim&gt;=AC$2)*(Aus_Cod&gt;0))&gt;1,"!",IFERROR(INDEX(Aus_Siglas,SUMPRODUCT((Aus_Tec=$B33)*(Aus_Ini&lt;=AC$2)*(Aus_Fim&gt;=AC$2)*Aus_Cod)),"!"))))</f>
        <v/>
      </c>
      <c r="AD33" s="15">
        <f>IF(OR($B33="",AD$2=""),"",IF(SUMPRODUCT((Aus_Tec=$B33)*(Aus_Ini&lt;=AD$2)*(Aus_Fim&gt;=AD$2)*(Aus_Cod&gt;0))=0,"",IF(SUMPRODUCT((Aus_Tec=$B33)*(Aus_Ini&lt;=AD$2)*(Aus_Fim&gt;=AD$2)*(Aus_Cod&gt;0))&gt;1,"!",IFERROR(INDEX(Aus_Siglas,SUMPRODUCT((Aus_Tec=$B33)*(Aus_Ini&lt;=AD$2)*(Aus_Fim&gt;=AD$2)*Aus_Cod)),"!"))))</f>
        <v/>
      </c>
      <c r="AE33" s="15">
        <f>IF(OR($B33="",AE$2=""),"",IF(SUMPRODUCT((Aus_Tec=$B33)*(Aus_Ini&lt;=AE$2)*(Aus_Fim&gt;=AE$2)*(Aus_Cod&gt;0))=0,"",IF(SUMPRODUCT((Aus_Tec=$B33)*(Aus_Ini&lt;=AE$2)*(Aus_Fim&gt;=AE$2)*(Aus_Cod&gt;0))&gt;1,"!",IFERROR(INDEX(Aus_Siglas,SUMPRODUCT((Aus_Tec=$B33)*(Aus_Ini&lt;=AE$2)*(Aus_Fim&gt;=AE$2)*Aus_Cod)),"!"))))</f>
        <v/>
      </c>
      <c r="AF33" s="15">
        <f>IF(OR($B33="",AF$2=""),"",IF(SUMPRODUCT((Aus_Tec=$B33)*(Aus_Ini&lt;=AF$2)*(Aus_Fim&gt;=AF$2)*(Aus_Cod&gt;0))=0,"",IF(SUMPRODUCT((Aus_Tec=$B33)*(Aus_Ini&lt;=AF$2)*(Aus_Fim&gt;=AF$2)*(Aus_Cod&gt;0))&gt;1,"!",IFERROR(INDEX(Aus_Siglas,SUMPRODUCT((Aus_Tec=$B33)*(Aus_Ini&lt;=AF$2)*(Aus_Fim&gt;=AF$2)*Aus_Cod)),"!"))))</f>
        <v/>
      </c>
      <c r="AG33" s="15">
        <f>IF(OR($B33="",AG$2=""),"",IF(SUMPRODUCT((Aus_Tec=$B33)*(Aus_Ini&lt;=AG$2)*(Aus_Fim&gt;=AG$2)*(Aus_Cod&gt;0))=0,"",IF(SUMPRODUCT((Aus_Tec=$B33)*(Aus_Ini&lt;=AG$2)*(Aus_Fim&gt;=AG$2)*(Aus_Cod&gt;0))&gt;1,"!",IFERROR(INDEX(Aus_Siglas,SUMPRODUCT((Aus_Tec=$B33)*(Aus_Ini&lt;=AG$2)*(Aus_Fim&gt;=AG$2)*Aus_Cod)),"!"))))</f>
        <v/>
      </c>
      <c r="AH33" s="37">
        <f>IF($B33="","",COUNTIF($C33:$AG33,"F"))</f>
        <v/>
      </c>
      <c r="AI33" s="37">
        <f>IF($B33="","",COUNTIF($C33:$AG33,"D"))</f>
        <v/>
      </c>
      <c r="AJ33" s="37">
        <f>IF($B33="","",COUNTIF($C33:$AG33,"A"))</f>
        <v/>
      </c>
      <c r="AK33" s="37">
        <f>IF($B33="","",SUMPRODUCT(($C33:$AG33&lt;&gt;"")*1))</f>
        <v/>
      </c>
    </row>
  </sheetData>
  <mergeCells count="1">
    <mergeCell ref="C1:J1"/>
  </mergeCells>
  <conditionalFormatting sqref="C4:AG33">
    <cfRule type="cellIs" priority="1" operator="equal" dxfId="3">
      <formula>"F"</formula>
    </cfRule>
    <cfRule type="cellIs" priority="2" operator="equal" dxfId="4">
      <formula>"D"</formula>
    </cfRule>
    <cfRule type="cellIs" priority="3" operator="equal" dxfId="5">
      <formula>"A"</formula>
    </cfRule>
    <cfRule type="cellIs" priority="4" operator="equal" dxfId="6">
      <formula>"L"</formula>
    </cfRule>
    <cfRule type="cellIs" priority="5" operator="equal" dxfId="7">
      <formula>"T"</formula>
    </cfRule>
    <cfRule type="cellIs" priority="6" operator="equal" dxfId="0">
      <formula>"!"</formula>
    </cfRule>
    <cfRule type="expression" priority="7" dxfId="8">
      <formula>AND(C$2&lt;&gt;"",OR(WEEKDAY(C$2)=1,WEEKDAY(C$2)=7))</formula>
    </cfRule>
  </conditionalFormatting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U20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1" customWidth="1" min="4" max="4"/>
    <col width="22" customWidth="1" min="5" max="5"/>
    <col width="30" customWidth="1" min="6" max="6"/>
    <col width="34" customWidth="1" min="7" max="7"/>
    <col width="15" customWidth="1" min="8" max="8"/>
    <col width="7" customWidth="1" min="9" max="9"/>
    <col width="12" customWidth="1" min="10" max="10"/>
    <col width="12" customWidth="1" min="11" max="11"/>
    <col width="17" customWidth="1" min="12" max="12"/>
    <col width="11" customWidth="1" min="13" max="13"/>
    <col width="13" customWidth="1" min="14" max="14"/>
    <col width="15" customWidth="1" min="15" max="15"/>
    <col width="40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hidden="1" width="13" customWidth="1" min="21" max="21"/>
  </cols>
  <sheetData>
    <row r="1" ht="44" customHeight="1">
      <c r="A1" s="14" t="inlineStr">
        <is>
          <t>Data</t>
        </is>
      </c>
      <c r="B1" s="14" t="inlineStr">
        <is>
          <t>Sala</t>
        </is>
      </c>
      <c r="C1" s="14" t="inlineStr">
        <is>
          <t>Hora início</t>
        </is>
      </c>
      <c r="D1" s="14" t="inlineStr">
        <is>
          <t>Hora fim</t>
        </is>
      </c>
      <c r="E1" s="14" t="inlineStr">
        <is>
          <t>Especialidade</t>
        </is>
      </c>
      <c r="F1" s="14" t="inlineStr">
        <is>
          <t>Habilidade</t>
        </is>
      </c>
      <c r="G1" s="14" t="inlineStr">
        <is>
          <t>Procedimento</t>
        </is>
      </c>
      <c r="H1" s="14" t="inlineStr">
        <is>
          <t>Cirurgião</t>
        </is>
      </c>
      <c r="I1" s="14" t="inlineStr">
        <is>
          <t>Porte</t>
        </is>
      </c>
      <c r="J1" s="14" t="inlineStr">
        <is>
          <t>Status</t>
        </is>
      </c>
      <c r="K1" s="14" t="inlineStr">
        <is>
          <t>Duração (min)</t>
        </is>
      </c>
      <c r="L1" s="14" t="inlineStr">
        <is>
          <t>Min. ocupação (dur+limpeza)</t>
        </is>
      </c>
      <c r="M1" s="14" t="inlineStr">
        <is>
          <t>Ordem na sala</t>
        </is>
      </c>
      <c r="N1" s="14" t="inlineStr">
        <is>
          <t>Sala liberada às</t>
        </is>
      </c>
      <c r="O1" s="14" t="inlineStr">
        <is>
          <t>Livre até a próxima (min)</t>
        </is>
      </c>
      <c r="P1" s="14" t="inlineStr">
        <is>
          <t>Alerta</t>
        </is>
      </c>
      <c r="Q1" s="14" t="inlineStr">
        <is>
          <t>aux_concat</t>
        </is>
      </c>
      <c r="R1" s="14" t="inlineStr">
        <is>
          <t>aux_relIni</t>
        </is>
      </c>
      <c r="S1" s="14" t="inlineStr">
        <is>
          <t>aux_relFim</t>
        </is>
      </c>
      <c r="T1" s="14" t="inlineStr">
        <is>
          <t>aux_chave</t>
        </is>
      </c>
      <c r="U1" s="14" t="inlineStr">
        <is>
          <t>aux_row</t>
        </is>
      </c>
    </row>
    <row r="2">
      <c r="A2" s="38" t="n">
        <v>46254</v>
      </c>
      <c r="B2" s="29" t="inlineStr">
        <is>
          <t>SO-01</t>
        </is>
      </c>
      <c r="C2" s="42" t="n">
        <v>0.2916666666666667</v>
      </c>
      <c r="D2" s="42" t="n">
        <v>0.375</v>
      </c>
      <c r="E2" s="30" t="inlineStr">
        <is>
          <t>Ortopedia</t>
        </is>
      </c>
      <c r="F2" s="34">
        <f>IF($E2="","",IFERROR(INDEX(Esp_Hab,MATCH($E2,Esp_Nome,0)),"—"))</f>
        <v/>
      </c>
      <c r="G2" s="30" t="inlineStr">
        <is>
          <t>Artroplastia total de joelho</t>
        </is>
      </c>
      <c r="H2" s="30" t="inlineStr">
        <is>
          <t>Dra. Bernardes</t>
        </is>
      </c>
      <c r="I2" s="29" t="inlineStr">
        <is>
          <t>M</t>
        </is>
      </c>
      <c r="J2" s="29" t="inlineStr">
        <is>
          <t>Agendada</t>
        </is>
      </c>
      <c r="K2" s="37">
        <f>IF(OR($B2="",NOT(ISNUMBER($C2)),NOT(ISNUMBER($D2))),"",ROUND(MOD($D2-$C2,1)*1440,0))</f>
        <v/>
      </c>
      <c r="L2" s="37">
        <f>IF(NOT(ISNUMBER($K2)),0,IF(OR($K2&lt;=0,$J2="Cancelada",$J2="Suspensa"),0,$K2+Limpeza_Min))</f>
        <v/>
      </c>
      <c r="M2" s="37">
        <f>IF($L2&lt;=0,"",SUMPRODUCT((Mapa_Sala=$B2)*(Mapa_Data=$A2)*(Mapa_MinOcup&gt;0)*((Mapa_RelIni&lt;$R2)+((Mapa_RelIni=$R2)*(Mapa_Row&lt;=$U2)))))</f>
        <v/>
      </c>
      <c r="N2" s="43">
        <f>IF($L2&lt;=0,"",MOD(Turno_Ini+($S2+Limpeza_Min)/1440,1))</f>
        <v/>
      </c>
      <c r="O2" s="37">
        <f>IF($L2&lt;=0,"",MAX(0,IFERROR(INDEX(Mapa_RelIni,MATCH($B2&amp;"#"&amp;($M2+1),Mapa_Chave,0)),Turno_Min)-($S2+Limpeza_Min)))</f>
        <v/>
      </c>
      <c r="P2" s="19">
        <f>IF($B2="","",IF($Q2="","OK",LEFT($Q2,LEN($Q2)-3)))</f>
        <v/>
      </c>
      <c r="Q2" s="10">
        <f>IF($B2="","",IF(COUNTIF(Postos_Cod,$B2)=0,"Sala não cadastrada | ","")&amp;IF(AND(COUNTIF(Postos_Cod,$B2)&gt;0,IFERROR(INDEX(Postos_Tipo,MATCH($B2,Postos_Cod,0)),"")&lt;&gt;"Sala cirúrgica"),"Posto não é sala cirúrgica | ","")&amp;IF(AND(COUNTIF(Postos_Cod,$B2)&gt;0,IFERROR(INDEX(Postos_Status,MATCH($B2,Postos_Cod,0)),"")&lt;&gt;"Ativo"),"Sala não ativa | ","")&amp;IF(COUNTIF(Esp_Nome,$E2)=0,"Especialidade não cadastrada | ","")&amp;IF(COUNTIF(Lista_StatusCirurgia,$J2)=0,"Status inválido | ","")&amp;IF(OR(NOT(ISNUMBER($C2)),NOT(ISNUMBER($D2))),"Horário inválido | ","")&amp;IFERROR(IF(AND(ISNUMBER($C2),ISNUMBER($D2),MOD($D2-$C2,1)*1440&lt;=0),"Duração nula ou negativa | ",""),"")&amp;IF(AND($L2&gt;0,OR($R2&gt;=Turno_Min,$S2&gt;Turno_Min)),"Fora da janela do plantão | ","")&amp;IF(AND($L2&gt;0,SUMPRODUCT((Mapa_Sala=$B2)*(Mapa_Data=$A2)*(Mapa_MinOcup&gt;0)*(Mapa_RelIni&lt;$S2)*(Mapa_RelFim&gt;$R2))&gt;1),"Sobreposição de horário na sala | ","")&amp;IFERROR(IF(AND(ISNUMBER($K2),$K2&gt;0,COUNTIF(Esp_Nome,$E2)&gt;0,$K2&gt;3*INDEX(Esp_Dur,MATCH($E2,Esp_Nome,0))),"Duração atípica (&gt;3x a média) | ",""),""))</f>
        <v/>
      </c>
      <c r="R2" s="15">
        <f>IF(NOT(ISNUMBER($C2)),0,ROUND(MOD($C2-Turno_Ini,1)*1440,0))</f>
        <v/>
      </c>
      <c r="S2" s="15">
        <f>IF($L2&lt;=0,0,$R2+$K2)</f>
        <v/>
      </c>
      <c r="T2" s="15">
        <f>IF($M2="","",$B2&amp;"#"&amp;$M2)</f>
        <v/>
      </c>
      <c r="U2" s="15">
        <f>ROW()</f>
        <v/>
      </c>
    </row>
    <row r="3">
      <c r="A3" s="38" t="n">
        <v>46254</v>
      </c>
      <c r="B3" s="29" t="inlineStr">
        <is>
          <t>SO-01</t>
        </is>
      </c>
      <c r="C3" s="42" t="n">
        <v>0.3888888888888889</v>
      </c>
      <c r="D3" s="42" t="n">
        <v>0.4583333333333333</v>
      </c>
      <c r="E3" s="30" t="inlineStr">
        <is>
          <t>Traumatologia</t>
        </is>
      </c>
      <c r="F3" s="34">
        <f>IF($E3="","",IFERROR(INDEX(Esp_Hab,MATCH($E3,Esp_Nome,0)),"—"))</f>
        <v/>
      </c>
      <c r="G3" s="30" t="inlineStr">
        <is>
          <t>Redução de fratura de rádio</t>
        </is>
      </c>
      <c r="H3" s="30" t="inlineStr">
        <is>
          <t>Dr. Coelho</t>
        </is>
      </c>
      <c r="I3" s="29" t="inlineStr">
        <is>
          <t>M</t>
        </is>
      </c>
      <c r="J3" s="29" t="inlineStr">
        <is>
          <t>Agendada</t>
        </is>
      </c>
      <c r="K3" s="37">
        <f>IF(OR($B3="",NOT(ISNUMBER($C3)),NOT(ISNUMBER($D3))),"",ROUND(MOD($D3-$C3,1)*1440,0))</f>
        <v/>
      </c>
      <c r="L3" s="37">
        <f>IF(NOT(ISNUMBER($K3)),0,IF(OR($K3&lt;=0,$J3="Cancelada",$J3="Suspensa"),0,$K3+Limpeza_Min))</f>
        <v/>
      </c>
      <c r="M3" s="37">
        <f>IF($L3&lt;=0,"",SUMPRODUCT((Mapa_Sala=$B3)*(Mapa_Data=$A3)*(Mapa_MinOcup&gt;0)*((Mapa_RelIni&lt;$R3)+((Mapa_RelIni=$R3)*(Mapa_Row&lt;=$U3)))))</f>
        <v/>
      </c>
      <c r="N3" s="43">
        <f>IF($L3&lt;=0,"",MOD(Turno_Ini+($S3+Limpeza_Min)/1440,1))</f>
        <v/>
      </c>
      <c r="O3" s="37">
        <f>IF($L3&lt;=0,"",MAX(0,IFERROR(INDEX(Mapa_RelIni,MATCH($B3&amp;"#"&amp;($M3+1),Mapa_Chave,0)),Turno_Min)-($S3+Limpeza_Min)))</f>
        <v/>
      </c>
      <c r="P3" s="19">
        <f>IF($B3="","",IF($Q3="","OK",LEFT($Q3,LEN($Q3)-3)))</f>
        <v/>
      </c>
      <c r="Q3" s="10">
        <f>IF($B3="","",IF(COUNTIF(Postos_Cod,$B3)=0,"Sala não cadastrada | ","")&amp;IF(AND(COUNTIF(Postos_Cod,$B3)&gt;0,IFERROR(INDEX(Postos_Tipo,MATCH($B3,Postos_Cod,0)),"")&lt;&gt;"Sala cirúrgica"),"Posto não é sala cirúrgica | ","")&amp;IF(AND(COUNTIF(Postos_Cod,$B3)&gt;0,IFERROR(INDEX(Postos_Status,MATCH($B3,Postos_Cod,0)),"")&lt;&gt;"Ativo"),"Sala não ativa | ","")&amp;IF(COUNTIF(Esp_Nome,$E3)=0,"Especialidade não cadastrada | ","")&amp;IF(COUNTIF(Lista_StatusCirurgia,$J3)=0,"Status inválido | ","")&amp;IF(OR(NOT(ISNUMBER($C3)),NOT(ISNUMBER($D3))),"Horário inválido | ","")&amp;IFERROR(IF(AND(ISNUMBER($C3),ISNUMBER($D3),MOD($D3-$C3,1)*1440&lt;=0),"Duração nula ou negativa | ",""),"")&amp;IF(AND($L3&gt;0,OR($R3&gt;=Turno_Min,$S3&gt;Turno_Min)),"Fora da janela do plantão | ","")&amp;IF(AND($L3&gt;0,SUMPRODUCT((Mapa_Sala=$B3)*(Mapa_Data=$A3)*(Mapa_MinOcup&gt;0)*(Mapa_RelIni&lt;$S3)*(Mapa_RelFim&gt;$R3))&gt;1),"Sobreposição de horário na sala | ","")&amp;IFERROR(IF(AND(ISNUMBER($K3),$K3&gt;0,COUNTIF(Esp_Nome,$E3)&gt;0,$K3&gt;3*INDEX(Esp_Dur,MATCH($E3,Esp_Nome,0))),"Duração atípica (&gt;3x a média) | ",""),""))</f>
        <v/>
      </c>
      <c r="R3" s="15">
        <f>IF(NOT(ISNUMBER($C3)),0,ROUND(MOD($C3-Turno_Ini,1)*1440,0))</f>
        <v/>
      </c>
      <c r="S3" s="15">
        <f>IF($L3&lt;=0,0,$R3+$K3)</f>
        <v/>
      </c>
      <c r="T3" s="15">
        <f>IF($M3="","",$B3&amp;"#"&amp;$M3)</f>
        <v/>
      </c>
      <c r="U3" s="15">
        <f>ROW()</f>
        <v/>
      </c>
    </row>
    <row r="4">
      <c r="A4" s="38" t="n">
        <v>46254</v>
      </c>
      <c r="B4" s="29" t="inlineStr">
        <is>
          <t>SO-01</t>
        </is>
      </c>
      <c r="C4" s="42" t="n">
        <v>0.4722222222222222</v>
      </c>
      <c r="D4" s="42" t="n">
        <v>0.5381944444444444</v>
      </c>
      <c r="E4" s="30" t="inlineStr">
        <is>
          <t>Ortopedia</t>
        </is>
      </c>
      <c r="F4" s="34">
        <f>IF($E4="","",IFERROR(INDEX(Esp_Hab,MATCH($E4,Esp_Nome,0)),"—"))</f>
        <v/>
      </c>
      <c r="G4" s="30" t="inlineStr">
        <is>
          <t>Artroscopia de ombro</t>
        </is>
      </c>
      <c r="H4" s="30" t="inlineStr">
        <is>
          <t>Dra. Delgado</t>
        </is>
      </c>
      <c r="I4" s="29" t="inlineStr">
        <is>
          <t>M</t>
        </is>
      </c>
      <c r="J4" s="29" t="inlineStr">
        <is>
          <t>Agendada</t>
        </is>
      </c>
      <c r="K4" s="37">
        <f>IF(OR($B4="",NOT(ISNUMBER($C4)),NOT(ISNUMBER($D4))),"",ROUND(MOD($D4-$C4,1)*1440,0))</f>
        <v/>
      </c>
      <c r="L4" s="37">
        <f>IF(NOT(ISNUMBER($K4)),0,IF(OR($K4&lt;=0,$J4="Cancelada",$J4="Suspensa"),0,$K4+Limpeza_Min))</f>
        <v/>
      </c>
      <c r="M4" s="37">
        <f>IF($L4&lt;=0,"",SUMPRODUCT((Mapa_Sala=$B4)*(Mapa_Data=$A4)*(Mapa_MinOcup&gt;0)*((Mapa_RelIni&lt;$R4)+((Mapa_RelIni=$R4)*(Mapa_Row&lt;=$U4)))))</f>
        <v/>
      </c>
      <c r="N4" s="43">
        <f>IF($L4&lt;=0,"",MOD(Turno_Ini+($S4+Limpeza_Min)/1440,1))</f>
        <v/>
      </c>
      <c r="O4" s="37">
        <f>IF($L4&lt;=0,"",MAX(0,IFERROR(INDEX(Mapa_RelIni,MATCH($B4&amp;"#"&amp;($M4+1),Mapa_Chave,0)),Turno_Min)-($S4+Limpeza_Min)))</f>
        <v/>
      </c>
      <c r="P4" s="19">
        <f>IF($B4="","",IF($Q4="","OK",LEFT($Q4,LEN($Q4)-3)))</f>
        <v/>
      </c>
      <c r="Q4" s="10">
        <f>IF($B4="","",IF(COUNTIF(Postos_Cod,$B4)=0,"Sala não cadastrada | ","")&amp;IF(AND(COUNTIF(Postos_Cod,$B4)&gt;0,IFERROR(INDEX(Postos_Tipo,MATCH($B4,Postos_Cod,0)),"")&lt;&gt;"Sala cirúrgica"),"Posto não é sala cirúrgica | ","")&amp;IF(AND(COUNTIF(Postos_Cod,$B4)&gt;0,IFERROR(INDEX(Postos_Status,MATCH($B4,Postos_Cod,0)),"")&lt;&gt;"Ativo"),"Sala não ativa | ","")&amp;IF(COUNTIF(Esp_Nome,$E4)=0,"Especialidade não cadastrada | ","")&amp;IF(COUNTIF(Lista_StatusCirurgia,$J4)=0,"Status inválido | ","")&amp;IF(OR(NOT(ISNUMBER($C4)),NOT(ISNUMBER($D4))),"Horário inválido | ","")&amp;IFERROR(IF(AND(ISNUMBER($C4),ISNUMBER($D4),MOD($D4-$C4,1)*1440&lt;=0),"Duração nula ou negativa | ",""),"")&amp;IF(AND($L4&gt;0,OR($R4&gt;=Turno_Min,$S4&gt;Turno_Min)),"Fora da janela do plantão | ","")&amp;IF(AND($L4&gt;0,SUMPRODUCT((Mapa_Sala=$B4)*(Mapa_Data=$A4)*(Mapa_MinOcup&gt;0)*(Mapa_RelIni&lt;$S4)*(Mapa_RelFim&gt;$R4))&gt;1),"Sobreposição de horário na sala | ","")&amp;IFERROR(IF(AND(ISNUMBER($K4),$K4&gt;0,COUNTIF(Esp_Nome,$E4)&gt;0,$K4&gt;3*INDEX(Esp_Dur,MATCH($E4,Esp_Nome,0))),"Duração atípica (&gt;3x a média) | ",""),""))</f>
        <v/>
      </c>
      <c r="R4" s="15">
        <f>IF(NOT(ISNUMBER($C4)),0,ROUND(MOD($C4-Turno_Ini,1)*1440,0))</f>
        <v/>
      </c>
      <c r="S4" s="15">
        <f>IF($L4&lt;=0,0,$R4+$K4)</f>
        <v/>
      </c>
      <c r="T4" s="15">
        <f>IF($M4="","",$B4&amp;"#"&amp;$M4)</f>
        <v/>
      </c>
      <c r="U4" s="15">
        <f>ROW()</f>
        <v/>
      </c>
    </row>
    <row r="5">
      <c r="A5" s="38" t="n">
        <v>46254</v>
      </c>
      <c r="B5" s="29" t="inlineStr">
        <is>
          <t>SO-01</t>
        </is>
      </c>
      <c r="C5" s="42" t="n">
        <v>0.5520833333333334</v>
      </c>
      <c r="D5" s="42" t="n">
        <v>0.6145833333333334</v>
      </c>
      <c r="E5" s="30" t="inlineStr">
        <is>
          <t>Traumatologia</t>
        </is>
      </c>
      <c r="F5" s="34">
        <f>IF($E5="","",IFERROR(INDEX(Esp_Hab,MATCH($E5,Esp_Nome,0)),"—"))</f>
        <v/>
      </c>
      <c r="G5" s="30" t="inlineStr">
        <is>
          <t>Redução de fratura de rádio</t>
        </is>
      </c>
      <c r="H5" s="30" t="inlineStr">
        <is>
          <t>Dr. Esteves</t>
        </is>
      </c>
      <c r="I5" s="29" t="inlineStr">
        <is>
          <t>M</t>
        </is>
      </c>
      <c r="J5" s="29" t="inlineStr">
        <is>
          <t>Agendada</t>
        </is>
      </c>
      <c r="K5" s="37">
        <f>IF(OR($B5="",NOT(ISNUMBER($C5)),NOT(ISNUMBER($D5))),"",ROUND(MOD($D5-$C5,1)*1440,0))</f>
        <v/>
      </c>
      <c r="L5" s="37">
        <f>IF(NOT(ISNUMBER($K5)),0,IF(OR($K5&lt;=0,$J5="Cancelada",$J5="Suspensa"),0,$K5+Limpeza_Min))</f>
        <v/>
      </c>
      <c r="M5" s="37">
        <f>IF($L5&lt;=0,"",SUMPRODUCT((Mapa_Sala=$B5)*(Mapa_Data=$A5)*(Mapa_MinOcup&gt;0)*((Mapa_RelIni&lt;$R5)+((Mapa_RelIni=$R5)*(Mapa_Row&lt;=$U5)))))</f>
        <v/>
      </c>
      <c r="N5" s="43">
        <f>IF($L5&lt;=0,"",MOD(Turno_Ini+($S5+Limpeza_Min)/1440,1))</f>
        <v/>
      </c>
      <c r="O5" s="37">
        <f>IF($L5&lt;=0,"",MAX(0,IFERROR(INDEX(Mapa_RelIni,MATCH($B5&amp;"#"&amp;($M5+1),Mapa_Chave,0)),Turno_Min)-($S5+Limpeza_Min)))</f>
        <v/>
      </c>
      <c r="P5" s="19">
        <f>IF($B5="","",IF($Q5="","OK",LEFT($Q5,LEN($Q5)-3)))</f>
        <v/>
      </c>
      <c r="Q5" s="10">
        <f>IF($B5="","",IF(COUNTIF(Postos_Cod,$B5)=0,"Sala não cadastrada | ","")&amp;IF(AND(COUNTIF(Postos_Cod,$B5)&gt;0,IFERROR(INDEX(Postos_Tipo,MATCH($B5,Postos_Cod,0)),"")&lt;&gt;"Sala cirúrgica"),"Posto não é sala cirúrgica | ","")&amp;IF(AND(COUNTIF(Postos_Cod,$B5)&gt;0,IFERROR(INDEX(Postos_Status,MATCH($B5,Postos_Cod,0)),"")&lt;&gt;"Ativo"),"Sala não ativa | ","")&amp;IF(COUNTIF(Esp_Nome,$E5)=0,"Especialidade não cadastrada | ","")&amp;IF(COUNTIF(Lista_StatusCirurgia,$J5)=0,"Status inválido | ","")&amp;IF(OR(NOT(ISNUMBER($C5)),NOT(ISNUMBER($D5))),"Horário inválido | ","")&amp;IFERROR(IF(AND(ISNUMBER($C5),ISNUMBER($D5),MOD($D5-$C5,1)*1440&lt;=0),"Duração nula ou negativa | ",""),"")&amp;IF(AND($L5&gt;0,OR($R5&gt;=Turno_Min,$S5&gt;Turno_Min)),"Fora da janela do plantão | ","")&amp;IF(AND($L5&gt;0,SUMPRODUCT((Mapa_Sala=$B5)*(Mapa_Data=$A5)*(Mapa_MinOcup&gt;0)*(Mapa_RelIni&lt;$S5)*(Mapa_RelFim&gt;$R5))&gt;1),"Sobreposição de horário na sala | ","")&amp;IFERROR(IF(AND(ISNUMBER($K5),$K5&gt;0,COUNTIF(Esp_Nome,$E5)&gt;0,$K5&gt;3*INDEX(Esp_Dur,MATCH($E5,Esp_Nome,0))),"Duração atípica (&gt;3x a média) | ",""),""))</f>
        <v/>
      </c>
      <c r="R5" s="15">
        <f>IF(NOT(ISNUMBER($C5)),0,ROUND(MOD($C5-Turno_Ini,1)*1440,0))</f>
        <v/>
      </c>
      <c r="S5" s="15">
        <f>IF($L5&lt;=0,0,$R5+$K5)</f>
        <v/>
      </c>
      <c r="T5" s="15">
        <f>IF($M5="","",$B5&amp;"#"&amp;$M5)</f>
        <v/>
      </c>
      <c r="U5" s="15">
        <f>ROW()</f>
        <v/>
      </c>
    </row>
    <row r="6">
      <c r="A6" s="38" t="n">
        <v>46254</v>
      </c>
      <c r="B6" s="29" t="inlineStr">
        <is>
          <t>SO-01</t>
        </is>
      </c>
      <c r="C6" s="42" t="n">
        <v>0.6284722222222222</v>
      </c>
      <c r="D6" s="42" t="n">
        <v>0.7118055555555556</v>
      </c>
      <c r="E6" s="30" t="inlineStr">
        <is>
          <t>Ortopedia</t>
        </is>
      </c>
      <c r="F6" s="34">
        <f>IF($E6="","",IFERROR(INDEX(Esp_Hab,MATCH($E6,Esp_Nome,0)),"—"))</f>
        <v/>
      </c>
      <c r="G6" s="30" t="inlineStr">
        <is>
          <t>Artroplastia total de quadril</t>
        </is>
      </c>
      <c r="H6" s="30" t="inlineStr">
        <is>
          <t>Dra. Fialho</t>
        </is>
      </c>
      <c r="I6" s="29" t="inlineStr">
        <is>
          <t>M</t>
        </is>
      </c>
      <c r="J6" s="29" t="inlineStr">
        <is>
          <t>Agendada</t>
        </is>
      </c>
      <c r="K6" s="37">
        <f>IF(OR($B6="",NOT(ISNUMBER($C6)),NOT(ISNUMBER($D6))),"",ROUND(MOD($D6-$C6,1)*1440,0))</f>
        <v/>
      </c>
      <c r="L6" s="37">
        <f>IF(NOT(ISNUMBER($K6)),0,IF(OR($K6&lt;=0,$J6="Cancelada",$J6="Suspensa"),0,$K6+Limpeza_Min))</f>
        <v/>
      </c>
      <c r="M6" s="37">
        <f>IF($L6&lt;=0,"",SUMPRODUCT((Mapa_Sala=$B6)*(Mapa_Data=$A6)*(Mapa_MinOcup&gt;0)*((Mapa_RelIni&lt;$R6)+((Mapa_RelIni=$R6)*(Mapa_Row&lt;=$U6)))))</f>
        <v/>
      </c>
      <c r="N6" s="43">
        <f>IF($L6&lt;=0,"",MOD(Turno_Ini+($S6+Limpeza_Min)/1440,1))</f>
        <v/>
      </c>
      <c r="O6" s="37">
        <f>IF($L6&lt;=0,"",MAX(0,IFERROR(INDEX(Mapa_RelIni,MATCH($B6&amp;"#"&amp;($M6+1),Mapa_Chave,0)),Turno_Min)-($S6+Limpeza_Min)))</f>
        <v/>
      </c>
      <c r="P6" s="19">
        <f>IF($B6="","",IF($Q6="","OK",LEFT($Q6,LEN($Q6)-3)))</f>
        <v/>
      </c>
      <c r="Q6" s="10">
        <f>IF($B6="","",IF(COUNTIF(Postos_Cod,$B6)=0,"Sala não cadastrada | ","")&amp;IF(AND(COUNTIF(Postos_Cod,$B6)&gt;0,IFERROR(INDEX(Postos_Tipo,MATCH($B6,Postos_Cod,0)),"")&lt;&gt;"Sala cirúrgica"),"Posto não é sala cirúrgica | ","")&amp;IF(AND(COUNTIF(Postos_Cod,$B6)&gt;0,IFERROR(INDEX(Postos_Status,MATCH($B6,Postos_Cod,0)),"")&lt;&gt;"Ativo"),"Sala não ativa | ","")&amp;IF(COUNTIF(Esp_Nome,$E6)=0,"Especialidade não cadastrada | ","")&amp;IF(COUNTIF(Lista_StatusCirurgia,$J6)=0,"Status inválido | ","")&amp;IF(OR(NOT(ISNUMBER($C6)),NOT(ISNUMBER($D6))),"Horário inválido | ","")&amp;IFERROR(IF(AND(ISNUMBER($C6),ISNUMBER($D6),MOD($D6-$C6,1)*1440&lt;=0),"Duração nula ou negativa | ",""),"")&amp;IF(AND($L6&gt;0,OR($R6&gt;=Turno_Min,$S6&gt;Turno_Min)),"Fora da janela do plantão | ","")&amp;IF(AND($L6&gt;0,SUMPRODUCT((Mapa_Sala=$B6)*(Mapa_Data=$A6)*(Mapa_MinOcup&gt;0)*(Mapa_RelIni&lt;$S6)*(Mapa_RelFim&gt;$R6))&gt;1),"Sobreposição de horário na sala | ","")&amp;IFERROR(IF(AND(ISNUMBER($K6),$K6&gt;0,COUNTIF(Esp_Nome,$E6)&gt;0,$K6&gt;3*INDEX(Esp_Dur,MATCH($E6,Esp_Nome,0))),"Duração atípica (&gt;3x a média) | ",""),""))</f>
        <v/>
      </c>
      <c r="R6" s="15">
        <f>IF(NOT(ISNUMBER($C6)),0,ROUND(MOD($C6-Turno_Ini,1)*1440,0))</f>
        <v/>
      </c>
      <c r="S6" s="15">
        <f>IF($L6&lt;=0,0,$R6+$K6)</f>
        <v/>
      </c>
      <c r="T6" s="15">
        <f>IF($M6="","",$B6&amp;"#"&amp;$M6)</f>
        <v/>
      </c>
      <c r="U6" s="15">
        <f>ROW()</f>
        <v/>
      </c>
    </row>
    <row r="7">
      <c r="A7" s="38" t="n">
        <v>46254</v>
      </c>
      <c r="B7" s="29" t="inlineStr">
        <is>
          <t>SO-02</t>
        </is>
      </c>
      <c r="C7" s="42" t="n">
        <v>0.2916666666666667</v>
      </c>
      <c r="D7" s="42" t="n">
        <v>0.3472222222222222</v>
      </c>
      <c r="E7" s="30" t="inlineStr">
        <is>
          <t>Cirurgia Geral</t>
        </is>
      </c>
      <c r="F7" s="34">
        <f>IF($E7="","",IFERROR(INDEX(Esp_Hab,MATCH($E7,Esp_Nome,0)),"—"))</f>
        <v/>
      </c>
      <c r="G7" s="30" t="inlineStr">
        <is>
          <t>Colecistectomia videolaparoscópica</t>
        </is>
      </c>
      <c r="H7" s="30" t="inlineStr">
        <is>
          <t>Dra. Bernardes</t>
        </is>
      </c>
      <c r="I7" s="29" t="inlineStr">
        <is>
          <t>P</t>
        </is>
      </c>
      <c r="J7" s="29" t="inlineStr">
        <is>
          <t>Agendada</t>
        </is>
      </c>
      <c r="K7" s="37">
        <f>IF(OR($B7="",NOT(ISNUMBER($C7)),NOT(ISNUMBER($D7))),"",ROUND(MOD($D7-$C7,1)*1440,0))</f>
        <v/>
      </c>
      <c r="L7" s="37">
        <f>IF(NOT(ISNUMBER($K7)),0,IF(OR($K7&lt;=0,$J7="Cancelada",$J7="Suspensa"),0,$K7+Limpeza_Min))</f>
        <v/>
      </c>
      <c r="M7" s="37">
        <f>IF($L7&lt;=0,"",SUMPRODUCT((Mapa_Sala=$B7)*(Mapa_Data=$A7)*(Mapa_MinOcup&gt;0)*((Mapa_RelIni&lt;$R7)+((Mapa_RelIni=$R7)*(Mapa_Row&lt;=$U7)))))</f>
        <v/>
      </c>
      <c r="N7" s="43">
        <f>IF($L7&lt;=0,"",MOD(Turno_Ini+($S7+Limpeza_Min)/1440,1))</f>
        <v/>
      </c>
      <c r="O7" s="37">
        <f>IF($L7&lt;=0,"",MAX(0,IFERROR(INDEX(Mapa_RelIni,MATCH($B7&amp;"#"&amp;($M7+1),Mapa_Chave,0)),Turno_Min)-($S7+Limpeza_Min)))</f>
        <v/>
      </c>
      <c r="P7" s="19">
        <f>IF($B7="","",IF($Q7="","OK",LEFT($Q7,LEN($Q7)-3)))</f>
        <v/>
      </c>
      <c r="Q7" s="10">
        <f>IF($B7="","",IF(COUNTIF(Postos_Cod,$B7)=0,"Sala não cadastrada | ","")&amp;IF(AND(COUNTIF(Postos_Cod,$B7)&gt;0,IFERROR(INDEX(Postos_Tipo,MATCH($B7,Postos_Cod,0)),"")&lt;&gt;"Sala cirúrgica"),"Posto não é sala cirúrgica | ","")&amp;IF(AND(COUNTIF(Postos_Cod,$B7)&gt;0,IFERROR(INDEX(Postos_Status,MATCH($B7,Postos_Cod,0)),"")&lt;&gt;"Ativo"),"Sala não ativa | ","")&amp;IF(COUNTIF(Esp_Nome,$E7)=0,"Especialidade não cadastrada | ","")&amp;IF(COUNTIF(Lista_StatusCirurgia,$J7)=0,"Status inválido | ","")&amp;IF(OR(NOT(ISNUMBER($C7)),NOT(ISNUMBER($D7))),"Horário inválido | ","")&amp;IFERROR(IF(AND(ISNUMBER($C7),ISNUMBER($D7),MOD($D7-$C7,1)*1440&lt;=0),"Duração nula ou negativa | ",""),"")&amp;IF(AND($L7&gt;0,OR($R7&gt;=Turno_Min,$S7&gt;Turno_Min)),"Fora da janela do plantão | ","")&amp;IF(AND($L7&gt;0,SUMPRODUCT((Mapa_Sala=$B7)*(Mapa_Data=$A7)*(Mapa_MinOcup&gt;0)*(Mapa_RelIni&lt;$S7)*(Mapa_RelFim&gt;$R7))&gt;1),"Sobreposição de horário na sala | ","")&amp;IFERROR(IF(AND(ISNUMBER($K7),$K7&gt;0,COUNTIF(Esp_Nome,$E7)&gt;0,$K7&gt;3*INDEX(Esp_Dur,MATCH($E7,Esp_Nome,0))),"Duração atípica (&gt;3x a média) | ",""),""))</f>
        <v/>
      </c>
      <c r="R7" s="15">
        <f>IF(NOT(ISNUMBER($C7)),0,ROUND(MOD($C7-Turno_Ini,1)*1440,0))</f>
        <v/>
      </c>
      <c r="S7" s="15">
        <f>IF($L7&lt;=0,0,$R7+$K7)</f>
        <v/>
      </c>
      <c r="T7" s="15">
        <f>IF($M7="","",$B7&amp;"#"&amp;$M7)</f>
        <v/>
      </c>
      <c r="U7" s="15">
        <f>ROW()</f>
        <v/>
      </c>
    </row>
    <row r="8">
      <c r="A8" s="38" t="n">
        <v>46254</v>
      </c>
      <c r="B8" s="29" t="inlineStr">
        <is>
          <t>SO-02</t>
        </is>
      </c>
      <c r="C8" s="42" t="n">
        <v>0.3611111111111111</v>
      </c>
      <c r="D8" s="42" t="n">
        <v>0.4513888888888889</v>
      </c>
      <c r="E8" s="30" t="inlineStr">
        <is>
          <t>Cirurgia Bariátrica</t>
        </is>
      </c>
      <c r="F8" s="34">
        <f>IF($E8="","",IFERROR(INDEX(Esp_Hab,MATCH($E8,Esp_Nome,0)),"—"))</f>
        <v/>
      </c>
      <c r="G8" s="30" t="inlineStr">
        <is>
          <t>Gastrectomia vertical</t>
        </is>
      </c>
      <c r="H8" s="30" t="inlineStr">
        <is>
          <t>Dr. Coelho</t>
        </is>
      </c>
      <c r="I8" s="29" t="inlineStr">
        <is>
          <t>M</t>
        </is>
      </c>
      <c r="J8" s="29" t="inlineStr">
        <is>
          <t>Agendada</t>
        </is>
      </c>
      <c r="K8" s="37">
        <f>IF(OR($B8="",NOT(ISNUMBER($C8)),NOT(ISNUMBER($D8))),"",ROUND(MOD($D8-$C8,1)*1440,0))</f>
        <v/>
      </c>
      <c r="L8" s="37">
        <f>IF(NOT(ISNUMBER($K8)),0,IF(OR($K8&lt;=0,$J8="Cancelada",$J8="Suspensa"),0,$K8+Limpeza_Min))</f>
        <v/>
      </c>
      <c r="M8" s="37">
        <f>IF($L8&lt;=0,"",SUMPRODUCT((Mapa_Sala=$B8)*(Mapa_Data=$A8)*(Mapa_MinOcup&gt;0)*((Mapa_RelIni&lt;$R8)+((Mapa_RelIni=$R8)*(Mapa_Row&lt;=$U8)))))</f>
        <v/>
      </c>
      <c r="N8" s="43">
        <f>IF($L8&lt;=0,"",MOD(Turno_Ini+($S8+Limpeza_Min)/1440,1))</f>
        <v/>
      </c>
      <c r="O8" s="37">
        <f>IF($L8&lt;=0,"",MAX(0,IFERROR(INDEX(Mapa_RelIni,MATCH($B8&amp;"#"&amp;($M8+1),Mapa_Chave,0)),Turno_Min)-($S8+Limpeza_Min)))</f>
        <v/>
      </c>
      <c r="P8" s="19">
        <f>IF($B8="","",IF($Q8="","OK",LEFT($Q8,LEN($Q8)-3)))</f>
        <v/>
      </c>
      <c r="Q8" s="10">
        <f>IF($B8="","",IF(COUNTIF(Postos_Cod,$B8)=0,"Sala não cadastrada | ","")&amp;IF(AND(COUNTIF(Postos_Cod,$B8)&gt;0,IFERROR(INDEX(Postos_Tipo,MATCH($B8,Postos_Cod,0)),"")&lt;&gt;"Sala cirúrgica"),"Posto não é sala cirúrgica | ","")&amp;IF(AND(COUNTIF(Postos_Cod,$B8)&gt;0,IFERROR(INDEX(Postos_Status,MATCH($B8,Postos_Cod,0)),"")&lt;&gt;"Ativo"),"Sala não ativa | ","")&amp;IF(COUNTIF(Esp_Nome,$E8)=0,"Especialidade não cadastrada | ","")&amp;IF(COUNTIF(Lista_StatusCirurgia,$J8)=0,"Status inválido | ","")&amp;IF(OR(NOT(ISNUMBER($C8)),NOT(ISNUMBER($D8))),"Horário inválido | ","")&amp;IFERROR(IF(AND(ISNUMBER($C8),ISNUMBER($D8),MOD($D8-$C8,1)*1440&lt;=0),"Duração nula ou negativa | ",""),"")&amp;IF(AND($L8&gt;0,OR($R8&gt;=Turno_Min,$S8&gt;Turno_Min)),"Fora da janela do plantão | ","")&amp;IF(AND($L8&gt;0,SUMPRODUCT((Mapa_Sala=$B8)*(Mapa_Data=$A8)*(Mapa_MinOcup&gt;0)*(Mapa_RelIni&lt;$S8)*(Mapa_RelFim&gt;$R8))&gt;1),"Sobreposição de horário na sala | ","")&amp;IFERROR(IF(AND(ISNUMBER($K8),$K8&gt;0,COUNTIF(Esp_Nome,$E8)&gt;0,$K8&gt;3*INDEX(Esp_Dur,MATCH($E8,Esp_Nome,0))),"Duração atípica (&gt;3x a média) | ",""),""))</f>
        <v/>
      </c>
      <c r="R8" s="15">
        <f>IF(NOT(ISNUMBER($C8)),0,ROUND(MOD($C8-Turno_Ini,1)*1440,0))</f>
        <v/>
      </c>
      <c r="S8" s="15">
        <f>IF($L8&lt;=0,0,$R8+$K8)</f>
        <v/>
      </c>
      <c r="T8" s="15">
        <f>IF($M8="","",$B8&amp;"#"&amp;$M8)</f>
        <v/>
      </c>
      <c r="U8" s="15">
        <f>ROW()</f>
        <v/>
      </c>
    </row>
    <row r="9">
      <c r="A9" s="38" t="n">
        <v>46254</v>
      </c>
      <c r="B9" s="29" t="inlineStr">
        <is>
          <t>SO-02</t>
        </is>
      </c>
      <c r="C9" s="42" t="n">
        <v>0.5069444444444444</v>
      </c>
      <c r="D9" s="42" t="n">
        <v>0.5520833333333334</v>
      </c>
      <c r="E9" s="30" t="inlineStr">
        <is>
          <t>Cirurgia Pediátrica</t>
        </is>
      </c>
      <c r="F9" s="34">
        <f>IF($E9="","",IFERROR(INDEX(Esp_Hab,MATCH($E9,Esp_Nome,0)),"—"))</f>
        <v/>
      </c>
      <c r="G9" s="30" t="inlineStr">
        <is>
          <t>Postectomia</t>
        </is>
      </c>
      <c r="H9" s="30" t="inlineStr">
        <is>
          <t>Dra. Delgado</t>
        </is>
      </c>
      <c r="I9" s="29" t="inlineStr">
        <is>
          <t>P</t>
        </is>
      </c>
      <c r="J9" s="29" t="inlineStr">
        <is>
          <t>Cancelada</t>
        </is>
      </c>
      <c r="K9" s="37">
        <f>IF(OR($B9="",NOT(ISNUMBER($C9)),NOT(ISNUMBER($D9))),"",ROUND(MOD($D9-$C9,1)*1440,0))</f>
        <v/>
      </c>
      <c r="L9" s="37">
        <f>IF(NOT(ISNUMBER($K9)),0,IF(OR($K9&lt;=0,$J9="Cancelada",$J9="Suspensa"),0,$K9+Limpeza_Min))</f>
        <v/>
      </c>
      <c r="M9" s="37">
        <f>IF($L9&lt;=0,"",SUMPRODUCT((Mapa_Sala=$B9)*(Mapa_Data=$A9)*(Mapa_MinOcup&gt;0)*((Mapa_RelIni&lt;$R9)+((Mapa_RelIni=$R9)*(Mapa_Row&lt;=$U9)))))</f>
        <v/>
      </c>
      <c r="N9" s="43">
        <f>IF($L9&lt;=0,"",MOD(Turno_Ini+($S9+Limpeza_Min)/1440,1))</f>
        <v/>
      </c>
      <c r="O9" s="37">
        <f>IF($L9&lt;=0,"",MAX(0,IFERROR(INDEX(Mapa_RelIni,MATCH($B9&amp;"#"&amp;($M9+1),Mapa_Chave,0)),Turno_Min)-($S9+Limpeza_Min)))</f>
        <v/>
      </c>
      <c r="P9" s="19">
        <f>IF($B9="","",IF($Q9="","OK",LEFT($Q9,LEN($Q9)-3)))</f>
        <v/>
      </c>
      <c r="Q9" s="10">
        <f>IF($B9="","",IF(COUNTIF(Postos_Cod,$B9)=0,"Sala não cadastrada | ","")&amp;IF(AND(COUNTIF(Postos_Cod,$B9)&gt;0,IFERROR(INDEX(Postos_Tipo,MATCH($B9,Postos_Cod,0)),"")&lt;&gt;"Sala cirúrgica"),"Posto não é sala cirúrgica | ","")&amp;IF(AND(COUNTIF(Postos_Cod,$B9)&gt;0,IFERROR(INDEX(Postos_Status,MATCH($B9,Postos_Cod,0)),"")&lt;&gt;"Ativo"),"Sala não ativa | ","")&amp;IF(COUNTIF(Esp_Nome,$E9)=0,"Especialidade não cadastrada | ","")&amp;IF(COUNTIF(Lista_StatusCirurgia,$J9)=0,"Status inválido | ","")&amp;IF(OR(NOT(ISNUMBER($C9)),NOT(ISNUMBER($D9))),"Horário inválido | ","")&amp;IFERROR(IF(AND(ISNUMBER($C9),ISNUMBER($D9),MOD($D9-$C9,1)*1440&lt;=0),"Duração nula ou negativa | ",""),"")&amp;IF(AND($L9&gt;0,OR($R9&gt;=Turno_Min,$S9&gt;Turno_Min)),"Fora da janela do plantão | ","")&amp;IF(AND($L9&gt;0,SUMPRODUCT((Mapa_Sala=$B9)*(Mapa_Data=$A9)*(Mapa_MinOcup&gt;0)*(Mapa_RelIni&lt;$S9)*(Mapa_RelFim&gt;$R9))&gt;1),"Sobreposição de horário na sala | ","")&amp;IFERROR(IF(AND(ISNUMBER($K9),$K9&gt;0,COUNTIF(Esp_Nome,$E9)&gt;0,$K9&gt;3*INDEX(Esp_Dur,MATCH($E9,Esp_Nome,0))),"Duração atípica (&gt;3x a média) | ",""),""))</f>
        <v/>
      </c>
      <c r="R9" s="15">
        <f>IF(NOT(ISNUMBER($C9)),0,ROUND(MOD($C9-Turno_Ini,1)*1440,0))</f>
        <v/>
      </c>
      <c r="S9" s="15">
        <f>IF($L9&lt;=0,0,$R9+$K9)</f>
        <v/>
      </c>
      <c r="T9" s="15">
        <f>IF($M9="","",$B9&amp;"#"&amp;$M9)</f>
        <v/>
      </c>
      <c r="U9" s="15">
        <f>ROW()</f>
        <v/>
      </c>
    </row>
    <row r="10">
      <c r="A10" s="38" t="n">
        <v>46254</v>
      </c>
      <c r="B10" s="29" t="inlineStr">
        <is>
          <t>SO-02</t>
        </is>
      </c>
      <c r="C10" s="42" t="n">
        <v>0.5659722222222222</v>
      </c>
      <c r="D10" s="42" t="n">
        <v>0.6319444444444444</v>
      </c>
      <c r="E10" s="30" t="inlineStr">
        <is>
          <t>Cirurgia Geral</t>
        </is>
      </c>
      <c r="F10" s="34">
        <f>IF($E10="","",IFERROR(INDEX(Esp_Hab,MATCH($E10,Esp_Nome,0)),"—"))</f>
        <v/>
      </c>
      <c r="G10" s="30" t="inlineStr">
        <is>
          <t>Colecistectomia videolaparoscópica</t>
        </is>
      </c>
      <c r="H10" s="30" t="inlineStr">
        <is>
          <t>Dr. Esteves</t>
        </is>
      </c>
      <c r="I10" s="29" t="inlineStr">
        <is>
          <t>M</t>
        </is>
      </c>
      <c r="J10" s="29" t="inlineStr">
        <is>
          <t>Agendada</t>
        </is>
      </c>
      <c r="K10" s="37">
        <f>IF(OR($B10="",NOT(ISNUMBER($C10)),NOT(ISNUMBER($D10))),"",ROUND(MOD($D10-$C10,1)*1440,0))</f>
        <v/>
      </c>
      <c r="L10" s="37">
        <f>IF(NOT(ISNUMBER($K10)),0,IF(OR($K10&lt;=0,$J10="Cancelada",$J10="Suspensa"),0,$K10+Limpeza_Min))</f>
        <v/>
      </c>
      <c r="M10" s="37">
        <f>IF($L10&lt;=0,"",SUMPRODUCT((Mapa_Sala=$B10)*(Mapa_Data=$A10)*(Mapa_MinOcup&gt;0)*((Mapa_RelIni&lt;$R10)+((Mapa_RelIni=$R10)*(Mapa_Row&lt;=$U10)))))</f>
        <v/>
      </c>
      <c r="N10" s="43">
        <f>IF($L10&lt;=0,"",MOD(Turno_Ini+($S10+Limpeza_Min)/1440,1))</f>
        <v/>
      </c>
      <c r="O10" s="37">
        <f>IF($L10&lt;=0,"",MAX(0,IFERROR(INDEX(Mapa_RelIni,MATCH($B10&amp;"#"&amp;($M10+1),Mapa_Chave,0)),Turno_Min)-($S10+Limpeza_Min)))</f>
        <v/>
      </c>
      <c r="P10" s="19">
        <f>IF($B10="","",IF($Q10="","OK",LEFT($Q10,LEN($Q10)-3)))</f>
        <v/>
      </c>
      <c r="Q10" s="10">
        <f>IF($B10="","",IF(COUNTIF(Postos_Cod,$B10)=0,"Sala não cadastrada | ","")&amp;IF(AND(COUNTIF(Postos_Cod,$B10)&gt;0,IFERROR(INDEX(Postos_Tipo,MATCH($B10,Postos_Cod,0)),"")&lt;&gt;"Sala cirúrgica"),"Posto não é sala cirúrgica | ","")&amp;IF(AND(COUNTIF(Postos_Cod,$B10)&gt;0,IFERROR(INDEX(Postos_Status,MATCH($B10,Postos_Cod,0)),"")&lt;&gt;"Ativo"),"Sala não ativa | ","")&amp;IF(COUNTIF(Esp_Nome,$E10)=0,"Especialidade não cadastrada | ","")&amp;IF(COUNTIF(Lista_StatusCirurgia,$J10)=0,"Status inválido | ","")&amp;IF(OR(NOT(ISNUMBER($C10)),NOT(ISNUMBER($D10))),"Horário inválido | ","")&amp;IFERROR(IF(AND(ISNUMBER($C10),ISNUMBER($D10),MOD($D10-$C10,1)*1440&lt;=0),"Duração nula ou negativa | ",""),"")&amp;IF(AND($L10&gt;0,OR($R10&gt;=Turno_Min,$S10&gt;Turno_Min)),"Fora da janela do plantão | ","")&amp;IF(AND($L10&gt;0,SUMPRODUCT((Mapa_Sala=$B10)*(Mapa_Data=$A10)*(Mapa_MinOcup&gt;0)*(Mapa_RelIni&lt;$S10)*(Mapa_RelFim&gt;$R10))&gt;1),"Sobreposição de horário na sala | ","")&amp;IFERROR(IF(AND(ISNUMBER($K10),$K10&gt;0,COUNTIF(Esp_Nome,$E10)&gt;0,$K10&gt;3*INDEX(Esp_Dur,MATCH($E10,Esp_Nome,0))),"Duração atípica (&gt;3x a média) | ",""),""))</f>
        <v/>
      </c>
      <c r="R10" s="15">
        <f>IF(NOT(ISNUMBER($C10)),0,ROUND(MOD($C10-Turno_Ini,1)*1440,0))</f>
        <v/>
      </c>
      <c r="S10" s="15">
        <f>IF($L10&lt;=0,0,$R10+$K10)</f>
        <v/>
      </c>
      <c r="T10" s="15">
        <f>IF($M10="","",$B10&amp;"#"&amp;$M10)</f>
        <v/>
      </c>
      <c r="U10" s="15">
        <f>ROW()</f>
        <v/>
      </c>
    </row>
    <row r="11">
      <c r="A11" s="38" t="n">
        <v>46254</v>
      </c>
      <c r="B11" s="29" t="inlineStr">
        <is>
          <t>SO-02</t>
        </is>
      </c>
      <c r="C11" s="42" t="n">
        <v>0.6458333333333334</v>
      </c>
      <c r="D11" s="42" t="n">
        <v>0.7395833333333334</v>
      </c>
      <c r="E11" s="30" t="inlineStr">
        <is>
          <t>Cirurgia Bariátrica</t>
        </is>
      </c>
      <c r="F11" s="34">
        <f>IF($E11="","",IFERROR(INDEX(Esp_Hab,MATCH($E11,Esp_Nome,0)),"—"))</f>
        <v/>
      </c>
      <c r="G11" s="30" t="inlineStr">
        <is>
          <t>Gastroplastia em Y de Roux</t>
        </is>
      </c>
      <c r="H11" s="30" t="inlineStr">
        <is>
          <t>Dra. Fialho</t>
        </is>
      </c>
      <c r="I11" s="29" t="inlineStr">
        <is>
          <t>M</t>
        </is>
      </c>
      <c r="J11" s="29" t="inlineStr">
        <is>
          <t>Agendada</t>
        </is>
      </c>
      <c r="K11" s="37">
        <f>IF(OR($B11="",NOT(ISNUMBER($C11)),NOT(ISNUMBER($D11))),"",ROUND(MOD($D11-$C11,1)*1440,0))</f>
        <v/>
      </c>
      <c r="L11" s="37">
        <f>IF(NOT(ISNUMBER($K11)),0,IF(OR($K11&lt;=0,$J11="Cancelada",$J11="Suspensa"),0,$K11+Limpeza_Min))</f>
        <v/>
      </c>
      <c r="M11" s="37">
        <f>IF($L11&lt;=0,"",SUMPRODUCT((Mapa_Sala=$B11)*(Mapa_Data=$A11)*(Mapa_MinOcup&gt;0)*((Mapa_RelIni&lt;$R11)+((Mapa_RelIni=$R11)*(Mapa_Row&lt;=$U11)))))</f>
        <v/>
      </c>
      <c r="N11" s="43">
        <f>IF($L11&lt;=0,"",MOD(Turno_Ini+($S11+Limpeza_Min)/1440,1))</f>
        <v/>
      </c>
      <c r="O11" s="37">
        <f>IF($L11&lt;=0,"",MAX(0,IFERROR(INDEX(Mapa_RelIni,MATCH($B11&amp;"#"&amp;($M11+1),Mapa_Chave,0)),Turno_Min)-($S11+Limpeza_Min)))</f>
        <v/>
      </c>
      <c r="P11" s="19">
        <f>IF($B11="","",IF($Q11="","OK",LEFT($Q11,LEN($Q11)-3)))</f>
        <v/>
      </c>
      <c r="Q11" s="10">
        <f>IF($B11="","",IF(COUNTIF(Postos_Cod,$B11)=0,"Sala não cadastrada | ","")&amp;IF(AND(COUNTIF(Postos_Cod,$B11)&gt;0,IFERROR(INDEX(Postos_Tipo,MATCH($B11,Postos_Cod,0)),"")&lt;&gt;"Sala cirúrgica"),"Posto não é sala cirúrgica | ","")&amp;IF(AND(COUNTIF(Postos_Cod,$B11)&gt;0,IFERROR(INDEX(Postos_Status,MATCH($B11,Postos_Cod,0)),"")&lt;&gt;"Ativo"),"Sala não ativa | ","")&amp;IF(COUNTIF(Esp_Nome,$E11)=0,"Especialidade não cadastrada | ","")&amp;IF(COUNTIF(Lista_StatusCirurgia,$J11)=0,"Status inválido | ","")&amp;IF(OR(NOT(ISNUMBER($C11)),NOT(ISNUMBER($D11))),"Horário inválido | ","")&amp;IFERROR(IF(AND(ISNUMBER($C11),ISNUMBER($D11),MOD($D11-$C11,1)*1440&lt;=0),"Duração nula ou negativa | ",""),"")&amp;IF(AND($L11&gt;0,OR($R11&gt;=Turno_Min,$S11&gt;Turno_Min)),"Fora da janela do plantão | ","")&amp;IF(AND($L11&gt;0,SUMPRODUCT((Mapa_Sala=$B11)*(Mapa_Data=$A11)*(Mapa_MinOcup&gt;0)*(Mapa_RelIni&lt;$S11)*(Mapa_RelFim&gt;$R11))&gt;1),"Sobreposição de horário na sala | ","")&amp;IFERROR(IF(AND(ISNUMBER($K11),$K11&gt;0,COUNTIF(Esp_Nome,$E11)&gt;0,$K11&gt;3*INDEX(Esp_Dur,MATCH($E11,Esp_Nome,0))),"Duração atípica (&gt;3x a média) | ",""),""))</f>
        <v/>
      </c>
      <c r="R11" s="15">
        <f>IF(NOT(ISNUMBER($C11)),0,ROUND(MOD($C11-Turno_Ini,1)*1440,0))</f>
        <v/>
      </c>
      <c r="S11" s="15">
        <f>IF($L11&lt;=0,0,$R11+$K11)</f>
        <v/>
      </c>
      <c r="T11" s="15">
        <f>IF($M11="","",$B11&amp;"#"&amp;$M11)</f>
        <v/>
      </c>
      <c r="U11" s="15">
        <f>ROW()</f>
        <v/>
      </c>
    </row>
    <row r="12">
      <c r="A12" s="38" t="n">
        <v>46254</v>
      </c>
      <c r="B12" s="29" t="inlineStr">
        <is>
          <t>SO-03</t>
        </is>
      </c>
      <c r="C12" s="42" t="n">
        <v>0.2916666666666667</v>
      </c>
      <c r="D12" s="42" t="n">
        <v>0.4652777777777778</v>
      </c>
      <c r="E12" s="30" t="inlineStr">
        <is>
          <t>Neurocirurgia</t>
        </is>
      </c>
      <c r="F12" s="34">
        <f>IF($E12="","",IFERROR(INDEX(Esp_Hab,MATCH($E12,Esp_Nome,0)),"—"))</f>
        <v/>
      </c>
      <c r="G12" s="30" t="inlineStr">
        <is>
          <t>Craniotomia para tumor</t>
        </is>
      </c>
      <c r="H12" s="30" t="inlineStr">
        <is>
          <t>Dra. Hirano</t>
        </is>
      </c>
      <c r="I12" s="29" t="inlineStr">
        <is>
          <t>G</t>
        </is>
      </c>
      <c r="J12" s="29" t="inlineStr">
        <is>
          <t>Agendada</t>
        </is>
      </c>
      <c r="K12" s="37">
        <f>IF(OR($B12="",NOT(ISNUMBER($C12)),NOT(ISNUMBER($D12))),"",ROUND(MOD($D12-$C12,1)*1440,0))</f>
        <v/>
      </c>
      <c r="L12" s="37">
        <f>IF(NOT(ISNUMBER($K12)),0,IF(OR($K12&lt;=0,$J12="Cancelada",$J12="Suspensa"),0,$K12+Limpeza_Min))</f>
        <v/>
      </c>
      <c r="M12" s="37">
        <f>IF($L12&lt;=0,"",SUMPRODUCT((Mapa_Sala=$B12)*(Mapa_Data=$A12)*(Mapa_MinOcup&gt;0)*((Mapa_RelIni&lt;$R12)+((Mapa_RelIni=$R12)*(Mapa_Row&lt;=$U12)))))</f>
        <v/>
      </c>
      <c r="N12" s="43">
        <f>IF($L12&lt;=0,"",MOD(Turno_Ini+($S12+Limpeza_Min)/1440,1))</f>
        <v/>
      </c>
      <c r="O12" s="37">
        <f>IF($L12&lt;=0,"",MAX(0,IFERROR(INDEX(Mapa_RelIni,MATCH($B12&amp;"#"&amp;($M12+1),Mapa_Chave,0)),Turno_Min)-($S12+Limpeza_Min)))</f>
        <v/>
      </c>
      <c r="P12" s="19">
        <f>IF($B12="","",IF($Q12="","OK",LEFT($Q12,LEN($Q12)-3)))</f>
        <v/>
      </c>
      <c r="Q12" s="10">
        <f>IF($B12="","",IF(COUNTIF(Postos_Cod,$B12)=0,"Sala não cadastrada | ","")&amp;IF(AND(COUNTIF(Postos_Cod,$B12)&gt;0,IFERROR(INDEX(Postos_Tipo,MATCH($B12,Postos_Cod,0)),"")&lt;&gt;"Sala cirúrgica"),"Posto não é sala cirúrgica | ","")&amp;IF(AND(COUNTIF(Postos_Cod,$B12)&gt;0,IFERROR(INDEX(Postos_Status,MATCH($B12,Postos_Cod,0)),"")&lt;&gt;"Ativo"),"Sala não ativa | ","")&amp;IF(COUNTIF(Esp_Nome,$E12)=0,"Especialidade não cadastrada | ","")&amp;IF(COUNTIF(Lista_StatusCirurgia,$J12)=0,"Status inválido | ","")&amp;IF(OR(NOT(ISNUMBER($C12)),NOT(ISNUMBER($D12))),"Horário inválido | ","")&amp;IFERROR(IF(AND(ISNUMBER($C12),ISNUMBER($D12),MOD($D12-$C12,1)*1440&lt;=0),"Duração nula ou negativa | ",""),"")&amp;IF(AND($L12&gt;0,OR($R12&gt;=Turno_Min,$S12&gt;Turno_Min)),"Fora da janela do plantão | ","")&amp;IF(AND($L12&gt;0,SUMPRODUCT((Mapa_Sala=$B12)*(Mapa_Data=$A12)*(Mapa_MinOcup&gt;0)*(Mapa_RelIni&lt;$S12)*(Mapa_RelFim&gt;$R12))&gt;1),"Sobreposição de horário na sala | ","")&amp;IFERROR(IF(AND(ISNUMBER($K12),$K12&gt;0,COUNTIF(Esp_Nome,$E12)&gt;0,$K12&gt;3*INDEX(Esp_Dur,MATCH($E12,Esp_Nome,0))),"Duração atípica (&gt;3x a média) | ",""),""))</f>
        <v/>
      </c>
      <c r="R12" s="15">
        <f>IF(NOT(ISNUMBER($C12)),0,ROUND(MOD($C12-Turno_Ini,1)*1440,0))</f>
        <v/>
      </c>
      <c r="S12" s="15">
        <f>IF($L12&lt;=0,0,$R12+$K12)</f>
        <v/>
      </c>
      <c r="T12" s="15">
        <f>IF($M12="","",$B12&amp;"#"&amp;$M12)</f>
        <v/>
      </c>
      <c r="U12" s="15">
        <f>ROW()</f>
        <v/>
      </c>
    </row>
    <row r="13">
      <c r="A13" s="38" t="n">
        <v>46254</v>
      </c>
      <c r="B13" s="29" t="inlineStr">
        <is>
          <t>SO-03</t>
        </is>
      </c>
      <c r="C13" s="42" t="n">
        <v>0.4791666666666667</v>
      </c>
      <c r="D13" s="42" t="n">
        <v>0.6215277777777778</v>
      </c>
      <c r="E13" s="30" t="inlineStr">
        <is>
          <t>Neurocirurgia</t>
        </is>
      </c>
      <c r="F13" s="34">
        <f>IF($E13="","",IFERROR(INDEX(Esp_Hab,MATCH($E13,Esp_Nome,0)),"—"))</f>
        <v/>
      </c>
      <c r="G13" s="30" t="inlineStr">
        <is>
          <t>Artrodese lombar</t>
        </is>
      </c>
      <c r="H13" s="30" t="inlineStr">
        <is>
          <t>Dr. Iglesias</t>
        </is>
      </c>
      <c r="I13" s="29" t="inlineStr">
        <is>
          <t>G</t>
        </is>
      </c>
      <c r="J13" s="29" t="inlineStr">
        <is>
          <t>Agendada</t>
        </is>
      </c>
      <c r="K13" s="37">
        <f>IF(OR($B13="",NOT(ISNUMBER($C13)),NOT(ISNUMBER($D13))),"",ROUND(MOD($D13-$C13,1)*1440,0))</f>
        <v/>
      </c>
      <c r="L13" s="37">
        <f>IF(NOT(ISNUMBER($K13)),0,IF(OR($K13&lt;=0,$J13="Cancelada",$J13="Suspensa"),0,$K13+Limpeza_Min))</f>
        <v/>
      </c>
      <c r="M13" s="37">
        <f>IF($L13&lt;=0,"",SUMPRODUCT((Mapa_Sala=$B13)*(Mapa_Data=$A13)*(Mapa_MinOcup&gt;0)*((Mapa_RelIni&lt;$R13)+((Mapa_RelIni=$R13)*(Mapa_Row&lt;=$U13)))))</f>
        <v/>
      </c>
      <c r="N13" s="43">
        <f>IF($L13&lt;=0,"",MOD(Turno_Ini+($S13+Limpeza_Min)/1440,1))</f>
        <v/>
      </c>
      <c r="O13" s="37">
        <f>IF($L13&lt;=0,"",MAX(0,IFERROR(INDEX(Mapa_RelIni,MATCH($B13&amp;"#"&amp;($M13+1),Mapa_Chave,0)),Turno_Min)-($S13+Limpeza_Min)))</f>
        <v/>
      </c>
      <c r="P13" s="19">
        <f>IF($B13="","",IF($Q13="","OK",LEFT($Q13,LEN($Q13)-3)))</f>
        <v/>
      </c>
      <c r="Q13" s="10">
        <f>IF($B13="","",IF(COUNTIF(Postos_Cod,$B13)=0,"Sala não cadastrada | ","")&amp;IF(AND(COUNTIF(Postos_Cod,$B13)&gt;0,IFERROR(INDEX(Postos_Tipo,MATCH($B13,Postos_Cod,0)),"")&lt;&gt;"Sala cirúrgica"),"Posto não é sala cirúrgica | ","")&amp;IF(AND(COUNTIF(Postos_Cod,$B13)&gt;0,IFERROR(INDEX(Postos_Status,MATCH($B13,Postos_Cod,0)),"")&lt;&gt;"Ativo"),"Sala não ativa | ","")&amp;IF(COUNTIF(Esp_Nome,$E13)=0,"Especialidade não cadastrada | ","")&amp;IF(COUNTIF(Lista_StatusCirurgia,$J13)=0,"Status inválido | ","")&amp;IF(OR(NOT(ISNUMBER($C13)),NOT(ISNUMBER($D13))),"Horário inválido | ","")&amp;IFERROR(IF(AND(ISNUMBER($C13),ISNUMBER($D13),MOD($D13-$C13,1)*1440&lt;=0),"Duração nula ou negativa | ",""),"")&amp;IF(AND($L13&gt;0,OR($R13&gt;=Turno_Min,$S13&gt;Turno_Min)),"Fora da janela do plantão | ","")&amp;IF(AND($L13&gt;0,SUMPRODUCT((Mapa_Sala=$B13)*(Mapa_Data=$A13)*(Mapa_MinOcup&gt;0)*(Mapa_RelIni&lt;$S13)*(Mapa_RelFim&gt;$R13))&gt;1),"Sobreposição de horário na sala | ","")&amp;IFERROR(IF(AND(ISNUMBER($K13),$K13&gt;0,COUNTIF(Esp_Nome,$E13)&gt;0,$K13&gt;3*INDEX(Esp_Dur,MATCH($E13,Esp_Nome,0))),"Duração atípica (&gt;3x a média) | ",""),""))</f>
        <v/>
      </c>
      <c r="R13" s="15">
        <f>IF(NOT(ISNUMBER($C13)),0,ROUND(MOD($C13-Turno_Ini,1)*1440,0))</f>
        <v/>
      </c>
      <c r="S13" s="15">
        <f>IF($L13&lt;=0,0,$R13+$K13)</f>
        <v/>
      </c>
      <c r="T13" s="15">
        <f>IF($M13="","",$B13&amp;"#"&amp;$M13)</f>
        <v/>
      </c>
      <c r="U13" s="15">
        <f>ROW()</f>
        <v/>
      </c>
    </row>
    <row r="14">
      <c r="A14" s="38" t="n">
        <v>46254</v>
      </c>
      <c r="B14" s="29" t="inlineStr">
        <is>
          <t>SO-03</t>
        </is>
      </c>
      <c r="C14" s="42" t="n">
        <v>0.6354166666666666</v>
      </c>
      <c r="D14" s="42" t="n">
        <v>0.7569444444444444</v>
      </c>
      <c r="E14" s="30" t="inlineStr">
        <is>
          <t>Neurocirurgia</t>
        </is>
      </c>
      <c r="F14" s="34">
        <f>IF($E14="","",IFERROR(INDEX(Esp_Hab,MATCH($E14,Esp_Nome,0)),"—"))</f>
        <v/>
      </c>
      <c r="G14" s="30" t="inlineStr">
        <is>
          <t>Craniotomia para tumor</t>
        </is>
      </c>
      <c r="H14" s="30" t="inlineStr">
        <is>
          <t>Dra. Jordão</t>
        </is>
      </c>
      <c r="I14" s="29" t="inlineStr">
        <is>
          <t>M</t>
        </is>
      </c>
      <c r="J14" s="29" t="inlineStr">
        <is>
          <t>Agendada</t>
        </is>
      </c>
      <c r="K14" s="37">
        <f>IF(OR($B14="",NOT(ISNUMBER($C14)),NOT(ISNUMBER($D14))),"",ROUND(MOD($D14-$C14,1)*1440,0))</f>
        <v/>
      </c>
      <c r="L14" s="37">
        <f>IF(NOT(ISNUMBER($K14)),0,IF(OR($K14&lt;=0,$J14="Cancelada",$J14="Suspensa"),0,$K14+Limpeza_Min))</f>
        <v/>
      </c>
      <c r="M14" s="37">
        <f>IF($L14&lt;=0,"",SUMPRODUCT((Mapa_Sala=$B14)*(Mapa_Data=$A14)*(Mapa_MinOcup&gt;0)*((Mapa_RelIni&lt;$R14)+((Mapa_RelIni=$R14)*(Mapa_Row&lt;=$U14)))))</f>
        <v/>
      </c>
      <c r="N14" s="43">
        <f>IF($L14&lt;=0,"",MOD(Turno_Ini+($S14+Limpeza_Min)/1440,1))</f>
        <v/>
      </c>
      <c r="O14" s="37">
        <f>IF($L14&lt;=0,"",MAX(0,IFERROR(INDEX(Mapa_RelIni,MATCH($B14&amp;"#"&amp;($M14+1),Mapa_Chave,0)),Turno_Min)-($S14+Limpeza_Min)))</f>
        <v/>
      </c>
      <c r="P14" s="19">
        <f>IF($B14="","",IF($Q14="","OK",LEFT($Q14,LEN($Q14)-3)))</f>
        <v/>
      </c>
      <c r="Q14" s="10">
        <f>IF($B14="","",IF(COUNTIF(Postos_Cod,$B14)=0,"Sala não cadastrada | ","")&amp;IF(AND(COUNTIF(Postos_Cod,$B14)&gt;0,IFERROR(INDEX(Postos_Tipo,MATCH($B14,Postos_Cod,0)),"")&lt;&gt;"Sala cirúrgica"),"Posto não é sala cirúrgica | ","")&amp;IF(AND(COUNTIF(Postos_Cod,$B14)&gt;0,IFERROR(INDEX(Postos_Status,MATCH($B14,Postos_Cod,0)),"")&lt;&gt;"Ativo"),"Sala não ativa | ","")&amp;IF(COUNTIF(Esp_Nome,$E14)=0,"Especialidade não cadastrada | ","")&amp;IF(COUNTIF(Lista_StatusCirurgia,$J14)=0,"Status inválido | ","")&amp;IF(OR(NOT(ISNUMBER($C14)),NOT(ISNUMBER($D14))),"Horário inválido | ","")&amp;IFERROR(IF(AND(ISNUMBER($C14),ISNUMBER($D14),MOD($D14-$C14,1)*1440&lt;=0),"Duração nula ou negativa | ",""),"")&amp;IF(AND($L14&gt;0,OR($R14&gt;=Turno_Min,$S14&gt;Turno_Min)),"Fora da janela do plantão | ","")&amp;IF(AND($L14&gt;0,SUMPRODUCT((Mapa_Sala=$B14)*(Mapa_Data=$A14)*(Mapa_MinOcup&gt;0)*(Mapa_RelIni&lt;$S14)*(Mapa_RelFim&gt;$R14))&gt;1),"Sobreposição de horário na sala | ","")&amp;IFERROR(IF(AND(ISNUMBER($K14),$K14&gt;0,COUNTIF(Esp_Nome,$E14)&gt;0,$K14&gt;3*INDEX(Esp_Dur,MATCH($E14,Esp_Nome,0))),"Duração atípica (&gt;3x a média) | ",""),""))</f>
        <v/>
      </c>
      <c r="R14" s="15">
        <f>IF(NOT(ISNUMBER($C14)),0,ROUND(MOD($C14-Turno_Ini,1)*1440,0))</f>
        <v/>
      </c>
      <c r="S14" s="15">
        <f>IF($L14&lt;=0,0,$R14+$K14)</f>
        <v/>
      </c>
      <c r="T14" s="15">
        <f>IF($M14="","",$B14&amp;"#"&amp;$M14)</f>
        <v/>
      </c>
      <c r="U14" s="15">
        <f>ROW()</f>
        <v/>
      </c>
    </row>
    <row r="15">
      <c r="A15" s="38" t="n">
        <v>46254</v>
      </c>
      <c r="B15" s="29" t="inlineStr">
        <is>
          <t>SO-04</t>
        </is>
      </c>
      <c r="C15" s="42" t="n">
        <v>0.2916666666666667</v>
      </c>
      <c r="D15" s="42" t="n">
        <v>0.3819444444444444</v>
      </c>
      <c r="E15" s="30" t="inlineStr">
        <is>
          <t>Cirurgia Plástica</t>
        </is>
      </c>
      <c r="F15" s="34">
        <f>IF($E15="","",IFERROR(INDEX(Esp_Hab,MATCH($E15,Esp_Nome,0)),"—"))</f>
        <v/>
      </c>
      <c r="G15" s="30" t="inlineStr">
        <is>
          <t>Dermolipectomia abdominal</t>
        </is>
      </c>
      <c r="H15" s="30" t="inlineStr">
        <is>
          <t>Dr. Coelho</t>
        </is>
      </c>
      <c r="I15" s="29" t="inlineStr">
        <is>
          <t>M</t>
        </is>
      </c>
      <c r="J15" s="29" t="inlineStr">
        <is>
          <t>Agendada</t>
        </is>
      </c>
      <c r="K15" s="37">
        <f>IF(OR($B15="",NOT(ISNUMBER($C15)),NOT(ISNUMBER($D15))),"",ROUND(MOD($D15-$C15,1)*1440,0))</f>
        <v/>
      </c>
      <c r="L15" s="37">
        <f>IF(NOT(ISNUMBER($K15)),0,IF(OR($K15&lt;=0,$J15="Cancelada",$J15="Suspensa"),0,$K15+Limpeza_Min))</f>
        <v/>
      </c>
      <c r="M15" s="37">
        <f>IF($L15&lt;=0,"",SUMPRODUCT((Mapa_Sala=$B15)*(Mapa_Data=$A15)*(Mapa_MinOcup&gt;0)*((Mapa_RelIni&lt;$R15)+((Mapa_RelIni=$R15)*(Mapa_Row&lt;=$U15)))))</f>
        <v/>
      </c>
      <c r="N15" s="43">
        <f>IF($L15&lt;=0,"",MOD(Turno_Ini+($S15+Limpeza_Min)/1440,1))</f>
        <v/>
      </c>
      <c r="O15" s="37">
        <f>IF($L15&lt;=0,"",MAX(0,IFERROR(INDEX(Mapa_RelIni,MATCH($B15&amp;"#"&amp;($M15+1),Mapa_Chave,0)),Turno_Min)-($S15+Limpeza_Min)))</f>
        <v/>
      </c>
      <c r="P15" s="19">
        <f>IF($B15="","",IF($Q15="","OK",LEFT($Q15,LEN($Q15)-3)))</f>
        <v/>
      </c>
      <c r="Q15" s="10">
        <f>IF($B15="","",IF(COUNTIF(Postos_Cod,$B15)=0,"Sala não cadastrada | ","")&amp;IF(AND(COUNTIF(Postos_Cod,$B15)&gt;0,IFERROR(INDEX(Postos_Tipo,MATCH($B15,Postos_Cod,0)),"")&lt;&gt;"Sala cirúrgica"),"Posto não é sala cirúrgica | ","")&amp;IF(AND(COUNTIF(Postos_Cod,$B15)&gt;0,IFERROR(INDEX(Postos_Status,MATCH($B15,Postos_Cod,0)),"")&lt;&gt;"Ativo"),"Sala não ativa | ","")&amp;IF(COUNTIF(Esp_Nome,$E15)=0,"Especialidade não cadastrada | ","")&amp;IF(COUNTIF(Lista_StatusCirurgia,$J15)=0,"Status inválido | ","")&amp;IF(OR(NOT(ISNUMBER($C15)),NOT(ISNUMBER($D15))),"Horário inválido | ","")&amp;IFERROR(IF(AND(ISNUMBER($C15),ISNUMBER($D15),MOD($D15-$C15,1)*1440&lt;=0),"Duração nula ou negativa | ",""),"")&amp;IF(AND($L15&gt;0,OR($R15&gt;=Turno_Min,$S15&gt;Turno_Min)),"Fora da janela do plantão | ","")&amp;IF(AND($L15&gt;0,SUMPRODUCT((Mapa_Sala=$B15)*(Mapa_Data=$A15)*(Mapa_MinOcup&gt;0)*(Mapa_RelIni&lt;$S15)*(Mapa_RelFim&gt;$R15))&gt;1),"Sobreposição de horário na sala | ","")&amp;IFERROR(IF(AND(ISNUMBER($K15),$K15&gt;0,COUNTIF(Esp_Nome,$E15)&gt;0,$K15&gt;3*INDEX(Esp_Dur,MATCH($E15,Esp_Nome,0))),"Duração atípica (&gt;3x a média) | ",""),""))</f>
        <v/>
      </c>
      <c r="R15" s="15">
        <f>IF(NOT(ISNUMBER($C15)),0,ROUND(MOD($C15-Turno_Ini,1)*1440,0))</f>
        <v/>
      </c>
      <c r="S15" s="15">
        <f>IF($L15&lt;=0,0,$R15+$K15)</f>
        <v/>
      </c>
      <c r="T15" s="15">
        <f>IF($M15="","",$B15&amp;"#"&amp;$M15)</f>
        <v/>
      </c>
      <c r="U15" s="15">
        <f>ROW()</f>
        <v/>
      </c>
    </row>
    <row r="16">
      <c r="A16" s="38" t="n">
        <v>46254</v>
      </c>
      <c r="B16" s="29" t="inlineStr">
        <is>
          <t>SO-04</t>
        </is>
      </c>
      <c r="C16" s="42" t="n">
        <v>0.3958333333333333</v>
      </c>
      <c r="D16" s="42" t="n">
        <v>0.4965277777777778</v>
      </c>
      <c r="E16" s="30" t="inlineStr">
        <is>
          <t>Cirurgia Vascular</t>
        </is>
      </c>
      <c r="F16" s="34">
        <f>IF($E16="","",IFERROR(INDEX(Esp_Hab,MATCH($E16,Esp_Nome,0)),"—"))</f>
        <v/>
      </c>
      <c r="G16" s="30" t="inlineStr">
        <is>
          <t>Confecção de fístula arteriovenosa</t>
        </is>
      </c>
      <c r="H16" s="30" t="inlineStr">
        <is>
          <t>Dra. Delgado</t>
        </is>
      </c>
      <c r="I16" s="29" t="inlineStr">
        <is>
          <t>M</t>
        </is>
      </c>
      <c r="J16" s="29" t="inlineStr">
        <is>
          <t>Agendada</t>
        </is>
      </c>
      <c r="K16" s="37">
        <f>IF(OR($B16="",NOT(ISNUMBER($C16)),NOT(ISNUMBER($D16))),"",ROUND(MOD($D16-$C16,1)*1440,0))</f>
        <v/>
      </c>
      <c r="L16" s="37">
        <f>IF(NOT(ISNUMBER($K16)),0,IF(OR($K16&lt;=0,$J16="Cancelada",$J16="Suspensa"),0,$K16+Limpeza_Min))</f>
        <v/>
      </c>
      <c r="M16" s="37">
        <f>IF($L16&lt;=0,"",SUMPRODUCT((Mapa_Sala=$B16)*(Mapa_Data=$A16)*(Mapa_MinOcup&gt;0)*((Mapa_RelIni&lt;$R16)+((Mapa_RelIni=$R16)*(Mapa_Row&lt;=$U16)))))</f>
        <v/>
      </c>
      <c r="N16" s="43">
        <f>IF($L16&lt;=0,"",MOD(Turno_Ini+($S16+Limpeza_Min)/1440,1))</f>
        <v/>
      </c>
      <c r="O16" s="37">
        <f>IF($L16&lt;=0,"",MAX(0,IFERROR(INDEX(Mapa_RelIni,MATCH($B16&amp;"#"&amp;($M16+1),Mapa_Chave,0)),Turno_Min)-($S16+Limpeza_Min)))</f>
        <v/>
      </c>
      <c r="P16" s="19">
        <f>IF($B16="","",IF($Q16="","OK",LEFT($Q16,LEN($Q16)-3)))</f>
        <v/>
      </c>
      <c r="Q16" s="10">
        <f>IF($B16="","",IF(COUNTIF(Postos_Cod,$B16)=0,"Sala não cadastrada | ","")&amp;IF(AND(COUNTIF(Postos_Cod,$B16)&gt;0,IFERROR(INDEX(Postos_Tipo,MATCH($B16,Postos_Cod,0)),"")&lt;&gt;"Sala cirúrgica"),"Posto não é sala cirúrgica | ","")&amp;IF(AND(COUNTIF(Postos_Cod,$B16)&gt;0,IFERROR(INDEX(Postos_Status,MATCH($B16,Postos_Cod,0)),"")&lt;&gt;"Ativo"),"Sala não ativa | ","")&amp;IF(COUNTIF(Esp_Nome,$E16)=0,"Especialidade não cadastrada | ","")&amp;IF(COUNTIF(Lista_StatusCirurgia,$J16)=0,"Status inválido | ","")&amp;IF(OR(NOT(ISNUMBER($C16)),NOT(ISNUMBER($D16))),"Horário inválido | ","")&amp;IFERROR(IF(AND(ISNUMBER($C16),ISNUMBER($D16),MOD($D16-$C16,1)*1440&lt;=0),"Duração nula ou negativa | ",""),"")&amp;IF(AND($L16&gt;0,OR($R16&gt;=Turno_Min,$S16&gt;Turno_Min)),"Fora da janela do plantão | ","")&amp;IF(AND($L16&gt;0,SUMPRODUCT((Mapa_Sala=$B16)*(Mapa_Data=$A16)*(Mapa_MinOcup&gt;0)*(Mapa_RelIni&lt;$S16)*(Mapa_RelFim&gt;$R16))&gt;1),"Sobreposição de horário na sala | ","")&amp;IFERROR(IF(AND(ISNUMBER($K16),$K16&gt;0,COUNTIF(Esp_Nome,$E16)&gt;0,$K16&gt;3*INDEX(Esp_Dur,MATCH($E16,Esp_Nome,0))),"Duração atípica (&gt;3x a média) | ",""),""))</f>
        <v/>
      </c>
      <c r="R16" s="15">
        <f>IF(NOT(ISNUMBER($C16)),0,ROUND(MOD($C16-Turno_Ini,1)*1440,0))</f>
        <v/>
      </c>
      <c r="S16" s="15">
        <f>IF($L16&lt;=0,0,$R16+$K16)</f>
        <v/>
      </c>
      <c r="T16" s="15">
        <f>IF($M16="","",$B16&amp;"#"&amp;$M16)</f>
        <v/>
      </c>
      <c r="U16" s="15">
        <f>ROW()</f>
        <v/>
      </c>
    </row>
    <row r="17">
      <c r="A17" s="38" t="n">
        <v>46254</v>
      </c>
      <c r="B17" s="29" t="inlineStr">
        <is>
          <t>SO-04</t>
        </is>
      </c>
      <c r="C17" s="42" t="n">
        <v>0.5416666666666666</v>
      </c>
      <c r="D17" s="42" t="n">
        <v>0.6284722222222222</v>
      </c>
      <c r="E17" s="30" t="inlineStr">
        <is>
          <t>Cirurgia Plástica</t>
        </is>
      </c>
      <c r="F17" s="34">
        <f>IF($E17="","",IFERROR(INDEX(Esp_Hab,MATCH($E17,Esp_Nome,0)),"—"))</f>
        <v/>
      </c>
      <c r="G17" s="30" t="inlineStr">
        <is>
          <t>Dermolipectomia abdominal</t>
        </is>
      </c>
      <c r="H17" s="30" t="inlineStr">
        <is>
          <t>Dr. Esteves</t>
        </is>
      </c>
      <c r="I17" s="29" t="inlineStr">
        <is>
          <t>M</t>
        </is>
      </c>
      <c r="J17" s="29" t="inlineStr">
        <is>
          <t>Agendada</t>
        </is>
      </c>
      <c r="K17" s="37">
        <f>IF(OR($B17="",NOT(ISNUMBER($C17)),NOT(ISNUMBER($D17))),"",ROUND(MOD($D17-$C17,1)*1440,0))</f>
        <v/>
      </c>
      <c r="L17" s="37">
        <f>IF(NOT(ISNUMBER($K17)),0,IF(OR($K17&lt;=0,$J17="Cancelada",$J17="Suspensa"),0,$K17+Limpeza_Min))</f>
        <v/>
      </c>
      <c r="M17" s="37">
        <f>IF($L17&lt;=0,"",SUMPRODUCT((Mapa_Sala=$B17)*(Mapa_Data=$A17)*(Mapa_MinOcup&gt;0)*((Mapa_RelIni&lt;$R17)+((Mapa_RelIni=$R17)*(Mapa_Row&lt;=$U17)))))</f>
        <v/>
      </c>
      <c r="N17" s="43">
        <f>IF($L17&lt;=0,"",MOD(Turno_Ini+($S17+Limpeza_Min)/1440,1))</f>
        <v/>
      </c>
      <c r="O17" s="37">
        <f>IF($L17&lt;=0,"",MAX(0,IFERROR(INDEX(Mapa_RelIni,MATCH($B17&amp;"#"&amp;($M17+1),Mapa_Chave,0)),Turno_Min)-($S17+Limpeza_Min)))</f>
        <v/>
      </c>
      <c r="P17" s="19">
        <f>IF($B17="","",IF($Q17="","OK",LEFT($Q17,LEN($Q17)-3)))</f>
        <v/>
      </c>
      <c r="Q17" s="10">
        <f>IF($B17="","",IF(COUNTIF(Postos_Cod,$B17)=0,"Sala não cadastrada | ","")&amp;IF(AND(COUNTIF(Postos_Cod,$B17)&gt;0,IFERROR(INDEX(Postos_Tipo,MATCH($B17,Postos_Cod,0)),"")&lt;&gt;"Sala cirúrgica"),"Posto não é sala cirúrgica | ","")&amp;IF(AND(COUNTIF(Postos_Cod,$B17)&gt;0,IFERROR(INDEX(Postos_Status,MATCH($B17,Postos_Cod,0)),"")&lt;&gt;"Ativo"),"Sala não ativa | ","")&amp;IF(COUNTIF(Esp_Nome,$E17)=0,"Especialidade não cadastrada | ","")&amp;IF(COUNTIF(Lista_StatusCirurgia,$J17)=0,"Status inválido | ","")&amp;IF(OR(NOT(ISNUMBER($C17)),NOT(ISNUMBER($D17))),"Horário inválido | ","")&amp;IFERROR(IF(AND(ISNUMBER($C17),ISNUMBER($D17),MOD($D17-$C17,1)*1440&lt;=0),"Duração nula ou negativa | ",""),"")&amp;IF(AND($L17&gt;0,OR($R17&gt;=Turno_Min,$S17&gt;Turno_Min)),"Fora da janela do plantão | ","")&amp;IF(AND($L17&gt;0,SUMPRODUCT((Mapa_Sala=$B17)*(Mapa_Data=$A17)*(Mapa_MinOcup&gt;0)*(Mapa_RelIni&lt;$S17)*(Mapa_RelFim&gt;$R17))&gt;1),"Sobreposição de horário na sala | ","")&amp;IFERROR(IF(AND(ISNUMBER($K17),$K17&gt;0,COUNTIF(Esp_Nome,$E17)&gt;0,$K17&gt;3*INDEX(Esp_Dur,MATCH($E17,Esp_Nome,0))),"Duração atípica (&gt;3x a média) | ",""),""))</f>
        <v/>
      </c>
      <c r="R17" s="15">
        <f>IF(NOT(ISNUMBER($C17)),0,ROUND(MOD($C17-Turno_Ini,1)*1440,0))</f>
        <v/>
      </c>
      <c r="S17" s="15">
        <f>IF($L17&lt;=0,0,$R17+$K17)</f>
        <v/>
      </c>
      <c r="T17" s="15">
        <f>IF($M17="","",$B17&amp;"#"&amp;$M17)</f>
        <v/>
      </c>
      <c r="U17" s="15">
        <f>ROW()</f>
        <v/>
      </c>
    </row>
    <row r="18">
      <c r="A18" s="38" t="n">
        <v>46254</v>
      </c>
      <c r="B18" s="29" t="inlineStr">
        <is>
          <t>SO-05</t>
        </is>
      </c>
      <c r="C18" s="42" t="n">
        <v>0.2916666666666667</v>
      </c>
      <c r="D18" s="42" t="n">
        <v>0.3576388888888889</v>
      </c>
      <c r="E18" s="30" t="inlineStr">
        <is>
          <t>Ginecologia</t>
        </is>
      </c>
      <c r="F18" s="34">
        <f>IF($E18="","",IFERROR(INDEX(Esp_Hab,MATCH($E18,Esp_Nome,0)),"—"))</f>
        <v/>
      </c>
      <c r="G18" s="30" t="inlineStr">
        <is>
          <t>Histerectomia total</t>
        </is>
      </c>
      <c r="H18" s="30" t="inlineStr">
        <is>
          <t>Dr. Esteves</t>
        </is>
      </c>
      <c r="I18" s="29" t="inlineStr">
        <is>
          <t>M</t>
        </is>
      </c>
      <c r="J18" s="29" t="inlineStr">
        <is>
          <t>Agendada</t>
        </is>
      </c>
      <c r="K18" s="37">
        <f>IF(OR($B18="",NOT(ISNUMBER($C18)),NOT(ISNUMBER($D18))),"",ROUND(MOD($D18-$C18,1)*1440,0))</f>
        <v/>
      </c>
      <c r="L18" s="37">
        <f>IF(NOT(ISNUMBER($K18)),0,IF(OR($K18&lt;=0,$J18="Cancelada",$J18="Suspensa"),0,$K18+Limpeza_Min))</f>
        <v/>
      </c>
      <c r="M18" s="37">
        <f>IF($L18&lt;=0,"",SUMPRODUCT((Mapa_Sala=$B18)*(Mapa_Data=$A18)*(Mapa_MinOcup&gt;0)*((Mapa_RelIni&lt;$R18)+((Mapa_RelIni=$R18)*(Mapa_Row&lt;=$U18)))))</f>
        <v/>
      </c>
      <c r="N18" s="43">
        <f>IF($L18&lt;=0,"",MOD(Turno_Ini+($S18+Limpeza_Min)/1440,1))</f>
        <v/>
      </c>
      <c r="O18" s="37">
        <f>IF($L18&lt;=0,"",MAX(0,IFERROR(INDEX(Mapa_RelIni,MATCH($B18&amp;"#"&amp;($M18+1),Mapa_Chave,0)),Turno_Min)-($S18+Limpeza_Min)))</f>
        <v/>
      </c>
      <c r="P18" s="19">
        <f>IF($B18="","",IF($Q18="","OK",LEFT($Q18,LEN($Q18)-3)))</f>
        <v/>
      </c>
      <c r="Q18" s="10">
        <f>IF($B18="","",IF(COUNTIF(Postos_Cod,$B18)=0,"Sala não cadastrada | ","")&amp;IF(AND(COUNTIF(Postos_Cod,$B18)&gt;0,IFERROR(INDEX(Postos_Tipo,MATCH($B18,Postos_Cod,0)),"")&lt;&gt;"Sala cirúrgica"),"Posto não é sala cirúrgica | ","")&amp;IF(AND(COUNTIF(Postos_Cod,$B18)&gt;0,IFERROR(INDEX(Postos_Status,MATCH($B18,Postos_Cod,0)),"")&lt;&gt;"Ativo"),"Sala não ativa | ","")&amp;IF(COUNTIF(Esp_Nome,$E18)=0,"Especialidade não cadastrada | ","")&amp;IF(COUNTIF(Lista_StatusCirurgia,$J18)=0,"Status inválido | ","")&amp;IF(OR(NOT(ISNUMBER($C18)),NOT(ISNUMBER($D18))),"Horário inválido | ","")&amp;IFERROR(IF(AND(ISNUMBER($C18),ISNUMBER($D18),MOD($D18-$C18,1)*1440&lt;=0),"Duração nula ou negativa | ",""),"")&amp;IF(AND($L18&gt;0,OR($R18&gt;=Turno_Min,$S18&gt;Turno_Min)),"Fora da janela do plantão | ","")&amp;IF(AND($L18&gt;0,SUMPRODUCT((Mapa_Sala=$B18)*(Mapa_Data=$A18)*(Mapa_MinOcup&gt;0)*(Mapa_RelIni&lt;$S18)*(Mapa_RelFim&gt;$R18))&gt;1),"Sobreposição de horário na sala | ","")&amp;IFERROR(IF(AND(ISNUMBER($K18),$K18&gt;0,COUNTIF(Esp_Nome,$E18)&gt;0,$K18&gt;3*INDEX(Esp_Dur,MATCH($E18,Esp_Nome,0))),"Duração atípica (&gt;3x a média) | ",""),""))</f>
        <v/>
      </c>
      <c r="R18" s="15">
        <f>IF(NOT(ISNUMBER($C18)),0,ROUND(MOD($C18-Turno_Ini,1)*1440,0))</f>
        <v/>
      </c>
      <c r="S18" s="15">
        <f>IF($L18&lt;=0,0,$R18+$K18)</f>
        <v/>
      </c>
      <c r="T18" s="15">
        <f>IF($M18="","",$B18&amp;"#"&amp;$M18)</f>
        <v/>
      </c>
      <c r="U18" s="15">
        <f>ROW()</f>
        <v/>
      </c>
    </row>
    <row r="19">
      <c r="A19" s="38" t="n">
        <v>46254</v>
      </c>
      <c r="B19" s="29" t="inlineStr">
        <is>
          <t>SO-05</t>
        </is>
      </c>
      <c r="C19" s="42" t="n">
        <v>0.3715277777777778</v>
      </c>
      <c r="D19" s="42" t="n">
        <v>0.4340277777777778</v>
      </c>
      <c r="E19" s="30" t="inlineStr">
        <is>
          <t>Urologia</t>
        </is>
      </c>
      <c r="F19" s="34">
        <f>IF($E19="","",IFERROR(INDEX(Esp_Hab,MATCH($E19,Esp_Nome,0)),"—"))</f>
        <v/>
      </c>
      <c r="G19" s="30" t="inlineStr">
        <is>
          <t>Nefrolitotripsia</t>
        </is>
      </c>
      <c r="H19" s="30" t="inlineStr">
        <is>
          <t>Dra. Fialho</t>
        </is>
      </c>
      <c r="I19" s="29" t="inlineStr">
        <is>
          <t>M</t>
        </is>
      </c>
      <c r="J19" s="29" t="inlineStr">
        <is>
          <t>Agendada</t>
        </is>
      </c>
      <c r="K19" s="37">
        <f>IF(OR($B19="",NOT(ISNUMBER($C19)),NOT(ISNUMBER($D19))),"",ROUND(MOD($D19-$C19,1)*1440,0))</f>
        <v/>
      </c>
      <c r="L19" s="37">
        <f>IF(NOT(ISNUMBER($K19)),0,IF(OR($K19&lt;=0,$J19="Cancelada",$J19="Suspensa"),0,$K19+Limpeza_Min))</f>
        <v/>
      </c>
      <c r="M19" s="37">
        <f>IF($L19&lt;=0,"",SUMPRODUCT((Mapa_Sala=$B19)*(Mapa_Data=$A19)*(Mapa_MinOcup&gt;0)*((Mapa_RelIni&lt;$R19)+((Mapa_RelIni=$R19)*(Mapa_Row&lt;=$U19)))))</f>
        <v/>
      </c>
      <c r="N19" s="43">
        <f>IF($L19&lt;=0,"",MOD(Turno_Ini+($S19+Limpeza_Min)/1440,1))</f>
        <v/>
      </c>
      <c r="O19" s="37">
        <f>IF($L19&lt;=0,"",MAX(0,IFERROR(INDEX(Mapa_RelIni,MATCH($B19&amp;"#"&amp;($M19+1),Mapa_Chave,0)),Turno_Min)-($S19+Limpeza_Min)))</f>
        <v/>
      </c>
      <c r="P19" s="19">
        <f>IF($B19="","",IF($Q19="","OK",LEFT($Q19,LEN($Q19)-3)))</f>
        <v/>
      </c>
      <c r="Q19" s="10">
        <f>IF($B19="","",IF(COUNTIF(Postos_Cod,$B19)=0,"Sala não cadastrada | ","")&amp;IF(AND(COUNTIF(Postos_Cod,$B19)&gt;0,IFERROR(INDEX(Postos_Tipo,MATCH($B19,Postos_Cod,0)),"")&lt;&gt;"Sala cirúrgica"),"Posto não é sala cirúrgica | ","")&amp;IF(AND(COUNTIF(Postos_Cod,$B19)&gt;0,IFERROR(INDEX(Postos_Status,MATCH($B19,Postos_Cod,0)),"")&lt;&gt;"Ativo"),"Sala não ativa | ","")&amp;IF(COUNTIF(Esp_Nome,$E19)=0,"Especialidade não cadastrada | ","")&amp;IF(COUNTIF(Lista_StatusCirurgia,$J19)=0,"Status inválido | ","")&amp;IF(OR(NOT(ISNUMBER($C19)),NOT(ISNUMBER($D19))),"Horário inválido | ","")&amp;IFERROR(IF(AND(ISNUMBER($C19),ISNUMBER($D19),MOD($D19-$C19,1)*1440&lt;=0),"Duração nula ou negativa | ",""),"")&amp;IF(AND($L19&gt;0,OR($R19&gt;=Turno_Min,$S19&gt;Turno_Min)),"Fora da janela do plantão | ","")&amp;IF(AND($L19&gt;0,SUMPRODUCT((Mapa_Sala=$B19)*(Mapa_Data=$A19)*(Mapa_MinOcup&gt;0)*(Mapa_RelIni&lt;$S19)*(Mapa_RelFim&gt;$R19))&gt;1),"Sobreposição de horário na sala | ","")&amp;IFERROR(IF(AND(ISNUMBER($K19),$K19&gt;0,COUNTIF(Esp_Nome,$E19)&gt;0,$K19&gt;3*INDEX(Esp_Dur,MATCH($E19,Esp_Nome,0))),"Duração atípica (&gt;3x a média) | ",""),""))</f>
        <v/>
      </c>
      <c r="R19" s="15">
        <f>IF(NOT(ISNUMBER($C19)),0,ROUND(MOD($C19-Turno_Ini,1)*1440,0))</f>
        <v/>
      </c>
      <c r="S19" s="15">
        <f>IF($L19&lt;=0,0,$R19+$K19)</f>
        <v/>
      </c>
      <c r="T19" s="15">
        <f>IF($M19="","",$B19&amp;"#"&amp;$M19)</f>
        <v/>
      </c>
      <c r="U19" s="15">
        <f>ROW()</f>
        <v/>
      </c>
    </row>
    <row r="20">
      <c r="A20" s="38" t="n">
        <v>46254</v>
      </c>
      <c r="B20" s="29" t="inlineStr">
        <is>
          <t>SO-05</t>
        </is>
      </c>
      <c r="C20" s="42" t="n">
        <v>0.4479166666666667</v>
      </c>
      <c r="D20" s="42" t="n">
        <v>0.5173611111111112</v>
      </c>
      <c r="E20" s="30" t="inlineStr">
        <is>
          <t>Ginecologia</t>
        </is>
      </c>
      <c r="F20" s="34">
        <f>IF($E20="","",IFERROR(INDEX(Esp_Hab,MATCH($E20,Esp_Nome,0)),"—"))</f>
        <v/>
      </c>
      <c r="G20" s="30" t="inlineStr">
        <is>
          <t>Histerectomia total</t>
        </is>
      </c>
      <c r="H20" s="30" t="inlineStr">
        <is>
          <t>Dr. Gouveia</t>
        </is>
      </c>
      <c r="I20" s="29" t="inlineStr">
        <is>
          <t>M</t>
        </is>
      </c>
      <c r="J20" s="29" t="inlineStr">
        <is>
          <t>Agendada</t>
        </is>
      </c>
      <c r="K20" s="37">
        <f>IF(OR($B20="",NOT(ISNUMBER($C20)),NOT(ISNUMBER($D20))),"",ROUND(MOD($D20-$C20,1)*1440,0))</f>
        <v/>
      </c>
      <c r="L20" s="37">
        <f>IF(NOT(ISNUMBER($K20)),0,IF(OR($K20&lt;=0,$J20="Cancelada",$J20="Suspensa"),0,$K20+Limpeza_Min))</f>
        <v/>
      </c>
      <c r="M20" s="37">
        <f>IF($L20&lt;=0,"",SUMPRODUCT((Mapa_Sala=$B20)*(Mapa_Data=$A20)*(Mapa_MinOcup&gt;0)*((Mapa_RelIni&lt;$R20)+((Mapa_RelIni=$R20)*(Mapa_Row&lt;=$U20)))))</f>
        <v/>
      </c>
      <c r="N20" s="43">
        <f>IF($L20&lt;=0,"",MOD(Turno_Ini+($S20+Limpeza_Min)/1440,1))</f>
        <v/>
      </c>
      <c r="O20" s="37">
        <f>IF($L20&lt;=0,"",MAX(0,IFERROR(INDEX(Mapa_RelIni,MATCH($B20&amp;"#"&amp;($M20+1),Mapa_Chave,0)),Turno_Min)-($S20+Limpeza_Min)))</f>
        <v/>
      </c>
      <c r="P20" s="19">
        <f>IF($B20="","",IF($Q20="","OK",LEFT($Q20,LEN($Q20)-3)))</f>
        <v/>
      </c>
      <c r="Q20" s="10">
        <f>IF($B20="","",IF(COUNTIF(Postos_Cod,$B20)=0,"Sala não cadastrada | ","")&amp;IF(AND(COUNTIF(Postos_Cod,$B20)&gt;0,IFERROR(INDEX(Postos_Tipo,MATCH($B20,Postos_Cod,0)),"")&lt;&gt;"Sala cirúrgica"),"Posto não é sala cirúrgica | ","")&amp;IF(AND(COUNTIF(Postos_Cod,$B20)&gt;0,IFERROR(INDEX(Postos_Status,MATCH($B20,Postos_Cod,0)),"")&lt;&gt;"Ativo"),"Sala não ativa | ","")&amp;IF(COUNTIF(Esp_Nome,$E20)=0,"Especialidade não cadastrada | ","")&amp;IF(COUNTIF(Lista_StatusCirurgia,$J20)=0,"Status inválido | ","")&amp;IF(OR(NOT(ISNUMBER($C20)),NOT(ISNUMBER($D20))),"Horário inválido | ","")&amp;IFERROR(IF(AND(ISNUMBER($C20),ISNUMBER($D20),MOD($D20-$C20,1)*1440&lt;=0),"Duração nula ou negativa | ",""),"")&amp;IF(AND($L20&gt;0,OR($R20&gt;=Turno_Min,$S20&gt;Turno_Min)),"Fora da janela do plantão | ","")&amp;IF(AND($L20&gt;0,SUMPRODUCT((Mapa_Sala=$B20)*(Mapa_Data=$A20)*(Mapa_MinOcup&gt;0)*(Mapa_RelIni&lt;$S20)*(Mapa_RelFim&gt;$R20))&gt;1),"Sobreposição de horário na sala | ","")&amp;IFERROR(IF(AND(ISNUMBER($K20),$K20&gt;0,COUNTIF(Esp_Nome,$E20)&gt;0,$K20&gt;3*INDEX(Esp_Dur,MATCH($E20,Esp_Nome,0))),"Duração atípica (&gt;3x a média) | ",""),""))</f>
        <v/>
      </c>
      <c r="R20" s="15">
        <f>IF(NOT(ISNUMBER($C20)),0,ROUND(MOD($C20-Turno_Ini,1)*1440,0))</f>
        <v/>
      </c>
      <c r="S20" s="15">
        <f>IF($L20&lt;=0,0,$R20+$K20)</f>
        <v/>
      </c>
      <c r="T20" s="15">
        <f>IF($M20="","",$B20&amp;"#"&amp;$M20)</f>
        <v/>
      </c>
      <c r="U20" s="15">
        <f>ROW()</f>
        <v/>
      </c>
    </row>
    <row r="21">
      <c r="A21" s="38" t="n">
        <v>46254</v>
      </c>
      <c r="B21" s="29" t="inlineStr">
        <is>
          <t>SO-05</t>
        </is>
      </c>
      <c r="C21" s="42" t="n">
        <v>0.53125</v>
      </c>
      <c r="D21" s="42" t="n">
        <v>0.5902777777777778</v>
      </c>
      <c r="E21" s="30" t="inlineStr">
        <is>
          <t>Urologia</t>
        </is>
      </c>
      <c r="F21" s="34">
        <f>IF($E21="","",IFERROR(INDEX(Esp_Hab,MATCH($E21,Esp_Nome,0)),"—"))</f>
        <v/>
      </c>
      <c r="G21" s="30" t="inlineStr">
        <is>
          <t>Nefrolitotripsia</t>
        </is>
      </c>
      <c r="H21" s="30" t="inlineStr">
        <is>
          <t>Dra. Hirano</t>
        </is>
      </c>
      <c r="I21" s="29" t="inlineStr">
        <is>
          <t>P</t>
        </is>
      </c>
      <c r="J21" s="29" t="inlineStr">
        <is>
          <t>Agendada</t>
        </is>
      </c>
      <c r="K21" s="37">
        <f>IF(OR($B21="",NOT(ISNUMBER($C21)),NOT(ISNUMBER($D21))),"",ROUND(MOD($D21-$C21,1)*1440,0))</f>
        <v/>
      </c>
      <c r="L21" s="37">
        <f>IF(NOT(ISNUMBER($K21)),0,IF(OR($K21&lt;=0,$J21="Cancelada",$J21="Suspensa"),0,$K21+Limpeza_Min))</f>
        <v/>
      </c>
      <c r="M21" s="37">
        <f>IF($L21&lt;=0,"",SUMPRODUCT((Mapa_Sala=$B21)*(Mapa_Data=$A21)*(Mapa_MinOcup&gt;0)*((Mapa_RelIni&lt;$R21)+((Mapa_RelIni=$R21)*(Mapa_Row&lt;=$U21)))))</f>
        <v/>
      </c>
      <c r="N21" s="43">
        <f>IF($L21&lt;=0,"",MOD(Turno_Ini+($S21+Limpeza_Min)/1440,1))</f>
        <v/>
      </c>
      <c r="O21" s="37">
        <f>IF($L21&lt;=0,"",MAX(0,IFERROR(INDEX(Mapa_RelIni,MATCH($B21&amp;"#"&amp;($M21+1),Mapa_Chave,0)),Turno_Min)-($S21+Limpeza_Min)))</f>
        <v/>
      </c>
      <c r="P21" s="19">
        <f>IF($B21="","",IF($Q21="","OK",LEFT($Q21,LEN($Q21)-3)))</f>
        <v/>
      </c>
      <c r="Q21" s="10">
        <f>IF($B21="","",IF(COUNTIF(Postos_Cod,$B21)=0,"Sala não cadastrada | ","")&amp;IF(AND(COUNTIF(Postos_Cod,$B21)&gt;0,IFERROR(INDEX(Postos_Tipo,MATCH($B21,Postos_Cod,0)),"")&lt;&gt;"Sala cirúrgica"),"Posto não é sala cirúrgica | ","")&amp;IF(AND(COUNTIF(Postos_Cod,$B21)&gt;0,IFERROR(INDEX(Postos_Status,MATCH($B21,Postos_Cod,0)),"")&lt;&gt;"Ativo"),"Sala não ativa | ","")&amp;IF(COUNTIF(Esp_Nome,$E21)=0,"Especialidade não cadastrada | ","")&amp;IF(COUNTIF(Lista_StatusCirurgia,$J21)=0,"Status inválido | ","")&amp;IF(OR(NOT(ISNUMBER($C21)),NOT(ISNUMBER($D21))),"Horário inválido | ","")&amp;IFERROR(IF(AND(ISNUMBER($C21),ISNUMBER($D21),MOD($D21-$C21,1)*1440&lt;=0),"Duração nula ou negativa | ",""),"")&amp;IF(AND($L21&gt;0,OR($R21&gt;=Turno_Min,$S21&gt;Turno_Min)),"Fora da janela do plantão | ","")&amp;IF(AND($L21&gt;0,SUMPRODUCT((Mapa_Sala=$B21)*(Mapa_Data=$A21)*(Mapa_MinOcup&gt;0)*(Mapa_RelIni&lt;$S21)*(Mapa_RelFim&gt;$R21))&gt;1),"Sobreposição de horário na sala | ","")&amp;IFERROR(IF(AND(ISNUMBER($K21),$K21&gt;0,COUNTIF(Esp_Nome,$E21)&gt;0,$K21&gt;3*INDEX(Esp_Dur,MATCH($E21,Esp_Nome,0))),"Duração atípica (&gt;3x a média) | ",""),""))</f>
        <v/>
      </c>
      <c r="R21" s="15">
        <f>IF(NOT(ISNUMBER($C21)),0,ROUND(MOD($C21-Turno_Ini,1)*1440,0))</f>
        <v/>
      </c>
      <c r="S21" s="15">
        <f>IF($L21&lt;=0,0,$R21+$K21)</f>
        <v/>
      </c>
      <c r="T21" s="15">
        <f>IF($M21="","",$B21&amp;"#"&amp;$M21)</f>
        <v/>
      </c>
      <c r="U21" s="15">
        <f>ROW()</f>
        <v/>
      </c>
    </row>
    <row r="22">
      <c r="A22" s="38" t="n">
        <v>46254</v>
      </c>
      <c r="B22" s="29" t="inlineStr">
        <is>
          <t>SO-05</t>
        </is>
      </c>
      <c r="C22" s="42" t="n">
        <v>0.6041666666666666</v>
      </c>
      <c r="D22" s="42" t="n">
        <v>0.65625</v>
      </c>
      <c r="E22" s="30" t="inlineStr">
        <is>
          <t>Ginecologia</t>
        </is>
      </c>
      <c r="F22" s="34">
        <f>IF($E22="","",IFERROR(INDEX(Esp_Hab,MATCH($E22,Esp_Nome,0)),"—"))</f>
        <v/>
      </c>
      <c r="G22" s="30" t="inlineStr">
        <is>
          <t>Histerectomia total</t>
        </is>
      </c>
      <c r="H22" s="30" t="inlineStr">
        <is>
          <t>Dr. Iglesias</t>
        </is>
      </c>
      <c r="I22" s="29" t="inlineStr">
        <is>
          <t>P</t>
        </is>
      </c>
      <c r="J22" s="29" t="inlineStr">
        <is>
          <t>Agendada</t>
        </is>
      </c>
      <c r="K22" s="37">
        <f>IF(OR($B22="",NOT(ISNUMBER($C22)),NOT(ISNUMBER($D22))),"",ROUND(MOD($D22-$C22,1)*1440,0))</f>
        <v/>
      </c>
      <c r="L22" s="37">
        <f>IF(NOT(ISNUMBER($K22)),0,IF(OR($K22&lt;=0,$J22="Cancelada",$J22="Suspensa"),0,$K22+Limpeza_Min))</f>
        <v/>
      </c>
      <c r="M22" s="37">
        <f>IF($L22&lt;=0,"",SUMPRODUCT((Mapa_Sala=$B22)*(Mapa_Data=$A22)*(Mapa_MinOcup&gt;0)*((Mapa_RelIni&lt;$R22)+((Mapa_RelIni=$R22)*(Mapa_Row&lt;=$U22)))))</f>
        <v/>
      </c>
      <c r="N22" s="43">
        <f>IF($L22&lt;=0,"",MOD(Turno_Ini+($S22+Limpeza_Min)/1440,1))</f>
        <v/>
      </c>
      <c r="O22" s="37">
        <f>IF($L22&lt;=0,"",MAX(0,IFERROR(INDEX(Mapa_RelIni,MATCH($B22&amp;"#"&amp;($M22+1),Mapa_Chave,0)),Turno_Min)-($S22+Limpeza_Min)))</f>
        <v/>
      </c>
      <c r="P22" s="19">
        <f>IF($B22="","",IF($Q22="","OK",LEFT($Q22,LEN($Q22)-3)))</f>
        <v/>
      </c>
      <c r="Q22" s="10">
        <f>IF($B22="","",IF(COUNTIF(Postos_Cod,$B22)=0,"Sala não cadastrada | ","")&amp;IF(AND(COUNTIF(Postos_Cod,$B22)&gt;0,IFERROR(INDEX(Postos_Tipo,MATCH($B22,Postos_Cod,0)),"")&lt;&gt;"Sala cirúrgica"),"Posto não é sala cirúrgica | ","")&amp;IF(AND(COUNTIF(Postos_Cod,$B22)&gt;0,IFERROR(INDEX(Postos_Status,MATCH($B22,Postos_Cod,0)),"")&lt;&gt;"Ativo"),"Sala não ativa | ","")&amp;IF(COUNTIF(Esp_Nome,$E22)=0,"Especialidade não cadastrada | ","")&amp;IF(COUNTIF(Lista_StatusCirurgia,$J22)=0,"Status inválido | ","")&amp;IF(OR(NOT(ISNUMBER($C22)),NOT(ISNUMBER($D22))),"Horário inválido | ","")&amp;IFERROR(IF(AND(ISNUMBER($C22),ISNUMBER($D22),MOD($D22-$C22,1)*1440&lt;=0),"Duração nula ou negativa | ",""),"")&amp;IF(AND($L22&gt;0,OR($R22&gt;=Turno_Min,$S22&gt;Turno_Min)),"Fora da janela do plantão | ","")&amp;IF(AND($L22&gt;0,SUMPRODUCT((Mapa_Sala=$B22)*(Mapa_Data=$A22)*(Mapa_MinOcup&gt;0)*(Mapa_RelIni&lt;$S22)*(Mapa_RelFim&gt;$R22))&gt;1),"Sobreposição de horário na sala | ","")&amp;IFERROR(IF(AND(ISNUMBER($K22),$K22&gt;0,COUNTIF(Esp_Nome,$E22)&gt;0,$K22&gt;3*INDEX(Esp_Dur,MATCH($E22,Esp_Nome,0))),"Duração atípica (&gt;3x a média) | ",""),""))</f>
        <v/>
      </c>
      <c r="R22" s="15">
        <f>IF(NOT(ISNUMBER($C22)),0,ROUND(MOD($C22-Turno_Ini,1)*1440,0))</f>
        <v/>
      </c>
      <c r="S22" s="15">
        <f>IF($L22&lt;=0,0,$R22+$K22)</f>
        <v/>
      </c>
      <c r="T22" s="15">
        <f>IF($M22="","",$B22&amp;"#"&amp;$M22)</f>
        <v/>
      </c>
      <c r="U22" s="15">
        <f>ROW()</f>
        <v/>
      </c>
    </row>
    <row r="23">
      <c r="A23" s="38" t="n">
        <v>46254</v>
      </c>
      <c r="B23" s="29" t="inlineStr">
        <is>
          <t>SO-05</t>
        </is>
      </c>
      <c r="C23" s="42" t="n">
        <v>0.6701388888888888</v>
      </c>
      <c r="D23" s="42" t="n">
        <v>0.7361111111111112</v>
      </c>
      <c r="E23" s="30" t="inlineStr">
        <is>
          <t>Urologia</t>
        </is>
      </c>
      <c r="F23" s="34">
        <f>IF($E23="","",IFERROR(INDEX(Esp_Hab,MATCH($E23,Esp_Nome,0)),"—"))</f>
        <v/>
      </c>
      <c r="G23" s="30" t="inlineStr">
        <is>
          <t>Nefrolitotripsia</t>
        </is>
      </c>
      <c r="H23" s="30" t="inlineStr">
        <is>
          <t>Dra. Jordão</t>
        </is>
      </c>
      <c r="I23" s="29" t="inlineStr">
        <is>
          <t>M</t>
        </is>
      </c>
      <c r="J23" s="29" t="inlineStr">
        <is>
          <t>Agendada</t>
        </is>
      </c>
      <c r="K23" s="37">
        <f>IF(OR($B23="",NOT(ISNUMBER($C23)),NOT(ISNUMBER($D23))),"",ROUND(MOD($D23-$C23,1)*1440,0))</f>
        <v/>
      </c>
      <c r="L23" s="37">
        <f>IF(NOT(ISNUMBER($K23)),0,IF(OR($K23&lt;=0,$J23="Cancelada",$J23="Suspensa"),0,$K23+Limpeza_Min))</f>
        <v/>
      </c>
      <c r="M23" s="37">
        <f>IF($L23&lt;=0,"",SUMPRODUCT((Mapa_Sala=$B23)*(Mapa_Data=$A23)*(Mapa_MinOcup&gt;0)*((Mapa_RelIni&lt;$R23)+((Mapa_RelIni=$R23)*(Mapa_Row&lt;=$U23)))))</f>
        <v/>
      </c>
      <c r="N23" s="43">
        <f>IF($L23&lt;=0,"",MOD(Turno_Ini+($S23+Limpeza_Min)/1440,1))</f>
        <v/>
      </c>
      <c r="O23" s="37">
        <f>IF($L23&lt;=0,"",MAX(0,IFERROR(INDEX(Mapa_RelIni,MATCH($B23&amp;"#"&amp;($M23+1),Mapa_Chave,0)),Turno_Min)-($S23+Limpeza_Min)))</f>
        <v/>
      </c>
      <c r="P23" s="19">
        <f>IF($B23="","",IF($Q23="","OK",LEFT($Q23,LEN($Q23)-3)))</f>
        <v/>
      </c>
      <c r="Q23" s="10">
        <f>IF($B23="","",IF(COUNTIF(Postos_Cod,$B23)=0,"Sala não cadastrada | ","")&amp;IF(AND(COUNTIF(Postos_Cod,$B23)&gt;0,IFERROR(INDEX(Postos_Tipo,MATCH($B23,Postos_Cod,0)),"")&lt;&gt;"Sala cirúrgica"),"Posto não é sala cirúrgica | ","")&amp;IF(AND(COUNTIF(Postos_Cod,$B23)&gt;0,IFERROR(INDEX(Postos_Status,MATCH($B23,Postos_Cod,0)),"")&lt;&gt;"Ativo"),"Sala não ativa | ","")&amp;IF(COUNTIF(Esp_Nome,$E23)=0,"Especialidade não cadastrada | ","")&amp;IF(COUNTIF(Lista_StatusCirurgia,$J23)=0,"Status inválido | ","")&amp;IF(OR(NOT(ISNUMBER($C23)),NOT(ISNUMBER($D23))),"Horário inválido | ","")&amp;IFERROR(IF(AND(ISNUMBER($C23),ISNUMBER($D23),MOD($D23-$C23,1)*1440&lt;=0),"Duração nula ou negativa | ",""),"")&amp;IF(AND($L23&gt;0,OR($R23&gt;=Turno_Min,$S23&gt;Turno_Min)),"Fora da janela do plantão | ","")&amp;IF(AND($L23&gt;0,SUMPRODUCT((Mapa_Sala=$B23)*(Mapa_Data=$A23)*(Mapa_MinOcup&gt;0)*(Mapa_RelIni&lt;$S23)*(Mapa_RelFim&gt;$R23))&gt;1),"Sobreposição de horário na sala | ","")&amp;IFERROR(IF(AND(ISNUMBER($K23),$K23&gt;0,COUNTIF(Esp_Nome,$E23)&gt;0,$K23&gt;3*INDEX(Esp_Dur,MATCH($E23,Esp_Nome,0))),"Duração atípica (&gt;3x a média) | ",""),""))</f>
        <v/>
      </c>
      <c r="R23" s="15">
        <f>IF(NOT(ISNUMBER($C23)),0,ROUND(MOD($C23-Turno_Ini,1)*1440,0))</f>
        <v/>
      </c>
      <c r="S23" s="15">
        <f>IF($L23&lt;=0,0,$R23+$K23)</f>
        <v/>
      </c>
      <c r="T23" s="15">
        <f>IF($M23="","",$B23&amp;"#"&amp;$M23)</f>
        <v/>
      </c>
      <c r="U23" s="15">
        <f>ROW()</f>
        <v/>
      </c>
    </row>
    <row r="24">
      <c r="A24" s="38" t="n">
        <v>46254</v>
      </c>
      <c r="B24" s="29" t="inlineStr">
        <is>
          <t>SO-06</t>
        </is>
      </c>
      <c r="C24" s="42" t="n">
        <v>0.2916666666666667</v>
      </c>
      <c r="D24" s="42" t="n">
        <v>0.3368055555555556</v>
      </c>
      <c r="E24" s="30" t="inlineStr">
        <is>
          <t>Cesariana</t>
        </is>
      </c>
      <c r="F24" s="34">
        <f>IF($E24="","",IFERROR(INDEX(Esp_Hab,MATCH($E24,Esp_Nome,0)),"—"))</f>
        <v/>
      </c>
      <c r="G24" s="30" t="inlineStr">
        <is>
          <t>Cesariana</t>
        </is>
      </c>
      <c r="H24" s="30" t="inlineStr">
        <is>
          <t>Dra. Fialho</t>
        </is>
      </c>
      <c r="I24" s="29" t="inlineStr">
        <is>
          <t>P</t>
        </is>
      </c>
      <c r="J24" s="29" t="inlineStr">
        <is>
          <t>Agendada</t>
        </is>
      </c>
      <c r="K24" s="37">
        <f>IF(OR($B24="",NOT(ISNUMBER($C24)),NOT(ISNUMBER($D24))),"",ROUND(MOD($D24-$C24,1)*1440,0))</f>
        <v/>
      </c>
      <c r="L24" s="37">
        <f>IF(NOT(ISNUMBER($K24)),0,IF(OR($K24&lt;=0,$J24="Cancelada",$J24="Suspensa"),0,$K24+Limpeza_Min))</f>
        <v/>
      </c>
      <c r="M24" s="37">
        <f>IF($L24&lt;=0,"",SUMPRODUCT((Mapa_Sala=$B24)*(Mapa_Data=$A24)*(Mapa_MinOcup&gt;0)*((Mapa_RelIni&lt;$R24)+((Mapa_RelIni=$R24)*(Mapa_Row&lt;=$U24)))))</f>
        <v/>
      </c>
      <c r="N24" s="43">
        <f>IF($L24&lt;=0,"",MOD(Turno_Ini+($S24+Limpeza_Min)/1440,1))</f>
        <v/>
      </c>
      <c r="O24" s="37">
        <f>IF($L24&lt;=0,"",MAX(0,IFERROR(INDEX(Mapa_RelIni,MATCH($B24&amp;"#"&amp;($M24+1),Mapa_Chave,0)),Turno_Min)-($S24+Limpeza_Min)))</f>
        <v/>
      </c>
      <c r="P24" s="19">
        <f>IF($B24="","",IF($Q24="","OK",LEFT($Q24,LEN($Q24)-3)))</f>
        <v/>
      </c>
      <c r="Q24" s="10">
        <f>IF($B24="","",IF(COUNTIF(Postos_Cod,$B24)=0,"Sala não cadastrada | ","")&amp;IF(AND(COUNTIF(Postos_Cod,$B24)&gt;0,IFERROR(INDEX(Postos_Tipo,MATCH($B24,Postos_Cod,0)),"")&lt;&gt;"Sala cirúrgica"),"Posto não é sala cirúrgica | ","")&amp;IF(AND(COUNTIF(Postos_Cod,$B24)&gt;0,IFERROR(INDEX(Postos_Status,MATCH($B24,Postos_Cod,0)),"")&lt;&gt;"Ativo"),"Sala não ativa | ","")&amp;IF(COUNTIF(Esp_Nome,$E24)=0,"Especialidade não cadastrada | ","")&amp;IF(COUNTIF(Lista_StatusCirurgia,$J24)=0,"Status inválido | ","")&amp;IF(OR(NOT(ISNUMBER($C24)),NOT(ISNUMBER($D24))),"Horário inválido | ","")&amp;IFERROR(IF(AND(ISNUMBER($C24),ISNUMBER($D24),MOD($D24-$C24,1)*1440&lt;=0),"Duração nula ou negativa | ",""),"")&amp;IF(AND($L24&gt;0,OR($R24&gt;=Turno_Min,$S24&gt;Turno_Min)),"Fora da janela do plantão | ","")&amp;IF(AND($L24&gt;0,SUMPRODUCT((Mapa_Sala=$B24)*(Mapa_Data=$A24)*(Mapa_MinOcup&gt;0)*(Mapa_RelIni&lt;$S24)*(Mapa_RelFim&gt;$R24))&gt;1),"Sobreposição de horário na sala | ","")&amp;IFERROR(IF(AND(ISNUMBER($K24),$K24&gt;0,COUNTIF(Esp_Nome,$E24)&gt;0,$K24&gt;3*INDEX(Esp_Dur,MATCH($E24,Esp_Nome,0))),"Duração atípica (&gt;3x a média) | ",""),""))</f>
        <v/>
      </c>
      <c r="R24" s="15">
        <f>IF(NOT(ISNUMBER($C24)),0,ROUND(MOD($C24-Turno_Ini,1)*1440,0))</f>
        <v/>
      </c>
      <c r="S24" s="15">
        <f>IF($L24&lt;=0,0,$R24+$K24)</f>
        <v/>
      </c>
      <c r="T24" s="15">
        <f>IF($M24="","",$B24&amp;"#"&amp;$M24)</f>
        <v/>
      </c>
      <c r="U24" s="15">
        <f>ROW()</f>
        <v/>
      </c>
    </row>
    <row r="25">
      <c r="A25" s="38" t="n">
        <v>46254</v>
      </c>
      <c r="B25" s="29" t="inlineStr">
        <is>
          <t>SO-06</t>
        </is>
      </c>
      <c r="C25" s="42" t="n">
        <v>0.3506944444444444</v>
      </c>
      <c r="D25" s="42" t="n">
        <v>0.3888888888888889</v>
      </c>
      <c r="E25" s="30" t="inlineStr">
        <is>
          <t>Cesariana</t>
        </is>
      </c>
      <c r="F25" s="34">
        <f>IF($E25="","",IFERROR(INDEX(Esp_Hab,MATCH($E25,Esp_Nome,0)),"—"))</f>
        <v/>
      </c>
      <c r="G25" s="30" t="inlineStr">
        <is>
          <t>Cesariana com laqueadura</t>
        </is>
      </c>
      <c r="H25" s="30" t="inlineStr">
        <is>
          <t>Dr. Gouveia</t>
        </is>
      </c>
      <c r="I25" s="29" t="inlineStr">
        <is>
          <t>P</t>
        </is>
      </c>
      <c r="J25" s="29" t="inlineStr">
        <is>
          <t>Agendada</t>
        </is>
      </c>
      <c r="K25" s="37">
        <f>IF(OR($B25="",NOT(ISNUMBER($C25)),NOT(ISNUMBER($D25))),"",ROUND(MOD($D25-$C25,1)*1440,0))</f>
        <v/>
      </c>
      <c r="L25" s="37">
        <f>IF(NOT(ISNUMBER($K25)),0,IF(OR($K25&lt;=0,$J25="Cancelada",$J25="Suspensa"),0,$K25+Limpeza_Min))</f>
        <v/>
      </c>
      <c r="M25" s="37">
        <f>IF($L25&lt;=0,"",SUMPRODUCT((Mapa_Sala=$B25)*(Mapa_Data=$A25)*(Mapa_MinOcup&gt;0)*((Mapa_RelIni&lt;$R25)+((Mapa_RelIni=$R25)*(Mapa_Row&lt;=$U25)))))</f>
        <v/>
      </c>
      <c r="N25" s="43">
        <f>IF($L25&lt;=0,"",MOD(Turno_Ini+($S25+Limpeza_Min)/1440,1))</f>
        <v/>
      </c>
      <c r="O25" s="37">
        <f>IF($L25&lt;=0,"",MAX(0,IFERROR(INDEX(Mapa_RelIni,MATCH($B25&amp;"#"&amp;($M25+1),Mapa_Chave,0)),Turno_Min)-($S25+Limpeza_Min)))</f>
        <v/>
      </c>
      <c r="P25" s="19">
        <f>IF($B25="","",IF($Q25="","OK",LEFT($Q25,LEN($Q25)-3)))</f>
        <v/>
      </c>
      <c r="Q25" s="10">
        <f>IF($B25="","",IF(COUNTIF(Postos_Cod,$B25)=0,"Sala não cadastrada | ","")&amp;IF(AND(COUNTIF(Postos_Cod,$B25)&gt;0,IFERROR(INDEX(Postos_Tipo,MATCH($B25,Postos_Cod,0)),"")&lt;&gt;"Sala cirúrgica"),"Posto não é sala cirúrgica | ","")&amp;IF(AND(COUNTIF(Postos_Cod,$B25)&gt;0,IFERROR(INDEX(Postos_Status,MATCH($B25,Postos_Cod,0)),"")&lt;&gt;"Ativo"),"Sala não ativa | ","")&amp;IF(COUNTIF(Esp_Nome,$E25)=0,"Especialidade não cadastrada | ","")&amp;IF(COUNTIF(Lista_StatusCirurgia,$J25)=0,"Status inválido | ","")&amp;IF(OR(NOT(ISNUMBER($C25)),NOT(ISNUMBER($D25))),"Horário inválido | ","")&amp;IFERROR(IF(AND(ISNUMBER($C25),ISNUMBER($D25),MOD($D25-$C25,1)*1440&lt;=0),"Duração nula ou negativa | ",""),"")&amp;IF(AND($L25&gt;0,OR($R25&gt;=Turno_Min,$S25&gt;Turno_Min)),"Fora da janela do plantão | ","")&amp;IF(AND($L25&gt;0,SUMPRODUCT((Mapa_Sala=$B25)*(Mapa_Data=$A25)*(Mapa_MinOcup&gt;0)*(Mapa_RelIni&lt;$S25)*(Mapa_RelFim&gt;$R25))&gt;1),"Sobreposição de horário na sala | ","")&amp;IFERROR(IF(AND(ISNUMBER($K25),$K25&gt;0,COUNTIF(Esp_Nome,$E25)&gt;0,$K25&gt;3*INDEX(Esp_Dur,MATCH($E25,Esp_Nome,0))),"Duração atípica (&gt;3x a média) | ",""),""))</f>
        <v/>
      </c>
      <c r="R25" s="15">
        <f>IF(NOT(ISNUMBER($C25)),0,ROUND(MOD($C25-Turno_Ini,1)*1440,0))</f>
        <v/>
      </c>
      <c r="S25" s="15">
        <f>IF($L25&lt;=0,0,$R25+$K25)</f>
        <v/>
      </c>
      <c r="T25" s="15">
        <f>IF($M25="","",$B25&amp;"#"&amp;$M25)</f>
        <v/>
      </c>
      <c r="U25" s="15">
        <f>ROW()</f>
        <v/>
      </c>
    </row>
    <row r="26">
      <c r="A26" s="38" t="n">
        <v>46254</v>
      </c>
      <c r="B26" s="29" t="inlineStr">
        <is>
          <t>SO-06</t>
        </is>
      </c>
      <c r="C26" s="42" t="n">
        <v>0.4027777777777778</v>
      </c>
      <c r="D26" s="42" t="n">
        <v>0.4444444444444444</v>
      </c>
      <c r="E26" s="30" t="inlineStr">
        <is>
          <t>Cesariana</t>
        </is>
      </c>
      <c r="F26" s="34">
        <f>IF($E26="","",IFERROR(INDEX(Esp_Hab,MATCH($E26,Esp_Nome,0)),"—"))</f>
        <v/>
      </c>
      <c r="G26" s="30" t="inlineStr">
        <is>
          <t>Cesariana</t>
        </is>
      </c>
      <c r="H26" s="30" t="inlineStr">
        <is>
          <t>Dra. Hirano</t>
        </is>
      </c>
      <c r="I26" s="29" t="inlineStr">
        <is>
          <t>P</t>
        </is>
      </c>
      <c r="J26" s="29" t="inlineStr">
        <is>
          <t>Agendada</t>
        </is>
      </c>
      <c r="K26" s="37">
        <f>IF(OR($B26="",NOT(ISNUMBER($C26)),NOT(ISNUMBER($D26))),"",ROUND(MOD($D26-$C26,1)*1440,0))</f>
        <v/>
      </c>
      <c r="L26" s="37">
        <f>IF(NOT(ISNUMBER($K26)),0,IF(OR($K26&lt;=0,$J26="Cancelada",$J26="Suspensa"),0,$K26+Limpeza_Min))</f>
        <v/>
      </c>
      <c r="M26" s="37">
        <f>IF($L26&lt;=0,"",SUMPRODUCT((Mapa_Sala=$B26)*(Mapa_Data=$A26)*(Mapa_MinOcup&gt;0)*((Mapa_RelIni&lt;$R26)+((Mapa_RelIni=$R26)*(Mapa_Row&lt;=$U26)))))</f>
        <v/>
      </c>
      <c r="N26" s="43">
        <f>IF($L26&lt;=0,"",MOD(Turno_Ini+($S26+Limpeza_Min)/1440,1))</f>
        <v/>
      </c>
      <c r="O26" s="37">
        <f>IF($L26&lt;=0,"",MAX(0,IFERROR(INDEX(Mapa_RelIni,MATCH($B26&amp;"#"&amp;($M26+1),Mapa_Chave,0)),Turno_Min)-($S26+Limpeza_Min)))</f>
        <v/>
      </c>
      <c r="P26" s="19">
        <f>IF($B26="","",IF($Q26="","OK",LEFT($Q26,LEN($Q26)-3)))</f>
        <v/>
      </c>
      <c r="Q26" s="10">
        <f>IF($B26="","",IF(COUNTIF(Postos_Cod,$B26)=0,"Sala não cadastrada | ","")&amp;IF(AND(COUNTIF(Postos_Cod,$B26)&gt;0,IFERROR(INDEX(Postos_Tipo,MATCH($B26,Postos_Cod,0)),"")&lt;&gt;"Sala cirúrgica"),"Posto não é sala cirúrgica | ","")&amp;IF(AND(COUNTIF(Postos_Cod,$B26)&gt;0,IFERROR(INDEX(Postos_Status,MATCH($B26,Postos_Cod,0)),"")&lt;&gt;"Ativo"),"Sala não ativa | ","")&amp;IF(COUNTIF(Esp_Nome,$E26)=0,"Especialidade não cadastrada | ","")&amp;IF(COUNTIF(Lista_StatusCirurgia,$J26)=0,"Status inválido | ","")&amp;IF(OR(NOT(ISNUMBER($C26)),NOT(ISNUMBER($D26))),"Horário inválido | ","")&amp;IFERROR(IF(AND(ISNUMBER($C26),ISNUMBER($D26),MOD($D26-$C26,1)*1440&lt;=0),"Duração nula ou negativa | ",""),"")&amp;IF(AND($L26&gt;0,OR($R26&gt;=Turno_Min,$S26&gt;Turno_Min)),"Fora da janela do plantão | ","")&amp;IF(AND($L26&gt;0,SUMPRODUCT((Mapa_Sala=$B26)*(Mapa_Data=$A26)*(Mapa_MinOcup&gt;0)*(Mapa_RelIni&lt;$S26)*(Mapa_RelFim&gt;$R26))&gt;1),"Sobreposição de horário na sala | ","")&amp;IFERROR(IF(AND(ISNUMBER($K26),$K26&gt;0,COUNTIF(Esp_Nome,$E26)&gt;0,$K26&gt;3*INDEX(Esp_Dur,MATCH($E26,Esp_Nome,0))),"Duração atípica (&gt;3x a média) | ",""),""))</f>
        <v/>
      </c>
      <c r="R26" s="15">
        <f>IF(NOT(ISNUMBER($C26)),0,ROUND(MOD($C26-Turno_Ini,1)*1440,0))</f>
        <v/>
      </c>
      <c r="S26" s="15">
        <f>IF($L26&lt;=0,0,$R26+$K26)</f>
        <v/>
      </c>
      <c r="T26" s="15">
        <f>IF($M26="","",$B26&amp;"#"&amp;$M26)</f>
        <v/>
      </c>
      <c r="U26" s="15">
        <f>ROW()</f>
        <v/>
      </c>
    </row>
    <row r="27">
      <c r="A27" s="38" t="n">
        <v>46254</v>
      </c>
      <c r="B27" s="29" t="inlineStr">
        <is>
          <t>SO-07</t>
        </is>
      </c>
      <c r="C27" s="42" t="n">
        <v>0.2916666666666667</v>
      </c>
      <c r="D27" s="42" t="n">
        <v>0.3472222222222222</v>
      </c>
      <c r="E27" s="30" t="inlineStr">
        <is>
          <t>Cirurgia Geral</t>
        </is>
      </c>
      <c r="F27" s="34">
        <f>IF($E27="","",IFERROR(INDEX(Esp_Hab,MATCH($E27,Esp_Nome,0)),"—"))</f>
        <v/>
      </c>
      <c r="G27" s="30" t="inlineStr">
        <is>
          <t>Colecistectomia videolaparoscópica</t>
        </is>
      </c>
      <c r="H27" s="30" t="inlineStr">
        <is>
          <t>Dra. Bernardes</t>
        </is>
      </c>
      <c r="I27" s="29" t="inlineStr">
        <is>
          <t>P</t>
        </is>
      </c>
      <c r="J27" s="29" t="inlineStr">
        <is>
          <t>Agendada</t>
        </is>
      </c>
      <c r="K27" s="37">
        <f>IF(OR($B27="",NOT(ISNUMBER($C27)),NOT(ISNUMBER($D27))),"",ROUND(MOD($D27-$C27,1)*1440,0))</f>
        <v/>
      </c>
      <c r="L27" s="37">
        <f>IF(NOT(ISNUMBER($K27)),0,IF(OR($K27&lt;=0,$J27="Cancelada",$J27="Suspensa"),0,$K27+Limpeza_Min))</f>
        <v/>
      </c>
      <c r="M27" s="37">
        <f>IF($L27&lt;=0,"",SUMPRODUCT((Mapa_Sala=$B27)*(Mapa_Data=$A27)*(Mapa_MinOcup&gt;0)*((Mapa_RelIni&lt;$R27)+((Mapa_RelIni=$R27)*(Mapa_Row&lt;=$U27)))))</f>
        <v/>
      </c>
      <c r="N27" s="43">
        <f>IF($L27&lt;=0,"",MOD(Turno_Ini+($S27+Limpeza_Min)/1440,1))</f>
        <v/>
      </c>
      <c r="O27" s="37">
        <f>IF($L27&lt;=0,"",MAX(0,IFERROR(INDEX(Mapa_RelIni,MATCH($B27&amp;"#"&amp;($M27+1),Mapa_Chave,0)),Turno_Min)-($S27+Limpeza_Min)))</f>
        <v/>
      </c>
      <c r="P27" s="19">
        <f>IF($B27="","",IF($Q27="","OK",LEFT($Q27,LEN($Q27)-3)))</f>
        <v/>
      </c>
      <c r="Q27" s="10">
        <f>IF($B27="","",IF(COUNTIF(Postos_Cod,$B27)=0,"Sala não cadastrada | ","")&amp;IF(AND(COUNTIF(Postos_Cod,$B27)&gt;0,IFERROR(INDEX(Postos_Tipo,MATCH($B27,Postos_Cod,0)),"")&lt;&gt;"Sala cirúrgica"),"Posto não é sala cirúrgica | ","")&amp;IF(AND(COUNTIF(Postos_Cod,$B27)&gt;0,IFERROR(INDEX(Postos_Status,MATCH($B27,Postos_Cod,0)),"")&lt;&gt;"Ativo"),"Sala não ativa | ","")&amp;IF(COUNTIF(Esp_Nome,$E27)=0,"Especialidade não cadastrada | ","")&amp;IF(COUNTIF(Lista_StatusCirurgia,$J27)=0,"Status inválido | ","")&amp;IF(OR(NOT(ISNUMBER($C27)),NOT(ISNUMBER($D27))),"Horário inválido | ","")&amp;IFERROR(IF(AND(ISNUMBER($C27),ISNUMBER($D27),MOD($D27-$C27,1)*1440&lt;=0),"Duração nula ou negativa | ",""),"")&amp;IF(AND($L27&gt;0,OR($R27&gt;=Turno_Min,$S27&gt;Turno_Min)),"Fora da janela do plantão | ","")&amp;IF(AND($L27&gt;0,SUMPRODUCT((Mapa_Sala=$B27)*(Mapa_Data=$A27)*(Mapa_MinOcup&gt;0)*(Mapa_RelIni&lt;$S27)*(Mapa_RelFim&gt;$R27))&gt;1),"Sobreposição de horário na sala | ","")&amp;IFERROR(IF(AND(ISNUMBER($K27),$K27&gt;0,COUNTIF(Esp_Nome,$E27)&gt;0,$K27&gt;3*INDEX(Esp_Dur,MATCH($E27,Esp_Nome,0))),"Duração atípica (&gt;3x a média) | ",""),""))</f>
        <v/>
      </c>
      <c r="R27" s="15">
        <f>IF(NOT(ISNUMBER($C27)),0,ROUND(MOD($C27-Turno_Ini,1)*1440,0))</f>
        <v/>
      </c>
      <c r="S27" s="15">
        <f>IF($L27&lt;=0,0,$R27+$K27)</f>
        <v/>
      </c>
      <c r="T27" s="15">
        <f>IF($M27="","",$B27&amp;"#"&amp;$M27)</f>
        <v/>
      </c>
      <c r="U27" s="15">
        <f>ROW()</f>
        <v/>
      </c>
    </row>
    <row r="28">
      <c r="A28" s="38" t="n">
        <v>46254</v>
      </c>
      <c r="B28" s="29" t="inlineStr">
        <is>
          <t>SO-07</t>
        </is>
      </c>
      <c r="C28" s="42" t="n">
        <v>0.3611111111111111</v>
      </c>
      <c r="D28" s="42" t="n">
        <v>0.4131944444444444</v>
      </c>
      <c r="E28" s="30" t="inlineStr">
        <is>
          <t>Cirurgia Geral</t>
        </is>
      </c>
      <c r="F28" s="34">
        <f>IF($E28="","",IFERROR(INDEX(Esp_Hab,MATCH($E28,Esp_Nome,0)),"—"))</f>
        <v/>
      </c>
      <c r="G28" s="30" t="inlineStr">
        <is>
          <t>Herniorrafia inguinal</t>
        </is>
      </c>
      <c r="H28" s="30" t="inlineStr">
        <is>
          <t>Dr. Coelho</t>
        </is>
      </c>
      <c r="I28" s="29" t="inlineStr">
        <is>
          <t>P</t>
        </is>
      </c>
      <c r="J28" s="29" t="inlineStr">
        <is>
          <t>Agendada</t>
        </is>
      </c>
      <c r="K28" s="37">
        <f>IF(OR($B28="",NOT(ISNUMBER($C28)),NOT(ISNUMBER($D28))),"",ROUND(MOD($D28-$C28,1)*1440,0))</f>
        <v/>
      </c>
      <c r="L28" s="37">
        <f>IF(NOT(ISNUMBER($K28)),0,IF(OR($K28&lt;=0,$J28="Cancelada",$J28="Suspensa"),0,$K28+Limpeza_Min))</f>
        <v/>
      </c>
      <c r="M28" s="37">
        <f>IF($L28&lt;=0,"",SUMPRODUCT((Mapa_Sala=$B28)*(Mapa_Data=$A28)*(Mapa_MinOcup&gt;0)*((Mapa_RelIni&lt;$R28)+((Mapa_RelIni=$R28)*(Mapa_Row&lt;=$U28)))))</f>
        <v/>
      </c>
      <c r="N28" s="43">
        <f>IF($L28&lt;=0,"",MOD(Turno_Ini+($S28+Limpeza_Min)/1440,1))</f>
        <v/>
      </c>
      <c r="O28" s="37">
        <f>IF($L28&lt;=0,"",MAX(0,IFERROR(INDEX(Mapa_RelIni,MATCH($B28&amp;"#"&amp;($M28+1),Mapa_Chave,0)),Turno_Min)-($S28+Limpeza_Min)))</f>
        <v/>
      </c>
      <c r="P28" s="19">
        <f>IF($B28="","",IF($Q28="","OK",LEFT($Q28,LEN($Q28)-3)))</f>
        <v/>
      </c>
      <c r="Q28" s="10">
        <f>IF($B28="","",IF(COUNTIF(Postos_Cod,$B28)=0,"Sala não cadastrada | ","")&amp;IF(AND(COUNTIF(Postos_Cod,$B28)&gt;0,IFERROR(INDEX(Postos_Tipo,MATCH($B28,Postos_Cod,0)),"")&lt;&gt;"Sala cirúrgica"),"Posto não é sala cirúrgica | ","")&amp;IF(AND(COUNTIF(Postos_Cod,$B28)&gt;0,IFERROR(INDEX(Postos_Status,MATCH($B28,Postos_Cod,0)),"")&lt;&gt;"Ativo"),"Sala não ativa | ","")&amp;IF(COUNTIF(Esp_Nome,$E28)=0,"Especialidade não cadastrada | ","")&amp;IF(COUNTIF(Lista_StatusCirurgia,$J28)=0,"Status inválido | ","")&amp;IF(OR(NOT(ISNUMBER($C28)),NOT(ISNUMBER($D28))),"Horário inválido | ","")&amp;IFERROR(IF(AND(ISNUMBER($C28),ISNUMBER($D28),MOD($D28-$C28,1)*1440&lt;=0),"Duração nula ou negativa | ",""),"")&amp;IF(AND($L28&gt;0,OR($R28&gt;=Turno_Min,$S28&gt;Turno_Min)),"Fora da janela do plantão | ","")&amp;IF(AND($L28&gt;0,SUMPRODUCT((Mapa_Sala=$B28)*(Mapa_Data=$A28)*(Mapa_MinOcup&gt;0)*(Mapa_RelIni&lt;$S28)*(Mapa_RelFim&gt;$R28))&gt;1),"Sobreposição de horário na sala | ","")&amp;IFERROR(IF(AND(ISNUMBER($K28),$K28&gt;0,COUNTIF(Esp_Nome,$E28)&gt;0,$K28&gt;3*INDEX(Esp_Dur,MATCH($E28,Esp_Nome,0))),"Duração atípica (&gt;3x a média) | ",""),""))</f>
        <v/>
      </c>
      <c r="R28" s="15">
        <f>IF(NOT(ISNUMBER($C28)),0,ROUND(MOD($C28-Turno_Ini,1)*1440,0))</f>
        <v/>
      </c>
      <c r="S28" s="15">
        <f>IF($L28&lt;=0,0,$R28+$K28)</f>
        <v/>
      </c>
      <c r="T28" s="15">
        <f>IF($M28="","",$B28&amp;"#"&amp;$M28)</f>
        <v/>
      </c>
      <c r="U28" s="15">
        <f>ROW()</f>
        <v/>
      </c>
    </row>
    <row r="29">
      <c r="A29" s="38" t="n">
        <v>46254</v>
      </c>
      <c r="B29" s="29" t="inlineStr">
        <is>
          <t>SO-08</t>
        </is>
      </c>
      <c r="C29" s="42" t="n">
        <v>0.2916666666666667</v>
      </c>
      <c r="D29" s="42" t="n">
        <v>0.3229166666666667</v>
      </c>
      <c r="E29" s="30" t="inlineStr">
        <is>
          <t>Oftalmologia</t>
        </is>
      </c>
      <c r="F29" s="34">
        <f>IF($E29="","",IFERROR(INDEX(Esp_Hab,MATCH($E29,Esp_Nome,0)),"—"))</f>
        <v/>
      </c>
      <c r="G29" s="30" t="inlineStr">
        <is>
          <t>Facectomia com implante de LIO</t>
        </is>
      </c>
      <c r="H29" s="30" t="inlineStr">
        <is>
          <t>Dr. Coelho</t>
        </is>
      </c>
      <c r="I29" s="29" t="inlineStr">
        <is>
          <t>P</t>
        </is>
      </c>
      <c r="J29" s="29" t="inlineStr">
        <is>
          <t>Agendada</t>
        </is>
      </c>
      <c r="K29" s="37">
        <f>IF(OR($B29="",NOT(ISNUMBER($C29)),NOT(ISNUMBER($D29))),"",ROUND(MOD($D29-$C29,1)*1440,0))</f>
        <v/>
      </c>
      <c r="L29" s="37">
        <f>IF(NOT(ISNUMBER($K29)),0,IF(OR($K29&lt;=0,$J29="Cancelada",$J29="Suspensa"),0,$K29+Limpeza_Min))</f>
        <v/>
      </c>
      <c r="M29" s="37">
        <f>IF($L29&lt;=0,"",SUMPRODUCT((Mapa_Sala=$B29)*(Mapa_Data=$A29)*(Mapa_MinOcup&gt;0)*((Mapa_RelIni&lt;$R29)+((Mapa_RelIni=$R29)*(Mapa_Row&lt;=$U29)))))</f>
        <v/>
      </c>
      <c r="N29" s="43">
        <f>IF($L29&lt;=0,"",MOD(Turno_Ini+($S29+Limpeza_Min)/1440,1))</f>
        <v/>
      </c>
      <c r="O29" s="37">
        <f>IF($L29&lt;=0,"",MAX(0,IFERROR(INDEX(Mapa_RelIni,MATCH($B29&amp;"#"&amp;($M29+1),Mapa_Chave,0)),Turno_Min)-($S29+Limpeza_Min)))</f>
        <v/>
      </c>
      <c r="P29" s="19">
        <f>IF($B29="","",IF($Q29="","OK",LEFT($Q29,LEN($Q29)-3)))</f>
        <v/>
      </c>
      <c r="Q29" s="10">
        <f>IF($B29="","",IF(COUNTIF(Postos_Cod,$B29)=0,"Sala não cadastrada | ","")&amp;IF(AND(COUNTIF(Postos_Cod,$B29)&gt;0,IFERROR(INDEX(Postos_Tipo,MATCH($B29,Postos_Cod,0)),"")&lt;&gt;"Sala cirúrgica"),"Posto não é sala cirúrgica | ","")&amp;IF(AND(COUNTIF(Postos_Cod,$B29)&gt;0,IFERROR(INDEX(Postos_Status,MATCH($B29,Postos_Cod,0)),"")&lt;&gt;"Ativo"),"Sala não ativa | ","")&amp;IF(COUNTIF(Esp_Nome,$E29)=0,"Especialidade não cadastrada | ","")&amp;IF(COUNTIF(Lista_StatusCirurgia,$J29)=0,"Status inválido | ","")&amp;IF(OR(NOT(ISNUMBER($C29)),NOT(ISNUMBER($D29))),"Horário inválido | ","")&amp;IFERROR(IF(AND(ISNUMBER($C29),ISNUMBER($D29),MOD($D29-$C29,1)*1440&lt;=0),"Duração nula ou negativa | ",""),"")&amp;IF(AND($L29&gt;0,OR($R29&gt;=Turno_Min,$S29&gt;Turno_Min)),"Fora da janela do plantão | ","")&amp;IF(AND($L29&gt;0,SUMPRODUCT((Mapa_Sala=$B29)*(Mapa_Data=$A29)*(Mapa_MinOcup&gt;0)*(Mapa_RelIni&lt;$S29)*(Mapa_RelFim&gt;$R29))&gt;1),"Sobreposição de horário na sala | ","")&amp;IFERROR(IF(AND(ISNUMBER($K29),$K29&gt;0,COUNTIF(Esp_Nome,$E29)&gt;0,$K29&gt;3*INDEX(Esp_Dur,MATCH($E29,Esp_Nome,0))),"Duração atípica (&gt;3x a média) | ",""),""))</f>
        <v/>
      </c>
      <c r="R29" s="15">
        <f>IF(NOT(ISNUMBER($C29)),0,ROUND(MOD($C29-Turno_Ini,1)*1440,0))</f>
        <v/>
      </c>
      <c r="S29" s="15">
        <f>IF($L29&lt;=0,0,$R29+$K29)</f>
        <v/>
      </c>
      <c r="T29" s="15">
        <f>IF($M29="","",$B29&amp;"#"&amp;$M29)</f>
        <v/>
      </c>
      <c r="U29" s="15">
        <f>ROW()</f>
        <v/>
      </c>
    </row>
    <row r="30">
      <c r="A30" s="38" t="n">
        <v>46254</v>
      </c>
      <c r="B30" s="29" t="inlineStr">
        <is>
          <t>SO-08</t>
        </is>
      </c>
      <c r="C30" s="42" t="n">
        <v>0.3368055555555556</v>
      </c>
      <c r="D30" s="42" t="n">
        <v>0.3819444444444444</v>
      </c>
      <c r="E30" s="30" t="inlineStr">
        <is>
          <t>Otorrinolaringologia</t>
        </is>
      </c>
      <c r="F30" s="34">
        <f>IF($E30="","",IFERROR(INDEX(Esp_Hab,MATCH($E30,Esp_Nome,0)),"—"))</f>
        <v/>
      </c>
      <c r="G30" s="30" t="inlineStr">
        <is>
          <t>Septoplastia</t>
        </is>
      </c>
      <c r="H30" s="30" t="inlineStr">
        <is>
          <t>Dra. Delgado</t>
        </is>
      </c>
      <c r="I30" s="29" t="inlineStr">
        <is>
          <t>P</t>
        </is>
      </c>
      <c r="J30" s="29" t="inlineStr">
        <is>
          <t>Agendada</t>
        </is>
      </c>
      <c r="K30" s="37">
        <f>IF(OR($B30="",NOT(ISNUMBER($C30)),NOT(ISNUMBER($D30))),"",ROUND(MOD($D30-$C30,1)*1440,0))</f>
        <v/>
      </c>
      <c r="L30" s="37">
        <f>IF(NOT(ISNUMBER($K30)),0,IF(OR($K30&lt;=0,$J30="Cancelada",$J30="Suspensa"),0,$K30+Limpeza_Min))</f>
        <v/>
      </c>
      <c r="M30" s="37">
        <f>IF($L30&lt;=0,"",SUMPRODUCT((Mapa_Sala=$B30)*(Mapa_Data=$A30)*(Mapa_MinOcup&gt;0)*((Mapa_RelIni&lt;$R30)+((Mapa_RelIni=$R30)*(Mapa_Row&lt;=$U30)))))</f>
        <v/>
      </c>
      <c r="N30" s="43">
        <f>IF($L30&lt;=0,"",MOD(Turno_Ini+($S30+Limpeza_Min)/1440,1))</f>
        <v/>
      </c>
      <c r="O30" s="37">
        <f>IF($L30&lt;=0,"",MAX(0,IFERROR(INDEX(Mapa_RelIni,MATCH($B30&amp;"#"&amp;($M30+1),Mapa_Chave,0)),Turno_Min)-($S30+Limpeza_Min)))</f>
        <v/>
      </c>
      <c r="P30" s="19">
        <f>IF($B30="","",IF($Q30="","OK",LEFT($Q30,LEN($Q30)-3)))</f>
        <v/>
      </c>
      <c r="Q30" s="10">
        <f>IF($B30="","",IF(COUNTIF(Postos_Cod,$B30)=0,"Sala não cadastrada | ","")&amp;IF(AND(COUNTIF(Postos_Cod,$B30)&gt;0,IFERROR(INDEX(Postos_Tipo,MATCH($B30,Postos_Cod,0)),"")&lt;&gt;"Sala cirúrgica"),"Posto não é sala cirúrgica | ","")&amp;IF(AND(COUNTIF(Postos_Cod,$B30)&gt;0,IFERROR(INDEX(Postos_Status,MATCH($B30,Postos_Cod,0)),"")&lt;&gt;"Ativo"),"Sala não ativa | ","")&amp;IF(COUNTIF(Esp_Nome,$E30)=0,"Especialidade não cadastrada | ","")&amp;IF(COUNTIF(Lista_StatusCirurgia,$J30)=0,"Status inválido | ","")&amp;IF(OR(NOT(ISNUMBER($C30)),NOT(ISNUMBER($D30))),"Horário inválido | ","")&amp;IFERROR(IF(AND(ISNUMBER($C30),ISNUMBER($D30),MOD($D30-$C30,1)*1440&lt;=0),"Duração nula ou negativa | ",""),"")&amp;IF(AND($L30&gt;0,OR($R30&gt;=Turno_Min,$S30&gt;Turno_Min)),"Fora da janela do plantão | ","")&amp;IF(AND($L30&gt;0,SUMPRODUCT((Mapa_Sala=$B30)*(Mapa_Data=$A30)*(Mapa_MinOcup&gt;0)*(Mapa_RelIni&lt;$S30)*(Mapa_RelFim&gt;$R30))&gt;1),"Sobreposição de horário na sala | ","")&amp;IFERROR(IF(AND(ISNUMBER($K30),$K30&gt;0,COUNTIF(Esp_Nome,$E30)&gt;0,$K30&gt;3*INDEX(Esp_Dur,MATCH($E30,Esp_Nome,0))),"Duração atípica (&gt;3x a média) | ",""),""))</f>
        <v/>
      </c>
      <c r="R30" s="15">
        <f>IF(NOT(ISNUMBER($C30)),0,ROUND(MOD($C30-Turno_Ini,1)*1440,0))</f>
        <v/>
      </c>
      <c r="S30" s="15">
        <f>IF($L30&lt;=0,0,$R30+$K30)</f>
        <v/>
      </c>
      <c r="T30" s="15">
        <f>IF($M30="","",$B30&amp;"#"&amp;$M30)</f>
        <v/>
      </c>
      <c r="U30" s="15">
        <f>ROW()</f>
        <v/>
      </c>
    </row>
    <row r="31">
      <c r="A31" s="38" t="n">
        <v>46254</v>
      </c>
      <c r="B31" s="29" t="inlineStr">
        <is>
          <t>SO-08</t>
        </is>
      </c>
      <c r="C31" s="42" t="n">
        <v>0.3958333333333333</v>
      </c>
      <c r="D31" s="42" t="n">
        <v>0.4930555555555556</v>
      </c>
      <c r="E31" s="30" t="inlineStr">
        <is>
          <t>Buco-Maxilo-Facial</t>
        </is>
      </c>
      <c r="F31" s="34">
        <f>IF($E31="","",IFERROR(INDEX(Esp_Hab,MATCH($E31,Esp_Nome,0)),"—"))</f>
        <v/>
      </c>
      <c r="G31" s="30" t="inlineStr">
        <is>
          <t>Osteotomia mandibular</t>
        </is>
      </c>
      <c r="H31" s="30" t="inlineStr">
        <is>
          <t>Dr. Esteves</t>
        </is>
      </c>
      <c r="I31" s="29" t="inlineStr">
        <is>
          <t>M</t>
        </is>
      </c>
      <c r="J31" s="29" t="inlineStr">
        <is>
          <t>Agendada</t>
        </is>
      </c>
      <c r="K31" s="37">
        <f>IF(OR($B31="",NOT(ISNUMBER($C31)),NOT(ISNUMBER($D31))),"",ROUND(MOD($D31-$C31,1)*1440,0))</f>
        <v/>
      </c>
      <c r="L31" s="37">
        <f>IF(NOT(ISNUMBER($K31)),0,IF(OR($K31&lt;=0,$J31="Cancelada",$J31="Suspensa"),0,$K31+Limpeza_Min))</f>
        <v/>
      </c>
      <c r="M31" s="37">
        <f>IF($L31&lt;=0,"",SUMPRODUCT((Mapa_Sala=$B31)*(Mapa_Data=$A31)*(Mapa_MinOcup&gt;0)*((Mapa_RelIni&lt;$R31)+((Mapa_RelIni=$R31)*(Mapa_Row&lt;=$U31)))))</f>
        <v/>
      </c>
      <c r="N31" s="43">
        <f>IF($L31&lt;=0,"",MOD(Turno_Ini+($S31+Limpeza_Min)/1440,1))</f>
        <v/>
      </c>
      <c r="O31" s="37">
        <f>IF($L31&lt;=0,"",MAX(0,IFERROR(INDEX(Mapa_RelIni,MATCH($B31&amp;"#"&amp;($M31+1),Mapa_Chave,0)),Turno_Min)-($S31+Limpeza_Min)))</f>
        <v/>
      </c>
      <c r="P31" s="19">
        <f>IF($B31="","",IF($Q31="","OK",LEFT($Q31,LEN($Q31)-3)))</f>
        <v/>
      </c>
      <c r="Q31" s="10">
        <f>IF($B31="","",IF(COUNTIF(Postos_Cod,$B31)=0,"Sala não cadastrada | ","")&amp;IF(AND(COUNTIF(Postos_Cod,$B31)&gt;0,IFERROR(INDEX(Postos_Tipo,MATCH($B31,Postos_Cod,0)),"")&lt;&gt;"Sala cirúrgica"),"Posto não é sala cirúrgica | ","")&amp;IF(AND(COUNTIF(Postos_Cod,$B31)&gt;0,IFERROR(INDEX(Postos_Status,MATCH($B31,Postos_Cod,0)),"")&lt;&gt;"Ativo"),"Sala não ativa | ","")&amp;IF(COUNTIF(Esp_Nome,$E31)=0,"Especialidade não cadastrada | ","")&amp;IF(COUNTIF(Lista_StatusCirurgia,$J31)=0,"Status inválido | ","")&amp;IF(OR(NOT(ISNUMBER($C31)),NOT(ISNUMBER($D31))),"Horário inválido | ","")&amp;IFERROR(IF(AND(ISNUMBER($C31),ISNUMBER($D31),MOD($D31-$C31,1)*1440&lt;=0),"Duração nula ou negativa | ",""),"")&amp;IF(AND($L31&gt;0,OR($R31&gt;=Turno_Min,$S31&gt;Turno_Min)),"Fora da janela do plantão | ","")&amp;IF(AND($L31&gt;0,SUMPRODUCT((Mapa_Sala=$B31)*(Mapa_Data=$A31)*(Mapa_MinOcup&gt;0)*(Mapa_RelIni&lt;$S31)*(Mapa_RelFim&gt;$R31))&gt;1),"Sobreposição de horário na sala | ","")&amp;IFERROR(IF(AND(ISNUMBER($K31),$K31&gt;0,COUNTIF(Esp_Nome,$E31)&gt;0,$K31&gt;3*INDEX(Esp_Dur,MATCH($E31,Esp_Nome,0))),"Duração atípica (&gt;3x a média) | ",""),""))</f>
        <v/>
      </c>
      <c r="R31" s="15">
        <f>IF(NOT(ISNUMBER($C31)),0,ROUND(MOD($C31-Turno_Ini,1)*1440,0))</f>
        <v/>
      </c>
      <c r="S31" s="15">
        <f>IF($L31&lt;=0,0,$R31+$K31)</f>
        <v/>
      </c>
      <c r="T31" s="15">
        <f>IF($M31="","",$B31&amp;"#"&amp;$M31)</f>
        <v/>
      </c>
      <c r="U31" s="15">
        <f>ROW()</f>
        <v/>
      </c>
    </row>
    <row r="32">
      <c r="A32" s="38" t="n">
        <v>46254</v>
      </c>
      <c r="B32" s="29" t="inlineStr">
        <is>
          <t>SO-08</t>
        </is>
      </c>
      <c r="C32" s="42" t="n">
        <v>0.5069444444444444</v>
      </c>
      <c r="D32" s="42" t="n">
        <v>0.5347222222222222</v>
      </c>
      <c r="E32" s="30" t="inlineStr">
        <is>
          <t>Oftalmologia</t>
        </is>
      </c>
      <c r="F32" s="34">
        <f>IF($E32="","",IFERROR(INDEX(Esp_Hab,MATCH($E32,Esp_Nome,0)),"—"))</f>
        <v/>
      </c>
      <c r="G32" s="30" t="inlineStr">
        <is>
          <t>Facectomia com implante de LIO</t>
        </is>
      </c>
      <c r="H32" s="30" t="inlineStr">
        <is>
          <t>Dra. Fialho</t>
        </is>
      </c>
      <c r="I32" s="29" t="inlineStr">
        <is>
          <t>P</t>
        </is>
      </c>
      <c r="J32" s="29" t="inlineStr">
        <is>
          <t>Agendada</t>
        </is>
      </c>
      <c r="K32" s="37">
        <f>IF(OR($B32="",NOT(ISNUMBER($C32)),NOT(ISNUMBER($D32))),"",ROUND(MOD($D32-$C32,1)*1440,0))</f>
        <v/>
      </c>
      <c r="L32" s="37">
        <f>IF(NOT(ISNUMBER($K32)),0,IF(OR($K32&lt;=0,$J32="Cancelada",$J32="Suspensa"),0,$K32+Limpeza_Min))</f>
        <v/>
      </c>
      <c r="M32" s="37">
        <f>IF($L32&lt;=0,"",SUMPRODUCT((Mapa_Sala=$B32)*(Mapa_Data=$A32)*(Mapa_MinOcup&gt;0)*((Mapa_RelIni&lt;$R32)+((Mapa_RelIni=$R32)*(Mapa_Row&lt;=$U32)))))</f>
        <v/>
      </c>
      <c r="N32" s="43">
        <f>IF($L32&lt;=0,"",MOD(Turno_Ini+($S32+Limpeza_Min)/1440,1))</f>
        <v/>
      </c>
      <c r="O32" s="37">
        <f>IF($L32&lt;=0,"",MAX(0,IFERROR(INDEX(Mapa_RelIni,MATCH($B32&amp;"#"&amp;($M32+1),Mapa_Chave,0)),Turno_Min)-($S32+Limpeza_Min)))</f>
        <v/>
      </c>
      <c r="P32" s="19">
        <f>IF($B32="","",IF($Q32="","OK",LEFT($Q32,LEN($Q32)-3)))</f>
        <v/>
      </c>
      <c r="Q32" s="10">
        <f>IF($B32="","",IF(COUNTIF(Postos_Cod,$B32)=0,"Sala não cadastrada | ","")&amp;IF(AND(COUNTIF(Postos_Cod,$B32)&gt;0,IFERROR(INDEX(Postos_Tipo,MATCH($B32,Postos_Cod,0)),"")&lt;&gt;"Sala cirúrgica"),"Posto não é sala cirúrgica | ","")&amp;IF(AND(COUNTIF(Postos_Cod,$B32)&gt;0,IFERROR(INDEX(Postos_Status,MATCH($B32,Postos_Cod,0)),"")&lt;&gt;"Ativo"),"Sala não ativa | ","")&amp;IF(COUNTIF(Esp_Nome,$E32)=0,"Especialidade não cadastrada | ","")&amp;IF(COUNTIF(Lista_StatusCirurgia,$J32)=0,"Status inválido | ","")&amp;IF(OR(NOT(ISNUMBER($C32)),NOT(ISNUMBER($D32))),"Horário inválido | ","")&amp;IFERROR(IF(AND(ISNUMBER($C32),ISNUMBER($D32),MOD($D32-$C32,1)*1440&lt;=0),"Duração nula ou negativa | ",""),"")&amp;IF(AND($L32&gt;0,OR($R32&gt;=Turno_Min,$S32&gt;Turno_Min)),"Fora da janela do plantão | ","")&amp;IF(AND($L32&gt;0,SUMPRODUCT((Mapa_Sala=$B32)*(Mapa_Data=$A32)*(Mapa_MinOcup&gt;0)*(Mapa_RelIni&lt;$S32)*(Mapa_RelFim&gt;$R32))&gt;1),"Sobreposição de horário na sala | ","")&amp;IFERROR(IF(AND(ISNUMBER($K32),$K32&gt;0,COUNTIF(Esp_Nome,$E32)&gt;0,$K32&gt;3*INDEX(Esp_Dur,MATCH($E32,Esp_Nome,0))),"Duração atípica (&gt;3x a média) | ",""),""))</f>
        <v/>
      </c>
      <c r="R32" s="15">
        <f>IF(NOT(ISNUMBER($C32)),0,ROUND(MOD($C32-Turno_Ini,1)*1440,0))</f>
        <v/>
      </c>
      <c r="S32" s="15">
        <f>IF($L32&lt;=0,0,$R32+$K32)</f>
        <v/>
      </c>
      <c r="T32" s="15">
        <f>IF($M32="","",$B32&amp;"#"&amp;$M32)</f>
        <v/>
      </c>
      <c r="U32" s="15">
        <f>ROW()</f>
        <v/>
      </c>
    </row>
    <row r="33">
      <c r="A33" s="38" t="n">
        <v>46254</v>
      </c>
      <c r="B33" s="29" t="inlineStr">
        <is>
          <t>SO-08</t>
        </is>
      </c>
      <c r="C33" s="42" t="n">
        <v>0.5486111111111112</v>
      </c>
      <c r="D33" s="42" t="n">
        <v>0.6006944444444444</v>
      </c>
      <c r="E33" s="30" t="inlineStr">
        <is>
          <t>Otorrinolaringologia</t>
        </is>
      </c>
      <c r="F33" s="34">
        <f>IF($E33="","",IFERROR(INDEX(Esp_Hab,MATCH($E33,Esp_Nome,0)),"—"))</f>
        <v/>
      </c>
      <c r="G33" s="30" t="inlineStr">
        <is>
          <t>Amigdalectomia</t>
        </is>
      </c>
      <c r="H33" s="30" t="inlineStr">
        <is>
          <t>Dr. Gouveia</t>
        </is>
      </c>
      <c r="I33" s="29" t="inlineStr">
        <is>
          <t>P</t>
        </is>
      </c>
      <c r="J33" s="29" t="inlineStr">
        <is>
          <t>Agendada</t>
        </is>
      </c>
      <c r="K33" s="37">
        <f>IF(OR($B33="",NOT(ISNUMBER($C33)),NOT(ISNUMBER($D33))),"",ROUND(MOD($D33-$C33,1)*1440,0))</f>
        <v/>
      </c>
      <c r="L33" s="37">
        <f>IF(NOT(ISNUMBER($K33)),0,IF(OR($K33&lt;=0,$J33="Cancelada",$J33="Suspensa"),0,$K33+Limpeza_Min))</f>
        <v/>
      </c>
      <c r="M33" s="37">
        <f>IF($L33&lt;=0,"",SUMPRODUCT((Mapa_Sala=$B33)*(Mapa_Data=$A33)*(Mapa_MinOcup&gt;0)*((Mapa_RelIni&lt;$R33)+((Mapa_RelIni=$R33)*(Mapa_Row&lt;=$U33)))))</f>
        <v/>
      </c>
      <c r="N33" s="43">
        <f>IF($L33&lt;=0,"",MOD(Turno_Ini+($S33+Limpeza_Min)/1440,1))</f>
        <v/>
      </c>
      <c r="O33" s="37">
        <f>IF($L33&lt;=0,"",MAX(0,IFERROR(INDEX(Mapa_RelIni,MATCH($B33&amp;"#"&amp;($M33+1),Mapa_Chave,0)),Turno_Min)-($S33+Limpeza_Min)))</f>
        <v/>
      </c>
      <c r="P33" s="19">
        <f>IF($B33="","",IF($Q33="","OK",LEFT($Q33,LEN($Q33)-3)))</f>
        <v/>
      </c>
      <c r="Q33" s="10">
        <f>IF($B33="","",IF(COUNTIF(Postos_Cod,$B33)=0,"Sala não cadastrada | ","")&amp;IF(AND(COUNTIF(Postos_Cod,$B33)&gt;0,IFERROR(INDEX(Postos_Tipo,MATCH($B33,Postos_Cod,0)),"")&lt;&gt;"Sala cirúrgica"),"Posto não é sala cirúrgica | ","")&amp;IF(AND(COUNTIF(Postos_Cod,$B33)&gt;0,IFERROR(INDEX(Postos_Status,MATCH($B33,Postos_Cod,0)),"")&lt;&gt;"Ativo"),"Sala não ativa | ","")&amp;IF(COUNTIF(Esp_Nome,$E33)=0,"Especialidade não cadastrada | ","")&amp;IF(COUNTIF(Lista_StatusCirurgia,$J33)=0,"Status inválido | ","")&amp;IF(OR(NOT(ISNUMBER($C33)),NOT(ISNUMBER($D33))),"Horário inválido | ","")&amp;IFERROR(IF(AND(ISNUMBER($C33),ISNUMBER($D33),MOD($D33-$C33,1)*1440&lt;=0),"Duração nula ou negativa | ",""),"")&amp;IF(AND($L33&gt;0,OR($R33&gt;=Turno_Min,$S33&gt;Turno_Min)),"Fora da janela do plantão | ","")&amp;IF(AND($L33&gt;0,SUMPRODUCT((Mapa_Sala=$B33)*(Mapa_Data=$A33)*(Mapa_MinOcup&gt;0)*(Mapa_RelIni&lt;$S33)*(Mapa_RelFim&gt;$R33))&gt;1),"Sobreposição de horário na sala | ","")&amp;IFERROR(IF(AND(ISNUMBER($K33),$K33&gt;0,COUNTIF(Esp_Nome,$E33)&gt;0,$K33&gt;3*INDEX(Esp_Dur,MATCH($E33,Esp_Nome,0))),"Duração atípica (&gt;3x a média) | ",""),""))</f>
        <v/>
      </c>
      <c r="R33" s="15">
        <f>IF(NOT(ISNUMBER($C33)),0,ROUND(MOD($C33-Turno_Ini,1)*1440,0))</f>
        <v/>
      </c>
      <c r="S33" s="15">
        <f>IF($L33&lt;=0,0,$R33+$K33)</f>
        <v/>
      </c>
      <c r="T33" s="15">
        <f>IF($M33="","",$B33&amp;"#"&amp;$M33)</f>
        <v/>
      </c>
      <c r="U33" s="15">
        <f>ROW()</f>
        <v/>
      </c>
    </row>
    <row r="34">
      <c r="A34" s="38" t="n">
        <v>46254</v>
      </c>
      <c r="B34" s="29" t="inlineStr">
        <is>
          <t>SO-08</t>
        </is>
      </c>
      <c r="C34" s="42" t="n">
        <v>0.6145833333333334</v>
      </c>
      <c r="D34" s="42" t="n">
        <v>0.6979166666666666</v>
      </c>
      <c r="E34" s="30" t="inlineStr">
        <is>
          <t>Buco-Maxilo-Facial</t>
        </is>
      </c>
      <c r="F34" s="34">
        <f>IF($E34="","",IFERROR(INDEX(Esp_Hab,MATCH($E34,Esp_Nome,0)),"—"))</f>
        <v/>
      </c>
      <c r="G34" s="30" t="inlineStr">
        <is>
          <t>Osteotomia mandibular</t>
        </is>
      </c>
      <c r="H34" s="30" t="inlineStr">
        <is>
          <t>Dra. Hirano</t>
        </is>
      </c>
      <c r="I34" s="29" t="inlineStr">
        <is>
          <t>M</t>
        </is>
      </c>
      <c r="J34" s="29" t="inlineStr">
        <is>
          <t>Agendada</t>
        </is>
      </c>
      <c r="K34" s="37">
        <f>IF(OR($B34="",NOT(ISNUMBER($C34)),NOT(ISNUMBER($D34))),"",ROUND(MOD($D34-$C34,1)*1440,0))</f>
        <v/>
      </c>
      <c r="L34" s="37">
        <f>IF(NOT(ISNUMBER($K34)),0,IF(OR($K34&lt;=0,$J34="Cancelada",$J34="Suspensa"),0,$K34+Limpeza_Min))</f>
        <v/>
      </c>
      <c r="M34" s="37">
        <f>IF($L34&lt;=0,"",SUMPRODUCT((Mapa_Sala=$B34)*(Mapa_Data=$A34)*(Mapa_MinOcup&gt;0)*((Mapa_RelIni&lt;$R34)+((Mapa_RelIni=$R34)*(Mapa_Row&lt;=$U34)))))</f>
        <v/>
      </c>
      <c r="N34" s="43">
        <f>IF($L34&lt;=0,"",MOD(Turno_Ini+($S34+Limpeza_Min)/1440,1))</f>
        <v/>
      </c>
      <c r="O34" s="37">
        <f>IF($L34&lt;=0,"",MAX(0,IFERROR(INDEX(Mapa_RelIni,MATCH($B34&amp;"#"&amp;($M34+1),Mapa_Chave,0)),Turno_Min)-($S34+Limpeza_Min)))</f>
        <v/>
      </c>
      <c r="P34" s="19">
        <f>IF($B34="","",IF($Q34="","OK",LEFT($Q34,LEN($Q34)-3)))</f>
        <v/>
      </c>
      <c r="Q34" s="10">
        <f>IF($B34="","",IF(COUNTIF(Postos_Cod,$B34)=0,"Sala não cadastrada | ","")&amp;IF(AND(COUNTIF(Postos_Cod,$B34)&gt;0,IFERROR(INDEX(Postos_Tipo,MATCH($B34,Postos_Cod,0)),"")&lt;&gt;"Sala cirúrgica"),"Posto não é sala cirúrgica | ","")&amp;IF(AND(COUNTIF(Postos_Cod,$B34)&gt;0,IFERROR(INDEX(Postos_Status,MATCH($B34,Postos_Cod,0)),"")&lt;&gt;"Ativo"),"Sala não ativa | ","")&amp;IF(COUNTIF(Esp_Nome,$E34)=0,"Especialidade não cadastrada | ","")&amp;IF(COUNTIF(Lista_StatusCirurgia,$J34)=0,"Status inválido | ","")&amp;IF(OR(NOT(ISNUMBER($C34)),NOT(ISNUMBER($D34))),"Horário inválido | ","")&amp;IFERROR(IF(AND(ISNUMBER($C34),ISNUMBER($D34),MOD($D34-$C34,1)*1440&lt;=0),"Duração nula ou negativa | ",""),"")&amp;IF(AND($L34&gt;0,OR($R34&gt;=Turno_Min,$S34&gt;Turno_Min)),"Fora da janela do plantão | ","")&amp;IF(AND($L34&gt;0,SUMPRODUCT((Mapa_Sala=$B34)*(Mapa_Data=$A34)*(Mapa_MinOcup&gt;0)*(Mapa_RelIni&lt;$S34)*(Mapa_RelFim&gt;$R34))&gt;1),"Sobreposição de horário na sala | ","")&amp;IFERROR(IF(AND(ISNUMBER($K34),$K34&gt;0,COUNTIF(Esp_Nome,$E34)&gt;0,$K34&gt;3*INDEX(Esp_Dur,MATCH($E34,Esp_Nome,0))),"Duração atípica (&gt;3x a média) | ",""),""))</f>
        <v/>
      </c>
      <c r="R34" s="15">
        <f>IF(NOT(ISNUMBER($C34)),0,ROUND(MOD($C34-Turno_Ini,1)*1440,0))</f>
        <v/>
      </c>
      <c r="S34" s="15">
        <f>IF($L34&lt;=0,0,$R34+$K34)</f>
        <v/>
      </c>
      <c r="T34" s="15">
        <f>IF($M34="","",$B34&amp;"#"&amp;$M34)</f>
        <v/>
      </c>
      <c r="U34" s="15">
        <f>ROW()</f>
        <v/>
      </c>
    </row>
    <row r="35">
      <c r="A35" s="38" t="n"/>
      <c r="B35" s="29" t="n"/>
      <c r="C35" s="42" t="n"/>
      <c r="D35" s="42" t="n"/>
      <c r="E35" s="30" t="n"/>
      <c r="F35" s="34">
        <f>IF($E35="","",IFERROR(INDEX(Esp_Hab,MATCH($E35,Esp_Nome,0)),"—"))</f>
        <v/>
      </c>
      <c r="G35" s="30" t="n"/>
      <c r="H35" s="30" t="n"/>
      <c r="I35" s="29" t="n"/>
      <c r="J35" s="29" t="n"/>
      <c r="K35" s="37">
        <f>IF(OR($B35="",NOT(ISNUMBER($C35)),NOT(ISNUMBER($D35))),"",ROUND(MOD($D35-$C35,1)*1440,0))</f>
        <v/>
      </c>
      <c r="L35" s="37">
        <f>IF(NOT(ISNUMBER($K35)),0,IF(OR($K35&lt;=0,$J35="Cancelada",$J35="Suspensa"),0,$K35+Limpeza_Min))</f>
        <v/>
      </c>
      <c r="M35" s="37">
        <f>IF($L35&lt;=0,"",SUMPRODUCT((Mapa_Sala=$B35)*(Mapa_Data=$A35)*(Mapa_MinOcup&gt;0)*((Mapa_RelIni&lt;$R35)+((Mapa_RelIni=$R35)*(Mapa_Row&lt;=$U35)))))</f>
        <v/>
      </c>
      <c r="N35" s="43">
        <f>IF($L35&lt;=0,"",MOD(Turno_Ini+($S35+Limpeza_Min)/1440,1))</f>
        <v/>
      </c>
      <c r="O35" s="37">
        <f>IF($L35&lt;=0,"",MAX(0,IFERROR(INDEX(Mapa_RelIni,MATCH($B35&amp;"#"&amp;($M35+1),Mapa_Chave,0)),Turno_Min)-($S35+Limpeza_Min)))</f>
        <v/>
      </c>
      <c r="P35" s="19">
        <f>IF($B35="","",IF($Q35="","OK",LEFT($Q35,LEN($Q35)-3)))</f>
        <v/>
      </c>
      <c r="Q35" s="10">
        <f>IF($B35="","",IF(COUNTIF(Postos_Cod,$B35)=0,"Sala não cadastrada | ","")&amp;IF(AND(COUNTIF(Postos_Cod,$B35)&gt;0,IFERROR(INDEX(Postos_Tipo,MATCH($B35,Postos_Cod,0)),"")&lt;&gt;"Sala cirúrgica"),"Posto não é sala cirúrgica | ","")&amp;IF(AND(COUNTIF(Postos_Cod,$B35)&gt;0,IFERROR(INDEX(Postos_Status,MATCH($B35,Postos_Cod,0)),"")&lt;&gt;"Ativo"),"Sala não ativa | ","")&amp;IF(COUNTIF(Esp_Nome,$E35)=0,"Especialidade não cadastrada | ","")&amp;IF(COUNTIF(Lista_StatusCirurgia,$J35)=0,"Status inválido | ","")&amp;IF(OR(NOT(ISNUMBER($C35)),NOT(ISNUMBER($D35))),"Horário inválido | ","")&amp;IFERROR(IF(AND(ISNUMBER($C35),ISNUMBER($D35),MOD($D35-$C35,1)*1440&lt;=0),"Duração nula ou negativa | ",""),"")&amp;IF(AND($L35&gt;0,OR($R35&gt;=Turno_Min,$S35&gt;Turno_Min)),"Fora da janela do plantão | ","")&amp;IF(AND($L35&gt;0,SUMPRODUCT((Mapa_Sala=$B35)*(Mapa_Data=$A35)*(Mapa_MinOcup&gt;0)*(Mapa_RelIni&lt;$S35)*(Mapa_RelFim&gt;$R35))&gt;1),"Sobreposição de horário na sala | ","")&amp;IFERROR(IF(AND(ISNUMBER($K35),$K35&gt;0,COUNTIF(Esp_Nome,$E35)&gt;0,$K35&gt;3*INDEX(Esp_Dur,MATCH($E35,Esp_Nome,0))),"Duração atípica (&gt;3x a média) | ",""),""))</f>
        <v/>
      </c>
      <c r="R35" s="15">
        <f>IF(NOT(ISNUMBER($C35)),0,ROUND(MOD($C35-Turno_Ini,1)*1440,0))</f>
        <v/>
      </c>
      <c r="S35" s="15">
        <f>IF($L35&lt;=0,0,$R35+$K35)</f>
        <v/>
      </c>
      <c r="T35" s="15">
        <f>IF($M35="","",$B35&amp;"#"&amp;$M35)</f>
        <v/>
      </c>
      <c r="U35" s="15">
        <f>ROW()</f>
        <v/>
      </c>
    </row>
    <row r="36">
      <c r="A36" s="38" t="n"/>
      <c r="B36" s="29" t="n"/>
      <c r="C36" s="42" t="n"/>
      <c r="D36" s="42" t="n"/>
      <c r="E36" s="30" t="n"/>
      <c r="F36" s="34">
        <f>IF($E36="","",IFERROR(INDEX(Esp_Hab,MATCH($E36,Esp_Nome,0)),"—"))</f>
        <v/>
      </c>
      <c r="G36" s="30" t="n"/>
      <c r="H36" s="30" t="n"/>
      <c r="I36" s="29" t="n"/>
      <c r="J36" s="29" t="n"/>
      <c r="K36" s="37">
        <f>IF(OR($B36="",NOT(ISNUMBER($C36)),NOT(ISNUMBER($D36))),"",ROUND(MOD($D36-$C36,1)*1440,0))</f>
        <v/>
      </c>
      <c r="L36" s="37">
        <f>IF(NOT(ISNUMBER($K36)),0,IF(OR($K36&lt;=0,$J36="Cancelada",$J36="Suspensa"),0,$K36+Limpeza_Min))</f>
        <v/>
      </c>
      <c r="M36" s="37">
        <f>IF($L36&lt;=0,"",SUMPRODUCT((Mapa_Sala=$B36)*(Mapa_Data=$A36)*(Mapa_MinOcup&gt;0)*((Mapa_RelIni&lt;$R36)+((Mapa_RelIni=$R36)*(Mapa_Row&lt;=$U36)))))</f>
        <v/>
      </c>
      <c r="N36" s="43">
        <f>IF($L36&lt;=0,"",MOD(Turno_Ini+($S36+Limpeza_Min)/1440,1))</f>
        <v/>
      </c>
      <c r="O36" s="37">
        <f>IF($L36&lt;=0,"",MAX(0,IFERROR(INDEX(Mapa_RelIni,MATCH($B36&amp;"#"&amp;($M36+1),Mapa_Chave,0)),Turno_Min)-($S36+Limpeza_Min)))</f>
        <v/>
      </c>
      <c r="P36" s="19">
        <f>IF($B36="","",IF($Q36="","OK",LEFT($Q36,LEN($Q36)-3)))</f>
        <v/>
      </c>
      <c r="Q36" s="10">
        <f>IF($B36="","",IF(COUNTIF(Postos_Cod,$B36)=0,"Sala não cadastrada | ","")&amp;IF(AND(COUNTIF(Postos_Cod,$B36)&gt;0,IFERROR(INDEX(Postos_Tipo,MATCH($B36,Postos_Cod,0)),"")&lt;&gt;"Sala cirúrgica"),"Posto não é sala cirúrgica | ","")&amp;IF(AND(COUNTIF(Postos_Cod,$B36)&gt;0,IFERROR(INDEX(Postos_Status,MATCH($B36,Postos_Cod,0)),"")&lt;&gt;"Ativo"),"Sala não ativa | ","")&amp;IF(COUNTIF(Esp_Nome,$E36)=0,"Especialidade não cadastrada | ","")&amp;IF(COUNTIF(Lista_StatusCirurgia,$J36)=0,"Status inválido | ","")&amp;IF(OR(NOT(ISNUMBER($C36)),NOT(ISNUMBER($D36))),"Horário inválido | ","")&amp;IFERROR(IF(AND(ISNUMBER($C36),ISNUMBER($D36),MOD($D36-$C36,1)*1440&lt;=0),"Duração nula ou negativa | ",""),"")&amp;IF(AND($L36&gt;0,OR($R36&gt;=Turno_Min,$S36&gt;Turno_Min)),"Fora da janela do plantão | ","")&amp;IF(AND($L36&gt;0,SUMPRODUCT((Mapa_Sala=$B36)*(Mapa_Data=$A36)*(Mapa_MinOcup&gt;0)*(Mapa_RelIni&lt;$S36)*(Mapa_RelFim&gt;$R36))&gt;1),"Sobreposição de horário na sala | ","")&amp;IFERROR(IF(AND(ISNUMBER($K36),$K36&gt;0,COUNTIF(Esp_Nome,$E36)&gt;0,$K36&gt;3*INDEX(Esp_Dur,MATCH($E36,Esp_Nome,0))),"Duração atípica (&gt;3x a média) | ",""),""))</f>
        <v/>
      </c>
      <c r="R36" s="15">
        <f>IF(NOT(ISNUMBER($C36)),0,ROUND(MOD($C36-Turno_Ini,1)*1440,0))</f>
        <v/>
      </c>
      <c r="S36" s="15">
        <f>IF($L36&lt;=0,0,$R36+$K36)</f>
        <v/>
      </c>
      <c r="T36" s="15">
        <f>IF($M36="","",$B36&amp;"#"&amp;$M36)</f>
        <v/>
      </c>
      <c r="U36" s="15">
        <f>ROW()</f>
        <v/>
      </c>
    </row>
    <row r="37">
      <c r="A37" s="38" t="n"/>
      <c r="B37" s="29" t="n"/>
      <c r="C37" s="42" t="n"/>
      <c r="D37" s="42" t="n"/>
      <c r="E37" s="30" t="n"/>
      <c r="F37" s="34">
        <f>IF($E37="","",IFERROR(INDEX(Esp_Hab,MATCH($E37,Esp_Nome,0)),"—"))</f>
        <v/>
      </c>
      <c r="G37" s="30" t="n"/>
      <c r="H37" s="30" t="n"/>
      <c r="I37" s="29" t="n"/>
      <c r="J37" s="29" t="n"/>
      <c r="K37" s="37">
        <f>IF(OR($B37="",NOT(ISNUMBER($C37)),NOT(ISNUMBER($D37))),"",ROUND(MOD($D37-$C37,1)*1440,0))</f>
        <v/>
      </c>
      <c r="L37" s="37">
        <f>IF(NOT(ISNUMBER($K37)),0,IF(OR($K37&lt;=0,$J37="Cancelada",$J37="Suspensa"),0,$K37+Limpeza_Min))</f>
        <v/>
      </c>
      <c r="M37" s="37">
        <f>IF($L37&lt;=0,"",SUMPRODUCT((Mapa_Sala=$B37)*(Mapa_Data=$A37)*(Mapa_MinOcup&gt;0)*((Mapa_RelIni&lt;$R37)+((Mapa_RelIni=$R37)*(Mapa_Row&lt;=$U37)))))</f>
        <v/>
      </c>
      <c r="N37" s="43">
        <f>IF($L37&lt;=0,"",MOD(Turno_Ini+($S37+Limpeza_Min)/1440,1))</f>
        <v/>
      </c>
      <c r="O37" s="37">
        <f>IF($L37&lt;=0,"",MAX(0,IFERROR(INDEX(Mapa_RelIni,MATCH($B37&amp;"#"&amp;($M37+1),Mapa_Chave,0)),Turno_Min)-($S37+Limpeza_Min)))</f>
        <v/>
      </c>
      <c r="P37" s="19">
        <f>IF($B37="","",IF($Q37="","OK",LEFT($Q37,LEN($Q37)-3)))</f>
        <v/>
      </c>
      <c r="Q37" s="10">
        <f>IF($B37="","",IF(COUNTIF(Postos_Cod,$B37)=0,"Sala não cadastrada | ","")&amp;IF(AND(COUNTIF(Postos_Cod,$B37)&gt;0,IFERROR(INDEX(Postos_Tipo,MATCH($B37,Postos_Cod,0)),"")&lt;&gt;"Sala cirúrgica"),"Posto não é sala cirúrgica | ","")&amp;IF(AND(COUNTIF(Postos_Cod,$B37)&gt;0,IFERROR(INDEX(Postos_Status,MATCH($B37,Postos_Cod,0)),"")&lt;&gt;"Ativo"),"Sala não ativa | ","")&amp;IF(COUNTIF(Esp_Nome,$E37)=0,"Especialidade não cadastrada | ","")&amp;IF(COUNTIF(Lista_StatusCirurgia,$J37)=0,"Status inválido | ","")&amp;IF(OR(NOT(ISNUMBER($C37)),NOT(ISNUMBER($D37))),"Horário inválido | ","")&amp;IFERROR(IF(AND(ISNUMBER($C37),ISNUMBER($D37),MOD($D37-$C37,1)*1440&lt;=0),"Duração nula ou negativa | ",""),"")&amp;IF(AND($L37&gt;0,OR($R37&gt;=Turno_Min,$S37&gt;Turno_Min)),"Fora da janela do plantão | ","")&amp;IF(AND($L37&gt;0,SUMPRODUCT((Mapa_Sala=$B37)*(Mapa_Data=$A37)*(Mapa_MinOcup&gt;0)*(Mapa_RelIni&lt;$S37)*(Mapa_RelFim&gt;$R37))&gt;1),"Sobreposição de horário na sala | ","")&amp;IFERROR(IF(AND(ISNUMBER($K37),$K37&gt;0,COUNTIF(Esp_Nome,$E37)&gt;0,$K37&gt;3*INDEX(Esp_Dur,MATCH($E37,Esp_Nome,0))),"Duração atípica (&gt;3x a média) | ",""),""))</f>
        <v/>
      </c>
      <c r="R37" s="15">
        <f>IF(NOT(ISNUMBER($C37)),0,ROUND(MOD($C37-Turno_Ini,1)*1440,0))</f>
        <v/>
      </c>
      <c r="S37" s="15">
        <f>IF($L37&lt;=0,0,$R37+$K37)</f>
        <v/>
      </c>
      <c r="T37" s="15">
        <f>IF($M37="","",$B37&amp;"#"&amp;$M37)</f>
        <v/>
      </c>
      <c r="U37" s="15">
        <f>ROW()</f>
        <v/>
      </c>
    </row>
    <row r="38">
      <c r="A38" s="38" t="n"/>
      <c r="B38" s="29" t="n"/>
      <c r="C38" s="42" t="n"/>
      <c r="D38" s="42" t="n"/>
      <c r="E38" s="30" t="n"/>
      <c r="F38" s="34">
        <f>IF($E38="","",IFERROR(INDEX(Esp_Hab,MATCH($E38,Esp_Nome,0)),"—"))</f>
        <v/>
      </c>
      <c r="G38" s="30" t="n"/>
      <c r="H38" s="30" t="n"/>
      <c r="I38" s="29" t="n"/>
      <c r="J38" s="29" t="n"/>
      <c r="K38" s="37">
        <f>IF(OR($B38="",NOT(ISNUMBER($C38)),NOT(ISNUMBER($D38))),"",ROUND(MOD($D38-$C38,1)*1440,0))</f>
        <v/>
      </c>
      <c r="L38" s="37">
        <f>IF(NOT(ISNUMBER($K38)),0,IF(OR($K38&lt;=0,$J38="Cancelada",$J38="Suspensa"),0,$K38+Limpeza_Min))</f>
        <v/>
      </c>
      <c r="M38" s="37">
        <f>IF($L38&lt;=0,"",SUMPRODUCT((Mapa_Sala=$B38)*(Mapa_Data=$A38)*(Mapa_MinOcup&gt;0)*((Mapa_RelIni&lt;$R38)+((Mapa_RelIni=$R38)*(Mapa_Row&lt;=$U38)))))</f>
        <v/>
      </c>
      <c r="N38" s="43">
        <f>IF($L38&lt;=0,"",MOD(Turno_Ini+($S38+Limpeza_Min)/1440,1))</f>
        <v/>
      </c>
      <c r="O38" s="37">
        <f>IF($L38&lt;=0,"",MAX(0,IFERROR(INDEX(Mapa_RelIni,MATCH($B38&amp;"#"&amp;($M38+1),Mapa_Chave,0)),Turno_Min)-($S38+Limpeza_Min)))</f>
        <v/>
      </c>
      <c r="P38" s="19">
        <f>IF($B38="","",IF($Q38="","OK",LEFT($Q38,LEN($Q38)-3)))</f>
        <v/>
      </c>
      <c r="Q38" s="10">
        <f>IF($B38="","",IF(COUNTIF(Postos_Cod,$B38)=0,"Sala não cadastrada | ","")&amp;IF(AND(COUNTIF(Postos_Cod,$B38)&gt;0,IFERROR(INDEX(Postos_Tipo,MATCH($B38,Postos_Cod,0)),"")&lt;&gt;"Sala cirúrgica"),"Posto não é sala cirúrgica | ","")&amp;IF(AND(COUNTIF(Postos_Cod,$B38)&gt;0,IFERROR(INDEX(Postos_Status,MATCH($B38,Postos_Cod,0)),"")&lt;&gt;"Ativo"),"Sala não ativa | ","")&amp;IF(COUNTIF(Esp_Nome,$E38)=0,"Especialidade não cadastrada | ","")&amp;IF(COUNTIF(Lista_StatusCirurgia,$J38)=0,"Status inválido | ","")&amp;IF(OR(NOT(ISNUMBER($C38)),NOT(ISNUMBER($D38))),"Horário inválido | ","")&amp;IFERROR(IF(AND(ISNUMBER($C38),ISNUMBER($D38),MOD($D38-$C38,1)*1440&lt;=0),"Duração nula ou negativa | ",""),"")&amp;IF(AND($L38&gt;0,OR($R38&gt;=Turno_Min,$S38&gt;Turno_Min)),"Fora da janela do plantão | ","")&amp;IF(AND($L38&gt;0,SUMPRODUCT((Mapa_Sala=$B38)*(Mapa_Data=$A38)*(Mapa_MinOcup&gt;0)*(Mapa_RelIni&lt;$S38)*(Mapa_RelFim&gt;$R38))&gt;1),"Sobreposição de horário na sala | ","")&amp;IFERROR(IF(AND(ISNUMBER($K38),$K38&gt;0,COUNTIF(Esp_Nome,$E38)&gt;0,$K38&gt;3*INDEX(Esp_Dur,MATCH($E38,Esp_Nome,0))),"Duração atípica (&gt;3x a média) | ",""),""))</f>
        <v/>
      </c>
      <c r="R38" s="15">
        <f>IF(NOT(ISNUMBER($C38)),0,ROUND(MOD($C38-Turno_Ini,1)*1440,0))</f>
        <v/>
      </c>
      <c r="S38" s="15">
        <f>IF($L38&lt;=0,0,$R38+$K38)</f>
        <v/>
      </c>
      <c r="T38" s="15">
        <f>IF($M38="","",$B38&amp;"#"&amp;$M38)</f>
        <v/>
      </c>
      <c r="U38" s="15">
        <f>ROW()</f>
        <v/>
      </c>
    </row>
    <row r="39">
      <c r="A39" s="38" t="n"/>
      <c r="B39" s="29" t="n"/>
      <c r="C39" s="42" t="n"/>
      <c r="D39" s="42" t="n"/>
      <c r="E39" s="30" t="n"/>
      <c r="F39" s="34">
        <f>IF($E39="","",IFERROR(INDEX(Esp_Hab,MATCH($E39,Esp_Nome,0)),"—"))</f>
        <v/>
      </c>
      <c r="G39" s="30" t="n"/>
      <c r="H39" s="30" t="n"/>
      <c r="I39" s="29" t="n"/>
      <c r="J39" s="29" t="n"/>
      <c r="K39" s="37">
        <f>IF(OR($B39="",NOT(ISNUMBER($C39)),NOT(ISNUMBER($D39))),"",ROUND(MOD($D39-$C39,1)*1440,0))</f>
        <v/>
      </c>
      <c r="L39" s="37">
        <f>IF(NOT(ISNUMBER($K39)),0,IF(OR($K39&lt;=0,$J39="Cancelada",$J39="Suspensa"),0,$K39+Limpeza_Min))</f>
        <v/>
      </c>
      <c r="M39" s="37">
        <f>IF($L39&lt;=0,"",SUMPRODUCT((Mapa_Sala=$B39)*(Mapa_Data=$A39)*(Mapa_MinOcup&gt;0)*((Mapa_RelIni&lt;$R39)+((Mapa_RelIni=$R39)*(Mapa_Row&lt;=$U39)))))</f>
        <v/>
      </c>
      <c r="N39" s="43">
        <f>IF($L39&lt;=0,"",MOD(Turno_Ini+($S39+Limpeza_Min)/1440,1))</f>
        <v/>
      </c>
      <c r="O39" s="37">
        <f>IF($L39&lt;=0,"",MAX(0,IFERROR(INDEX(Mapa_RelIni,MATCH($B39&amp;"#"&amp;($M39+1),Mapa_Chave,0)),Turno_Min)-($S39+Limpeza_Min)))</f>
        <v/>
      </c>
      <c r="P39" s="19">
        <f>IF($B39="","",IF($Q39="","OK",LEFT($Q39,LEN($Q39)-3)))</f>
        <v/>
      </c>
      <c r="Q39" s="10">
        <f>IF($B39="","",IF(COUNTIF(Postos_Cod,$B39)=0,"Sala não cadastrada | ","")&amp;IF(AND(COUNTIF(Postos_Cod,$B39)&gt;0,IFERROR(INDEX(Postos_Tipo,MATCH($B39,Postos_Cod,0)),"")&lt;&gt;"Sala cirúrgica"),"Posto não é sala cirúrgica | ","")&amp;IF(AND(COUNTIF(Postos_Cod,$B39)&gt;0,IFERROR(INDEX(Postos_Status,MATCH($B39,Postos_Cod,0)),"")&lt;&gt;"Ativo"),"Sala não ativa | ","")&amp;IF(COUNTIF(Esp_Nome,$E39)=0,"Especialidade não cadastrada | ","")&amp;IF(COUNTIF(Lista_StatusCirurgia,$J39)=0,"Status inválido | ","")&amp;IF(OR(NOT(ISNUMBER($C39)),NOT(ISNUMBER($D39))),"Horário inválido | ","")&amp;IFERROR(IF(AND(ISNUMBER($C39),ISNUMBER($D39),MOD($D39-$C39,1)*1440&lt;=0),"Duração nula ou negativa | ",""),"")&amp;IF(AND($L39&gt;0,OR($R39&gt;=Turno_Min,$S39&gt;Turno_Min)),"Fora da janela do plantão | ","")&amp;IF(AND($L39&gt;0,SUMPRODUCT((Mapa_Sala=$B39)*(Mapa_Data=$A39)*(Mapa_MinOcup&gt;0)*(Mapa_RelIni&lt;$S39)*(Mapa_RelFim&gt;$R39))&gt;1),"Sobreposição de horário na sala | ","")&amp;IFERROR(IF(AND(ISNUMBER($K39),$K39&gt;0,COUNTIF(Esp_Nome,$E39)&gt;0,$K39&gt;3*INDEX(Esp_Dur,MATCH($E39,Esp_Nome,0))),"Duração atípica (&gt;3x a média) | ",""),""))</f>
        <v/>
      </c>
      <c r="R39" s="15">
        <f>IF(NOT(ISNUMBER($C39)),0,ROUND(MOD($C39-Turno_Ini,1)*1440,0))</f>
        <v/>
      </c>
      <c r="S39" s="15">
        <f>IF($L39&lt;=0,0,$R39+$K39)</f>
        <v/>
      </c>
      <c r="T39" s="15">
        <f>IF($M39="","",$B39&amp;"#"&amp;$M39)</f>
        <v/>
      </c>
      <c r="U39" s="15">
        <f>ROW()</f>
        <v/>
      </c>
    </row>
    <row r="40">
      <c r="A40" s="38" t="n"/>
      <c r="B40" s="29" t="n"/>
      <c r="C40" s="42" t="n"/>
      <c r="D40" s="42" t="n"/>
      <c r="E40" s="30" t="n"/>
      <c r="F40" s="34">
        <f>IF($E40="","",IFERROR(INDEX(Esp_Hab,MATCH($E40,Esp_Nome,0)),"—"))</f>
        <v/>
      </c>
      <c r="G40" s="30" t="n"/>
      <c r="H40" s="30" t="n"/>
      <c r="I40" s="29" t="n"/>
      <c r="J40" s="29" t="n"/>
      <c r="K40" s="37">
        <f>IF(OR($B40="",NOT(ISNUMBER($C40)),NOT(ISNUMBER($D40))),"",ROUND(MOD($D40-$C40,1)*1440,0))</f>
        <v/>
      </c>
      <c r="L40" s="37">
        <f>IF(NOT(ISNUMBER($K40)),0,IF(OR($K40&lt;=0,$J40="Cancelada",$J40="Suspensa"),0,$K40+Limpeza_Min))</f>
        <v/>
      </c>
      <c r="M40" s="37">
        <f>IF($L40&lt;=0,"",SUMPRODUCT((Mapa_Sala=$B40)*(Mapa_Data=$A40)*(Mapa_MinOcup&gt;0)*((Mapa_RelIni&lt;$R40)+((Mapa_RelIni=$R40)*(Mapa_Row&lt;=$U40)))))</f>
        <v/>
      </c>
      <c r="N40" s="43">
        <f>IF($L40&lt;=0,"",MOD(Turno_Ini+($S40+Limpeza_Min)/1440,1))</f>
        <v/>
      </c>
      <c r="O40" s="37">
        <f>IF($L40&lt;=0,"",MAX(0,IFERROR(INDEX(Mapa_RelIni,MATCH($B40&amp;"#"&amp;($M40+1),Mapa_Chave,0)),Turno_Min)-($S40+Limpeza_Min)))</f>
        <v/>
      </c>
      <c r="P40" s="19">
        <f>IF($B40="","",IF($Q40="","OK",LEFT($Q40,LEN($Q40)-3)))</f>
        <v/>
      </c>
      <c r="Q40" s="10">
        <f>IF($B40="","",IF(COUNTIF(Postos_Cod,$B40)=0,"Sala não cadastrada | ","")&amp;IF(AND(COUNTIF(Postos_Cod,$B40)&gt;0,IFERROR(INDEX(Postos_Tipo,MATCH($B40,Postos_Cod,0)),"")&lt;&gt;"Sala cirúrgica"),"Posto não é sala cirúrgica | ","")&amp;IF(AND(COUNTIF(Postos_Cod,$B40)&gt;0,IFERROR(INDEX(Postos_Status,MATCH($B40,Postos_Cod,0)),"")&lt;&gt;"Ativo"),"Sala não ativa | ","")&amp;IF(COUNTIF(Esp_Nome,$E40)=0,"Especialidade não cadastrada | ","")&amp;IF(COUNTIF(Lista_StatusCirurgia,$J40)=0,"Status inválido | ","")&amp;IF(OR(NOT(ISNUMBER($C40)),NOT(ISNUMBER($D40))),"Horário inválido | ","")&amp;IFERROR(IF(AND(ISNUMBER($C40),ISNUMBER($D40),MOD($D40-$C40,1)*1440&lt;=0),"Duração nula ou negativa | ",""),"")&amp;IF(AND($L40&gt;0,OR($R40&gt;=Turno_Min,$S40&gt;Turno_Min)),"Fora da janela do plantão | ","")&amp;IF(AND($L40&gt;0,SUMPRODUCT((Mapa_Sala=$B40)*(Mapa_Data=$A40)*(Mapa_MinOcup&gt;0)*(Mapa_RelIni&lt;$S40)*(Mapa_RelFim&gt;$R40))&gt;1),"Sobreposição de horário na sala | ","")&amp;IFERROR(IF(AND(ISNUMBER($K40),$K40&gt;0,COUNTIF(Esp_Nome,$E40)&gt;0,$K40&gt;3*INDEX(Esp_Dur,MATCH($E40,Esp_Nome,0))),"Duração atípica (&gt;3x a média) | ",""),""))</f>
        <v/>
      </c>
      <c r="R40" s="15">
        <f>IF(NOT(ISNUMBER($C40)),0,ROUND(MOD($C40-Turno_Ini,1)*1440,0))</f>
        <v/>
      </c>
      <c r="S40" s="15">
        <f>IF($L40&lt;=0,0,$R40+$K40)</f>
        <v/>
      </c>
      <c r="T40" s="15">
        <f>IF($M40="","",$B40&amp;"#"&amp;$M40)</f>
        <v/>
      </c>
      <c r="U40" s="15">
        <f>ROW()</f>
        <v/>
      </c>
    </row>
    <row r="41">
      <c r="A41" s="38" t="n"/>
      <c r="B41" s="29" t="n"/>
      <c r="C41" s="42" t="n"/>
      <c r="D41" s="42" t="n"/>
      <c r="E41" s="30" t="n"/>
      <c r="F41" s="34">
        <f>IF($E41="","",IFERROR(INDEX(Esp_Hab,MATCH($E41,Esp_Nome,0)),"—"))</f>
        <v/>
      </c>
      <c r="G41" s="30" t="n"/>
      <c r="H41" s="30" t="n"/>
      <c r="I41" s="29" t="n"/>
      <c r="J41" s="29" t="n"/>
      <c r="K41" s="37">
        <f>IF(OR($B41="",NOT(ISNUMBER($C41)),NOT(ISNUMBER($D41))),"",ROUND(MOD($D41-$C41,1)*1440,0))</f>
        <v/>
      </c>
      <c r="L41" s="37">
        <f>IF(NOT(ISNUMBER($K41)),0,IF(OR($K41&lt;=0,$J41="Cancelada",$J41="Suspensa"),0,$K41+Limpeza_Min))</f>
        <v/>
      </c>
      <c r="M41" s="37">
        <f>IF($L41&lt;=0,"",SUMPRODUCT((Mapa_Sala=$B41)*(Mapa_Data=$A41)*(Mapa_MinOcup&gt;0)*((Mapa_RelIni&lt;$R41)+((Mapa_RelIni=$R41)*(Mapa_Row&lt;=$U41)))))</f>
        <v/>
      </c>
      <c r="N41" s="43">
        <f>IF($L41&lt;=0,"",MOD(Turno_Ini+($S41+Limpeza_Min)/1440,1))</f>
        <v/>
      </c>
      <c r="O41" s="37">
        <f>IF($L41&lt;=0,"",MAX(0,IFERROR(INDEX(Mapa_RelIni,MATCH($B41&amp;"#"&amp;($M41+1),Mapa_Chave,0)),Turno_Min)-($S41+Limpeza_Min)))</f>
        <v/>
      </c>
      <c r="P41" s="19">
        <f>IF($B41="","",IF($Q41="","OK",LEFT($Q41,LEN($Q41)-3)))</f>
        <v/>
      </c>
      <c r="Q41" s="10">
        <f>IF($B41="","",IF(COUNTIF(Postos_Cod,$B41)=0,"Sala não cadastrada | ","")&amp;IF(AND(COUNTIF(Postos_Cod,$B41)&gt;0,IFERROR(INDEX(Postos_Tipo,MATCH($B41,Postos_Cod,0)),"")&lt;&gt;"Sala cirúrgica"),"Posto não é sala cirúrgica | ","")&amp;IF(AND(COUNTIF(Postos_Cod,$B41)&gt;0,IFERROR(INDEX(Postos_Status,MATCH($B41,Postos_Cod,0)),"")&lt;&gt;"Ativo"),"Sala não ativa | ","")&amp;IF(COUNTIF(Esp_Nome,$E41)=0,"Especialidade não cadastrada | ","")&amp;IF(COUNTIF(Lista_StatusCirurgia,$J41)=0,"Status inválido | ","")&amp;IF(OR(NOT(ISNUMBER($C41)),NOT(ISNUMBER($D41))),"Horário inválido | ","")&amp;IFERROR(IF(AND(ISNUMBER($C41),ISNUMBER($D41),MOD($D41-$C41,1)*1440&lt;=0),"Duração nula ou negativa | ",""),"")&amp;IF(AND($L41&gt;0,OR($R41&gt;=Turno_Min,$S41&gt;Turno_Min)),"Fora da janela do plantão | ","")&amp;IF(AND($L41&gt;0,SUMPRODUCT((Mapa_Sala=$B41)*(Mapa_Data=$A41)*(Mapa_MinOcup&gt;0)*(Mapa_RelIni&lt;$S41)*(Mapa_RelFim&gt;$R41))&gt;1),"Sobreposição de horário na sala | ","")&amp;IFERROR(IF(AND(ISNUMBER($K41),$K41&gt;0,COUNTIF(Esp_Nome,$E41)&gt;0,$K41&gt;3*INDEX(Esp_Dur,MATCH($E41,Esp_Nome,0))),"Duração atípica (&gt;3x a média) | ",""),""))</f>
        <v/>
      </c>
      <c r="R41" s="15">
        <f>IF(NOT(ISNUMBER($C41)),0,ROUND(MOD($C41-Turno_Ini,1)*1440,0))</f>
        <v/>
      </c>
      <c r="S41" s="15">
        <f>IF($L41&lt;=0,0,$R41+$K41)</f>
        <v/>
      </c>
      <c r="T41" s="15">
        <f>IF($M41="","",$B41&amp;"#"&amp;$M41)</f>
        <v/>
      </c>
      <c r="U41" s="15">
        <f>ROW()</f>
        <v/>
      </c>
    </row>
    <row r="42">
      <c r="A42" s="38" t="n"/>
      <c r="B42" s="29" t="n"/>
      <c r="C42" s="42" t="n"/>
      <c r="D42" s="42" t="n"/>
      <c r="E42" s="30" t="n"/>
      <c r="F42" s="34">
        <f>IF($E42="","",IFERROR(INDEX(Esp_Hab,MATCH($E42,Esp_Nome,0)),"—"))</f>
        <v/>
      </c>
      <c r="G42" s="30" t="n"/>
      <c r="H42" s="30" t="n"/>
      <c r="I42" s="29" t="n"/>
      <c r="J42" s="29" t="n"/>
      <c r="K42" s="37">
        <f>IF(OR($B42="",NOT(ISNUMBER($C42)),NOT(ISNUMBER($D42))),"",ROUND(MOD($D42-$C42,1)*1440,0))</f>
        <v/>
      </c>
      <c r="L42" s="37">
        <f>IF(NOT(ISNUMBER($K42)),0,IF(OR($K42&lt;=0,$J42="Cancelada",$J42="Suspensa"),0,$K42+Limpeza_Min))</f>
        <v/>
      </c>
      <c r="M42" s="37">
        <f>IF($L42&lt;=0,"",SUMPRODUCT((Mapa_Sala=$B42)*(Mapa_Data=$A42)*(Mapa_MinOcup&gt;0)*((Mapa_RelIni&lt;$R42)+((Mapa_RelIni=$R42)*(Mapa_Row&lt;=$U42)))))</f>
        <v/>
      </c>
      <c r="N42" s="43">
        <f>IF($L42&lt;=0,"",MOD(Turno_Ini+($S42+Limpeza_Min)/1440,1))</f>
        <v/>
      </c>
      <c r="O42" s="37">
        <f>IF($L42&lt;=0,"",MAX(0,IFERROR(INDEX(Mapa_RelIni,MATCH($B42&amp;"#"&amp;($M42+1),Mapa_Chave,0)),Turno_Min)-($S42+Limpeza_Min)))</f>
        <v/>
      </c>
      <c r="P42" s="19">
        <f>IF($B42="","",IF($Q42="","OK",LEFT($Q42,LEN($Q42)-3)))</f>
        <v/>
      </c>
      <c r="Q42" s="10">
        <f>IF($B42="","",IF(COUNTIF(Postos_Cod,$B42)=0,"Sala não cadastrada | ","")&amp;IF(AND(COUNTIF(Postos_Cod,$B42)&gt;0,IFERROR(INDEX(Postos_Tipo,MATCH($B42,Postos_Cod,0)),"")&lt;&gt;"Sala cirúrgica"),"Posto não é sala cirúrgica | ","")&amp;IF(AND(COUNTIF(Postos_Cod,$B42)&gt;0,IFERROR(INDEX(Postos_Status,MATCH($B42,Postos_Cod,0)),"")&lt;&gt;"Ativo"),"Sala não ativa | ","")&amp;IF(COUNTIF(Esp_Nome,$E42)=0,"Especialidade não cadastrada | ","")&amp;IF(COUNTIF(Lista_StatusCirurgia,$J42)=0,"Status inválido | ","")&amp;IF(OR(NOT(ISNUMBER($C42)),NOT(ISNUMBER($D42))),"Horário inválido | ","")&amp;IFERROR(IF(AND(ISNUMBER($C42),ISNUMBER($D42),MOD($D42-$C42,1)*1440&lt;=0),"Duração nula ou negativa | ",""),"")&amp;IF(AND($L42&gt;0,OR($R42&gt;=Turno_Min,$S42&gt;Turno_Min)),"Fora da janela do plantão | ","")&amp;IF(AND($L42&gt;0,SUMPRODUCT((Mapa_Sala=$B42)*(Mapa_Data=$A42)*(Mapa_MinOcup&gt;0)*(Mapa_RelIni&lt;$S42)*(Mapa_RelFim&gt;$R42))&gt;1),"Sobreposição de horário na sala | ","")&amp;IFERROR(IF(AND(ISNUMBER($K42),$K42&gt;0,COUNTIF(Esp_Nome,$E42)&gt;0,$K42&gt;3*INDEX(Esp_Dur,MATCH($E42,Esp_Nome,0))),"Duração atípica (&gt;3x a média) | ",""),""))</f>
        <v/>
      </c>
      <c r="R42" s="15">
        <f>IF(NOT(ISNUMBER($C42)),0,ROUND(MOD($C42-Turno_Ini,1)*1440,0))</f>
        <v/>
      </c>
      <c r="S42" s="15">
        <f>IF($L42&lt;=0,0,$R42+$K42)</f>
        <v/>
      </c>
      <c r="T42" s="15">
        <f>IF($M42="","",$B42&amp;"#"&amp;$M42)</f>
        <v/>
      </c>
      <c r="U42" s="15">
        <f>ROW()</f>
        <v/>
      </c>
    </row>
    <row r="43">
      <c r="A43" s="38" t="n"/>
      <c r="B43" s="29" t="n"/>
      <c r="C43" s="42" t="n"/>
      <c r="D43" s="42" t="n"/>
      <c r="E43" s="30" t="n"/>
      <c r="F43" s="34">
        <f>IF($E43="","",IFERROR(INDEX(Esp_Hab,MATCH($E43,Esp_Nome,0)),"—"))</f>
        <v/>
      </c>
      <c r="G43" s="30" t="n"/>
      <c r="H43" s="30" t="n"/>
      <c r="I43" s="29" t="n"/>
      <c r="J43" s="29" t="n"/>
      <c r="K43" s="37">
        <f>IF(OR($B43="",NOT(ISNUMBER($C43)),NOT(ISNUMBER($D43))),"",ROUND(MOD($D43-$C43,1)*1440,0))</f>
        <v/>
      </c>
      <c r="L43" s="37">
        <f>IF(NOT(ISNUMBER($K43)),0,IF(OR($K43&lt;=0,$J43="Cancelada",$J43="Suspensa"),0,$K43+Limpeza_Min))</f>
        <v/>
      </c>
      <c r="M43" s="37">
        <f>IF($L43&lt;=0,"",SUMPRODUCT((Mapa_Sala=$B43)*(Mapa_Data=$A43)*(Mapa_MinOcup&gt;0)*((Mapa_RelIni&lt;$R43)+((Mapa_RelIni=$R43)*(Mapa_Row&lt;=$U43)))))</f>
        <v/>
      </c>
      <c r="N43" s="43">
        <f>IF($L43&lt;=0,"",MOD(Turno_Ini+($S43+Limpeza_Min)/1440,1))</f>
        <v/>
      </c>
      <c r="O43" s="37">
        <f>IF($L43&lt;=0,"",MAX(0,IFERROR(INDEX(Mapa_RelIni,MATCH($B43&amp;"#"&amp;($M43+1),Mapa_Chave,0)),Turno_Min)-($S43+Limpeza_Min)))</f>
        <v/>
      </c>
      <c r="P43" s="19">
        <f>IF($B43="","",IF($Q43="","OK",LEFT($Q43,LEN($Q43)-3)))</f>
        <v/>
      </c>
      <c r="Q43" s="10">
        <f>IF($B43="","",IF(COUNTIF(Postos_Cod,$B43)=0,"Sala não cadastrada | ","")&amp;IF(AND(COUNTIF(Postos_Cod,$B43)&gt;0,IFERROR(INDEX(Postos_Tipo,MATCH($B43,Postos_Cod,0)),"")&lt;&gt;"Sala cirúrgica"),"Posto não é sala cirúrgica | ","")&amp;IF(AND(COUNTIF(Postos_Cod,$B43)&gt;0,IFERROR(INDEX(Postos_Status,MATCH($B43,Postos_Cod,0)),"")&lt;&gt;"Ativo"),"Sala não ativa | ","")&amp;IF(COUNTIF(Esp_Nome,$E43)=0,"Especialidade não cadastrada | ","")&amp;IF(COUNTIF(Lista_StatusCirurgia,$J43)=0,"Status inválido | ","")&amp;IF(OR(NOT(ISNUMBER($C43)),NOT(ISNUMBER($D43))),"Horário inválido | ","")&amp;IFERROR(IF(AND(ISNUMBER($C43),ISNUMBER($D43),MOD($D43-$C43,1)*1440&lt;=0),"Duração nula ou negativa | ",""),"")&amp;IF(AND($L43&gt;0,OR($R43&gt;=Turno_Min,$S43&gt;Turno_Min)),"Fora da janela do plantão | ","")&amp;IF(AND($L43&gt;0,SUMPRODUCT((Mapa_Sala=$B43)*(Mapa_Data=$A43)*(Mapa_MinOcup&gt;0)*(Mapa_RelIni&lt;$S43)*(Mapa_RelFim&gt;$R43))&gt;1),"Sobreposição de horário na sala | ","")&amp;IFERROR(IF(AND(ISNUMBER($K43),$K43&gt;0,COUNTIF(Esp_Nome,$E43)&gt;0,$K43&gt;3*INDEX(Esp_Dur,MATCH($E43,Esp_Nome,0))),"Duração atípica (&gt;3x a média) | ",""),""))</f>
        <v/>
      </c>
      <c r="R43" s="15">
        <f>IF(NOT(ISNUMBER($C43)),0,ROUND(MOD($C43-Turno_Ini,1)*1440,0))</f>
        <v/>
      </c>
      <c r="S43" s="15">
        <f>IF($L43&lt;=0,0,$R43+$K43)</f>
        <v/>
      </c>
      <c r="T43" s="15">
        <f>IF($M43="","",$B43&amp;"#"&amp;$M43)</f>
        <v/>
      </c>
      <c r="U43" s="15">
        <f>ROW()</f>
        <v/>
      </c>
    </row>
    <row r="44">
      <c r="A44" s="38" t="n"/>
      <c r="B44" s="29" t="n"/>
      <c r="C44" s="42" t="n"/>
      <c r="D44" s="42" t="n"/>
      <c r="E44" s="30" t="n"/>
      <c r="F44" s="34">
        <f>IF($E44="","",IFERROR(INDEX(Esp_Hab,MATCH($E44,Esp_Nome,0)),"—"))</f>
        <v/>
      </c>
      <c r="G44" s="30" t="n"/>
      <c r="H44" s="30" t="n"/>
      <c r="I44" s="29" t="n"/>
      <c r="J44" s="29" t="n"/>
      <c r="K44" s="37">
        <f>IF(OR($B44="",NOT(ISNUMBER($C44)),NOT(ISNUMBER($D44))),"",ROUND(MOD($D44-$C44,1)*1440,0))</f>
        <v/>
      </c>
      <c r="L44" s="37">
        <f>IF(NOT(ISNUMBER($K44)),0,IF(OR($K44&lt;=0,$J44="Cancelada",$J44="Suspensa"),0,$K44+Limpeza_Min))</f>
        <v/>
      </c>
      <c r="M44" s="37">
        <f>IF($L44&lt;=0,"",SUMPRODUCT((Mapa_Sala=$B44)*(Mapa_Data=$A44)*(Mapa_MinOcup&gt;0)*((Mapa_RelIni&lt;$R44)+((Mapa_RelIni=$R44)*(Mapa_Row&lt;=$U44)))))</f>
        <v/>
      </c>
      <c r="N44" s="43">
        <f>IF($L44&lt;=0,"",MOD(Turno_Ini+($S44+Limpeza_Min)/1440,1))</f>
        <v/>
      </c>
      <c r="O44" s="37">
        <f>IF($L44&lt;=0,"",MAX(0,IFERROR(INDEX(Mapa_RelIni,MATCH($B44&amp;"#"&amp;($M44+1),Mapa_Chave,0)),Turno_Min)-($S44+Limpeza_Min)))</f>
        <v/>
      </c>
      <c r="P44" s="19">
        <f>IF($B44="","",IF($Q44="","OK",LEFT($Q44,LEN($Q44)-3)))</f>
        <v/>
      </c>
      <c r="Q44" s="10">
        <f>IF($B44="","",IF(COUNTIF(Postos_Cod,$B44)=0,"Sala não cadastrada | ","")&amp;IF(AND(COUNTIF(Postos_Cod,$B44)&gt;0,IFERROR(INDEX(Postos_Tipo,MATCH($B44,Postos_Cod,0)),"")&lt;&gt;"Sala cirúrgica"),"Posto não é sala cirúrgica | ","")&amp;IF(AND(COUNTIF(Postos_Cod,$B44)&gt;0,IFERROR(INDEX(Postos_Status,MATCH($B44,Postos_Cod,0)),"")&lt;&gt;"Ativo"),"Sala não ativa | ","")&amp;IF(COUNTIF(Esp_Nome,$E44)=0,"Especialidade não cadastrada | ","")&amp;IF(COUNTIF(Lista_StatusCirurgia,$J44)=0,"Status inválido | ","")&amp;IF(OR(NOT(ISNUMBER($C44)),NOT(ISNUMBER($D44))),"Horário inválido | ","")&amp;IFERROR(IF(AND(ISNUMBER($C44),ISNUMBER($D44),MOD($D44-$C44,1)*1440&lt;=0),"Duração nula ou negativa | ",""),"")&amp;IF(AND($L44&gt;0,OR($R44&gt;=Turno_Min,$S44&gt;Turno_Min)),"Fora da janela do plantão | ","")&amp;IF(AND($L44&gt;0,SUMPRODUCT((Mapa_Sala=$B44)*(Mapa_Data=$A44)*(Mapa_MinOcup&gt;0)*(Mapa_RelIni&lt;$S44)*(Mapa_RelFim&gt;$R44))&gt;1),"Sobreposição de horário na sala | ","")&amp;IFERROR(IF(AND(ISNUMBER($K44),$K44&gt;0,COUNTIF(Esp_Nome,$E44)&gt;0,$K44&gt;3*INDEX(Esp_Dur,MATCH($E44,Esp_Nome,0))),"Duração atípica (&gt;3x a média) | ",""),""))</f>
        <v/>
      </c>
      <c r="R44" s="15">
        <f>IF(NOT(ISNUMBER($C44)),0,ROUND(MOD($C44-Turno_Ini,1)*1440,0))</f>
        <v/>
      </c>
      <c r="S44" s="15">
        <f>IF($L44&lt;=0,0,$R44+$K44)</f>
        <v/>
      </c>
      <c r="T44" s="15">
        <f>IF($M44="","",$B44&amp;"#"&amp;$M44)</f>
        <v/>
      </c>
      <c r="U44" s="15">
        <f>ROW()</f>
        <v/>
      </c>
    </row>
    <row r="45">
      <c r="A45" s="38" t="n"/>
      <c r="B45" s="29" t="n"/>
      <c r="C45" s="42" t="n"/>
      <c r="D45" s="42" t="n"/>
      <c r="E45" s="30" t="n"/>
      <c r="F45" s="34">
        <f>IF($E45="","",IFERROR(INDEX(Esp_Hab,MATCH($E45,Esp_Nome,0)),"—"))</f>
        <v/>
      </c>
      <c r="G45" s="30" t="n"/>
      <c r="H45" s="30" t="n"/>
      <c r="I45" s="29" t="n"/>
      <c r="J45" s="29" t="n"/>
      <c r="K45" s="37">
        <f>IF(OR($B45="",NOT(ISNUMBER($C45)),NOT(ISNUMBER($D45))),"",ROUND(MOD($D45-$C45,1)*1440,0))</f>
        <v/>
      </c>
      <c r="L45" s="37">
        <f>IF(NOT(ISNUMBER($K45)),0,IF(OR($K45&lt;=0,$J45="Cancelada",$J45="Suspensa"),0,$K45+Limpeza_Min))</f>
        <v/>
      </c>
      <c r="M45" s="37">
        <f>IF($L45&lt;=0,"",SUMPRODUCT((Mapa_Sala=$B45)*(Mapa_Data=$A45)*(Mapa_MinOcup&gt;0)*((Mapa_RelIni&lt;$R45)+((Mapa_RelIni=$R45)*(Mapa_Row&lt;=$U45)))))</f>
        <v/>
      </c>
      <c r="N45" s="43">
        <f>IF($L45&lt;=0,"",MOD(Turno_Ini+($S45+Limpeza_Min)/1440,1))</f>
        <v/>
      </c>
      <c r="O45" s="37">
        <f>IF($L45&lt;=0,"",MAX(0,IFERROR(INDEX(Mapa_RelIni,MATCH($B45&amp;"#"&amp;($M45+1),Mapa_Chave,0)),Turno_Min)-($S45+Limpeza_Min)))</f>
        <v/>
      </c>
      <c r="P45" s="19">
        <f>IF($B45="","",IF($Q45="","OK",LEFT($Q45,LEN($Q45)-3)))</f>
        <v/>
      </c>
      <c r="Q45" s="10">
        <f>IF($B45="","",IF(COUNTIF(Postos_Cod,$B45)=0,"Sala não cadastrada | ","")&amp;IF(AND(COUNTIF(Postos_Cod,$B45)&gt;0,IFERROR(INDEX(Postos_Tipo,MATCH($B45,Postos_Cod,0)),"")&lt;&gt;"Sala cirúrgica"),"Posto não é sala cirúrgica | ","")&amp;IF(AND(COUNTIF(Postos_Cod,$B45)&gt;0,IFERROR(INDEX(Postos_Status,MATCH($B45,Postos_Cod,0)),"")&lt;&gt;"Ativo"),"Sala não ativa | ","")&amp;IF(COUNTIF(Esp_Nome,$E45)=0,"Especialidade não cadastrada | ","")&amp;IF(COUNTIF(Lista_StatusCirurgia,$J45)=0,"Status inválido | ","")&amp;IF(OR(NOT(ISNUMBER($C45)),NOT(ISNUMBER($D45))),"Horário inválido | ","")&amp;IFERROR(IF(AND(ISNUMBER($C45),ISNUMBER($D45),MOD($D45-$C45,1)*1440&lt;=0),"Duração nula ou negativa | ",""),"")&amp;IF(AND($L45&gt;0,OR($R45&gt;=Turno_Min,$S45&gt;Turno_Min)),"Fora da janela do plantão | ","")&amp;IF(AND($L45&gt;0,SUMPRODUCT((Mapa_Sala=$B45)*(Mapa_Data=$A45)*(Mapa_MinOcup&gt;0)*(Mapa_RelIni&lt;$S45)*(Mapa_RelFim&gt;$R45))&gt;1),"Sobreposição de horário na sala | ","")&amp;IFERROR(IF(AND(ISNUMBER($K45),$K45&gt;0,COUNTIF(Esp_Nome,$E45)&gt;0,$K45&gt;3*INDEX(Esp_Dur,MATCH($E45,Esp_Nome,0))),"Duração atípica (&gt;3x a média) | ",""),""))</f>
        <v/>
      </c>
      <c r="R45" s="15">
        <f>IF(NOT(ISNUMBER($C45)),0,ROUND(MOD($C45-Turno_Ini,1)*1440,0))</f>
        <v/>
      </c>
      <c r="S45" s="15">
        <f>IF($L45&lt;=0,0,$R45+$K45)</f>
        <v/>
      </c>
      <c r="T45" s="15">
        <f>IF($M45="","",$B45&amp;"#"&amp;$M45)</f>
        <v/>
      </c>
      <c r="U45" s="15">
        <f>ROW()</f>
        <v/>
      </c>
    </row>
    <row r="46">
      <c r="A46" s="38" t="n"/>
      <c r="B46" s="29" t="n"/>
      <c r="C46" s="42" t="n"/>
      <c r="D46" s="42" t="n"/>
      <c r="E46" s="30" t="n"/>
      <c r="F46" s="34">
        <f>IF($E46="","",IFERROR(INDEX(Esp_Hab,MATCH($E46,Esp_Nome,0)),"—"))</f>
        <v/>
      </c>
      <c r="G46" s="30" t="n"/>
      <c r="H46" s="30" t="n"/>
      <c r="I46" s="29" t="n"/>
      <c r="J46" s="29" t="n"/>
      <c r="K46" s="37">
        <f>IF(OR($B46="",NOT(ISNUMBER($C46)),NOT(ISNUMBER($D46))),"",ROUND(MOD($D46-$C46,1)*1440,0))</f>
        <v/>
      </c>
      <c r="L46" s="37">
        <f>IF(NOT(ISNUMBER($K46)),0,IF(OR($K46&lt;=0,$J46="Cancelada",$J46="Suspensa"),0,$K46+Limpeza_Min))</f>
        <v/>
      </c>
      <c r="M46" s="37">
        <f>IF($L46&lt;=0,"",SUMPRODUCT((Mapa_Sala=$B46)*(Mapa_Data=$A46)*(Mapa_MinOcup&gt;0)*((Mapa_RelIni&lt;$R46)+((Mapa_RelIni=$R46)*(Mapa_Row&lt;=$U46)))))</f>
        <v/>
      </c>
      <c r="N46" s="43">
        <f>IF($L46&lt;=0,"",MOD(Turno_Ini+($S46+Limpeza_Min)/1440,1))</f>
        <v/>
      </c>
      <c r="O46" s="37">
        <f>IF($L46&lt;=0,"",MAX(0,IFERROR(INDEX(Mapa_RelIni,MATCH($B46&amp;"#"&amp;($M46+1),Mapa_Chave,0)),Turno_Min)-($S46+Limpeza_Min)))</f>
        <v/>
      </c>
      <c r="P46" s="19">
        <f>IF($B46="","",IF($Q46="","OK",LEFT($Q46,LEN($Q46)-3)))</f>
        <v/>
      </c>
      <c r="Q46" s="10">
        <f>IF($B46="","",IF(COUNTIF(Postos_Cod,$B46)=0,"Sala não cadastrada | ","")&amp;IF(AND(COUNTIF(Postos_Cod,$B46)&gt;0,IFERROR(INDEX(Postos_Tipo,MATCH($B46,Postos_Cod,0)),"")&lt;&gt;"Sala cirúrgica"),"Posto não é sala cirúrgica | ","")&amp;IF(AND(COUNTIF(Postos_Cod,$B46)&gt;0,IFERROR(INDEX(Postos_Status,MATCH($B46,Postos_Cod,0)),"")&lt;&gt;"Ativo"),"Sala não ativa | ","")&amp;IF(COUNTIF(Esp_Nome,$E46)=0,"Especialidade não cadastrada | ","")&amp;IF(COUNTIF(Lista_StatusCirurgia,$J46)=0,"Status inválido | ","")&amp;IF(OR(NOT(ISNUMBER($C46)),NOT(ISNUMBER($D46))),"Horário inválido | ","")&amp;IFERROR(IF(AND(ISNUMBER($C46),ISNUMBER($D46),MOD($D46-$C46,1)*1440&lt;=0),"Duração nula ou negativa | ",""),"")&amp;IF(AND($L46&gt;0,OR($R46&gt;=Turno_Min,$S46&gt;Turno_Min)),"Fora da janela do plantão | ","")&amp;IF(AND($L46&gt;0,SUMPRODUCT((Mapa_Sala=$B46)*(Mapa_Data=$A46)*(Mapa_MinOcup&gt;0)*(Mapa_RelIni&lt;$S46)*(Mapa_RelFim&gt;$R46))&gt;1),"Sobreposição de horário na sala | ","")&amp;IFERROR(IF(AND(ISNUMBER($K46),$K46&gt;0,COUNTIF(Esp_Nome,$E46)&gt;0,$K46&gt;3*INDEX(Esp_Dur,MATCH($E46,Esp_Nome,0))),"Duração atípica (&gt;3x a média) | ",""),""))</f>
        <v/>
      </c>
      <c r="R46" s="15">
        <f>IF(NOT(ISNUMBER($C46)),0,ROUND(MOD($C46-Turno_Ini,1)*1440,0))</f>
        <v/>
      </c>
      <c r="S46" s="15">
        <f>IF($L46&lt;=0,0,$R46+$K46)</f>
        <v/>
      </c>
      <c r="T46" s="15">
        <f>IF($M46="","",$B46&amp;"#"&amp;$M46)</f>
        <v/>
      </c>
      <c r="U46" s="15">
        <f>ROW()</f>
        <v/>
      </c>
    </row>
    <row r="47">
      <c r="A47" s="38" t="n"/>
      <c r="B47" s="29" t="n"/>
      <c r="C47" s="42" t="n"/>
      <c r="D47" s="42" t="n"/>
      <c r="E47" s="30" t="n"/>
      <c r="F47" s="34">
        <f>IF($E47="","",IFERROR(INDEX(Esp_Hab,MATCH($E47,Esp_Nome,0)),"—"))</f>
        <v/>
      </c>
      <c r="G47" s="30" t="n"/>
      <c r="H47" s="30" t="n"/>
      <c r="I47" s="29" t="n"/>
      <c r="J47" s="29" t="n"/>
      <c r="K47" s="37">
        <f>IF(OR($B47="",NOT(ISNUMBER($C47)),NOT(ISNUMBER($D47))),"",ROUND(MOD($D47-$C47,1)*1440,0))</f>
        <v/>
      </c>
      <c r="L47" s="37">
        <f>IF(NOT(ISNUMBER($K47)),0,IF(OR($K47&lt;=0,$J47="Cancelada",$J47="Suspensa"),0,$K47+Limpeza_Min))</f>
        <v/>
      </c>
      <c r="M47" s="37">
        <f>IF($L47&lt;=0,"",SUMPRODUCT((Mapa_Sala=$B47)*(Mapa_Data=$A47)*(Mapa_MinOcup&gt;0)*((Mapa_RelIni&lt;$R47)+((Mapa_RelIni=$R47)*(Mapa_Row&lt;=$U47)))))</f>
        <v/>
      </c>
      <c r="N47" s="43">
        <f>IF($L47&lt;=0,"",MOD(Turno_Ini+($S47+Limpeza_Min)/1440,1))</f>
        <v/>
      </c>
      <c r="O47" s="37">
        <f>IF($L47&lt;=0,"",MAX(0,IFERROR(INDEX(Mapa_RelIni,MATCH($B47&amp;"#"&amp;($M47+1),Mapa_Chave,0)),Turno_Min)-($S47+Limpeza_Min)))</f>
        <v/>
      </c>
      <c r="P47" s="19">
        <f>IF($B47="","",IF($Q47="","OK",LEFT($Q47,LEN($Q47)-3)))</f>
        <v/>
      </c>
      <c r="Q47" s="10">
        <f>IF($B47="","",IF(COUNTIF(Postos_Cod,$B47)=0,"Sala não cadastrada | ","")&amp;IF(AND(COUNTIF(Postos_Cod,$B47)&gt;0,IFERROR(INDEX(Postos_Tipo,MATCH($B47,Postos_Cod,0)),"")&lt;&gt;"Sala cirúrgica"),"Posto não é sala cirúrgica | ","")&amp;IF(AND(COUNTIF(Postos_Cod,$B47)&gt;0,IFERROR(INDEX(Postos_Status,MATCH($B47,Postos_Cod,0)),"")&lt;&gt;"Ativo"),"Sala não ativa | ","")&amp;IF(COUNTIF(Esp_Nome,$E47)=0,"Especialidade não cadastrada | ","")&amp;IF(COUNTIF(Lista_StatusCirurgia,$J47)=0,"Status inválido | ","")&amp;IF(OR(NOT(ISNUMBER($C47)),NOT(ISNUMBER($D47))),"Horário inválido | ","")&amp;IFERROR(IF(AND(ISNUMBER($C47),ISNUMBER($D47),MOD($D47-$C47,1)*1440&lt;=0),"Duração nula ou negativa | ",""),"")&amp;IF(AND($L47&gt;0,OR($R47&gt;=Turno_Min,$S47&gt;Turno_Min)),"Fora da janela do plantão | ","")&amp;IF(AND($L47&gt;0,SUMPRODUCT((Mapa_Sala=$B47)*(Mapa_Data=$A47)*(Mapa_MinOcup&gt;0)*(Mapa_RelIni&lt;$S47)*(Mapa_RelFim&gt;$R47))&gt;1),"Sobreposição de horário na sala | ","")&amp;IFERROR(IF(AND(ISNUMBER($K47),$K47&gt;0,COUNTIF(Esp_Nome,$E47)&gt;0,$K47&gt;3*INDEX(Esp_Dur,MATCH($E47,Esp_Nome,0))),"Duração atípica (&gt;3x a média) | ",""),""))</f>
        <v/>
      </c>
      <c r="R47" s="15">
        <f>IF(NOT(ISNUMBER($C47)),0,ROUND(MOD($C47-Turno_Ini,1)*1440,0))</f>
        <v/>
      </c>
      <c r="S47" s="15">
        <f>IF($L47&lt;=0,0,$R47+$K47)</f>
        <v/>
      </c>
      <c r="T47" s="15">
        <f>IF($M47="","",$B47&amp;"#"&amp;$M47)</f>
        <v/>
      </c>
      <c r="U47" s="15">
        <f>ROW()</f>
        <v/>
      </c>
    </row>
    <row r="48">
      <c r="A48" s="38" t="n"/>
      <c r="B48" s="29" t="n"/>
      <c r="C48" s="42" t="n"/>
      <c r="D48" s="42" t="n"/>
      <c r="E48" s="30" t="n"/>
      <c r="F48" s="34">
        <f>IF($E48="","",IFERROR(INDEX(Esp_Hab,MATCH($E48,Esp_Nome,0)),"—"))</f>
        <v/>
      </c>
      <c r="G48" s="30" t="n"/>
      <c r="H48" s="30" t="n"/>
      <c r="I48" s="29" t="n"/>
      <c r="J48" s="29" t="n"/>
      <c r="K48" s="37">
        <f>IF(OR($B48="",NOT(ISNUMBER($C48)),NOT(ISNUMBER($D48))),"",ROUND(MOD($D48-$C48,1)*1440,0))</f>
        <v/>
      </c>
      <c r="L48" s="37">
        <f>IF(NOT(ISNUMBER($K48)),0,IF(OR($K48&lt;=0,$J48="Cancelada",$J48="Suspensa"),0,$K48+Limpeza_Min))</f>
        <v/>
      </c>
      <c r="M48" s="37">
        <f>IF($L48&lt;=0,"",SUMPRODUCT((Mapa_Sala=$B48)*(Mapa_Data=$A48)*(Mapa_MinOcup&gt;0)*((Mapa_RelIni&lt;$R48)+((Mapa_RelIni=$R48)*(Mapa_Row&lt;=$U48)))))</f>
        <v/>
      </c>
      <c r="N48" s="43">
        <f>IF($L48&lt;=0,"",MOD(Turno_Ini+($S48+Limpeza_Min)/1440,1))</f>
        <v/>
      </c>
      <c r="O48" s="37">
        <f>IF($L48&lt;=0,"",MAX(0,IFERROR(INDEX(Mapa_RelIni,MATCH($B48&amp;"#"&amp;($M48+1),Mapa_Chave,0)),Turno_Min)-($S48+Limpeza_Min)))</f>
        <v/>
      </c>
      <c r="P48" s="19">
        <f>IF($B48="","",IF($Q48="","OK",LEFT($Q48,LEN($Q48)-3)))</f>
        <v/>
      </c>
      <c r="Q48" s="10">
        <f>IF($B48="","",IF(COUNTIF(Postos_Cod,$B48)=0,"Sala não cadastrada | ","")&amp;IF(AND(COUNTIF(Postos_Cod,$B48)&gt;0,IFERROR(INDEX(Postos_Tipo,MATCH($B48,Postos_Cod,0)),"")&lt;&gt;"Sala cirúrgica"),"Posto não é sala cirúrgica | ","")&amp;IF(AND(COUNTIF(Postos_Cod,$B48)&gt;0,IFERROR(INDEX(Postos_Status,MATCH($B48,Postos_Cod,0)),"")&lt;&gt;"Ativo"),"Sala não ativa | ","")&amp;IF(COUNTIF(Esp_Nome,$E48)=0,"Especialidade não cadastrada | ","")&amp;IF(COUNTIF(Lista_StatusCirurgia,$J48)=0,"Status inválido | ","")&amp;IF(OR(NOT(ISNUMBER($C48)),NOT(ISNUMBER($D48))),"Horário inválido | ","")&amp;IFERROR(IF(AND(ISNUMBER($C48),ISNUMBER($D48),MOD($D48-$C48,1)*1440&lt;=0),"Duração nula ou negativa | ",""),"")&amp;IF(AND($L48&gt;0,OR($R48&gt;=Turno_Min,$S48&gt;Turno_Min)),"Fora da janela do plantão | ","")&amp;IF(AND($L48&gt;0,SUMPRODUCT((Mapa_Sala=$B48)*(Mapa_Data=$A48)*(Mapa_MinOcup&gt;0)*(Mapa_RelIni&lt;$S48)*(Mapa_RelFim&gt;$R48))&gt;1),"Sobreposição de horário na sala | ","")&amp;IFERROR(IF(AND(ISNUMBER($K48),$K48&gt;0,COUNTIF(Esp_Nome,$E48)&gt;0,$K48&gt;3*INDEX(Esp_Dur,MATCH($E48,Esp_Nome,0))),"Duração atípica (&gt;3x a média) | ",""),""))</f>
        <v/>
      </c>
      <c r="R48" s="15">
        <f>IF(NOT(ISNUMBER($C48)),0,ROUND(MOD($C48-Turno_Ini,1)*1440,0))</f>
        <v/>
      </c>
      <c r="S48" s="15">
        <f>IF($L48&lt;=0,0,$R48+$K48)</f>
        <v/>
      </c>
      <c r="T48" s="15">
        <f>IF($M48="","",$B48&amp;"#"&amp;$M48)</f>
        <v/>
      </c>
      <c r="U48" s="15">
        <f>ROW()</f>
        <v/>
      </c>
    </row>
    <row r="49">
      <c r="A49" s="38" t="n"/>
      <c r="B49" s="29" t="n"/>
      <c r="C49" s="42" t="n"/>
      <c r="D49" s="42" t="n"/>
      <c r="E49" s="30" t="n"/>
      <c r="F49" s="34">
        <f>IF($E49="","",IFERROR(INDEX(Esp_Hab,MATCH($E49,Esp_Nome,0)),"—"))</f>
        <v/>
      </c>
      <c r="G49" s="30" t="n"/>
      <c r="H49" s="30" t="n"/>
      <c r="I49" s="29" t="n"/>
      <c r="J49" s="29" t="n"/>
      <c r="K49" s="37">
        <f>IF(OR($B49="",NOT(ISNUMBER($C49)),NOT(ISNUMBER($D49))),"",ROUND(MOD($D49-$C49,1)*1440,0))</f>
        <v/>
      </c>
      <c r="L49" s="37">
        <f>IF(NOT(ISNUMBER($K49)),0,IF(OR($K49&lt;=0,$J49="Cancelada",$J49="Suspensa"),0,$K49+Limpeza_Min))</f>
        <v/>
      </c>
      <c r="M49" s="37">
        <f>IF($L49&lt;=0,"",SUMPRODUCT((Mapa_Sala=$B49)*(Mapa_Data=$A49)*(Mapa_MinOcup&gt;0)*((Mapa_RelIni&lt;$R49)+((Mapa_RelIni=$R49)*(Mapa_Row&lt;=$U49)))))</f>
        <v/>
      </c>
      <c r="N49" s="43">
        <f>IF($L49&lt;=0,"",MOD(Turno_Ini+($S49+Limpeza_Min)/1440,1))</f>
        <v/>
      </c>
      <c r="O49" s="37">
        <f>IF($L49&lt;=0,"",MAX(0,IFERROR(INDEX(Mapa_RelIni,MATCH($B49&amp;"#"&amp;($M49+1),Mapa_Chave,0)),Turno_Min)-($S49+Limpeza_Min)))</f>
        <v/>
      </c>
      <c r="P49" s="19">
        <f>IF($B49="","",IF($Q49="","OK",LEFT($Q49,LEN($Q49)-3)))</f>
        <v/>
      </c>
      <c r="Q49" s="10">
        <f>IF($B49="","",IF(COUNTIF(Postos_Cod,$B49)=0,"Sala não cadastrada | ","")&amp;IF(AND(COUNTIF(Postos_Cod,$B49)&gt;0,IFERROR(INDEX(Postos_Tipo,MATCH($B49,Postos_Cod,0)),"")&lt;&gt;"Sala cirúrgica"),"Posto não é sala cirúrgica | ","")&amp;IF(AND(COUNTIF(Postos_Cod,$B49)&gt;0,IFERROR(INDEX(Postos_Status,MATCH($B49,Postos_Cod,0)),"")&lt;&gt;"Ativo"),"Sala não ativa | ","")&amp;IF(COUNTIF(Esp_Nome,$E49)=0,"Especialidade não cadastrada | ","")&amp;IF(COUNTIF(Lista_StatusCirurgia,$J49)=0,"Status inválido | ","")&amp;IF(OR(NOT(ISNUMBER($C49)),NOT(ISNUMBER($D49))),"Horário inválido | ","")&amp;IFERROR(IF(AND(ISNUMBER($C49),ISNUMBER($D49),MOD($D49-$C49,1)*1440&lt;=0),"Duração nula ou negativa | ",""),"")&amp;IF(AND($L49&gt;0,OR($R49&gt;=Turno_Min,$S49&gt;Turno_Min)),"Fora da janela do plantão | ","")&amp;IF(AND($L49&gt;0,SUMPRODUCT((Mapa_Sala=$B49)*(Mapa_Data=$A49)*(Mapa_MinOcup&gt;0)*(Mapa_RelIni&lt;$S49)*(Mapa_RelFim&gt;$R49))&gt;1),"Sobreposição de horário na sala | ","")&amp;IFERROR(IF(AND(ISNUMBER($K49),$K49&gt;0,COUNTIF(Esp_Nome,$E49)&gt;0,$K49&gt;3*INDEX(Esp_Dur,MATCH($E49,Esp_Nome,0))),"Duração atípica (&gt;3x a média) | ",""),""))</f>
        <v/>
      </c>
      <c r="R49" s="15">
        <f>IF(NOT(ISNUMBER($C49)),0,ROUND(MOD($C49-Turno_Ini,1)*1440,0))</f>
        <v/>
      </c>
      <c r="S49" s="15">
        <f>IF($L49&lt;=0,0,$R49+$K49)</f>
        <v/>
      </c>
      <c r="T49" s="15">
        <f>IF($M49="","",$B49&amp;"#"&amp;$M49)</f>
        <v/>
      </c>
      <c r="U49" s="15">
        <f>ROW()</f>
        <v/>
      </c>
    </row>
    <row r="50">
      <c r="A50" s="38" t="n"/>
      <c r="B50" s="29" t="n"/>
      <c r="C50" s="42" t="n"/>
      <c r="D50" s="42" t="n"/>
      <c r="E50" s="30" t="n"/>
      <c r="F50" s="34">
        <f>IF($E50="","",IFERROR(INDEX(Esp_Hab,MATCH($E50,Esp_Nome,0)),"—"))</f>
        <v/>
      </c>
      <c r="G50" s="30" t="n"/>
      <c r="H50" s="30" t="n"/>
      <c r="I50" s="29" t="n"/>
      <c r="J50" s="29" t="n"/>
      <c r="K50" s="37">
        <f>IF(OR($B50="",NOT(ISNUMBER($C50)),NOT(ISNUMBER($D50))),"",ROUND(MOD($D50-$C50,1)*1440,0))</f>
        <v/>
      </c>
      <c r="L50" s="37">
        <f>IF(NOT(ISNUMBER($K50)),0,IF(OR($K50&lt;=0,$J50="Cancelada",$J50="Suspensa"),0,$K50+Limpeza_Min))</f>
        <v/>
      </c>
      <c r="M50" s="37">
        <f>IF($L50&lt;=0,"",SUMPRODUCT((Mapa_Sala=$B50)*(Mapa_Data=$A50)*(Mapa_MinOcup&gt;0)*((Mapa_RelIni&lt;$R50)+((Mapa_RelIni=$R50)*(Mapa_Row&lt;=$U50)))))</f>
        <v/>
      </c>
      <c r="N50" s="43">
        <f>IF($L50&lt;=0,"",MOD(Turno_Ini+($S50+Limpeza_Min)/1440,1))</f>
        <v/>
      </c>
      <c r="O50" s="37">
        <f>IF($L50&lt;=0,"",MAX(0,IFERROR(INDEX(Mapa_RelIni,MATCH($B50&amp;"#"&amp;($M50+1),Mapa_Chave,0)),Turno_Min)-($S50+Limpeza_Min)))</f>
        <v/>
      </c>
      <c r="P50" s="19">
        <f>IF($B50="","",IF($Q50="","OK",LEFT($Q50,LEN($Q50)-3)))</f>
        <v/>
      </c>
      <c r="Q50" s="10">
        <f>IF($B50="","",IF(COUNTIF(Postos_Cod,$B50)=0,"Sala não cadastrada | ","")&amp;IF(AND(COUNTIF(Postos_Cod,$B50)&gt;0,IFERROR(INDEX(Postos_Tipo,MATCH($B50,Postos_Cod,0)),"")&lt;&gt;"Sala cirúrgica"),"Posto não é sala cirúrgica | ","")&amp;IF(AND(COUNTIF(Postos_Cod,$B50)&gt;0,IFERROR(INDEX(Postos_Status,MATCH($B50,Postos_Cod,0)),"")&lt;&gt;"Ativo"),"Sala não ativa | ","")&amp;IF(COUNTIF(Esp_Nome,$E50)=0,"Especialidade não cadastrada | ","")&amp;IF(COUNTIF(Lista_StatusCirurgia,$J50)=0,"Status inválido | ","")&amp;IF(OR(NOT(ISNUMBER($C50)),NOT(ISNUMBER($D50))),"Horário inválido | ","")&amp;IFERROR(IF(AND(ISNUMBER($C50),ISNUMBER($D50),MOD($D50-$C50,1)*1440&lt;=0),"Duração nula ou negativa | ",""),"")&amp;IF(AND($L50&gt;0,OR($R50&gt;=Turno_Min,$S50&gt;Turno_Min)),"Fora da janela do plantão | ","")&amp;IF(AND($L50&gt;0,SUMPRODUCT((Mapa_Sala=$B50)*(Mapa_Data=$A50)*(Mapa_MinOcup&gt;0)*(Mapa_RelIni&lt;$S50)*(Mapa_RelFim&gt;$R50))&gt;1),"Sobreposição de horário na sala | ","")&amp;IFERROR(IF(AND(ISNUMBER($K50),$K50&gt;0,COUNTIF(Esp_Nome,$E50)&gt;0,$K50&gt;3*INDEX(Esp_Dur,MATCH($E50,Esp_Nome,0))),"Duração atípica (&gt;3x a média) | ",""),""))</f>
        <v/>
      </c>
      <c r="R50" s="15">
        <f>IF(NOT(ISNUMBER($C50)),0,ROUND(MOD($C50-Turno_Ini,1)*1440,0))</f>
        <v/>
      </c>
      <c r="S50" s="15">
        <f>IF($L50&lt;=0,0,$R50+$K50)</f>
        <v/>
      </c>
      <c r="T50" s="15">
        <f>IF($M50="","",$B50&amp;"#"&amp;$M50)</f>
        <v/>
      </c>
      <c r="U50" s="15">
        <f>ROW()</f>
        <v/>
      </c>
    </row>
    <row r="51">
      <c r="A51" s="38" t="n"/>
      <c r="B51" s="29" t="n"/>
      <c r="C51" s="42" t="n"/>
      <c r="D51" s="42" t="n"/>
      <c r="E51" s="30" t="n"/>
      <c r="F51" s="34">
        <f>IF($E51="","",IFERROR(INDEX(Esp_Hab,MATCH($E51,Esp_Nome,0)),"—"))</f>
        <v/>
      </c>
      <c r="G51" s="30" t="n"/>
      <c r="H51" s="30" t="n"/>
      <c r="I51" s="29" t="n"/>
      <c r="J51" s="29" t="n"/>
      <c r="K51" s="37">
        <f>IF(OR($B51="",NOT(ISNUMBER($C51)),NOT(ISNUMBER($D51))),"",ROUND(MOD($D51-$C51,1)*1440,0))</f>
        <v/>
      </c>
      <c r="L51" s="37">
        <f>IF(NOT(ISNUMBER($K51)),0,IF(OR($K51&lt;=0,$J51="Cancelada",$J51="Suspensa"),0,$K51+Limpeza_Min))</f>
        <v/>
      </c>
      <c r="M51" s="37">
        <f>IF($L51&lt;=0,"",SUMPRODUCT((Mapa_Sala=$B51)*(Mapa_Data=$A51)*(Mapa_MinOcup&gt;0)*((Mapa_RelIni&lt;$R51)+((Mapa_RelIni=$R51)*(Mapa_Row&lt;=$U51)))))</f>
        <v/>
      </c>
      <c r="N51" s="43">
        <f>IF($L51&lt;=0,"",MOD(Turno_Ini+($S51+Limpeza_Min)/1440,1))</f>
        <v/>
      </c>
      <c r="O51" s="37">
        <f>IF($L51&lt;=0,"",MAX(0,IFERROR(INDEX(Mapa_RelIni,MATCH($B51&amp;"#"&amp;($M51+1),Mapa_Chave,0)),Turno_Min)-($S51+Limpeza_Min)))</f>
        <v/>
      </c>
      <c r="P51" s="19">
        <f>IF($B51="","",IF($Q51="","OK",LEFT($Q51,LEN($Q51)-3)))</f>
        <v/>
      </c>
      <c r="Q51" s="10">
        <f>IF($B51="","",IF(COUNTIF(Postos_Cod,$B51)=0,"Sala não cadastrada | ","")&amp;IF(AND(COUNTIF(Postos_Cod,$B51)&gt;0,IFERROR(INDEX(Postos_Tipo,MATCH($B51,Postos_Cod,0)),"")&lt;&gt;"Sala cirúrgica"),"Posto não é sala cirúrgica | ","")&amp;IF(AND(COUNTIF(Postos_Cod,$B51)&gt;0,IFERROR(INDEX(Postos_Status,MATCH($B51,Postos_Cod,0)),"")&lt;&gt;"Ativo"),"Sala não ativa | ","")&amp;IF(COUNTIF(Esp_Nome,$E51)=0,"Especialidade não cadastrada | ","")&amp;IF(COUNTIF(Lista_StatusCirurgia,$J51)=0,"Status inválido | ","")&amp;IF(OR(NOT(ISNUMBER($C51)),NOT(ISNUMBER($D51))),"Horário inválido | ","")&amp;IFERROR(IF(AND(ISNUMBER($C51),ISNUMBER($D51),MOD($D51-$C51,1)*1440&lt;=0),"Duração nula ou negativa | ",""),"")&amp;IF(AND($L51&gt;0,OR($R51&gt;=Turno_Min,$S51&gt;Turno_Min)),"Fora da janela do plantão | ","")&amp;IF(AND($L51&gt;0,SUMPRODUCT((Mapa_Sala=$B51)*(Mapa_Data=$A51)*(Mapa_MinOcup&gt;0)*(Mapa_RelIni&lt;$S51)*(Mapa_RelFim&gt;$R51))&gt;1),"Sobreposição de horário na sala | ","")&amp;IFERROR(IF(AND(ISNUMBER($K51),$K51&gt;0,COUNTIF(Esp_Nome,$E51)&gt;0,$K51&gt;3*INDEX(Esp_Dur,MATCH($E51,Esp_Nome,0))),"Duração atípica (&gt;3x a média) | ",""),""))</f>
        <v/>
      </c>
      <c r="R51" s="15">
        <f>IF(NOT(ISNUMBER($C51)),0,ROUND(MOD($C51-Turno_Ini,1)*1440,0))</f>
        <v/>
      </c>
      <c r="S51" s="15">
        <f>IF($L51&lt;=0,0,$R51+$K51)</f>
        <v/>
      </c>
      <c r="T51" s="15">
        <f>IF($M51="","",$B51&amp;"#"&amp;$M51)</f>
        <v/>
      </c>
      <c r="U51" s="15">
        <f>ROW()</f>
        <v/>
      </c>
    </row>
    <row r="52">
      <c r="A52" s="38" t="n"/>
      <c r="B52" s="29" t="n"/>
      <c r="C52" s="42" t="n"/>
      <c r="D52" s="42" t="n"/>
      <c r="E52" s="30" t="n"/>
      <c r="F52" s="34">
        <f>IF($E52="","",IFERROR(INDEX(Esp_Hab,MATCH($E52,Esp_Nome,0)),"—"))</f>
        <v/>
      </c>
      <c r="G52" s="30" t="n"/>
      <c r="H52" s="30" t="n"/>
      <c r="I52" s="29" t="n"/>
      <c r="J52" s="29" t="n"/>
      <c r="K52" s="37">
        <f>IF(OR($B52="",NOT(ISNUMBER($C52)),NOT(ISNUMBER($D52))),"",ROUND(MOD($D52-$C52,1)*1440,0))</f>
        <v/>
      </c>
      <c r="L52" s="37">
        <f>IF(NOT(ISNUMBER($K52)),0,IF(OR($K52&lt;=0,$J52="Cancelada",$J52="Suspensa"),0,$K52+Limpeza_Min))</f>
        <v/>
      </c>
      <c r="M52" s="37">
        <f>IF($L52&lt;=0,"",SUMPRODUCT((Mapa_Sala=$B52)*(Mapa_Data=$A52)*(Mapa_MinOcup&gt;0)*((Mapa_RelIni&lt;$R52)+((Mapa_RelIni=$R52)*(Mapa_Row&lt;=$U52)))))</f>
        <v/>
      </c>
      <c r="N52" s="43">
        <f>IF($L52&lt;=0,"",MOD(Turno_Ini+($S52+Limpeza_Min)/1440,1))</f>
        <v/>
      </c>
      <c r="O52" s="37">
        <f>IF($L52&lt;=0,"",MAX(0,IFERROR(INDEX(Mapa_RelIni,MATCH($B52&amp;"#"&amp;($M52+1),Mapa_Chave,0)),Turno_Min)-($S52+Limpeza_Min)))</f>
        <v/>
      </c>
      <c r="P52" s="19">
        <f>IF($B52="","",IF($Q52="","OK",LEFT($Q52,LEN($Q52)-3)))</f>
        <v/>
      </c>
      <c r="Q52" s="10">
        <f>IF($B52="","",IF(COUNTIF(Postos_Cod,$B52)=0,"Sala não cadastrada | ","")&amp;IF(AND(COUNTIF(Postos_Cod,$B52)&gt;0,IFERROR(INDEX(Postos_Tipo,MATCH($B52,Postos_Cod,0)),"")&lt;&gt;"Sala cirúrgica"),"Posto não é sala cirúrgica | ","")&amp;IF(AND(COUNTIF(Postos_Cod,$B52)&gt;0,IFERROR(INDEX(Postos_Status,MATCH($B52,Postos_Cod,0)),"")&lt;&gt;"Ativo"),"Sala não ativa | ","")&amp;IF(COUNTIF(Esp_Nome,$E52)=0,"Especialidade não cadastrada | ","")&amp;IF(COUNTIF(Lista_StatusCirurgia,$J52)=0,"Status inválido | ","")&amp;IF(OR(NOT(ISNUMBER($C52)),NOT(ISNUMBER($D52))),"Horário inválido | ","")&amp;IFERROR(IF(AND(ISNUMBER($C52),ISNUMBER($D52),MOD($D52-$C52,1)*1440&lt;=0),"Duração nula ou negativa | ",""),"")&amp;IF(AND($L52&gt;0,OR($R52&gt;=Turno_Min,$S52&gt;Turno_Min)),"Fora da janela do plantão | ","")&amp;IF(AND($L52&gt;0,SUMPRODUCT((Mapa_Sala=$B52)*(Mapa_Data=$A52)*(Mapa_MinOcup&gt;0)*(Mapa_RelIni&lt;$S52)*(Mapa_RelFim&gt;$R52))&gt;1),"Sobreposição de horário na sala | ","")&amp;IFERROR(IF(AND(ISNUMBER($K52),$K52&gt;0,COUNTIF(Esp_Nome,$E52)&gt;0,$K52&gt;3*INDEX(Esp_Dur,MATCH($E52,Esp_Nome,0))),"Duração atípica (&gt;3x a média) | ",""),""))</f>
        <v/>
      </c>
      <c r="R52" s="15">
        <f>IF(NOT(ISNUMBER($C52)),0,ROUND(MOD($C52-Turno_Ini,1)*1440,0))</f>
        <v/>
      </c>
      <c r="S52" s="15">
        <f>IF($L52&lt;=0,0,$R52+$K52)</f>
        <v/>
      </c>
      <c r="T52" s="15">
        <f>IF($M52="","",$B52&amp;"#"&amp;$M52)</f>
        <v/>
      </c>
      <c r="U52" s="15">
        <f>ROW()</f>
        <v/>
      </c>
    </row>
    <row r="53">
      <c r="A53" s="38" t="n"/>
      <c r="B53" s="29" t="n"/>
      <c r="C53" s="42" t="n"/>
      <c r="D53" s="42" t="n"/>
      <c r="E53" s="30" t="n"/>
      <c r="F53" s="34">
        <f>IF($E53="","",IFERROR(INDEX(Esp_Hab,MATCH($E53,Esp_Nome,0)),"—"))</f>
        <v/>
      </c>
      <c r="G53" s="30" t="n"/>
      <c r="H53" s="30" t="n"/>
      <c r="I53" s="29" t="n"/>
      <c r="J53" s="29" t="n"/>
      <c r="K53" s="37">
        <f>IF(OR($B53="",NOT(ISNUMBER($C53)),NOT(ISNUMBER($D53))),"",ROUND(MOD($D53-$C53,1)*1440,0))</f>
        <v/>
      </c>
      <c r="L53" s="37">
        <f>IF(NOT(ISNUMBER($K53)),0,IF(OR($K53&lt;=0,$J53="Cancelada",$J53="Suspensa"),0,$K53+Limpeza_Min))</f>
        <v/>
      </c>
      <c r="M53" s="37">
        <f>IF($L53&lt;=0,"",SUMPRODUCT((Mapa_Sala=$B53)*(Mapa_Data=$A53)*(Mapa_MinOcup&gt;0)*((Mapa_RelIni&lt;$R53)+((Mapa_RelIni=$R53)*(Mapa_Row&lt;=$U53)))))</f>
        <v/>
      </c>
      <c r="N53" s="43">
        <f>IF($L53&lt;=0,"",MOD(Turno_Ini+($S53+Limpeza_Min)/1440,1))</f>
        <v/>
      </c>
      <c r="O53" s="37">
        <f>IF($L53&lt;=0,"",MAX(0,IFERROR(INDEX(Mapa_RelIni,MATCH($B53&amp;"#"&amp;($M53+1),Mapa_Chave,0)),Turno_Min)-($S53+Limpeza_Min)))</f>
        <v/>
      </c>
      <c r="P53" s="19">
        <f>IF($B53="","",IF($Q53="","OK",LEFT($Q53,LEN($Q53)-3)))</f>
        <v/>
      </c>
      <c r="Q53" s="10">
        <f>IF($B53="","",IF(COUNTIF(Postos_Cod,$B53)=0,"Sala não cadastrada | ","")&amp;IF(AND(COUNTIF(Postos_Cod,$B53)&gt;0,IFERROR(INDEX(Postos_Tipo,MATCH($B53,Postos_Cod,0)),"")&lt;&gt;"Sala cirúrgica"),"Posto não é sala cirúrgica | ","")&amp;IF(AND(COUNTIF(Postos_Cod,$B53)&gt;0,IFERROR(INDEX(Postos_Status,MATCH($B53,Postos_Cod,0)),"")&lt;&gt;"Ativo"),"Sala não ativa | ","")&amp;IF(COUNTIF(Esp_Nome,$E53)=0,"Especialidade não cadastrada | ","")&amp;IF(COUNTIF(Lista_StatusCirurgia,$J53)=0,"Status inválido | ","")&amp;IF(OR(NOT(ISNUMBER($C53)),NOT(ISNUMBER($D53))),"Horário inválido | ","")&amp;IFERROR(IF(AND(ISNUMBER($C53),ISNUMBER($D53),MOD($D53-$C53,1)*1440&lt;=0),"Duração nula ou negativa | ",""),"")&amp;IF(AND($L53&gt;0,OR($R53&gt;=Turno_Min,$S53&gt;Turno_Min)),"Fora da janela do plantão | ","")&amp;IF(AND($L53&gt;0,SUMPRODUCT((Mapa_Sala=$B53)*(Mapa_Data=$A53)*(Mapa_MinOcup&gt;0)*(Mapa_RelIni&lt;$S53)*(Mapa_RelFim&gt;$R53))&gt;1),"Sobreposição de horário na sala | ","")&amp;IFERROR(IF(AND(ISNUMBER($K53),$K53&gt;0,COUNTIF(Esp_Nome,$E53)&gt;0,$K53&gt;3*INDEX(Esp_Dur,MATCH($E53,Esp_Nome,0))),"Duração atípica (&gt;3x a média) | ",""),""))</f>
        <v/>
      </c>
      <c r="R53" s="15">
        <f>IF(NOT(ISNUMBER($C53)),0,ROUND(MOD($C53-Turno_Ini,1)*1440,0))</f>
        <v/>
      </c>
      <c r="S53" s="15">
        <f>IF($L53&lt;=0,0,$R53+$K53)</f>
        <v/>
      </c>
      <c r="T53" s="15">
        <f>IF($M53="","",$B53&amp;"#"&amp;$M53)</f>
        <v/>
      </c>
      <c r="U53" s="15">
        <f>ROW()</f>
        <v/>
      </c>
    </row>
    <row r="54">
      <c r="A54" s="38" t="n"/>
      <c r="B54" s="29" t="n"/>
      <c r="C54" s="42" t="n"/>
      <c r="D54" s="42" t="n"/>
      <c r="E54" s="30" t="n"/>
      <c r="F54" s="34">
        <f>IF($E54="","",IFERROR(INDEX(Esp_Hab,MATCH($E54,Esp_Nome,0)),"—"))</f>
        <v/>
      </c>
      <c r="G54" s="30" t="n"/>
      <c r="H54" s="30" t="n"/>
      <c r="I54" s="29" t="n"/>
      <c r="J54" s="29" t="n"/>
      <c r="K54" s="37">
        <f>IF(OR($B54="",NOT(ISNUMBER($C54)),NOT(ISNUMBER($D54))),"",ROUND(MOD($D54-$C54,1)*1440,0))</f>
        <v/>
      </c>
      <c r="L54" s="37">
        <f>IF(NOT(ISNUMBER($K54)),0,IF(OR($K54&lt;=0,$J54="Cancelada",$J54="Suspensa"),0,$K54+Limpeza_Min))</f>
        <v/>
      </c>
      <c r="M54" s="37">
        <f>IF($L54&lt;=0,"",SUMPRODUCT((Mapa_Sala=$B54)*(Mapa_Data=$A54)*(Mapa_MinOcup&gt;0)*((Mapa_RelIni&lt;$R54)+((Mapa_RelIni=$R54)*(Mapa_Row&lt;=$U54)))))</f>
        <v/>
      </c>
      <c r="N54" s="43">
        <f>IF($L54&lt;=0,"",MOD(Turno_Ini+($S54+Limpeza_Min)/1440,1))</f>
        <v/>
      </c>
      <c r="O54" s="37">
        <f>IF($L54&lt;=0,"",MAX(0,IFERROR(INDEX(Mapa_RelIni,MATCH($B54&amp;"#"&amp;($M54+1),Mapa_Chave,0)),Turno_Min)-($S54+Limpeza_Min)))</f>
        <v/>
      </c>
      <c r="P54" s="19">
        <f>IF($B54="","",IF($Q54="","OK",LEFT($Q54,LEN($Q54)-3)))</f>
        <v/>
      </c>
      <c r="Q54" s="10">
        <f>IF($B54="","",IF(COUNTIF(Postos_Cod,$B54)=0,"Sala não cadastrada | ","")&amp;IF(AND(COUNTIF(Postos_Cod,$B54)&gt;0,IFERROR(INDEX(Postos_Tipo,MATCH($B54,Postos_Cod,0)),"")&lt;&gt;"Sala cirúrgica"),"Posto não é sala cirúrgica | ","")&amp;IF(AND(COUNTIF(Postos_Cod,$B54)&gt;0,IFERROR(INDEX(Postos_Status,MATCH($B54,Postos_Cod,0)),"")&lt;&gt;"Ativo"),"Sala não ativa | ","")&amp;IF(COUNTIF(Esp_Nome,$E54)=0,"Especialidade não cadastrada | ","")&amp;IF(COUNTIF(Lista_StatusCirurgia,$J54)=0,"Status inválido | ","")&amp;IF(OR(NOT(ISNUMBER($C54)),NOT(ISNUMBER($D54))),"Horário inválido | ","")&amp;IFERROR(IF(AND(ISNUMBER($C54),ISNUMBER($D54),MOD($D54-$C54,1)*1440&lt;=0),"Duração nula ou negativa | ",""),"")&amp;IF(AND($L54&gt;0,OR($R54&gt;=Turno_Min,$S54&gt;Turno_Min)),"Fora da janela do plantão | ","")&amp;IF(AND($L54&gt;0,SUMPRODUCT((Mapa_Sala=$B54)*(Mapa_Data=$A54)*(Mapa_MinOcup&gt;0)*(Mapa_RelIni&lt;$S54)*(Mapa_RelFim&gt;$R54))&gt;1),"Sobreposição de horário na sala | ","")&amp;IFERROR(IF(AND(ISNUMBER($K54),$K54&gt;0,COUNTIF(Esp_Nome,$E54)&gt;0,$K54&gt;3*INDEX(Esp_Dur,MATCH($E54,Esp_Nome,0))),"Duração atípica (&gt;3x a média) | ",""),""))</f>
        <v/>
      </c>
      <c r="R54" s="15">
        <f>IF(NOT(ISNUMBER($C54)),0,ROUND(MOD($C54-Turno_Ini,1)*1440,0))</f>
        <v/>
      </c>
      <c r="S54" s="15">
        <f>IF($L54&lt;=0,0,$R54+$K54)</f>
        <v/>
      </c>
      <c r="T54" s="15">
        <f>IF($M54="","",$B54&amp;"#"&amp;$M54)</f>
        <v/>
      </c>
      <c r="U54" s="15">
        <f>ROW()</f>
        <v/>
      </c>
    </row>
    <row r="55">
      <c r="A55" s="38" t="n"/>
      <c r="B55" s="29" t="n"/>
      <c r="C55" s="42" t="n"/>
      <c r="D55" s="42" t="n"/>
      <c r="E55" s="30" t="n"/>
      <c r="F55" s="34">
        <f>IF($E55="","",IFERROR(INDEX(Esp_Hab,MATCH($E55,Esp_Nome,0)),"—"))</f>
        <v/>
      </c>
      <c r="G55" s="30" t="n"/>
      <c r="H55" s="30" t="n"/>
      <c r="I55" s="29" t="n"/>
      <c r="J55" s="29" t="n"/>
      <c r="K55" s="37">
        <f>IF(OR($B55="",NOT(ISNUMBER($C55)),NOT(ISNUMBER($D55))),"",ROUND(MOD($D55-$C55,1)*1440,0))</f>
        <v/>
      </c>
      <c r="L55" s="37">
        <f>IF(NOT(ISNUMBER($K55)),0,IF(OR($K55&lt;=0,$J55="Cancelada",$J55="Suspensa"),0,$K55+Limpeza_Min))</f>
        <v/>
      </c>
      <c r="M55" s="37">
        <f>IF($L55&lt;=0,"",SUMPRODUCT((Mapa_Sala=$B55)*(Mapa_Data=$A55)*(Mapa_MinOcup&gt;0)*((Mapa_RelIni&lt;$R55)+((Mapa_RelIni=$R55)*(Mapa_Row&lt;=$U55)))))</f>
        <v/>
      </c>
      <c r="N55" s="43">
        <f>IF($L55&lt;=0,"",MOD(Turno_Ini+($S55+Limpeza_Min)/1440,1))</f>
        <v/>
      </c>
      <c r="O55" s="37">
        <f>IF($L55&lt;=0,"",MAX(0,IFERROR(INDEX(Mapa_RelIni,MATCH($B55&amp;"#"&amp;($M55+1),Mapa_Chave,0)),Turno_Min)-($S55+Limpeza_Min)))</f>
        <v/>
      </c>
      <c r="P55" s="19">
        <f>IF($B55="","",IF($Q55="","OK",LEFT($Q55,LEN($Q55)-3)))</f>
        <v/>
      </c>
      <c r="Q55" s="10">
        <f>IF($B55="","",IF(COUNTIF(Postos_Cod,$B55)=0,"Sala não cadastrada | ","")&amp;IF(AND(COUNTIF(Postos_Cod,$B55)&gt;0,IFERROR(INDEX(Postos_Tipo,MATCH($B55,Postos_Cod,0)),"")&lt;&gt;"Sala cirúrgica"),"Posto não é sala cirúrgica | ","")&amp;IF(AND(COUNTIF(Postos_Cod,$B55)&gt;0,IFERROR(INDEX(Postos_Status,MATCH($B55,Postos_Cod,0)),"")&lt;&gt;"Ativo"),"Sala não ativa | ","")&amp;IF(COUNTIF(Esp_Nome,$E55)=0,"Especialidade não cadastrada | ","")&amp;IF(COUNTIF(Lista_StatusCirurgia,$J55)=0,"Status inválido | ","")&amp;IF(OR(NOT(ISNUMBER($C55)),NOT(ISNUMBER($D55))),"Horário inválido | ","")&amp;IFERROR(IF(AND(ISNUMBER($C55),ISNUMBER($D55),MOD($D55-$C55,1)*1440&lt;=0),"Duração nula ou negativa | ",""),"")&amp;IF(AND($L55&gt;0,OR($R55&gt;=Turno_Min,$S55&gt;Turno_Min)),"Fora da janela do plantão | ","")&amp;IF(AND($L55&gt;0,SUMPRODUCT((Mapa_Sala=$B55)*(Mapa_Data=$A55)*(Mapa_MinOcup&gt;0)*(Mapa_RelIni&lt;$S55)*(Mapa_RelFim&gt;$R55))&gt;1),"Sobreposição de horário na sala | ","")&amp;IFERROR(IF(AND(ISNUMBER($K55),$K55&gt;0,COUNTIF(Esp_Nome,$E55)&gt;0,$K55&gt;3*INDEX(Esp_Dur,MATCH($E55,Esp_Nome,0))),"Duração atípica (&gt;3x a média) | ",""),""))</f>
        <v/>
      </c>
      <c r="R55" s="15">
        <f>IF(NOT(ISNUMBER($C55)),0,ROUND(MOD($C55-Turno_Ini,1)*1440,0))</f>
        <v/>
      </c>
      <c r="S55" s="15">
        <f>IF($L55&lt;=0,0,$R55+$K55)</f>
        <v/>
      </c>
      <c r="T55" s="15">
        <f>IF($M55="","",$B55&amp;"#"&amp;$M55)</f>
        <v/>
      </c>
      <c r="U55" s="15">
        <f>ROW()</f>
        <v/>
      </c>
    </row>
    <row r="56">
      <c r="A56" s="38" t="n"/>
      <c r="B56" s="29" t="n"/>
      <c r="C56" s="42" t="n"/>
      <c r="D56" s="42" t="n"/>
      <c r="E56" s="30" t="n"/>
      <c r="F56" s="34">
        <f>IF($E56="","",IFERROR(INDEX(Esp_Hab,MATCH($E56,Esp_Nome,0)),"—"))</f>
        <v/>
      </c>
      <c r="G56" s="30" t="n"/>
      <c r="H56" s="30" t="n"/>
      <c r="I56" s="29" t="n"/>
      <c r="J56" s="29" t="n"/>
      <c r="K56" s="37">
        <f>IF(OR($B56="",NOT(ISNUMBER($C56)),NOT(ISNUMBER($D56))),"",ROUND(MOD($D56-$C56,1)*1440,0))</f>
        <v/>
      </c>
      <c r="L56" s="37">
        <f>IF(NOT(ISNUMBER($K56)),0,IF(OR($K56&lt;=0,$J56="Cancelada",$J56="Suspensa"),0,$K56+Limpeza_Min))</f>
        <v/>
      </c>
      <c r="M56" s="37">
        <f>IF($L56&lt;=0,"",SUMPRODUCT((Mapa_Sala=$B56)*(Mapa_Data=$A56)*(Mapa_MinOcup&gt;0)*((Mapa_RelIni&lt;$R56)+((Mapa_RelIni=$R56)*(Mapa_Row&lt;=$U56)))))</f>
        <v/>
      </c>
      <c r="N56" s="43">
        <f>IF($L56&lt;=0,"",MOD(Turno_Ini+($S56+Limpeza_Min)/1440,1))</f>
        <v/>
      </c>
      <c r="O56" s="37">
        <f>IF($L56&lt;=0,"",MAX(0,IFERROR(INDEX(Mapa_RelIni,MATCH($B56&amp;"#"&amp;($M56+1),Mapa_Chave,0)),Turno_Min)-($S56+Limpeza_Min)))</f>
        <v/>
      </c>
      <c r="P56" s="19">
        <f>IF($B56="","",IF($Q56="","OK",LEFT($Q56,LEN($Q56)-3)))</f>
        <v/>
      </c>
      <c r="Q56" s="10">
        <f>IF($B56="","",IF(COUNTIF(Postos_Cod,$B56)=0,"Sala não cadastrada | ","")&amp;IF(AND(COUNTIF(Postos_Cod,$B56)&gt;0,IFERROR(INDEX(Postos_Tipo,MATCH($B56,Postos_Cod,0)),"")&lt;&gt;"Sala cirúrgica"),"Posto não é sala cirúrgica | ","")&amp;IF(AND(COUNTIF(Postos_Cod,$B56)&gt;0,IFERROR(INDEX(Postos_Status,MATCH($B56,Postos_Cod,0)),"")&lt;&gt;"Ativo"),"Sala não ativa | ","")&amp;IF(COUNTIF(Esp_Nome,$E56)=0,"Especialidade não cadastrada | ","")&amp;IF(COUNTIF(Lista_StatusCirurgia,$J56)=0,"Status inválido | ","")&amp;IF(OR(NOT(ISNUMBER($C56)),NOT(ISNUMBER($D56))),"Horário inválido | ","")&amp;IFERROR(IF(AND(ISNUMBER($C56),ISNUMBER($D56),MOD($D56-$C56,1)*1440&lt;=0),"Duração nula ou negativa | ",""),"")&amp;IF(AND($L56&gt;0,OR($R56&gt;=Turno_Min,$S56&gt;Turno_Min)),"Fora da janela do plantão | ","")&amp;IF(AND($L56&gt;0,SUMPRODUCT((Mapa_Sala=$B56)*(Mapa_Data=$A56)*(Mapa_MinOcup&gt;0)*(Mapa_RelIni&lt;$S56)*(Mapa_RelFim&gt;$R56))&gt;1),"Sobreposição de horário na sala | ","")&amp;IFERROR(IF(AND(ISNUMBER($K56),$K56&gt;0,COUNTIF(Esp_Nome,$E56)&gt;0,$K56&gt;3*INDEX(Esp_Dur,MATCH($E56,Esp_Nome,0))),"Duração atípica (&gt;3x a média) | ",""),""))</f>
        <v/>
      </c>
      <c r="R56" s="15">
        <f>IF(NOT(ISNUMBER($C56)),0,ROUND(MOD($C56-Turno_Ini,1)*1440,0))</f>
        <v/>
      </c>
      <c r="S56" s="15">
        <f>IF($L56&lt;=0,0,$R56+$K56)</f>
        <v/>
      </c>
      <c r="T56" s="15">
        <f>IF($M56="","",$B56&amp;"#"&amp;$M56)</f>
        <v/>
      </c>
      <c r="U56" s="15">
        <f>ROW()</f>
        <v/>
      </c>
    </row>
    <row r="57">
      <c r="A57" s="38" t="n"/>
      <c r="B57" s="29" t="n"/>
      <c r="C57" s="42" t="n"/>
      <c r="D57" s="42" t="n"/>
      <c r="E57" s="30" t="n"/>
      <c r="F57" s="34">
        <f>IF($E57="","",IFERROR(INDEX(Esp_Hab,MATCH($E57,Esp_Nome,0)),"—"))</f>
        <v/>
      </c>
      <c r="G57" s="30" t="n"/>
      <c r="H57" s="30" t="n"/>
      <c r="I57" s="29" t="n"/>
      <c r="J57" s="29" t="n"/>
      <c r="K57" s="37">
        <f>IF(OR($B57="",NOT(ISNUMBER($C57)),NOT(ISNUMBER($D57))),"",ROUND(MOD($D57-$C57,1)*1440,0))</f>
        <v/>
      </c>
      <c r="L57" s="37">
        <f>IF(NOT(ISNUMBER($K57)),0,IF(OR($K57&lt;=0,$J57="Cancelada",$J57="Suspensa"),0,$K57+Limpeza_Min))</f>
        <v/>
      </c>
      <c r="M57" s="37">
        <f>IF($L57&lt;=0,"",SUMPRODUCT((Mapa_Sala=$B57)*(Mapa_Data=$A57)*(Mapa_MinOcup&gt;0)*((Mapa_RelIni&lt;$R57)+((Mapa_RelIni=$R57)*(Mapa_Row&lt;=$U57)))))</f>
        <v/>
      </c>
      <c r="N57" s="43">
        <f>IF($L57&lt;=0,"",MOD(Turno_Ini+($S57+Limpeza_Min)/1440,1))</f>
        <v/>
      </c>
      <c r="O57" s="37">
        <f>IF($L57&lt;=0,"",MAX(0,IFERROR(INDEX(Mapa_RelIni,MATCH($B57&amp;"#"&amp;($M57+1),Mapa_Chave,0)),Turno_Min)-($S57+Limpeza_Min)))</f>
        <v/>
      </c>
      <c r="P57" s="19">
        <f>IF($B57="","",IF($Q57="","OK",LEFT($Q57,LEN($Q57)-3)))</f>
        <v/>
      </c>
      <c r="Q57" s="10">
        <f>IF($B57="","",IF(COUNTIF(Postos_Cod,$B57)=0,"Sala não cadastrada | ","")&amp;IF(AND(COUNTIF(Postos_Cod,$B57)&gt;0,IFERROR(INDEX(Postos_Tipo,MATCH($B57,Postos_Cod,0)),"")&lt;&gt;"Sala cirúrgica"),"Posto não é sala cirúrgica | ","")&amp;IF(AND(COUNTIF(Postos_Cod,$B57)&gt;0,IFERROR(INDEX(Postos_Status,MATCH($B57,Postos_Cod,0)),"")&lt;&gt;"Ativo"),"Sala não ativa | ","")&amp;IF(COUNTIF(Esp_Nome,$E57)=0,"Especialidade não cadastrada | ","")&amp;IF(COUNTIF(Lista_StatusCirurgia,$J57)=0,"Status inválido | ","")&amp;IF(OR(NOT(ISNUMBER($C57)),NOT(ISNUMBER($D57))),"Horário inválido | ","")&amp;IFERROR(IF(AND(ISNUMBER($C57),ISNUMBER($D57),MOD($D57-$C57,1)*1440&lt;=0),"Duração nula ou negativa | ",""),"")&amp;IF(AND($L57&gt;0,OR($R57&gt;=Turno_Min,$S57&gt;Turno_Min)),"Fora da janela do plantão | ","")&amp;IF(AND($L57&gt;0,SUMPRODUCT((Mapa_Sala=$B57)*(Mapa_Data=$A57)*(Mapa_MinOcup&gt;0)*(Mapa_RelIni&lt;$S57)*(Mapa_RelFim&gt;$R57))&gt;1),"Sobreposição de horário na sala | ","")&amp;IFERROR(IF(AND(ISNUMBER($K57),$K57&gt;0,COUNTIF(Esp_Nome,$E57)&gt;0,$K57&gt;3*INDEX(Esp_Dur,MATCH($E57,Esp_Nome,0))),"Duração atípica (&gt;3x a média) | ",""),""))</f>
        <v/>
      </c>
      <c r="R57" s="15">
        <f>IF(NOT(ISNUMBER($C57)),0,ROUND(MOD($C57-Turno_Ini,1)*1440,0))</f>
        <v/>
      </c>
      <c r="S57" s="15">
        <f>IF($L57&lt;=0,0,$R57+$K57)</f>
        <v/>
      </c>
      <c r="T57" s="15">
        <f>IF($M57="","",$B57&amp;"#"&amp;$M57)</f>
        <v/>
      </c>
      <c r="U57" s="15">
        <f>ROW()</f>
        <v/>
      </c>
    </row>
    <row r="58">
      <c r="A58" s="38" t="n"/>
      <c r="B58" s="29" t="n"/>
      <c r="C58" s="42" t="n"/>
      <c r="D58" s="42" t="n"/>
      <c r="E58" s="30" t="n"/>
      <c r="F58" s="34">
        <f>IF($E58="","",IFERROR(INDEX(Esp_Hab,MATCH($E58,Esp_Nome,0)),"—"))</f>
        <v/>
      </c>
      <c r="G58" s="30" t="n"/>
      <c r="H58" s="30" t="n"/>
      <c r="I58" s="29" t="n"/>
      <c r="J58" s="29" t="n"/>
      <c r="K58" s="37">
        <f>IF(OR($B58="",NOT(ISNUMBER($C58)),NOT(ISNUMBER($D58))),"",ROUND(MOD($D58-$C58,1)*1440,0))</f>
        <v/>
      </c>
      <c r="L58" s="37">
        <f>IF(NOT(ISNUMBER($K58)),0,IF(OR($K58&lt;=0,$J58="Cancelada",$J58="Suspensa"),0,$K58+Limpeza_Min))</f>
        <v/>
      </c>
      <c r="M58" s="37">
        <f>IF($L58&lt;=0,"",SUMPRODUCT((Mapa_Sala=$B58)*(Mapa_Data=$A58)*(Mapa_MinOcup&gt;0)*((Mapa_RelIni&lt;$R58)+((Mapa_RelIni=$R58)*(Mapa_Row&lt;=$U58)))))</f>
        <v/>
      </c>
      <c r="N58" s="43">
        <f>IF($L58&lt;=0,"",MOD(Turno_Ini+($S58+Limpeza_Min)/1440,1))</f>
        <v/>
      </c>
      <c r="O58" s="37">
        <f>IF($L58&lt;=0,"",MAX(0,IFERROR(INDEX(Mapa_RelIni,MATCH($B58&amp;"#"&amp;($M58+1),Mapa_Chave,0)),Turno_Min)-($S58+Limpeza_Min)))</f>
        <v/>
      </c>
      <c r="P58" s="19">
        <f>IF($B58="","",IF($Q58="","OK",LEFT($Q58,LEN($Q58)-3)))</f>
        <v/>
      </c>
      <c r="Q58" s="10">
        <f>IF($B58="","",IF(COUNTIF(Postos_Cod,$B58)=0,"Sala não cadastrada | ","")&amp;IF(AND(COUNTIF(Postos_Cod,$B58)&gt;0,IFERROR(INDEX(Postos_Tipo,MATCH($B58,Postos_Cod,0)),"")&lt;&gt;"Sala cirúrgica"),"Posto não é sala cirúrgica | ","")&amp;IF(AND(COUNTIF(Postos_Cod,$B58)&gt;0,IFERROR(INDEX(Postos_Status,MATCH($B58,Postos_Cod,0)),"")&lt;&gt;"Ativo"),"Sala não ativa | ","")&amp;IF(COUNTIF(Esp_Nome,$E58)=0,"Especialidade não cadastrada | ","")&amp;IF(COUNTIF(Lista_StatusCirurgia,$J58)=0,"Status inválido | ","")&amp;IF(OR(NOT(ISNUMBER($C58)),NOT(ISNUMBER($D58))),"Horário inválido | ","")&amp;IFERROR(IF(AND(ISNUMBER($C58),ISNUMBER($D58),MOD($D58-$C58,1)*1440&lt;=0),"Duração nula ou negativa | ",""),"")&amp;IF(AND($L58&gt;0,OR($R58&gt;=Turno_Min,$S58&gt;Turno_Min)),"Fora da janela do plantão | ","")&amp;IF(AND($L58&gt;0,SUMPRODUCT((Mapa_Sala=$B58)*(Mapa_Data=$A58)*(Mapa_MinOcup&gt;0)*(Mapa_RelIni&lt;$S58)*(Mapa_RelFim&gt;$R58))&gt;1),"Sobreposição de horário na sala | ","")&amp;IFERROR(IF(AND(ISNUMBER($K58),$K58&gt;0,COUNTIF(Esp_Nome,$E58)&gt;0,$K58&gt;3*INDEX(Esp_Dur,MATCH($E58,Esp_Nome,0))),"Duração atípica (&gt;3x a média) | ",""),""))</f>
        <v/>
      </c>
      <c r="R58" s="15">
        <f>IF(NOT(ISNUMBER($C58)),0,ROUND(MOD($C58-Turno_Ini,1)*1440,0))</f>
        <v/>
      </c>
      <c r="S58" s="15">
        <f>IF($L58&lt;=0,0,$R58+$K58)</f>
        <v/>
      </c>
      <c r="T58" s="15">
        <f>IF($M58="","",$B58&amp;"#"&amp;$M58)</f>
        <v/>
      </c>
      <c r="U58" s="15">
        <f>ROW()</f>
        <v/>
      </c>
    </row>
    <row r="59">
      <c r="A59" s="38" t="n"/>
      <c r="B59" s="29" t="n"/>
      <c r="C59" s="42" t="n"/>
      <c r="D59" s="42" t="n"/>
      <c r="E59" s="30" t="n"/>
      <c r="F59" s="34">
        <f>IF($E59="","",IFERROR(INDEX(Esp_Hab,MATCH($E59,Esp_Nome,0)),"—"))</f>
        <v/>
      </c>
      <c r="G59" s="30" t="n"/>
      <c r="H59" s="30" t="n"/>
      <c r="I59" s="29" t="n"/>
      <c r="J59" s="29" t="n"/>
      <c r="K59" s="37">
        <f>IF(OR($B59="",NOT(ISNUMBER($C59)),NOT(ISNUMBER($D59))),"",ROUND(MOD($D59-$C59,1)*1440,0))</f>
        <v/>
      </c>
      <c r="L59" s="37">
        <f>IF(NOT(ISNUMBER($K59)),0,IF(OR($K59&lt;=0,$J59="Cancelada",$J59="Suspensa"),0,$K59+Limpeza_Min))</f>
        <v/>
      </c>
      <c r="M59" s="37">
        <f>IF($L59&lt;=0,"",SUMPRODUCT((Mapa_Sala=$B59)*(Mapa_Data=$A59)*(Mapa_MinOcup&gt;0)*((Mapa_RelIni&lt;$R59)+((Mapa_RelIni=$R59)*(Mapa_Row&lt;=$U59)))))</f>
        <v/>
      </c>
      <c r="N59" s="43">
        <f>IF($L59&lt;=0,"",MOD(Turno_Ini+($S59+Limpeza_Min)/1440,1))</f>
        <v/>
      </c>
      <c r="O59" s="37">
        <f>IF($L59&lt;=0,"",MAX(0,IFERROR(INDEX(Mapa_RelIni,MATCH($B59&amp;"#"&amp;($M59+1),Mapa_Chave,0)),Turno_Min)-($S59+Limpeza_Min)))</f>
        <v/>
      </c>
      <c r="P59" s="19">
        <f>IF($B59="","",IF($Q59="","OK",LEFT($Q59,LEN($Q59)-3)))</f>
        <v/>
      </c>
      <c r="Q59" s="10">
        <f>IF($B59="","",IF(COUNTIF(Postos_Cod,$B59)=0,"Sala não cadastrada | ","")&amp;IF(AND(COUNTIF(Postos_Cod,$B59)&gt;0,IFERROR(INDEX(Postos_Tipo,MATCH($B59,Postos_Cod,0)),"")&lt;&gt;"Sala cirúrgica"),"Posto não é sala cirúrgica | ","")&amp;IF(AND(COUNTIF(Postos_Cod,$B59)&gt;0,IFERROR(INDEX(Postos_Status,MATCH($B59,Postos_Cod,0)),"")&lt;&gt;"Ativo"),"Sala não ativa | ","")&amp;IF(COUNTIF(Esp_Nome,$E59)=0,"Especialidade não cadastrada | ","")&amp;IF(COUNTIF(Lista_StatusCirurgia,$J59)=0,"Status inválido | ","")&amp;IF(OR(NOT(ISNUMBER($C59)),NOT(ISNUMBER($D59))),"Horário inválido | ","")&amp;IFERROR(IF(AND(ISNUMBER($C59),ISNUMBER($D59),MOD($D59-$C59,1)*1440&lt;=0),"Duração nula ou negativa | ",""),"")&amp;IF(AND($L59&gt;0,OR($R59&gt;=Turno_Min,$S59&gt;Turno_Min)),"Fora da janela do plantão | ","")&amp;IF(AND($L59&gt;0,SUMPRODUCT((Mapa_Sala=$B59)*(Mapa_Data=$A59)*(Mapa_MinOcup&gt;0)*(Mapa_RelIni&lt;$S59)*(Mapa_RelFim&gt;$R59))&gt;1),"Sobreposição de horário na sala | ","")&amp;IFERROR(IF(AND(ISNUMBER($K59),$K59&gt;0,COUNTIF(Esp_Nome,$E59)&gt;0,$K59&gt;3*INDEX(Esp_Dur,MATCH($E59,Esp_Nome,0))),"Duração atípica (&gt;3x a média) | ",""),""))</f>
        <v/>
      </c>
      <c r="R59" s="15">
        <f>IF(NOT(ISNUMBER($C59)),0,ROUND(MOD($C59-Turno_Ini,1)*1440,0))</f>
        <v/>
      </c>
      <c r="S59" s="15">
        <f>IF($L59&lt;=0,0,$R59+$K59)</f>
        <v/>
      </c>
      <c r="T59" s="15">
        <f>IF($M59="","",$B59&amp;"#"&amp;$M59)</f>
        <v/>
      </c>
      <c r="U59" s="15">
        <f>ROW()</f>
        <v/>
      </c>
    </row>
    <row r="60">
      <c r="A60" s="38" t="n"/>
      <c r="B60" s="29" t="n"/>
      <c r="C60" s="42" t="n"/>
      <c r="D60" s="42" t="n"/>
      <c r="E60" s="30" t="n"/>
      <c r="F60" s="34">
        <f>IF($E60="","",IFERROR(INDEX(Esp_Hab,MATCH($E60,Esp_Nome,0)),"—"))</f>
        <v/>
      </c>
      <c r="G60" s="30" t="n"/>
      <c r="H60" s="30" t="n"/>
      <c r="I60" s="29" t="n"/>
      <c r="J60" s="29" t="n"/>
      <c r="K60" s="37">
        <f>IF(OR($B60="",NOT(ISNUMBER($C60)),NOT(ISNUMBER($D60))),"",ROUND(MOD($D60-$C60,1)*1440,0))</f>
        <v/>
      </c>
      <c r="L60" s="37">
        <f>IF(NOT(ISNUMBER($K60)),0,IF(OR($K60&lt;=0,$J60="Cancelada",$J60="Suspensa"),0,$K60+Limpeza_Min))</f>
        <v/>
      </c>
      <c r="M60" s="37">
        <f>IF($L60&lt;=0,"",SUMPRODUCT((Mapa_Sala=$B60)*(Mapa_Data=$A60)*(Mapa_MinOcup&gt;0)*((Mapa_RelIni&lt;$R60)+((Mapa_RelIni=$R60)*(Mapa_Row&lt;=$U60)))))</f>
        <v/>
      </c>
      <c r="N60" s="43">
        <f>IF($L60&lt;=0,"",MOD(Turno_Ini+($S60+Limpeza_Min)/1440,1))</f>
        <v/>
      </c>
      <c r="O60" s="37">
        <f>IF($L60&lt;=0,"",MAX(0,IFERROR(INDEX(Mapa_RelIni,MATCH($B60&amp;"#"&amp;($M60+1),Mapa_Chave,0)),Turno_Min)-($S60+Limpeza_Min)))</f>
        <v/>
      </c>
      <c r="P60" s="19">
        <f>IF($B60="","",IF($Q60="","OK",LEFT($Q60,LEN($Q60)-3)))</f>
        <v/>
      </c>
      <c r="Q60" s="10">
        <f>IF($B60="","",IF(COUNTIF(Postos_Cod,$B60)=0,"Sala não cadastrada | ","")&amp;IF(AND(COUNTIF(Postos_Cod,$B60)&gt;0,IFERROR(INDEX(Postos_Tipo,MATCH($B60,Postos_Cod,0)),"")&lt;&gt;"Sala cirúrgica"),"Posto não é sala cirúrgica | ","")&amp;IF(AND(COUNTIF(Postos_Cod,$B60)&gt;0,IFERROR(INDEX(Postos_Status,MATCH($B60,Postos_Cod,0)),"")&lt;&gt;"Ativo"),"Sala não ativa | ","")&amp;IF(COUNTIF(Esp_Nome,$E60)=0,"Especialidade não cadastrada | ","")&amp;IF(COUNTIF(Lista_StatusCirurgia,$J60)=0,"Status inválido | ","")&amp;IF(OR(NOT(ISNUMBER($C60)),NOT(ISNUMBER($D60))),"Horário inválido | ","")&amp;IFERROR(IF(AND(ISNUMBER($C60),ISNUMBER($D60),MOD($D60-$C60,1)*1440&lt;=0),"Duração nula ou negativa | ",""),"")&amp;IF(AND($L60&gt;0,OR($R60&gt;=Turno_Min,$S60&gt;Turno_Min)),"Fora da janela do plantão | ","")&amp;IF(AND($L60&gt;0,SUMPRODUCT((Mapa_Sala=$B60)*(Mapa_Data=$A60)*(Mapa_MinOcup&gt;0)*(Mapa_RelIni&lt;$S60)*(Mapa_RelFim&gt;$R60))&gt;1),"Sobreposição de horário na sala | ","")&amp;IFERROR(IF(AND(ISNUMBER($K60),$K60&gt;0,COUNTIF(Esp_Nome,$E60)&gt;0,$K60&gt;3*INDEX(Esp_Dur,MATCH($E60,Esp_Nome,0))),"Duração atípica (&gt;3x a média) | ",""),""))</f>
        <v/>
      </c>
      <c r="R60" s="15">
        <f>IF(NOT(ISNUMBER($C60)),0,ROUND(MOD($C60-Turno_Ini,1)*1440,0))</f>
        <v/>
      </c>
      <c r="S60" s="15">
        <f>IF($L60&lt;=0,0,$R60+$K60)</f>
        <v/>
      </c>
      <c r="T60" s="15">
        <f>IF($M60="","",$B60&amp;"#"&amp;$M60)</f>
        <v/>
      </c>
      <c r="U60" s="15">
        <f>ROW()</f>
        <v/>
      </c>
    </row>
    <row r="61">
      <c r="A61" s="38" t="n"/>
      <c r="B61" s="29" t="n"/>
      <c r="C61" s="42" t="n"/>
      <c r="D61" s="42" t="n"/>
      <c r="E61" s="30" t="n"/>
      <c r="F61" s="34">
        <f>IF($E61="","",IFERROR(INDEX(Esp_Hab,MATCH($E61,Esp_Nome,0)),"—"))</f>
        <v/>
      </c>
      <c r="G61" s="30" t="n"/>
      <c r="H61" s="30" t="n"/>
      <c r="I61" s="29" t="n"/>
      <c r="J61" s="29" t="n"/>
      <c r="K61" s="37">
        <f>IF(OR($B61="",NOT(ISNUMBER($C61)),NOT(ISNUMBER($D61))),"",ROUND(MOD($D61-$C61,1)*1440,0))</f>
        <v/>
      </c>
      <c r="L61" s="37">
        <f>IF(NOT(ISNUMBER($K61)),0,IF(OR($K61&lt;=0,$J61="Cancelada",$J61="Suspensa"),0,$K61+Limpeza_Min))</f>
        <v/>
      </c>
      <c r="M61" s="37">
        <f>IF($L61&lt;=0,"",SUMPRODUCT((Mapa_Sala=$B61)*(Mapa_Data=$A61)*(Mapa_MinOcup&gt;0)*((Mapa_RelIni&lt;$R61)+((Mapa_RelIni=$R61)*(Mapa_Row&lt;=$U61)))))</f>
        <v/>
      </c>
      <c r="N61" s="43">
        <f>IF($L61&lt;=0,"",MOD(Turno_Ini+($S61+Limpeza_Min)/1440,1))</f>
        <v/>
      </c>
      <c r="O61" s="37">
        <f>IF($L61&lt;=0,"",MAX(0,IFERROR(INDEX(Mapa_RelIni,MATCH($B61&amp;"#"&amp;($M61+1),Mapa_Chave,0)),Turno_Min)-($S61+Limpeza_Min)))</f>
        <v/>
      </c>
      <c r="P61" s="19">
        <f>IF($B61="","",IF($Q61="","OK",LEFT($Q61,LEN($Q61)-3)))</f>
        <v/>
      </c>
      <c r="Q61" s="10">
        <f>IF($B61="","",IF(COUNTIF(Postos_Cod,$B61)=0,"Sala não cadastrada | ","")&amp;IF(AND(COUNTIF(Postos_Cod,$B61)&gt;0,IFERROR(INDEX(Postos_Tipo,MATCH($B61,Postos_Cod,0)),"")&lt;&gt;"Sala cirúrgica"),"Posto não é sala cirúrgica | ","")&amp;IF(AND(COUNTIF(Postos_Cod,$B61)&gt;0,IFERROR(INDEX(Postos_Status,MATCH($B61,Postos_Cod,0)),"")&lt;&gt;"Ativo"),"Sala não ativa | ","")&amp;IF(COUNTIF(Esp_Nome,$E61)=0,"Especialidade não cadastrada | ","")&amp;IF(COUNTIF(Lista_StatusCirurgia,$J61)=0,"Status inválido | ","")&amp;IF(OR(NOT(ISNUMBER($C61)),NOT(ISNUMBER($D61))),"Horário inválido | ","")&amp;IFERROR(IF(AND(ISNUMBER($C61),ISNUMBER($D61),MOD($D61-$C61,1)*1440&lt;=0),"Duração nula ou negativa | ",""),"")&amp;IF(AND($L61&gt;0,OR($R61&gt;=Turno_Min,$S61&gt;Turno_Min)),"Fora da janela do plantão | ","")&amp;IF(AND($L61&gt;0,SUMPRODUCT((Mapa_Sala=$B61)*(Mapa_Data=$A61)*(Mapa_MinOcup&gt;0)*(Mapa_RelIni&lt;$S61)*(Mapa_RelFim&gt;$R61))&gt;1),"Sobreposição de horário na sala | ","")&amp;IFERROR(IF(AND(ISNUMBER($K61),$K61&gt;0,COUNTIF(Esp_Nome,$E61)&gt;0,$K61&gt;3*INDEX(Esp_Dur,MATCH($E61,Esp_Nome,0))),"Duração atípica (&gt;3x a média) | ",""),""))</f>
        <v/>
      </c>
      <c r="R61" s="15">
        <f>IF(NOT(ISNUMBER($C61)),0,ROUND(MOD($C61-Turno_Ini,1)*1440,0))</f>
        <v/>
      </c>
      <c r="S61" s="15">
        <f>IF($L61&lt;=0,0,$R61+$K61)</f>
        <v/>
      </c>
      <c r="T61" s="15">
        <f>IF($M61="","",$B61&amp;"#"&amp;$M61)</f>
        <v/>
      </c>
      <c r="U61" s="15">
        <f>ROW()</f>
        <v/>
      </c>
    </row>
    <row r="62">
      <c r="A62" s="38" t="n"/>
      <c r="B62" s="29" t="n"/>
      <c r="C62" s="42" t="n"/>
      <c r="D62" s="42" t="n"/>
      <c r="E62" s="30" t="n"/>
      <c r="F62" s="34">
        <f>IF($E62="","",IFERROR(INDEX(Esp_Hab,MATCH($E62,Esp_Nome,0)),"—"))</f>
        <v/>
      </c>
      <c r="G62" s="30" t="n"/>
      <c r="H62" s="30" t="n"/>
      <c r="I62" s="29" t="n"/>
      <c r="J62" s="29" t="n"/>
      <c r="K62" s="37">
        <f>IF(OR($B62="",NOT(ISNUMBER($C62)),NOT(ISNUMBER($D62))),"",ROUND(MOD($D62-$C62,1)*1440,0))</f>
        <v/>
      </c>
      <c r="L62" s="37">
        <f>IF(NOT(ISNUMBER($K62)),0,IF(OR($K62&lt;=0,$J62="Cancelada",$J62="Suspensa"),0,$K62+Limpeza_Min))</f>
        <v/>
      </c>
      <c r="M62" s="37">
        <f>IF($L62&lt;=0,"",SUMPRODUCT((Mapa_Sala=$B62)*(Mapa_Data=$A62)*(Mapa_MinOcup&gt;0)*((Mapa_RelIni&lt;$R62)+((Mapa_RelIni=$R62)*(Mapa_Row&lt;=$U62)))))</f>
        <v/>
      </c>
      <c r="N62" s="43">
        <f>IF($L62&lt;=0,"",MOD(Turno_Ini+($S62+Limpeza_Min)/1440,1))</f>
        <v/>
      </c>
      <c r="O62" s="37">
        <f>IF($L62&lt;=0,"",MAX(0,IFERROR(INDEX(Mapa_RelIni,MATCH($B62&amp;"#"&amp;($M62+1),Mapa_Chave,0)),Turno_Min)-($S62+Limpeza_Min)))</f>
        <v/>
      </c>
      <c r="P62" s="19">
        <f>IF($B62="","",IF($Q62="","OK",LEFT($Q62,LEN($Q62)-3)))</f>
        <v/>
      </c>
      <c r="Q62" s="10">
        <f>IF($B62="","",IF(COUNTIF(Postos_Cod,$B62)=0,"Sala não cadastrada | ","")&amp;IF(AND(COUNTIF(Postos_Cod,$B62)&gt;0,IFERROR(INDEX(Postos_Tipo,MATCH($B62,Postos_Cod,0)),"")&lt;&gt;"Sala cirúrgica"),"Posto não é sala cirúrgica | ","")&amp;IF(AND(COUNTIF(Postos_Cod,$B62)&gt;0,IFERROR(INDEX(Postos_Status,MATCH($B62,Postos_Cod,0)),"")&lt;&gt;"Ativo"),"Sala não ativa | ","")&amp;IF(COUNTIF(Esp_Nome,$E62)=0,"Especialidade não cadastrada | ","")&amp;IF(COUNTIF(Lista_StatusCirurgia,$J62)=0,"Status inválido | ","")&amp;IF(OR(NOT(ISNUMBER($C62)),NOT(ISNUMBER($D62))),"Horário inválido | ","")&amp;IFERROR(IF(AND(ISNUMBER($C62),ISNUMBER($D62),MOD($D62-$C62,1)*1440&lt;=0),"Duração nula ou negativa | ",""),"")&amp;IF(AND($L62&gt;0,OR($R62&gt;=Turno_Min,$S62&gt;Turno_Min)),"Fora da janela do plantão | ","")&amp;IF(AND($L62&gt;0,SUMPRODUCT((Mapa_Sala=$B62)*(Mapa_Data=$A62)*(Mapa_MinOcup&gt;0)*(Mapa_RelIni&lt;$S62)*(Mapa_RelFim&gt;$R62))&gt;1),"Sobreposição de horário na sala | ","")&amp;IFERROR(IF(AND(ISNUMBER($K62),$K62&gt;0,COUNTIF(Esp_Nome,$E62)&gt;0,$K62&gt;3*INDEX(Esp_Dur,MATCH($E62,Esp_Nome,0))),"Duração atípica (&gt;3x a média) | ",""),""))</f>
        <v/>
      </c>
      <c r="R62" s="15">
        <f>IF(NOT(ISNUMBER($C62)),0,ROUND(MOD($C62-Turno_Ini,1)*1440,0))</f>
        <v/>
      </c>
      <c r="S62" s="15">
        <f>IF($L62&lt;=0,0,$R62+$K62)</f>
        <v/>
      </c>
      <c r="T62" s="15">
        <f>IF($M62="","",$B62&amp;"#"&amp;$M62)</f>
        <v/>
      </c>
      <c r="U62" s="15">
        <f>ROW()</f>
        <v/>
      </c>
    </row>
    <row r="63">
      <c r="A63" s="38" t="n"/>
      <c r="B63" s="29" t="n"/>
      <c r="C63" s="42" t="n"/>
      <c r="D63" s="42" t="n"/>
      <c r="E63" s="30" t="n"/>
      <c r="F63" s="34">
        <f>IF($E63="","",IFERROR(INDEX(Esp_Hab,MATCH($E63,Esp_Nome,0)),"—"))</f>
        <v/>
      </c>
      <c r="G63" s="30" t="n"/>
      <c r="H63" s="30" t="n"/>
      <c r="I63" s="29" t="n"/>
      <c r="J63" s="29" t="n"/>
      <c r="K63" s="37">
        <f>IF(OR($B63="",NOT(ISNUMBER($C63)),NOT(ISNUMBER($D63))),"",ROUND(MOD($D63-$C63,1)*1440,0))</f>
        <v/>
      </c>
      <c r="L63" s="37">
        <f>IF(NOT(ISNUMBER($K63)),0,IF(OR($K63&lt;=0,$J63="Cancelada",$J63="Suspensa"),0,$K63+Limpeza_Min))</f>
        <v/>
      </c>
      <c r="M63" s="37">
        <f>IF($L63&lt;=0,"",SUMPRODUCT((Mapa_Sala=$B63)*(Mapa_Data=$A63)*(Mapa_MinOcup&gt;0)*((Mapa_RelIni&lt;$R63)+((Mapa_RelIni=$R63)*(Mapa_Row&lt;=$U63)))))</f>
        <v/>
      </c>
      <c r="N63" s="43">
        <f>IF($L63&lt;=0,"",MOD(Turno_Ini+($S63+Limpeza_Min)/1440,1))</f>
        <v/>
      </c>
      <c r="O63" s="37">
        <f>IF($L63&lt;=0,"",MAX(0,IFERROR(INDEX(Mapa_RelIni,MATCH($B63&amp;"#"&amp;($M63+1),Mapa_Chave,0)),Turno_Min)-($S63+Limpeza_Min)))</f>
        <v/>
      </c>
      <c r="P63" s="19">
        <f>IF($B63="","",IF($Q63="","OK",LEFT($Q63,LEN($Q63)-3)))</f>
        <v/>
      </c>
      <c r="Q63" s="10">
        <f>IF($B63="","",IF(COUNTIF(Postos_Cod,$B63)=0,"Sala não cadastrada | ","")&amp;IF(AND(COUNTIF(Postos_Cod,$B63)&gt;0,IFERROR(INDEX(Postos_Tipo,MATCH($B63,Postos_Cod,0)),"")&lt;&gt;"Sala cirúrgica"),"Posto não é sala cirúrgica | ","")&amp;IF(AND(COUNTIF(Postos_Cod,$B63)&gt;0,IFERROR(INDEX(Postos_Status,MATCH($B63,Postos_Cod,0)),"")&lt;&gt;"Ativo"),"Sala não ativa | ","")&amp;IF(COUNTIF(Esp_Nome,$E63)=0,"Especialidade não cadastrada | ","")&amp;IF(COUNTIF(Lista_StatusCirurgia,$J63)=0,"Status inválido | ","")&amp;IF(OR(NOT(ISNUMBER($C63)),NOT(ISNUMBER($D63))),"Horário inválido | ","")&amp;IFERROR(IF(AND(ISNUMBER($C63),ISNUMBER($D63),MOD($D63-$C63,1)*1440&lt;=0),"Duração nula ou negativa | ",""),"")&amp;IF(AND($L63&gt;0,OR($R63&gt;=Turno_Min,$S63&gt;Turno_Min)),"Fora da janela do plantão | ","")&amp;IF(AND($L63&gt;0,SUMPRODUCT((Mapa_Sala=$B63)*(Mapa_Data=$A63)*(Mapa_MinOcup&gt;0)*(Mapa_RelIni&lt;$S63)*(Mapa_RelFim&gt;$R63))&gt;1),"Sobreposição de horário na sala | ","")&amp;IFERROR(IF(AND(ISNUMBER($K63),$K63&gt;0,COUNTIF(Esp_Nome,$E63)&gt;0,$K63&gt;3*INDEX(Esp_Dur,MATCH($E63,Esp_Nome,0))),"Duração atípica (&gt;3x a média) | ",""),""))</f>
        <v/>
      </c>
      <c r="R63" s="15">
        <f>IF(NOT(ISNUMBER($C63)),0,ROUND(MOD($C63-Turno_Ini,1)*1440,0))</f>
        <v/>
      </c>
      <c r="S63" s="15">
        <f>IF($L63&lt;=0,0,$R63+$K63)</f>
        <v/>
      </c>
      <c r="T63" s="15">
        <f>IF($M63="","",$B63&amp;"#"&amp;$M63)</f>
        <v/>
      </c>
      <c r="U63" s="15">
        <f>ROW()</f>
        <v/>
      </c>
    </row>
    <row r="64">
      <c r="A64" s="38" t="n"/>
      <c r="B64" s="29" t="n"/>
      <c r="C64" s="42" t="n"/>
      <c r="D64" s="42" t="n"/>
      <c r="E64" s="30" t="n"/>
      <c r="F64" s="34">
        <f>IF($E64="","",IFERROR(INDEX(Esp_Hab,MATCH($E64,Esp_Nome,0)),"—"))</f>
        <v/>
      </c>
      <c r="G64" s="30" t="n"/>
      <c r="H64" s="30" t="n"/>
      <c r="I64" s="29" t="n"/>
      <c r="J64" s="29" t="n"/>
      <c r="K64" s="37">
        <f>IF(OR($B64="",NOT(ISNUMBER($C64)),NOT(ISNUMBER($D64))),"",ROUND(MOD($D64-$C64,1)*1440,0))</f>
        <v/>
      </c>
      <c r="L64" s="37">
        <f>IF(NOT(ISNUMBER($K64)),0,IF(OR($K64&lt;=0,$J64="Cancelada",$J64="Suspensa"),0,$K64+Limpeza_Min))</f>
        <v/>
      </c>
      <c r="M64" s="37">
        <f>IF($L64&lt;=0,"",SUMPRODUCT((Mapa_Sala=$B64)*(Mapa_Data=$A64)*(Mapa_MinOcup&gt;0)*((Mapa_RelIni&lt;$R64)+((Mapa_RelIni=$R64)*(Mapa_Row&lt;=$U64)))))</f>
        <v/>
      </c>
      <c r="N64" s="43">
        <f>IF($L64&lt;=0,"",MOD(Turno_Ini+($S64+Limpeza_Min)/1440,1))</f>
        <v/>
      </c>
      <c r="O64" s="37">
        <f>IF($L64&lt;=0,"",MAX(0,IFERROR(INDEX(Mapa_RelIni,MATCH($B64&amp;"#"&amp;($M64+1),Mapa_Chave,0)),Turno_Min)-($S64+Limpeza_Min)))</f>
        <v/>
      </c>
      <c r="P64" s="19">
        <f>IF($B64="","",IF($Q64="","OK",LEFT($Q64,LEN($Q64)-3)))</f>
        <v/>
      </c>
      <c r="Q64" s="10">
        <f>IF($B64="","",IF(COUNTIF(Postos_Cod,$B64)=0,"Sala não cadastrada | ","")&amp;IF(AND(COUNTIF(Postos_Cod,$B64)&gt;0,IFERROR(INDEX(Postos_Tipo,MATCH($B64,Postos_Cod,0)),"")&lt;&gt;"Sala cirúrgica"),"Posto não é sala cirúrgica | ","")&amp;IF(AND(COUNTIF(Postos_Cod,$B64)&gt;0,IFERROR(INDEX(Postos_Status,MATCH($B64,Postos_Cod,0)),"")&lt;&gt;"Ativo"),"Sala não ativa | ","")&amp;IF(COUNTIF(Esp_Nome,$E64)=0,"Especialidade não cadastrada | ","")&amp;IF(COUNTIF(Lista_StatusCirurgia,$J64)=0,"Status inválido | ","")&amp;IF(OR(NOT(ISNUMBER($C64)),NOT(ISNUMBER($D64))),"Horário inválido | ","")&amp;IFERROR(IF(AND(ISNUMBER($C64),ISNUMBER($D64),MOD($D64-$C64,1)*1440&lt;=0),"Duração nula ou negativa | ",""),"")&amp;IF(AND($L64&gt;0,OR($R64&gt;=Turno_Min,$S64&gt;Turno_Min)),"Fora da janela do plantão | ","")&amp;IF(AND($L64&gt;0,SUMPRODUCT((Mapa_Sala=$B64)*(Mapa_Data=$A64)*(Mapa_MinOcup&gt;0)*(Mapa_RelIni&lt;$S64)*(Mapa_RelFim&gt;$R64))&gt;1),"Sobreposição de horário na sala | ","")&amp;IFERROR(IF(AND(ISNUMBER($K64),$K64&gt;0,COUNTIF(Esp_Nome,$E64)&gt;0,$K64&gt;3*INDEX(Esp_Dur,MATCH($E64,Esp_Nome,0))),"Duração atípica (&gt;3x a média) | ",""),""))</f>
        <v/>
      </c>
      <c r="R64" s="15">
        <f>IF(NOT(ISNUMBER($C64)),0,ROUND(MOD($C64-Turno_Ini,1)*1440,0))</f>
        <v/>
      </c>
      <c r="S64" s="15">
        <f>IF($L64&lt;=0,0,$R64+$K64)</f>
        <v/>
      </c>
      <c r="T64" s="15">
        <f>IF($M64="","",$B64&amp;"#"&amp;$M64)</f>
        <v/>
      </c>
      <c r="U64" s="15">
        <f>ROW()</f>
        <v/>
      </c>
    </row>
    <row r="65">
      <c r="A65" s="38" t="n"/>
      <c r="B65" s="29" t="n"/>
      <c r="C65" s="42" t="n"/>
      <c r="D65" s="42" t="n"/>
      <c r="E65" s="30" t="n"/>
      <c r="F65" s="34">
        <f>IF($E65="","",IFERROR(INDEX(Esp_Hab,MATCH($E65,Esp_Nome,0)),"—"))</f>
        <v/>
      </c>
      <c r="G65" s="30" t="n"/>
      <c r="H65" s="30" t="n"/>
      <c r="I65" s="29" t="n"/>
      <c r="J65" s="29" t="n"/>
      <c r="K65" s="37">
        <f>IF(OR($B65="",NOT(ISNUMBER($C65)),NOT(ISNUMBER($D65))),"",ROUND(MOD($D65-$C65,1)*1440,0))</f>
        <v/>
      </c>
      <c r="L65" s="37">
        <f>IF(NOT(ISNUMBER($K65)),0,IF(OR($K65&lt;=0,$J65="Cancelada",$J65="Suspensa"),0,$K65+Limpeza_Min))</f>
        <v/>
      </c>
      <c r="M65" s="37">
        <f>IF($L65&lt;=0,"",SUMPRODUCT((Mapa_Sala=$B65)*(Mapa_Data=$A65)*(Mapa_MinOcup&gt;0)*((Mapa_RelIni&lt;$R65)+((Mapa_RelIni=$R65)*(Mapa_Row&lt;=$U65)))))</f>
        <v/>
      </c>
      <c r="N65" s="43">
        <f>IF($L65&lt;=0,"",MOD(Turno_Ini+($S65+Limpeza_Min)/1440,1))</f>
        <v/>
      </c>
      <c r="O65" s="37">
        <f>IF($L65&lt;=0,"",MAX(0,IFERROR(INDEX(Mapa_RelIni,MATCH($B65&amp;"#"&amp;($M65+1),Mapa_Chave,0)),Turno_Min)-($S65+Limpeza_Min)))</f>
        <v/>
      </c>
      <c r="P65" s="19">
        <f>IF($B65="","",IF($Q65="","OK",LEFT($Q65,LEN($Q65)-3)))</f>
        <v/>
      </c>
      <c r="Q65" s="10">
        <f>IF($B65="","",IF(COUNTIF(Postos_Cod,$B65)=0,"Sala não cadastrada | ","")&amp;IF(AND(COUNTIF(Postos_Cod,$B65)&gt;0,IFERROR(INDEX(Postos_Tipo,MATCH($B65,Postos_Cod,0)),"")&lt;&gt;"Sala cirúrgica"),"Posto não é sala cirúrgica | ","")&amp;IF(AND(COUNTIF(Postos_Cod,$B65)&gt;0,IFERROR(INDEX(Postos_Status,MATCH($B65,Postos_Cod,0)),"")&lt;&gt;"Ativo"),"Sala não ativa | ","")&amp;IF(COUNTIF(Esp_Nome,$E65)=0,"Especialidade não cadastrada | ","")&amp;IF(COUNTIF(Lista_StatusCirurgia,$J65)=0,"Status inválido | ","")&amp;IF(OR(NOT(ISNUMBER($C65)),NOT(ISNUMBER($D65))),"Horário inválido | ","")&amp;IFERROR(IF(AND(ISNUMBER($C65),ISNUMBER($D65),MOD($D65-$C65,1)*1440&lt;=0),"Duração nula ou negativa | ",""),"")&amp;IF(AND($L65&gt;0,OR($R65&gt;=Turno_Min,$S65&gt;Turno_Min)),"Fora da janela do plantão | ","")&amp;IF(AND($L65&gt;0,SUMPRODUCT((Mapa_Sala=$B65)*(Mapa_Data=$A65)*(Mapa_MinOcup&gt;0)*(Mapa_RelIni&lt;$S65)*(Mapa_RelFim&gt;$R65))&gt;1),"Sobreposição de horário na sala | ","")&amp;IFERROR(IF(AND(ISNUMBER($K65),$K65&gt;0,COUNTIF(Esp_Nome,$E65)&gt;0,$K65&gt;3*INDEX(Esp_Dur,MATCH($E65,Esp_Nome,0))),"Duração atípica (&gt;3x a média) | ",""),""))</f>
        <v/>
      </c>
      <c r="R65" s="15">
        <f>IF(NOT(ISNUMBER($C65)),0,ROUND(MOD($C65-Turno_Ini,1)*1440,0))</f>
        <v/>
      </c>
      <c r="S65" s="15">
        <f>IF($L65&lt;=0,0,$R65+$K65)</f>
        <v/>
      </c>
      <c r="T65" s="15">
        <f>IF($M65="","",$B65&amp;"#"&amp;$M65)</f>
        <v/>
      </c>
      <c r="U65" s="15">
        <f>ROW()</f>
        <v/>
      </c>
    </row>
    <row r="66">
      <c r="A66" s="38" t="n"/>
      <c r="B66" s="29" t="n"/>
      <c r="C66" s="42" t="n"/>
      <c r="D66" s="42" t="n"/>
      <c r="E66" s="30" t="n"/>
      <c r="F66" s="34">
        <f>IF($E66="","",IFERROR(INDEX(Esp_Hab,MATCH($E66,Esp_Nome,0)),"—"))</f>
        <v/>
      </c>
      <c r="G66" s="30" t="n"/>
      <c r="H66" s="30" t="n"/>
      <c r="I66" s="29" t="n"/>
      <c r="J66" s="29" t="n"/>
      <c r="K66" s="37">
        <f>IF(OR($B66="",NOT(ISNUMBER($C66)),NOT(ISNUMBER($D66))),"",ROUND(MOD($D66-$C66,1)*1440,0))</f>
        <v/>
      </c>
      <c r="L66" s="37">
        <f>IF(NOT(ISNUMBER($K66)),0,IF(OR($K66&lt;=0,$J66="Cancelada",$J66="Suspensa"),0,$K66+Limpeza_Min))</f>
        <v/>
      </c>
      <c r="M66" s="37">
        <f>IF($L66&lt;=0,"",SUMPRODUCT((Mapa_Sala=$B66)*(Mapa_Data=$A66)*(Mapa_MinOcup&gt;0)*((Mapa_RelIni&lt;$R66)+((Mapa_RelIni=$R66)*(Mapa_Row&lt;=$U66)))))</f>
        <v/>
      </c>
      <c r="N66" s="43">
        <f>IF($L66&lt;=0,"",MOD(Turno_Ini+($S66+Limpeza_Min)/1440,1))</f>
        <v/>
      </c>
      <c r="O66" s="37">
        <f>IF($L66&lt;=0,"",MAX(0,IFERROR(INDEX(Mapa_RelIni,MATCH($B66&amp;"#"&amp;($M66+1),Mapa_Chave,0)),Turno_Min)-($S66+Limpeza_Min)))</f>
        <v/>
      </c>
      <c r="P66" s="19">
        <f>IF($B66="","",IF($Q66="","OK",LEFT($Q66,LEN($Q66)-3)))</f>
        <v/>
      </c>
      <c r="Q66" s="10">
        <f>IF($B66="","",IF(COUNTIF(Postos_Cod,$B66)=0,"Sala não cadastrada | ","")&amp;IF(AND(COUNTIF(Postos_Cod,$B66)&gt;0,IFERROR(INDEX(Postos_Tipo,MATCH($B66,Postos_Cod,0)),"")&lt;&gt;"Sala cirúrgica"),"Posto não é sala cirúrgica | ","")&amp;IF(AND(COUNTIF(Postos_Cod,$B66)&gt;0,IFERROR(INDEX(Postos_Status,MATCH($B66,Postos_Cod,0)),"")&lt;&gt;"Ativo"),"Sala não ativa | ","")&amp;IF(COUNTIF(Esp_Nome,$E66)=0,"Especialidade não cadastrada | ","")&amp;IF(COUNTIF(Lista_StatusCirurgia,$J66)=0,"Status inválido | ","")&amp;IF(OR(NOT(ISNUMBER($C66)),NOT(ISNUMBER($D66))),"Horário inválido | ","")&amp;IFERROR(IF(AND(ISNUMBER($C66),ISNUMBER($D66),MOD($D66-$C66,1)*1440&lt;=0),"Duração nula ou negativa | ",""),"")&amp;IF(AND($L66&gt;0,OR($R66&gt;=Turno_Min,$S66&gt;Turno_Min)),"Fora da janela do plantão | ","")&amp;IF(AND($L66&gt;0,SUMPRODUCT((Mapa_Sala=$B66)*(Mapa_Data=$A66)*(Mapa_MinOcup&gt;0)*(Mapa_RelIni&lt;$S66)*(Mapa_RelFim&gt;$R66))&gt;1),"Sobreposição de horário na sala | ","")&amp;IFERROR(IF(AND(ISNUMBER($K66),$K66&gt;0,COUNTIF(Esp_Nome,$E66)&gt;0,$K66&gt;3*INDEX(Esp_Dur,MATCH($E66,Esp_Nome,0))),"Duração atípica (&gt;3x a média) | ",""),""))</f>
        <v/>
      </c>
      <c r="R66" s="15">
        <f>IF(NOT(ISNUMBER($C66)),0,ROUND(MOD($C66-Turno_Ini,1)*1440,0))</f>
        <v/>
      </c>
      <c r="S66" s="15">
        <f>IF($L66&lt;=0,0,$R66+$K66)</f>
        <v/>
      </c>
      <c r="T66" s="15">
        <f>IF($M66="","",$B66&amp;"#"&amp;$M66)</f>
        <v/>
      </c>
      <c r="U66" s="15">
        <f>ROW()</f>
        <v/>
      </c>
    </row>
    <row r="67">
      <c r="A67" s="38" t="n"/>
      <c r="B67" s="29" t="n"/>
      <c r="C67" s="42" t="n"/>
      <c r="D67" s="42" t="n"/>
      <c r="E67" s="30" t="n"/>
      <c r="F67" s="34">
        <f>IF($E67="","",IFERROR(INDEX(Esp_Hab,MATCH($E67,Esp_Nome,0)),"—"))</f>
        <v/>
      </c>
      <c r="G67" s="30" t="n"/>
      <c r="H67" s="30" t="n"/>
      <c r="I67" s="29" t="n"/>
      <c r="J67" s="29" t="n"/>
      <c r="K67" s="37">
        <f>IF(OR($B67="",NOT(ISNUMBER($C67)),NOT(ISNUMBER($D67))),"",ROUND(MOD($D67-$C67,1)*1440,0))</f>
        <v/>
      </c>
      <c r="L67" s="37">
        <f>IF(NOT(ISNUMBER($K67)),0,IF(OR($K67&lt;=0,$J67="Cancelada",$J67="Suspensa"),0,$K67+Limpeza_Min))</f>
        <v/>
      </c>
      <c r="M67" s="37">
        <f>IF($L67&lt;=0,"",SUMPRODUCT((Mapa_Sala=$B67)*(Mapa_Data=$A67)*(Mapa_MinOcup&gt;0)*((Mapa_RelIni&lt;$R67)+((Mapa_RelIni=$R67)*(Mapa_Row&lt;=$U67)))))</f>
        <v/>
      </c>
      <c r="N67" s="43">
        <f>IF($L67&lt;=0,"",MOD(Turno_Ini+($S67+Limpeza_Min)/1440,1))</f>
        <v/>
      </c>
      <c r="O67" s="37">
        <f>IF($L67&lt;=0,"",MAX(0,IFERROR(INDEX(Mapa_RelIni,MATCH($B67&amp;"#"&amp;($M67+1),Mapa_Chave,0)),Turno_Min)-($S67+Limpeza_Min)))</f>
        <v/>
      </c>
      <c r="P67" s="19">
        <f>IF($B67="","",IF($Q67="","OK",LEFT($Q67,LEN($Q67)-3)))</f>
        <v/>
      </c>
      <c r="Q67" s="10">
        <f>IF($B67="","",IF(COUNTIF(Postos_Cod,$B67)=0,"Sala não cadastrada | ","")&amp;IF(AND(COUNTIF(Postos_Cod,$B67)&gt;0,IFERROR(INDEX(Postos_Tipo,MATCH($B67,Postos_Cod,0)),"")&lt;&gt;"Sala cirúrgica"),"Posto não é sala cirúrgica | ","")&amp;IF(AND(COUNTIF(Postos_Cod,$B67)&gt;0,IFERROR(INDEX(Postos_Status,MATCH($B67,Postos_Cod,0)),"")&lt;&gt;"Ativo"),"Sala não ativa | ","")&amp;IF(COUNTIF(Esp_Nome,$E67)=0,"Especialidade não cadastrada | ","")&amp;IF(COUNTIF(Lista_StatusCirurgia,$J67)=0,"Status inválido | ","")&amp;IF(OR(NOT(ISNUMBER($C67)),NOT(ISNUMBER($D67))),"Horário inválido | ","")&amp;IFERROR(IF(AND(ISNUMBER($C67),ISNUMBER($D67),MOD($D67-$C67,1)*1440&lt;=0),"Duração nula ou negativa | ",""),"")&amp;IF(AND($L67&gt;0,OR($R67&gt;=Turno_Min,$S67&gt;Turno_Min)),"Fora da janela do plantão | ","")&amp;IF(AND($L67&gt;0,SUMPRODUCT((Mapa_Sala=$B67)*(Mapa_Data=$A67)*(Mapa_MinOcup&gt;0)*(Mapa_RelIni&lt;$S67)*(Mapa_RelFim&gt;$R67))&gt;1),"Sobreposição de horário na sala | ","")&amp;IFERROR(IF(AND(ISNUMBER($K67),$K67&gt;0,COUNTIF(Esp_Nome,$E67)&gt;0,$K67&gt;3*INDEX(Esp_Dur,MATCH($E67,Esp_Nome,0))),"Duração atípica (&gt;3x a média) | ",""),""))</f>
        <v/>
      </c>
      <c r="R67" s="15">
        <f>IF(NOT(ISNUMBER($C67)),0,ROUND(MOD($C67-Turno_Ini,1)*1440,0))</f>
        <v/>
      </c>
      <c r="S67" s="15">
        <f>IF($L67&lt;=0,0,$R67+$K67)</f>
        <v/>
      </c>
      <c r="T67" s="15">
        <f>IF($M67="","",$B67&amp;"#"&amp;$M67)</f>
        <v/>
      </c>
      <c r="U67" s="15">
        <f>ROW()</f>
        <v/>
      </c>
    </row>
    <row r="68">
      <c r="A68" s="38" t="n"/>
      <c r="B68" s="29" t="n"/>
      <c r="C68" s="42" t="n"/>
      <c r="D68" s="42" t="n"/>
      <c r="E68" s="30" t="n"/>
      <c r="F68" s="34">
        <f>IF($E68="","",IFERROR(INDEX(Esp_Hab,MATCH($E68,Esp_Nome,0)),"—"))</f>
        <v/>
      </c>
      <c r="G68" s="30" t="n"/>
      <c r="H68" s="30" t="n"/>
      <c r="I68" s="29" t="n"/>
      <c r="J68" s="29" t="n"/>
      <c r="K68" s="37">
        <f>IF(OR($B68="",NOT(ISNUMBER($C68)),NOT(ISNUMBER($D68))),"",ROUND(MOD($D68-$C68,1)*1440,0))</f>
        <v/>
      </c>
      <c r="L68" s="37">
        <f>IF(NOT(ISNUMBER($K68)),0,IF(OR($K68&lt;=0,$J68="Cancelada",$J68="Suspensa"),0,$K68+Limpeza_Min))</f>
        <v/>
      </c>
      <c r="M68" s="37">
        <f>IF($L68&lt;=0,"",SUMPRODUCT((Mapa_Sala=$B68)*(Mapa_Data=$A68)*(Mapa_MinOcup&gt;0)*((Mapa_RelIni&lt;$R68)+((Mapa_RelIni=$R68)*(Mapa_Row&lt;=$U68)))))</f>
        <v/>
      </c>
      <c r="N68" s="43">
        <f>IF($L68&lt;=0,"",MOD(Turno_Ini+($S68+Limpeza_Min)/1440,1))</f>
        <v/>
      </c>
      <c r="O68" s="37">
        <f>IF($L68&lt;=0,"",MAX(0,IFERROR(INDEX(Mapa_RelIni,MATCH($B68&amp;"#"&amp;($M68+1),Mapa_Chave,0)),Turno_Min)-($S68+Limpeza_Min)))</f>
        <v/>
      </c>
      <c r="P68" s="19">
        <f>IF($B68="","",IF($Q68="","OK",LEFT($Q68,LEN($Q68)-3)))</f>
        <v/>
      </c>
      <c r="Q68" s="10">
        <f>IF($B68="","",IF(COUNTIF(Postos_Cod,$B68)=0,"Sala não cadastrada | ","")&amp;IF(AND(COUNTIF(Postos_Cod,$B68)&gt;0,IFERROR(INDEX(Postos_Tipo,MATCH($B68,Postos_Cod,0)),"")&lt;&gt;"Sala cirúrgica"),"Posto não é sala cirúrgica | ","")&amp;IF(AND(COUNTIF(Postos_Cod,$B68)&gt;0,IFERROR(INDEX(Postos_Status,MATCH($B68,Postos_Cod,0)),"")&lt;&gt;"Ativo"),"Sala não ativa | ","")&amp;IF(COUNTIF(Esp_Nome,$E68)=0,"Especialidade não cadastrada | ","")&amp;IF(COUNTIF(Lista_StatusCirurgia,$J68)=0,"Status inválido | ","")&amp;IF(OR(NOT(ISNUMBER($C68)),NOT(ISNUMBER($D68))),"Horário inválido | ","")&amp;IFERROR(IF(AND(ISNUMBER($C68),ISNUMBER($D68),MOD($D68-$C68,1)*1440&lt;=0),"Duração nula ou negativa | ",""),"")&amp;IF(AND($L68&gt;0,OR($R68&gt;=Turno_Min,$S68&gt;Turno_Min)),"Fora da janela do plantão | ","")&amp;IF(AND($L68&gt;0,SUMPRODUCT((Mapa_Sala=$B68)*(Mapa_Data=$A68)*(Mapa_MinOcup&gt;0)*(Mapa_RelIni&lt;$S68)*(Mapa_RelFim&gt;$R68))&gt;1),"Sobreposição de horário na sala | ","")&amp;IFERROR(IF(AND(ISNUMBER($K68),$K68&gt;0,COUNTIF(Esp_Nome,$E68)&gt;0,$K68&gt;3*INDEX(Esp_Dur,MATCH($E68,Esp_Nome,0))),"Duração atípica (&gt;3x a média) | ",""),""))</f>
        <v/>
      </c>
      <c r="R68" s="15">
        <f>IF(NOT(ISNUMBER($C68)),0,ROUND(MOD($C68-Turno_Ini,1)*1440,0))</f>
        <v/>
      </c>
      <c r="S68" s="15">
        <f>IF($L68&lt;=0,0,$R68+$K68)</f>
        <v/>
      </c>
      <c r="T68" s="15">
        <f>IF($M68="","",$B68&amp;"#"&amp;$M68)</f>
        <v/>
      </c>
      <c r="U68" s="15">
        <f>ROW()</f>
        <v/>
      </c>
    </row>
    <row r="69">
      <c r="A69" s="38" t="n"/>
      <c r="B69" s="29" t="n"/>
      <c r="C69" s="42" t="n"/>
      <c r="D69" s="42" t="n"/>
      <c r="E69" s="30" t="n"/>
      <c r="F69" s="34">
        <f>IF($E69="","",IFERROR(INDEX(Esp_Hab,MATCH($E69,Esp_Nome,0)),"—"))</f>
        <v/>
      </c>
      <c r="G69" s="30" t="n"/>
      <c r="H69" s="30" t="n"/>
      <c r="I69" s="29" t="n"/>
      <c r="J69" s="29" t="n"/>
      <c r="K69" s="37">
        <f>IF(OR($B69="",NOT(ISNUMBER($C69)),NOT(ISNUMBER($D69))),"",ROUND(MOD($D69-$C69,1)*1440,0))</f>
        <v/>
      </c>
      <c r="L69" s="37">
        <f>IF(NOT(ISNUMBER($K69)),0,IF(OR($K69&lt;=0,$J69="Cancelada",$J69="Suspensa"),0,$K69+Limpeza_Min))</f>
        <v/>
      </c>
      <c r="M69" s="37">
        <f>IF($L69&lt;=0,"",SUMPRODUCT((Mapa_Sala=$B69)*(Mapa_Data=$A69)*(Mapa_MinOcup&gt;0)*((Mapa_RelIni&lt;$R69)+((Mapa_RelIni=$R69)*(Mapa_Row&lt;=$U69)))))</f>
        <v/>
      </c>
      <c r="N69" s="43">
        <f>IF($L69&lt;=0,"",MOD(Turno_Ini+($S69+Limpeza_Min)/1440,1))</f>
        <v/>
      </c>
      <c r="O69" s="37">
        <f>IF($L69&lt;=0,"",MAX(0,IFERROR(INDEX(Mapa_RelIni,MATCH($B69&amp;"#"&amp;($M69+1),Mapa_Chave,0)),Turno_Min)-($S69+Limpeza_Min)))</f>
        <v/>
      </c>
      <c r="P69" s="19">
        <f>IF($B69="","",IF($Q69="","OK",LEFT($Q69,LEN($Q69)-3)))</f>
        <v/>
      </c>
      <c r="Q69" s="10">
        <f>IF($B69="","",IF(COUNTIF(Postos_Cod,$B69)=0,"Sala não cadastrada | ","")&amp;IF(AND(COUNTIF(Postos_Cod,$B69)&gt;0,IFERROR(INDEX(Postos_Tipo,MATCH($B69,Postos_Cod,0)),"")&lt;&gt;"Sala cirúrgica"),"Posto não é sala cirúrgica | ","")&amp;IF(AND(COUNTIF(Postos_Cod,$B69)&gt;0,IFERROR(INDEX(Postos_Status,MATCH($B69,Postos_Cod,0)),"")&lt;&gt;"Ativo"),"Sala não ativa | ","")&amp;IF(COUNTIF(Esp_Nome,$E69)=0,"Especialidade não cadastrada | ","")&amp;IF(COUNTIF(Lista_StatusCirurgia,$J69)=0,"Status inválido | ","")&amp;IF(OR(NOT(ISNUMBER($C69)),NOT(ISNUMBER($D69))),"Horário inválido | ","")&amp;IFERROR(IF(AND(ISNUMBER($C69),ISNUMBER($D69),MOD($D69-$C69,1)*1440&lt;=0),"Duração nula ou negativa | ",""),"")&amp;IF(AND($L69&gt;0,OR($R69&gt;=Turno_Min,$S69&gt;Turno_Min)),"Fora da janela do plantão | ","")&amp;IF(AND($L69&gt;0,SUMPRODUCT((Mapa_Sala=$B69)*(Mapa_Data=$A69)*(Mapa_MinOcup&gt;0)*(Mapa_RelIni&lt;$S69)*(Mapa_RelFim&gt;$R69))&gt;1),"Sobreposição de horário na sala | ","")&amp;IFERROR(IF(AND(ISNUMBER($K69),$K69&gt;0,COUNTIF(Esp_Nome,$E69)&gt;0,$K69&gt;3*INDEX(Esp_Dur,MATCH($E69,Esp_Nome,0))),"Duração atípica (&gt;3x a média) | ",""),""))</f>
        <v/>
      </c>
      <c r="R69" s="15">
        <f>IF(NOT(ISNUMBER($C69)),0,ROUND(MOD($C69-Turno_Ini,1)*1440,0))</f>
        <v/>
      </c>
      <c r="S69" s="15">
        <f>IF($L69&lt;=0,0,$R69+$K69)</f>
        <v/>
      </c>
      <c r="T69" s="15">
        <f>IF($M69="","",$B69&amp;"#"&amp;$M69)</f>
        <v/>
      </c>
      <c r="U69" s="15">
        <f>ROW()</f>
        <v/>
      </c>
    </row>
    <row r="70">
      <c r="A70" s="38" t="n"/>
      <c r="B70" s="29" t="n"/>
      <c r="C70" s="42" t="n"/>
      <c r="D70" s="42" t="n"/>
      <c r="E70" s="30" t="n"/>
      <c r="F70" s="34">
        <f>IF($E70="","",IFERROR(INDEX(Esp_Hab,MATCH($E70,Esp_Nome,0)),"—"))</f>
        <v/>
      </c>
      <c r="G70" s="30" t="n"/>
      <c r="H70" s="30" t="n"/>
      <c r="I70" s="29" t="n"/>
      <c r="J70" s="29" t="n"/>
      <c r="K70" s="37">
        <f>IF(OR($B70="",NOT(ISNUMBER($C70)),NOT(ISNUMBER($D70))),"",ROUND(MOD($D70-$C70,1)*1440,0))</f>
        <v/>
      </c>
      <c r="L70" s="37">
        <f>IF(NOT(ISNUMBER($K70)),0,IF(OR($K70&lt;=0,$J70="Cancelada",$J70="Suspensa"),0,$K70+Limpeza_Min))</f>
        <v/>
      </c>
      <c r="M70" s="37">
        <f>IF($L70&lt;=0,"",SUMPRODUCT((Mapa_Sala=$B70)*(Mapa_Data=$A70)*(Mapa_MinOcup&gt;0)*((Mapa_RelIni&lt;$R70)+((Mapa_RelIni=$R70)*(Mapa_Row&lt;=$U70)))))</f>
        <v/>
      </c>
      <c r="N70" s="43">
        <f>IF($L70&lt;=0,"",MOD(Turno_Ini+($S70+Limpeza_Min)/1440,1))</f>
        <v/>
      </c>
      <c r="O70" s="37">
        <f>IF($L70&lt;=0,"",MAX(0,IFERROR(INDEX(Mapa_RelIni,MATCH($B70&amp;"#"&amp;($M70+1),Mapa_Chave,0)),Turno_Min)-($S70+Limpeza_Min)))</f>
        <v/>
      </c>
      <c r="P70" s="19">
        <f>IF($B70="","",IF($Q70="","OK",LEFT($Q70,LEN($Q70)-3)))</f>
        <v/>
      </c>
      <c r="Q70" s="10">
        <f>IF($B70="","",IF(COUNTIF(Postos_Cod,$B70)=0,"Sala não cadastrada | ","")&amp;IF(AND(COUNTIF(Postos_Cod,$B70)&gt;0,IFERROR(INDEX(Postos_Tipo,MATCH($B70,Postos_Cod,0)),"")&lt;&gt;"Sala cirúrgica"),"Posto não é sala cirúrgica | ","")&amp;IF(AND(COUNTIF(Postos_Cod,$B70)&gt;0,IFERROR(INDEX(Postos_Status,MATCH($B70,Postos_Cod,0)),"")&lt;&gt;"Ativo"),"Sala não ativa | ","")&amp;IF(COUNTIF(Esp_Nome,$E70)=0,"Especialidade não cadastrada | ","")&amp;IF(COUNTIF(Lista_StatusCirurgia,$J70)=0,"Status inválido | ","")&amp;IF(OR(NOT(ISNUMBER($C70)),NOT(ISNUMBER($D70))),"Horário inválido | ","")&amp;IFERROR(IF(AND(ISNUMBER($C70),ISNUMBER($D70),MOD($D70-$C70,1)*1440&lt;=0),"Duração nula ou negativa | ",""),"")&amp;IF(AND($L70&gt;0,OR($R70&gt;=Turno_Min,$S70&gt;Turno_Min)),"Fora da janela do plantão | ","")&amp;IF(AND($L70&gt;0,SUMPRODUCT((Mapa_Sala=$B70)*(Mapa_Data=$A70)*(Mapa_MinOcup&gt;0)*(Mapa_RelIni&lt;$S70)*(Mapa_RelFim&gt;$R70))&gt;1),"Sobreposição de horário na sala | ","")&amp;IFERROR(IF(AND(ISNUMBER($K70),$K70&gt;0,COUNTIF(Esp_Nome,$E70)&gt;0,$K70&gt;3*INDEX(Esp_Dur,MATCH($E70,Esp_Nome,0))),"Duração atípica (&gt;3x a média) | ",""),""))</f>
        <v/>
      </c>
      <c r="R70" s="15">
        <f>IF(NOT(ISNUMBER($C70)),0,ROUND(MOD($C70-Turno_Ini,1)*1440,0))</f>
        <v/>
      </c>
      <c r="S70" s="15">
        <f>IF($L70&lt;=0,0,$R70+$K70)</f>
        <v/>
      </c>
      <c r="T70" s="15">
        <f>IF($M70="","",$B70&amp;"#"&amp;$M70)</f>
        <v/>
      </c>
      <c r="U70" s="15">
        <f>ROW()</f>
        <v/>
      </c>
    </row>
    <row r="71">
      <c r="A71" s="38" t="n"/>
      <c r="B71" s="29" t="n"/>
      <c r="C71" s="42" t="n"/>
      <c r="D71" s="42" t="n"/>
      <c r="E71" s="30" t="n"/>
      <c r="F71" s="34">
        <f>IF($E71="","",IFERROR(INDEX(Esp_Hab,MATCH($E71,Esp_Nome,0)),"—"))</f>
        <v/>
      </c>
      <c r="G71" s="30" t="n"/>
      <c r="H71" s="30" t="n"/>
      <c r="I71" s="29" t="n"/>
      <c r="J71" s="29" t="n"/>
      <c r="K71" s="37">
        <f>IF(OR($B71="",NOT(ISNUMBER($C71)),NOT(ISNUMBER($D71))),"",ROUND(MOD($D71-$C71,1)*1440,0))</f>
        <v/>
      </c>
      <c r="L71" s="37">
        <f>IF(NOT(ISNUMBER($K71)),0,IF(OR($K71&lt;=0,$J71="Cancelada",$J71="Suspensa"),0,$K71+Limpeza_Min))</f>
        <v/>
      </c>
      <c r="M71" s="37">
        <f>IF($L71&lt;=0,"",SUMPRODUCT((Mapa_Sala=$B71)*(Mapa_Data=$A71)*(Mapa_MinOcup&gt;0)*((Mapa_RelIni&lt;$R71)+((Mapa_RelIni=$R71)*(Mapa_Row&lt;=$U71)))))</f>
        <v/>
      </c>
      <c r="N71" s="43">
        <f>IF($L71&lt;=0,"",MOD(Turno_Ini+($S71+Limpeza_Min)/1440,1))</f>
        <v/>
      </c>
      <c r="O71" s="37">
        <f>IF($L71&lt;=0,"",MAX(0,IFERROR(INDEX(Mapa_RelIni,MATCH($B71&amp;"#"&amp;($M71+1),Mapa_Chave,0)),Turno_Min)-($S71+Limpeza_Min)))</f>
        <v/>
      </c>
      <c r="P71" s="19">
        <f>IF($B71="","",IF($Q71="","OK",LEFT($Q71,LEN($Q71)-3)))</f>
        <v/>
      </c>
      <c r="Q71" s="10">
        <f>IF($B71="","",IF(COUNTIF(Postos_Cod,$B71)=0,"Sala não cadastrada | ","")&amp;IF(AND(COUNTIF(Postos_Cod,$B71)&gt;0,IFERROR(INDEX(Postos_Tipo,MATCH($B71,Postos_Cod,0)),"")&lt;&gt;"Sala cirúrgica"),"Posto não é sala cirúrgica | ","")&amp;IF(AND(COUNTIF(Postos_Cod,$B71)&gt;0,IFERROR(INDEX(Postos_Status,MATCH($B71,Postos_Cod,0)),"")&lt;&gt;"Ativo"),"Sala não ativa | ","")&amp;IF(COUNTIF(Esp_Nome,$E71)=0,"Especialidade não cadastrada | ","")&amp;IF(COUNTIF(Lista_StatusCirurgia,$J71)=0,"Status inválido | ","")&amp;IF(OR(NOT(ISNUMBER($C71)),NOT(ISNUMBER($D71))),"Horário inválido | ","")&amp;IFERROR(IF(AND(ISNUMBER($C71),ISNUMBER($D71),MOD($D71-$C71,1)*1440&lt;=0),"Duração nula ou negativa | ",""),"")&amp;IF(AND($L71&gt;0,OR($R71&gt;=Turno_Min,$S71&gt;Turno_Min)),"Fora da janela do plantão | ","")&amp;IF(AND($L71&gt;0,SUMPRODUCT((Mapa_Sala=$B71)*(Mapa_Data=$A71)*(Mapa_MinOcup&gt;0)*(Mapa_RelIni&lt;$S71)*(Mapa_RelFim&gt;$R71))&gt;1),"Sobreposição de horário na sala | ","")&amp;IFERROR(IF(AND(ISNUMBER($K71),$K71&gt;0,COUNTIF(Esp_Nome,$E71)&gt;0,$K71&gt;3*INDEX(Esp_Dur,MATCH($E71,Esp_Nome,0))),"Duração atípica (&gt;3x a média) | ",""),""))</f>
        <v/>
      </c>
      <c r="R71" s="15">
        <f>IF(NOT(ISNUMBER($C71)),0,ROUND(MOD($C71-Turno_Ini,1)*1440,0))</f>
        <v/>
      </c>
      <c r="S71" s="15">
        <f>IF($L71&lt;=0,0,$R71+$K71)</f>
        <v/>
      </c>
      <c r="T71" s="15">
        <f>IF($M71="","",$B71&amp;"#"&amp;$M71)</f>
        <v/>
      </c>
      <c r="U71" s="15">
        <f>ROW()</f>
        <v/>
      </c>
    </row>
    <row r="72">
      <c r="A72" s="38" t="n"/>
      <c r="B72" s="29" t="n"/>
      <c r="C72" s="42" t="n"/>
      <c r="D72" s="42" t="n"/>
      <c r="E72" s="30" t="n"/>
      <c r="F72" s="34">
        <f>IF($E72="","",IFERROR(INDEX(Esp_Hab,MATCH($E72,Esp_Nome,0)),"—"))</f>
        <v/>
      </c>
      <c r="G72" s="30" t="n"/>
      <c r="H72" s="30" t="n"/>
      <c r="I72" s="29" t="n"/>
      <c r="J72" s="29" t="n"/>
      <c r="K72" s="37">
        <f>IF(OR($B72="",NOT(ISNUMBER($C72)),NOT(ISNUMBER($D72))),"",ROUND(MOD($D72-$C72,1)*1440,0))</f>
        <v/>
      </c>
      <c r="L72" s="37">
        <f>IF(NOT(ISNUMBER($K72)),0,IF(OR($K72&lt;=0,$J72="Cancelada",$J72="Suspensa"),0,$K72+Limpeza_Min))</f>
        <v/>
      </c>
      <c r="M72" s="37">
        <f>IF($L72&lt;=0,"",SUMPRODUCT((Mapa_Sala=$B72)*(Mapa_Data=$A72)*(Mapa_MinOcup&gt;0)*((Mapa_RelIni&lt;$R72)+((Mapa_RelIni=$R72)*(Mapa_Row&lt;=$U72)))))</f>
        <v/>
      </c>
      <c r="N72" s="43">
        <f>IF($L72&lt;=0,"",MOD(Turno_Ini+($S72+Limpeza_Min)/1440,1))</f>
        <v/>
      </c>
      <c r="O72" s="37">
        <f>IF($L72&lt;=0,"",MAX(0,IFERROR(INDEX(Mapa_RelIni,MATCH($B72&amp;"#"&amp;($M72+1),Mapa_Chave,0)),Turno_Min)-($S72+Limpeza_Min)))</f>
        <v/>
      </c>
      <c r="P72" s="19">
        <f>IF($B72="","",IF($Q72="","OK",LEFT($Q72,LEN($Q72)-3)))</f>
        <v/>
      </c>
      <c r="Q72" s="10">
        <f>IF($B72="","",IF(COUNTIF(Postos_Cod,$B72)=0,"Sala não cadastrada | ","")&amp;IF(AND(COUNTIF(Postos_Cod,$B72)&gt;0,IFERROR(INDEX(Postos_Tipo,MATCH($B72,Postos_Cod,0)),"")&lt;&gt;"Sala cirúrgica"),"Posto não é sala cirúrgica | ","")&amp;IF(AND(COUNTIF(Postos_Cod,$B72)&gt;0,IFERROR(INDEX(Postos_Status,MATCH($B72,Postos_Cod,0)),"")&lt;&gt;"Ativo"),"Sala não ativa | ","")&amp;IF(COUNTIF(Esp_Nome,$E72)=0,"Especialidade não cadastrada | ","")&amp;IF(COUNTIF(Lista_StatusCirurgia,$J72)=0,"Status inválido | ","")&amp;IF(OR(NOT(ISNUMBER($C72)),NOT(ISNUMBER($D72))),"Horário inválido | ","")&amp;IFERROR(IF(AND(ISNUMBER($C72),ISNUMBER($D72),MOD($D72-$C72,1)*1440&lt;=0),"Duração nula ou negativa | ",""),"")&amp;IF(AND($L72&gt;0,OR($R72&gt;=Turno_Min,$S72&gt;Turno_Min)),"Fora da janela do plantão | ","")&amp;IF(AND($L72&gt;0,SUMPRODUCT((Mapa_Sala=$B72)*(Mapa_Data=$A72)*(Mapa_MinOcup&gt;0)*(Mapa_RelIni&lt;$S72)*(Mapa_RelFim&gt;$R72))&gt;1),"Sobreposição de horário na sala | ","")&amp;IFERROR(IF(AND(ISNUMBER($K72),$K72&gt;0,COUNTIF(Esp_Nome,$E72)&gt;0,$K72&gt;3*INDEX(Esp_Dur,MATCH($E72,Esp_Nome,0))),"Duração atípica (&gt;3x a média) | ",""),""))</f>
        <v/>
      </c>
      <c r="R72" s="15">
        <f>IF(NOT(ISNUMBER($C72)),0,ROUND(MOD($C72-Turno_Ini,1)*1440,0))</f>
        <v/>
      </c>
      <c r="S72" s="15">
        <f>IF($L72&lt;=0,0,$R72+$K72)</f>
        <v/>
      </c>
      <c r="T72" s="15">
        <f>IF($M72="","",$B72&amp;"#"&amp;$M72)</f>
        <v/>
      </c>
      <c r="U72" s="15">
        <f>ROW()</f>
        <v/>
      </c>
    </row>
    <row r="73">
      <c r="A73" s="38" t="n"/>
      <c r="B73" s="29" t="n"/>
      <c r="C73" s="42" t="n"/>
      <c r="D73" s="42" t="n"/>
      <c r="E73" s="30" t="n"/>
      <c r="F73" s="34">
        <f>IF($E73="","",IFERROR(INDEX(Esp_Hab,MATCH($E73,Esp_Nome,0)),"—"))</f>
        <v/>
      </c>
      <c r="G73" s="30" t="n"/>
      <c r="H73" s="30" t="n"/>
      <c r="I73" s="29" t="n"/>
      <c r="J73" s="29" t="n"/>
      <c r="K73" s="37">
        <f>IF(OR($B73="",NOT(ISNUMBER($C73)),NOT(ISNUMBER($D73))),"",ROUND(MOD($D73-$C73,1)*1440,0))</f>
        <v/>
      </c>
      <c r="L73" s="37">
        <f>IF(NOT(ISNUMBER($K73)),0,IF(OR($K73&lt;=0,$J73="Cancelada",$J73="Suspensa"),0,$K73+Limpeza_Min))</f>
        <v/>
      </c>
      <c r="M73" s="37">
        <f>IF($L73&lt;=0,"",SUMPRODUCT((Mapa_Sala=$B73)*(Mapa_Data=$A73)*(Mapa_MinOcup&gt;0)*((Mapa_RelIni&lt;$R73)+((Mapa_RelIni=$R73)*(Mapa_Row&lt;=$U73)))))</f>
        <v/>
      </c>
      <c r="N73" s="43">
        <f>IF($L73&lt;=0,"",MOD(Turno_Ini+($S73+Limpeza_Min)/1440,1))</f>
        <v/>
      </c>
      <c r="O73" s="37">
        <f>IF($L73&lt;=0,"",MAX(0,IFERROR(INDEX(Mapa_RelIni,MATCH($B73&amp;"#"&amp;($M73+1),Mapa_Chave,0)),Turno_Min)-($S73+Limpeza_Min)))</f>
        <v/>
      </c>
      <c r="P73" s="19">
        <f>IF($B73="","",IF($Q73="","OK",LEFT($Q73,LEN($Q73)-3)))</f>
        <v/>
      </c>
      <c r="Q73" s="10">
        <f>IF($B73="","",IF(COUNTIF(Postos_Cod,$B73)=0,"Sala não cadastrada | ","")&amp;IF(AND(COUNTIF(Postos_Cod,$B73)&gt;0,IFERROR(INDEX(Postos_Tipo,MATCH($B73,Postos_Cod,0)),"")&lt;&gt;"Sala cirúrgica"),"Posto não é sala cirúrgica | ","")&amp;IF(AND(COUNTIF(Postos_Cod,$B73)&gt;0,IFERROR(INDEX(Postos_Status,MATCH($B73,Postos_Cod,0)),"")&lt;&gt;"Ativo"),"Sala não ativa | ","")&amp;IF(COUNTIF(Esp_Nome,$E73)=0,"Especialidade não cadastrada | ","")&amp;IF(COUNTIF(Lista_StatusCirurgia,$J73)=0,"Status inválido | ","")&amp;IF(OR(NOT(ISNUMBER($C73)),NOT(ISNUMBER($D73))),"Horário inválido | ","")&amp;IFERROR(IF(AND(ISNUMBER($C73),ISNUMBER($D73),MOD($D73-$C73,1)*1440&lt;=0),"Duração nula ou negativa | ",""),"")&amp;IF(AND($L73&gt;0,OR($R73&gt;=Turno_Min,$S73&gt;Turno_Min)),"Fora da janela do plantão | ","")&amp;IF(AND($L73&gt;0,SUMPRODUCT((Mapa_Sala=$B73)*(Mapa_Data=$A73)*(Mapa_MinOcup&gt;0)*(Mapa_RelIni&lt;$S73)*(Mapa_RelFim&gt;$R73))&gt;1),"Sobreposição de horário na sala | ","")&amp;IFERROR(IF(AND(ISNUMBER($K73),$K73&gt;0,COUNTIF(Esp_Nome,$E73)&gt;0,$K73&gt;3*INDEX(Esp_Dur,MATCH($E73,Esp_Nome,0))),"Duração atípica (&gt;3x a média) | ",""),""))</f>
        <v/>
      </c>
      <c r="R73" s="15">
        <f>IF(NOT(ISNUMBER($C73)),0,ROUND(MOD($C73-Turno_Ini,1)*1440,0))</f>
        <v/>
      </c>
      <c r="S73" s="15">
        <f>IF($L73&lt;=0,0,$R73+$K73)</f>
        <v/>
      </c>
      <c r="T73" s="15">
        <f>IF($M73="","",$B73&amp;"#"&amp;$M73)</f>
        <v/>
      </c>
      <c r="U73" s="15">
        <f>ROW()</f>
        <v/>
      </c>
    </row>
    <row r="74">
      <c r="A74" s="38" t="n"/>
      <c r="B74" s="29" t="n"/>
      <c r="C74" s="42" t="n"/>
      <c r="D74" s="42" t="n"/>
      <c r="E74" s="30" t="n"/>
      <c r="F74" s="34">
        <f>IF($E74="","",IFERROR(INDEX(Esp_Hab,MATCH($E74,Esp_Nome,0)),"—"))</f>
        <v/>
      </c>
      <c r="G74" s="30" t="n"/>
      <c r="H74" s="30" t="n"/>
      <c r="I74" s="29" t="n"/>
      <c r="J74" s="29" t="n"/>
      <c r="K74" s="37">
        <f>IF(OR($B74="",NOT(ISNUMBER($C74)),NOT(ISNUMBER($D74))),"",ROUND(MOD($D74-$C74,1)*1440,0))</f>
        <v/>
      </c>
      <c r="L74" s="37">
        <f>IF(NOT(ISNUMBER($K74)),0,IF(OR($K74&lt;=0,$J74="Cancelada",$J74="Suspensa"),0,$K74+Limpeza_Min))</f>
        <v/>
      </c>
      <c r="M74" s="37">
        <f>IF($L74&lt;=0,"",SUMPRODUCT((Mapa_Sala=$B74)*(Mapa_Data=$A74)*(Mapa_MinOcup&gt;0)*((Mapa_RelIni&lt;$R74)+((Mapa_RelIni=$R74)*(Mapa_Row&lt;=$U74)))))</f>
        <v/>
      </c>
      <c r="N74" s="43">
        <f>IF($L74&lt;=0,"",MOD(Turno_Ini+($S74+Limpeza_Min)/1440,1))</f>
        <v/>
      </c>
      <c r="O74" s="37">
        <f>IF($L74&lt;=0,"",MAX(0,IFERROR(INDEX(Mapa_RelIni,MATCH($B74&amp;"#"&amp;($M74+1),Mapa_Chave,0)),Turno_Min)-($S74+Limpeza_Min)))</f>
        <v/>
      </c>
      <c r="P74" s="19">
        <f>IF($B74="","",IF($Q74="","OK",LEFT($Q74,LEN($Q74)-3)))</f>
        <v/>
      </c>
      <c r="Q74" s="10">
        <f>IF($B74="","",IF(COUNTIF(Postos_Cod,$B74)=0,"Sala não cadastrada | ","")&amp;IF(AND(COUNTIF(Postos_Cod,$B74)&gt;0,IFERROR(INDEX(Postos_Tipo,MATCH($B74,Postos_Cod,0)),"")&lt;&gt;"Sala cirúrgica"),"Posto não é sala cirúrgica | ","")&amp;IF(AND(COUNTIF(Postos_Cod,$B74)&gt;0,IFERROR(INDEX(Postos_Status,MATCH($B74,Postos_Cod,0)),"")&lt;&gt;"Ativo"),"Sala não ativa | ","")&amp;IF(COUNTIF(Esp_Nome,$E74)=0,"Especialidade não cadastrada | ","")&amp;IF(COUNTIF(Lista_StatusCirurgia,$J74)=0,"Status inválido | ","")&amp;IF(OR(NOT(ISNUMBER($C74)),NOT(ISNUMBER($D74))),"Horário inválido | ","")&amp;IFERROR(IF(AND(ISNUMBER($C74),ISNUMBER($D74),MOD($D74-$C74,1)*1440&lt;=0),"Duração nula ou negativa | ",""),"")&amp;IF(AND($L74&gt;0,OR($R74&gt;=Turno_Min,$S74&gt;Turno_Min)),"Fora da janela do plantão | ","")&amp;IF(AND($L74&gt;0,SUMPRODUCT((Mapa_Sala=$B74)*(Mapa_Data=$A74)*(Mapa_MinOcup&gt;0)*(Mapa_RelIni&lt;$S74)*(Mapa_RelFim&gt;$R74))&gt;1),"Sobreposição de horário na sala | ","")&amp;IFERROR(IF(AND(ISNUMBER($K74),$K74&gt;0,COUNTIF(Esp_Nome,$E74)&gt;0,$K74&gt;3*INDEX(Esp_Dur,MATCH($E74,Esp_Nome,0))),"Duração atípica (&gt;3x a média) | ",""),""))</f>
        <v/>
      </c>
      <c r="R74" s="15">
        <f>IF(NOT(ISNUMBER($C74)),0,ROUND(MOD($C74-Turno_Ini,1)*1440,0))</f>
        <v/>
      </c>
      <c r="S74" s="15">
        <f>IF($L74&lt;=0,0,$R74+$K74)</f>
        <v/>
      </c>
      <c r="T74" s="15">
        <f>IF($M74="","",$B74&amp;"#"&amp;$M74)</f>
        <v/>
      </c>
      <c r="U74" s="15">
        <f>ROW()</f>
        <v/>
      </c>
    </row>
    <row r="75">
      <c r="A75" s="38" t="n"/>
      <c r="B75" s="29" t="n"/>
      <c r="C75" s="42" t="n"/>
      <c r="D75" s="42" t="n"/>
      <c r="E75" s="30" t="n"/>
      <c r="F75" s="34">
        <f>IF($E75="","",IFERROR(INDEX(Esp_Hab,MATCH($E75,Esp_Nome,0)),"—"))</f>
        <v/>
      </c>
      <c r="G75" s="30" t="n"/>
      <c r="H75" s="30" t="n"/>
      <c r="I75" s="29" t="n"/>
      <c r="J75" s="29" t="n"/>
      <c r="K75" s="37">
        <f>IF(OR($B75="",NOT(ISNUMBER($C75)),NOT(ISNUMBER($D75))),"",ROUND(MOD($D75-$C75,1)*1440,0))</f>
        <v/>
      </c>
      <c r="L75" s="37">
        <f>IF(NOT(ISNUMBER($K75)),0,IF(OR($K75&lt;=0,$J75="Cancelada",$J75="Suspensa"),0,$K75+Limpeza_Min))</f>
        <v/>
      </c>
      <c r="M75" s="37">
        <f>IF($L75&lt;=0,"",SUMPRODUCT((Mapa_Sala=$B75)*(Mapa_Data=$A75)*(Mapa_MinOcup&gt;0)*((Mapa_RelIni&lt;$R75)+((Mapa_RelIni=$R75)*(Mapa_Row&lt;=$U75)))))</f>
        <v/>
      </c>
      <c r="N75" s="43">
        <f>IF($L75&lt;=0,"",MOD(Turno_Ini+($S75+Limpeza_Min)/1440,1))</f>
        <v/>
      </c>
      <c r="O75" s="37">
        <f>IF($L75&lt;=0,"",MAX(0,IFERROR(INDEX(Mapa_RelIni,MATCH($B75&amp;"#"&amp;($M75+1),Mapa_Chave,0)),Turno_Min)-($S75+Limpeza_Min)))</f>
        <v/>
      </c>
      <c r="P75" s="19">
        <f>IF($B75="","",IF($Q75="","OK",LEFT($Q75,LEN($Q75)-3)))</f>
        <v/>
      </c>
      <c r="Q75" s="10">
        <f>IF($B75="","",IF(COUNTIF(Postos_Cod,$B75)=0,"Sala não cadastrada | ","")&amp;IF(AND(COUNTIF(Postos_Cod,$B75)&gt;0,IFERROR(INDEX(Postos_Tipo,MATCH($B75,Postos_Cod,0)),"")&lt;&gt;"Sala cirúrgica"),"Posto não é sala cirúrgica | ","")&amp;IF(AND(COUNTIF(Postos_Cod,$B75)&gt;0,IFERROR(INDEX(Postos_Status,MATCH($B75,Postos_Cod,0)),"")&lt;&gt;"Ativo"),"Sala não ativa | ","")&amp;IF(COUNTIF(Esp_Nome,$E75)=0,"Especialidade não cadastrada | ","")&amp;IF(COUNTIF(Lista_StatusCirurgia,$J75)=0,"Status inválido | ","")&amp;IF(OR(NOT(ISNUMBER($C75)),NOT(ISNUMBER($D75))),"Horário inválido | ","")&amp;IFERROR(IF(AND(ISNUMBER($C75),ISNUMBER($D75),MOD($D75-$C75,1)*1440&lt;=0),"Duração nula ou negativa | ",""),"")&amp;IF(AND($L75&gt;0,OR($R75&gt;=Turno_Min,$S75&gt;Turno_Min)),"Fora da janela do plantão | ","")&amp;IF(AND($L75&gt;0,SUMPRODUCT((Mapa_Sala=$B75)*(Mapa_Data=$A75)*(Mapa_MinOcup&gt;0)*(Mapa_RelIni&lt;$S75)*(Mapa_RelFim&gt;$R75))&gt;1),"Sobreposição de horário na sala | ","")&amp;IFERROR(IF(AND(ISNUMBER($K75),$K75&gt;0,COUNTIF(Esp_Nome,$E75)&gt;0,$K75&gt;3*INDEX(Esp_Dur,MATCH($E75,Esp_Nome,0))),"Duração atípica (&gt;3x a média) | ",""),""))</f>
        <v/>
      </c>
      <c r="R75" s="15">
        <f>IF(NOT(ISNUMBER($C75)),0,ROUND(MOD($C75-Turno_Ini,1)*1440,0))</f>
        <v/>
      </c>
      <c r="S75" s="15">
        <f>IF($L75&lt;=0,0,$R75+$K75)</f>
        <v/>
      </c>
      <c r="T75" s="15">
        <f>IF($M75="","",$B75&amp;"#"&amp;$M75)</f>
        <v/>
      </c>
      <c r="U75" s="15">
        <f>ROW()</f>
        <v/>
      </c>
    </row>
    <row r="76">
      <c r="A76" s="38" t="n"/>
      <c r="B76" s="29" t="n"/>
      <c r="C76" s="42" t="n"/>
      <c r="D76" s="42" t="n"/>
      <c r="E76" s="30" t="n"/>
      <c r="F76" s="34">
        <f>IF($E76="","",IFERROR(INDEX(Esp_Hab,MATCH($E76,Esp_Nome,0)),"—"))</f>
        <v/>
      </c>
      <c r="G76" s="30" t="n"/>
      <c r="H76" s="30" t="n"/>
      <c r="I76" s="29" t="n"/>
      <c r="J76" s="29" t="n"/>
      <c r="K76" s="37">
        <f>IF(OR($B76="",NOT(ISNUMBER($C76)),NOT(ISNUMBER($D76))),"",ROUND(MOD($D76-$C76,1)*1440,0))</f>
        <v/>
      </c>
      <c r="L76" s="37">
        <f>IF(NOT(ISNUMBER($K76)),0,IF(OR($K76&lt;=0,$J76="Cancelada",$J76="Suspensa"),0,$K76+Limpeza_Min))</f>
        <v/>
      </c>
      <c r="M76" s="37">
        <f>IF($L76&lt;=0,"",SUMPRODUCT((Mapa_Sala=$B76)*(Mapa_Data=$A76)*(Mapa_MinOcup&gt;0)*((Mapa_RelIni&lt;$R76)+((Mapa_RelIni=$R76)*(Mapa_Row&lt;=$U76)))))</f>
        <v/>
      </c>
      <c r="N76" s="43">
        <f>IF($L76&lt;=0,"",MOD(Turno_Ini+($S76+Limpeza_Min)/1440,1))</f>
        <v/>
      </c>
      <c r="O76" s="37">
        <f>IF($L76&lt;=0,"",MAX(0,IFERROR(INDEX(Mapa_RelIni,MATCH($B76&amp;"#"&amp;($M76+1),Mapa_Chave,0)),Turno_Min)-($S76+Limpeza_Min)))</f>
        <v/>
      </c>
      <c r="P76" s="19">
        <f>IF($B76="","",IF($Q76="","OK",LEFT($Q76,LEN($Q76)-3)))</f>
        <v/>
      </c>
      <c r="Q76" s="10">
        <f>IF($B76="","",IF(COUNTIF(Postos_Cod,$B76)=0,"Sala não cadastrada | ","")&amp;IF(AND(COUNTIF(Postos_Cod,$B76)&gt;0,IFERROR(INDEX(Postos_Tipo,MATCH($B76,Postos_Cod,0)),"")&lt;&gt;"Sala cirúrgica"),"Posto não é sala cirúrgica | ","")&amp;IF(AND(COUNTIF(Postos_Cod,$B76)&gt;0,IFERROR(INDEX(Postos_Status,MATCH($B76,Postos_Cod,0)),"")&lt;&gt;"Ativo"),"Sala não ativa | ","")&amp;IF(COUNTIF(Esp_Nome,$E76)=0,"Especialidade não cadastrada | ","")&amp;IF(COUNTIF(Lista_StatusCirurgia,$J76)=0,"Status inválido | ","")&amp;IF(OR(NOT(ISNUMBER($C76)),NOT(ISNUMBER($D76))),"Horário inválido | ","")&amp;IFERROR(IF(AND(ISNUMBER($C76),ISNUMBER($D76),MOD($D76-$C76,1)*1440&lt;=0),"Duração nula ou negativa | ",""),"")&amp;IF(AND($L76&gt;0,OR($R76&gt;=Turno_Min,$S76&gt;Turno_Min)),"Fora da janela do plantão | ","")&amp;IF(AND($L76&gt;0,SUMPRODUCT((Mapa_Sala=$B76)*(Mapa_Data=$A76)*(Mapa_MinOcup&gt;0)*(Mapa_RelIni&lt;$S76)*(Mapa_RelFim&gt;$R76))&gt;1),"Sobreposição de horário na sala | ","")&amp;IFERROR(IF(AND(ISNUMBER($K76),$K76&gt;0,COUNTIF(Esp_Nome,$E76)&gt;0,$K76&gt;3*INDEX(Esp_Dur,MATCH($E76,Esp_Nome,0))),"Duração atípica (&gt;3x a média) | ",""),""))</f>
        <v/>
      </c>
      <c r="R76" s="15">
        <f>IF(NOT(ISNUMBER($C76)),0,ROUND(MOD($C76-Turno_Ini,1)*1440,0))</f>
        <v/>
      </c>
      <c r="S76" s="15">
        <f>IF($L76&lt;=0,0,$R76+$K76)</f>
        <v/>
      </c>
      <c r="T76" s="15">
        <f>IF($M76="","",$B76&amp;"#"&amp;$M76)</f>
        <v/>
      </c>
      <c r="U76" s="15">
        <f>ROW()</f>
        <v/>
      </c>
    </row>
    <row r="77">
      <c r="A77" s="38" t="n"/>
      <c r="B77" s="29" t="n"/>
      <c r="C77" s="42" t="n"/>
      <c r="D77" s="42" t="n"/>
      <c r="E77" s="30" t="n"/>
      <c r="F77" s="34">
        <f>IF($E77="","",IFERROR(INDEX(Esp_Hab,MATCH($E77,Esp_Nome,0)),"—"))</f>
        <v/>
      </c>
      <c r="G77" s="30" t="n"/>
      <c r="H77" s="30" t="n"/>
      <c r="I77" s="29" t="n"/>
      <c r="J77" s="29" t="n"/>
      <c r="K77" s="37">
        <f>IF(OR($B77="",NOT(ISNUMBER($C77)),NOT(ISNUMBER($D77))),"",ROUND(MOD($D77-$C77,1)*1440,0))</f>
        <v/>
      </c>
      <c r="L77" s="37">
        <f>IF(NOT(ISNUMBER($K77)),0,IF(OR($K77&lt;=0,$J77="Cancelada",$J77="Suspensa"),0,$K77+Limpeza_Min))</f>
        <v/>
      </c>
      <c r="M77" s="37">
        <f>IF($L77&lt;=0,"",SUMPRODUCT((Mapa_Sala=$B77)*(Mapa_Data=$A77)*(Mapa_MinOcup&gt;0)*((Mapa_RelIni&lt;$R77)+((Mapa_RelIni=$R77)*(Mapa_Row&lt;=$U77)))))</f>
        <v/>
      </c>
      <c r="N77" s="43">
        <f>IF($L77&lt;=0,"",MOD(Turno_Ini+($S77+Limpeza_Min)/1440,1))</f>
        <v/>
      </c>
      <c r="O77" s="37">
        <f>IF($L77&lt;=0,"",MAX(0,IFERROR(INDEX(Mapa_RelIni,MATCH($B77&amp;"#"&amp;($M77+1),Mapa_Chave,0)),Turno_Min)-($S77+Limpeza_Min)))</f>
        <v/>
      </c>
      <c r="P77" s="19">
        <f>IF($B77="","",IF($Q77="","OK",LEFT($Q77,LEN($Q77)-3)))</f>
        <v/>
      </c>
      <c r="Q77" s="10">
        <f>IF($B77="","",IF(COUNTIF(Postos_Cod,$B77)=0,"Sala não cadastrada | ","")&amp;IF(AND(COUNTIF(Postos_Cod,$B77)&gt;0,IFERROR(INDEX(Postos_Tipo,MATCH($B77,Postos_Cod,0)),"")&lt;&gt;"Sala cirúrgica"),"Posto não é sala cirúrgica | ","")&amp;IF(AND(COUNTIF(Postos_Cod,$B77)&gt;0,IFERROR(INDEX(Postos_Status,MATCH($B77,Postos_Cod,0)),"")&lt;&gt;"Ativo"),"Sala não ativa | ","")&amp;IF(COUNTIF(Esp_Nome,$E77)=0,"Especialidade não cadastrada | ","")&amp;IF(COUNTIF(Lista_StatusCirurgia,$J77)=0,"Status inválido | ","")&amp;IF(OR(NOT(ISNUMBER($C77)),NOT(ISNUMBER($D77))),"Horário inválido | ","")&amp;IFERROR(IF(AND(ISNUMBER($C77),ISNUMBER($D77),MOD($D77-$C77,1)*1440&lt;=0),"Duração nula ou negativa | ",""),"")&amp;IF(AND($L77&gt;0,OR($R77&gt;=Turno_Min,$S77&gt;Turno_Min)),"Fora da janela do plantão | ","")&amp;IF(AND($L77&gt;0,SUMPRODUCT((Mapa_Sala=$B77)*(Mapa_Data=$A77)*(Mapa_MinOcup&gt;0)*(Mapa_RelIni&lt;$S77)*(Mapa_RelFim&gt;$R77))&gt;1),"Sobreposição de horário na sala | ","")&amp;IFERROR(IF(AND(ISNUMBER($K77),$K77&gt;0,COUNTIF(Esp_Nome,$E77)&gt;0,$K77&gt;3*INDEX(Esp_Dur,MATCH($E77,Esp_Nome,0))),"Duração atípica (&gt;3x a média) | ",""),""))</f>
        <v/>
      </c>
      <c r="R77" s="15">
        <f>IF(NOT(ISNUMBER($C77)),0,ROUND(MOD($C77-Turno_Ini,1)*1440,0))</f>
        <v/>
      </c>
      <c r="S77" s="15">
        <f>IF($L77&lt;=0,0,$R77+$K77)</f>
        <v/>
      </c>
      <c r="T77" s="15">
        <f>IF($M77="","",$B77&amp;"#"&amp;$M77)</f>
        <v/>
      </c>
      <c r="U77" s="15">
        <f>ROW()</f>
        <v/>
      </c>
    </row>
    <row r="78">
      <c r="A78" s="38" t="n"/>
      <c r="B78" s="29" t="n"/>
      <c r="C78" s="42" t="n"/>
      <c r="D78" s="42" t="n"/>
      <c r="E78" s="30" t="n"/>
      <c r="F78" s="34">
        <f>IF($E78="","",IFERROR(INDEX(Esp_Hab,MATCH($E78,Esp_Nome,0)),"—"))</f>
        <v/>
      </c>
      <c r="G78" s="30" t="n"/>
      <c r="H78" s="30" t="n"/>
      <c r="I78" s="29" t="n"/>
      <c r="J78" s="29" t="n"/>
      <c r="K78" s="37">
        <f>IF(OR($B78="",NOT(ISNUMBER($C78)),NOT(ISNUMBER($D78))),"",ROUND(MOD($D78-$C78,1)*1440,0))</f>
        <v/>
      </c>
      <c r="L78" s="37">
        <f>IF(NOT(ISNUMBER($K78)),0,IF(OR($K78&lt;=0,$J78="Cancelada",$J78="Suspensa"),0,$K78+Limpeza_Min))</f>
        <v/>
      </c>
      <c r="M78" s="37">
        <f>IF($L78&lt;=0,"",SUMPRODUCT((Mapa_Sala=$B78)*(Mapa_Data=$A78)*(Mapa_MinOcup&gt;0)*((Mapa_RelIni&lt;$R78)+((Mapa_RelIni=$R78)*(Mapa_Row&lt;=$U78)))))</f>
        <v/>
      </c>
      <c r="N78" s="43">
        <f>IF($L78&lt;=0,"",MOD(Turno_Ini+($S78+Limpeza_Min)/1440,1))</f>
        <v/>
      </c>
      <c r="O78" s="37">
        <f>IF($L78&lt;=0,"",MAX(0,IFERROR(INDEX(Mapa_RelIni,MATCH($B78&amp;"#"&amp;($M78+1),Mapa_Chave,0)),Turno_Min)-($S78+Limpeza_Min)))</f>
        <v/>
      </c>
      <c r="P78" s="19">
        <f>IF($B78="","",IF($Q78="","OK",LEFT($Q78,LEN($Q78)-3)))</f>
        <v/>
      </c>
      <c r="Q78" s="10">
        <f>IF($B78="","",IF(COUNTIF(Postos_Cod,$B78)=0,"Sala não cadastrada | ","")&amp;IF(AND(COUNTIF(Postos_Cod,$B78)&gt;0,IFERROR(INDEX(Postos_Tipo,MATCH($B78,Postos_Cod,0)),"")&lt;&gt;"Sala cirúrgica"),"Posto não é sala cirúrgica | ","")&amp;IF(AND(COUNTIF(Postos_Cod,$B78)&gt;0,IFERROR(INDEX(Postos_Status,MATCH($B78,Postos_Cod,0)),"")&lt;&gt;"Ativo"),"Sala não ativa | ","")&amp;IF(COUNTIF(Esp_Nome,$E78)=0,"Especialidade não cadastrada | ","")&amp;IF(COUNTIF(Lista_StatusCirurgia,$J78)=0,"Status inválido | ","")&amp;IF(OR(NOT(ISNUMBER($C78)),NOT(ISNUMBER($D78))),"Horário inválido | ","")&amp;IFERROR(IF(AND(ISNUMBER($C78),ISNUMBER($D78),MOD($D78-$C78,1)*1440&lt;=0),"Duração nula ou negativa | ",""),"")&amp;IF(AND($L78&gt;0,OR($R78&gt;=Turno_Min,$S78&gt;Turno_Min)),"Fora da janela do plantão | ","")&amp;IF(AND($L78&gt;0,SUMPRODUCT((Mapa_Sala=$B78)*(Mapa_Data=$A78)*(Mapa_MinOcup&gt;0)*(Mapa_RelIni&lt;$S78)*(Mapa_RelFim&gt;$R78))&gt;1),"Sobreposição de horário na sala | ","")&amp;IFERROR(IF(AND(ISNUMBER($K78),$K78&gt;0,COUNTIF(Esp_Nome,$E78)&gt;0,$K78&gt;3*INDEX(Esp_Dur,MATCH($E78,Esp_Nome,0))),"Duração atípica (&gt;3x a média) | ",""),""))</f>
        <v/>
      </c>
      <c r="R78" s="15">
        <f>IF(NOT(ISNUMBER($C78)),0,ROUND(MOD($C78-Turno_Ini,1)*1440,0))</f>
        <v/>
      </c>
      <c r="S78" s="15">
        <f>IF($L78&lt;=0,0,$R78+$K78)</f>
        <v/>
      </c>
      <c r="T78" s="15">
        <f>IF($M78="","",$B78&amp;"#"&amp;$M78)</f>
        <v/>
      </c>
      <c r="U78" s="15">
        <f>ROW()</f>
        <v/>
      </c>
    </row>
    <row r="79">
      <c r="A79" s="38" t="n"/>
      <c r="B79" s="29" t="n"/>
      <c r="C79" s="42" t="n"/>
      <c r="D79" s="42" t="n"/>
      <c r="E79" s="30" t="n"/>
      <c r="F79" s="34">
        <f>IF($E79="","",IFERROR(INDEX(Esp_Hab,MATCH($E79,Esp_Nome,0)),"—"))</f>
        <v/>
      </c>
      <c r="G79" s="30" t="n"/>
      <c r="H79" s="30" t="n"/>
      <c r="I79" s="29" t="n"/>
      <c r="J79" s="29" t="n"/>
      <c r="K79" s="37">
        <f>IF(OR($B79="",NOT(ISNUMBER($C79)),NOT(ISNUMBER($D79))),"",ROUND(MOD($D79-$C79,1)*1440,0))</f>
        <v/>
      </c>
      <c r="L79" s="37">
        <f>IF(NOT(ISNUMBER($K79)),0,IF(OR($K79&lt;=0,$J79="Cancelada",$J79="Suspensa"),0,$K79+Limpeza_Min))</f>
        <v/>
      </c>
      <c r="M79" s="37">
        <f>IF($L79&lt;=0,"",SUMPRODUCT((Mapa_Sala=$B79)*(Mapa_Data=$A79)*(Mapa_MinOcup&gt;0)*((Mapa_RelIni&lt;$R79)+((Mapa_RelIni=$R79)*(Mapa_Row&lt;=$U79)))))</f>
        <v/>
      </c>
      <c r="N79" s="43">
        <f>IF($L79&lt;=0,"",MOD(Turno_Ini+($S79+Limpeza_Min)/1440,1))</f>
        <v/>
      </c>
      <c r="O79" s="37">
        <f>IF($L79&lt;=0,"",MAX(0,IFERROR(INDEX(Mapa_RelIni,MATCH($B79&amp;"#"&amp;($M79+1),Mapa_Chave,0)),Turno_Min)-($S79+Limpeza_Min)))</f>
        <v/>
      </c>
      <c r="P79" s="19">
        <f>IF($B79="","",IF($Q79="","OK",LEFT($Q79,LEN($Q79)-3)))</f>
        <v/>
      </c>
      <c r="Q79" s="10">
        <f>IF($B79="","",IF(COUNTIF(Postos_Cod,$B79)=0,"Sala não cadastrada | ","")&amp;IF(AND(COUNTIF(Postos_Cod,$B79)&gt;0,IFERROR(INDEX(Postos_Tipo,MATCH($B79,Postos_Cod,0)),"")&lt;&gt;"Sala cirúrgica"),"Posto não é sala cirúrgica | ","")&amp;IF(AND(COUNTIF(Postos_Cod,$B79)&gt;0,IFERROR(INDEX(Postos_Status,MATCH($B79,Postos_Cod,0)),"")&lt;&gt;"Ativo"),"Sala não ativa | ","")&amp;IF(COUNTIF(Esp_Nome,$E79)=0,"Especialidade não cadastrada | ","")&amp;IF(COUNTIF(Lista_StatusCirurgia,$J79)=0,"Status inválido | ","")&amp;IF(OR(NOT(ISNUMBER($C79)),NOT(ISNUMBER($D79))),"Horário inválido | ","")&amp;IFERROR(IF(AND(ISNUMBER($C79),ISNUMBER($D79),MOD($D79-$C79,1)*1440&lt;=0),"Duração nula ou negativa | ",""),"")&amp;IF(AND($L79&gt;0,OR($R79&gt;=Turno_Min,$S79&gt;Turno_Min)),"Fora da janela do plantão | ","")&amp;IF(AND($L79&gt;0,SUMPRODUCT((Mapa_Sala=$B79)*(Mapa_Data=$A79)*(Mapa_MinOcup&gt;0)*(Mapa_RelIni&lt;$S79)*(Mapa_RelFim&gt;$R79))&gt;1),"Sobreposição de horário na sala | ","")&amp;IFERROR(IF(AND(ISNUMBER($K79),$K79&gt;0,COUNTIF(Esp_Nome,$E79)&gt;0,$K79&gt;3*INDEX(Esp_Dur,MATCH($E79,Esp_Nome,0))),"Duração atípica (&gt;3x a média) | ",""),""))</f>
        <v/>
      </c>
      <c r="R79" s="15">
        <f>IF(NOT(ISNUMBER($C79)),0,ROUND(MOD($C79-Turno_Ini,1)*1440,0))</f>
        <v/>
      </c>
      <c r="S79" s="15">
        <f>IF($L79&lt;=0,0,$R79+$K79)</f>
        <v/>
      </c>
      <c r="T79" s="15">
        <f>IF($M79="","",$B79&amp;"#"&amp;$M79)</f>
        <v/>
      </c>
      <c r="U79" s="15">
        <f>ROW()</f>
        <v/>
      </c>
    </row>
    <row r="80">
      <c r="A80" s="38" t="n"/>
      <c r="B80" s="29" t="n"/>
      <c r="C80" s="42" t="n"/>
      <c r="D80" s="42" t="n"/>
      <c r="E80" s="30" t="n"/>
      <c r="F80" s="34">
        <f>IF($E80="","",IFERROR(INDEX(Esp_Hab,MATCH($E80,Esp_Nome,0)),"—"))</f>
        <v/>
      </c>
      <c r="G80" s="30" t="n"/>
      <c r="H80" s="30" t="n"/>
      <c r="I80" s="29" t="n"/>
      <c r="J80" s="29" t="n"/>
      <c r="K80" s="37">
        <f>IF(OR($B80="",NOT(ISNUMBER($C80)),NOT(ISNUMBER($D80))),"",ROUND(MOD($D80-$C80,1)*1440,0))</f>
        <v/>
      </c>
      <c r="L80" s="37">
        <f>IF(NOT(ISNUMBER($K80)),0,IF(OR($K80&lt;=0,$J80="Cancelada",$J80="Suspensa"),0,$K80+Limpeza_Min))</f>
        <v/>
      </c>
      <c r="M80" s="37">
        <f>IF($L80&lt;=0,"",SUMPRODUCT((Mapa_Sala=$B80)*(Mapa_Data=$A80)*(Mapa_MinOcup&gt;0)*((Mapa_RelIni&lt;$R80)+((Mapa_RelIni=$R80)*(Mapa_Row&lt;=$U80)))))</f>
        <v/>
      </c>
      <c r="N80" s="43">
        <f>IF($L80&lt;=0,"",MOD(Turno_Ini+($S80+Limpeza_Min)/1440,1))</f>
        <v/>
      </c>
      <c r="O80" s="37">
        <f>IF($L80&lt;=0,"",MAX(0,IFERROR(INDEX(Mapa_RelIni,MATCH($B80&amp;"#"&amp;($M80+1),Mapa_Chave,0)),Turno_Min)-($S80+Limpeza_Min)))</f>
        <v/>
      </c>
      <c r="P80" s="19">
        <f>IF($B80="","",IF($Q80="","OK",LEFT($Q80,LEN($Q80)-3)))</f>
        <v/>
      </c>
      <c r="Q80" s="10">
        <f>IF($B80="","",IF(COUNTIF(Postos_Cod,$B80)=0,"Sala não cadastrada | ","")&amp;IF(AND(COUNTIF(Postos_Cod,$B80)&gt;0,IFERROR(INDEX(Postos_Tipo,MATCH($B80,Postos_Cod,0)),"")&lt;&gt;"Sala cirúrgica"),"Posto não é sala cirúrgica | ","")&amp;IF(AND(COUNTIF(Postos_Cod,$B80)&gt;0,IFERROR(INDEX(Postos_Status,MATCH($B80,Postos_Cod,0)),"")&lt;&gt;"Ativo"),"Sala não ativa | ","")&amp;IF(COUNTIF(Esp_Nome,$E80)=0,"Especialidade não cadastrada | ","")&amp;IF(COUNTIF(Lista_StatusCirurgia,$J80)=0,"Status inválido | ","")&amp;IF(OR(NOT(ISNUMBER($C80)),NOT(ISNUMBER($D80))),"Horário inválido | ","")&amp;IFERROR(IF(AND(ISNUMBER($C80),ISNUMBER($D80),MOD($D80-$C80,1)*1440&lt;=0),"Duração nula ou negativa | ",""),"")&amp;IF(AND($L80&gt;0,OR($R80&gt;=Turno_Min,$S80&gt;Turno_Min)),"Fora da janela do plantão | ","")&amp;IF(AND($L80&gt;0,SUMPRODUCT((Mapa_Sala=$B80)*(Mapa_Data=$A80)*(Mapa_MinOcup&gt;0)*(Mapa_RelIni&lt;$S80)*(Mapa_RelFim&gt;$R80))&gt;1),"Sobreposição de horário na sala | ","")&amp;IFERROR(IF(AND(ISNUMBER($K80),$K80&gt;0,COUNTIF(Esp_Nome,$E80)&gt;0,$K80&gt;3*INDEX(Esp_Dur,MATCH($E80,Esp_Nome,0))),"Duração atípica (&gt;3x a média) | ",""),""))</f>
        <v/>
      </c>
      <c r="R80" s="15">
        <f>IF(NOT(ISNUMBER($C80)),0,ROUND(MOD($C80-Turno_Ini,1)*1440,0))</f>
        <v/>
      </c>
      <c r="S80" s="15">
        <f>IF($L80&lt;=0,0,$R80+$K80)</f>
        <v/>
      </c>
      <c r="T80" s="15">
        <f>IF($M80="","",$B80&amp;"#"&amp;$M80)</f>
        <v/>
      </c>
      <c r="U80" s="15">
        <f>ROW()</f>
        <v/>
      </c>
    </row>
    <row r="81">
      <c r="A81" s="38" t="n"/>
      <c r="B81" s="29" t="n"/>
      <c r="C81" s="42" t="n"/>
      <c r="D81" s="42" t="n"/>
      <c r="E81" s="30" t="n"/>
      <c r="F81" s="34">
        <f>IF($E81="","",IFERROR(INDEX(Esp_Hab,MATCH($E81,Esp_Nome,0)),"—"))</f>
        <v/>
      </c>
      <c r="G81" s="30" t="n"/>
      <c r="H81" s="30" t="n"/>
      <c r="I81" s="29" t="n"/>
      <c r="J81" s="29" t="n"/>
      <c r="K81" s="37">
        <f>IF(OR($B81="",NOT(ISNUMBER($C81)),NOT(ISNUMBER($D81))),"",ROUND(MOD($D81-$C81,1)*1440,0))</f>
        <v/>
      </c>
      <c r="L81" s="37">
        <f>IF(NOT(ISNUMBER($K81)),0,IF(OR($K81&lt;=0,$J81="Cancelada",$J81="Suspensa"),0,$K81+Limpeza_Min))</f>
        <v/>
      </c>
      <c r="M81" s="37">
        <f>IF($L81&lt;=0,"",SUMPRODUCT((Mapa_Sala=$B81)*(Mapa_Data=$A81)*(Mapa_MinOcup&gt;0)*((Mapa_RelIni&lt;$R81)+((Mapa_RelIni=$R81)*(Mapa_Row&lt;=$U81)))))</f>
        <v/>
      </c>
      <c r="N81" s="43">
        <f>IF($L81&lt;=0,"",MOD(Turno_Ini+($S81+Limpeza_Min)/1440,1))</f>
        <v/>
      </c>
      <c r="O81" s="37">
        <f>IF($L81&lt;=0,"",MAX(0,IFERROR(INDEX(Mapa_RelIni,MATCH($B81&amp;"#"&amp;($M81+1),Mapa_Chave,0)),Turno_Min)-($S81+Limpeza_Min)))</f>
        <v/>
      </c>
      <c r="P81" s="19">
        <f>IF($B81="","",IF($Q81="","OK",LEFT($Q81,LEN($Q81)-3)))</f>
        <v/>
      </c>
      <c r="Q81" s="10">
        <f>IF($B81="","",IF(COUNTIF(Postos_Cod,$B81)=0,"Sala não cadastrada | ","")&amp;IF(AND(COUNTIF(Postos_Cod,$B81)&gt;0,IFERROR(INDEX(Postos_Tipo,MATCH($B81,Postos_Cod,0)),"")&lt;&gt;"Sala cirúrgica"),"Posto não é sala cirúrgica | ","")&amp;IF(AND(COUNTIF(Postos_Cod,$B81)&gt;0,IFERROR(INDEX(Postos_Status,MATCH($B81,Postos_Cod,0)),"")&lt;&gt;"Ativo"),"Sala não ativa | ","")&amp;IF(COUNTIF(Esp_Nome,$E81)=0,"Especialidade não cadastrada | ","")&amp;IF(COUNTIF(Lista_StatusCirurgia,$J81)=0,"Status inválido | ","")&amp;IF(OR(NOT(ISNUMBER($C81)),NOT(ISNUMBER($D81))),"Horário inválido | ","")&amp;IFERROR(IF(AND(ISNUMBER($C81),ISNUMBER($D81),MOD($D81-$C81,1)*1440&lt;=0),"Duração nula ou negativa | ",""),"")&amp;IF(AND($L81&gt;0,OR($R81&gt;=Turno_Min,$S81&gt;Turno_Min)),"Fora da janela do plantão | ","")&amp;IF(AND($L81&gt;0,SUMPRODUCT((Mapa_Sala=$B81)*(Mapa_Data=$A81)*(Mapa_MinOcup&gt;0)*(Mapa_RelIni&lt;$S81)*(Mapa_RelFim&gt;$R81))&gt;1),"Sobreposição de horário na sala | ","")&amp;IFERROR(IF(AND(ISNUMBER($K81),$K81&gt;0,COUNTIF(Esp_Nome,$E81)&gt;0,$K81&gt;3*INDEX(Esp_Dur,MATCH($E81,Esp_Nome,0))),"Duração atípica (&gt;3x a média) | ",""),""))</f>
        <v/>
      </c>
      <c r="R81" s="15">
        <f>IF(NOT(ISNUMBER($C81)),0,ROUND(MOD($C81-Turno_Ini,1)*1440,0))</f>
        <v/>
      </c>
      <c r="S81" s="15">
        <f>IF($L81&lt;=0,0,$R81+$K81)</f>
        <v/>
      </c>
      <c r="T81" s="15">
        <f>IF($M81="","",$B81&amp;"#"&amp;$M81)</f>
        <v/>
      </c>
      <c r="U81" s="15">
        <f>ROW()</f>
        <v/>
      </c>
    </row>
    <row r="82">
      <c r="A82" s="38" t="n"/>
      <c r="B82" s="29" t="n"/>
      <c r="C82" s="42" t="n"/>
      <c r="D82" s="42" t="n"/>
      <c r="E82" s="30" t="n"/>
      <c r="F82" s="34">
        <f>IF($E82="","",IFERROR(INDEX(Esp_Hab,MATCH($E82,Esp_Nome,0)),"—"))</f>
        <v/>
      </c>
      <c r="G82" s="30" t="n"/>
      <c r="H82" s="30" t="n"/>
      <c r="I82" s="29" t="n"/>
      <c r="J82" s="29" t="n"/>
      <c r="K82" s="37">
        <f>IF(OR($B82="",NOT(ISNUMBER($C82)),NOT(ISNUMBER($D82))),"",ROUND(MOD($D82-$C82,1)*1440,0))</f>
        <v/>
      </c>
      <c r="L82" s="37">
        <f>IF(NOT(ISNUMBER($K82)),0,IF(OR($K82&lt;=0,$J82="Cancelada",$J82="Suspensa"),0,$K82+Limpeza_Min))</f>
        <v/>
      </c>
      <c r="M82" s="37">
        <f>IF($L82&lt;=0,"",SUMPRODUCT((Mapa_Sala=$B82)*(Mapa_Data=$A82)*(Mapa_MinOcup&gt;0)*((Mapa_RelIni&lt;$R82)+((Mapa_RelIni=$R82)*(Mapa_Row&lt;=$U82)))))</f>
        <v/>
      </c>
      <c r="N82" s="43">
        <f>IF($L82&lt;=0,"",MOD(Turno_Ini+($S82+Limpeza_Min)/1440,1))</f>
        <v/>
      </c>
      <c r="O82" s="37">
        <f>IF($L82&lt;=0,"",MAX(0,IFERROR(INDEX(Mapa_RelIni,MATCH($B82&amp;"#"&amp;($M82+1),Mapa_Chave,0)),Turno_Min)-($S82+Limpeza_Min)))</f>
        <v/>
      </c>
      <c r="P82" s="19">
        <f>IF($B82="","",IF($Q82="","OK",LEFT($Q82,LEN($Q82)-3)))</f>
        <v/>
      </c>
      <c r="Q82" s="10">
        <f>IF($B82="","",IF(COUNTIF(Postos_Cod,$B82)=0,"Sala não cadastrada | ","")&amp;IF(AND(COUNTIF(Postos_Cod,$B82)&gt;0,IFERROR(INDEX(Postos_Tipo,MATCH($B82,Postos_Cod,0)),"")&lt;&gt;"Sala cirúrgica"),"Posto não é sala cirúrgica | ","")&amp;IF(AND(COUNTIF(Postos_Cod,$B82)&gt;0,IFERROR(INDEX(Postos_Status,MATCH($B82,Postos_Cod,0)),"")&lt;&gt;"Ativo"),"Sala não ativa | ","")&amp;IF(COUNTIF(Esp_Nome,$E82)=0,"Especialidade não cadastrada | ","")&amp;IF(COUNTIF(Lista_StatusCirurgia,$J82)=0,"Status inválido | ","")&amp;IF(OR(NOT(ISNUMBER($C82)),NOT(ISNUMBER($D82))),"Horário inválido | ","")&amp;IFERROR(IF(AND(ISNUMBER($C82),ISNUMBER($D82),MOD($D82-$C82,1)*1440&lt;=0),"Duração nula ou negativa | ",""),"")&amp;IF(AND($L82&gt;0,OR($R82&gt;=Turno_Min,$S82&gt;Turno_Min)),"Fora da janela do plantão | ","")&amp;IF(AND($L82&gt;0,SUMPRODUCT((Mapa_Sala=$B82)*(Mapa_Data=$A82)*(Mapa_MinOcup&gt;0)*(Mapa_RelIni&lt;$S82)*(Mapa_RelFim&gt;$R82))&gt;1),"Sobreposição de horário na sala | ","")&amp;IFERROR(IF(AND(ISNUMBER($K82),$K82&gt;0,COUNTIF(Esp_Nome,$E82)&gt;0,$K82&gt;3*INDEX(Esp_Dur,MATCH($E82,Esp_Nome,0))),"Duração atípica (&gt;3x a média) | ",""),""))</f>
        <v/>
      </c>
      <c r="R82" s="15">
        <f>IF(NOT(ISNUMBER($C82)),0,ROUND(MOD($C82-Turno_Ini,1)*1440,0))</f>
        <v/>
      </c>
      <c r="S82" s="15">
        <f>IF($L82&lt;=0,0,$R82+$K82)</f>
        <v/>
      </c>
      <c r="T82" s="15">
        <f>IF($M82="","",$B82&amp;"#"&amp;$M82)</f>
        <v/>
      </c>
      <c r="U82" s="15">
        <f>ROW()</f>
        <v/>
      </c>
    </row>
    <row r="83">
      <c r="A83" s="38" t="n"/>
      <c r="B83" s="29" t="n"/>
      <c r="C83" s="42" t="n"/>
      <c r="D83" s="42" t="n"/>
      <c r="E83" s="30" t="n"/>
      <c r="F83" s="34">
        <f>IF($E83="","",IFERROR(INDEX(Esp_Hab,MATCH($E83,Esp_Nome,0)),"—"))</f>
        <v/>
      </c>
      <c r="G83" s="30" t="n"/>
      <c r="H83" s="30" t="n"/>
      <c r="I83" s="29" t="n"/>
      <c r="J83" s="29" t="n"/>
      <c r="K83" s="37">
        <f>IF(OR($B83="",NOT(ISNUMBER($C83)),NOT(ISNUMBER($D83))),"",ROUND(MOD($D83-$C83,1)*1440,0))</f>
        <v/>
      </c>
      <c r="L83" s="37">
        <f>IF(NOT(ISNUMBER($K83)),0,IF(OR($K83&lt;=0,$J83="Cancelada",$J83="Suspensa"),0,$K83+Limpeza_Min))</f>
        <v/>
      </c>
      <c r="M83" s="37">
        <f>IF($L83&lt;=0,"",SUMPRODUCT((Mapa_Sala=$B83)*(Mapa_Data=$A83)*(Mapa_MinOcup&gt;0)*((Mapa_RelIni&lt;$R83)+((Mapa_RelIni=$R83)*(Mapa_Row&lt;=$U83)))))</f>
        <v/>
      </c>
      <c r="N83" s="43">
        <f>IF($L83&lt;=0,"",MOD(Turno_Ini+($S83+Limpeza_Min)/1440,1))</f>
        <v/>
      </c>
      <c r="O83" s="37">
        <f>IF($L83&lt;=0,"",MAX(0,IFERROR(INDEX(Mapa_RelIni,MATCH($B83&amp;"#"&amp;($M83+1),Mapa_Chave,0)),Turno_Min)-($S83+Limpeza_Min)))</f>
        <v/>
      </c>
      <c r="P83" s="19">
        <f>IF($B83="","",IF($Q83="","OK",LEFT($Q83,LEN($Q83)-3)))</f>
        <v/>
      </c>
      <c r="Q83" s="10">
        <f>IF($B83="","",IF(COUNTIF(Postos_Cod,$B83)=0,"Sala não cadastrada | ","")&amp;IF(AND(COUNTIF(Postos_Cod,$B83)&gt;0,IFERROR(INDEX(Postos_Tipo,MATCH($B83,Postos_Cod,0)),"")&lt;&gt;"Sala cirúrgica"),"Posto não é sala cirúrgica | ","")&amp;IF(AND(COUNTIF(Postos_Cod,$B83)&gt;0,IFERROR(INDEX(Postos_Status,MATCH($B83,Postos_Cod,0)),"")&lt;&gt;"Ativo"),"Sala não ativa | ","")&amp;IF(COUNTIF(Esp_Nome,$E83)=0,"Especialidade não cadastrada | ","")&amp;IF(COUNTIF(Lista_StatusCirurgia,$J83)=0,"Status inválido | ","")&amp;IF(OR(NOT(ISNUMBER($C83)),NOT(ISNUMBER($D83))),"Horário inválido | ","")&amp;IFERROR(IF(AND(ISNUMBER($C83),ISNUMBER($D83),MOD($D83-$C83,1)*1440&lt;=0),"Duração nula ou negativa | ",""),"")&amp;IF(AND($L83&gt;0,OR($R83&gt;=Turno_Min,$S83&gt;Turno_Min)),"Fora da janela do plantão | ","")&amp;IF(AND($L83&gt;0,SUMPRODUCT((Mapa_Sala=$B83)*(Mapa_Data=$A83)*(Mapa_MinOcup&gt;0)*(Mapa_RelIni&lt;$S83)*(Mapa_RelFim&gt;$R83))&gt;1),"Sobreposição de horário na sala | ","")&amp;IFERROR(IF(AND(ISNUMBER($K83),$K83&gt;0,COUNTIF(Esp_Nome,$E83)&gt;0,$K83&gt;3*INDEX(Esp_Dur,MATCH($E83,Esp_Nome,0))),"Duração atípica (&gt;3x a média) | ",""),""))</f>
        <v/>
      </c>
      <c r="R83" s="15">
        <f>IF(NOT(ISNUMBER($C83)),0,ROUND(MOD($C83-Turno_Ini,1)*1440,0))</f>
        <v/>
      </c>
      <c r="S83" s="15">
        <f>IF($L83&lt;=0,0,$R83+$K83)</f>
        <v/>
      </c>
      <c r="T83" s="15">
        <f>IF($M83="","",$B83&amp;"#"&amp;$M83)</f>
        <v/>
      </c>
      <c r="U83" s="15">
        <f>ROW()</f>
        <v/>
      </c>
    </row>
    <row r="84">
      <c r="A84" s="38" t="n"/>
      <c r="B84" s="29" t="n"/>
      <c r="C84" s="42" t="n"/>
      <c r="D84" s="42" t="n"/>
      <c r="E84" s="30" t="n"/>
      <c r="F84" s="34">
        <f>IF($E84="","",IFERROR(INDEX(Esp_Hab,MATCH($E84,Esp_Nome,0)),"—"))</f>
        <v/>
      </c>
      <c r="G84" s="30" t="n"/>
      <c r="H84" s="30" t="n"/>
      <c r="I84" s="29" t="n"/>
      <c r="J84" s="29" t="n"/>
      <c r="K84" s="37">
        <f>IF(OR($B84="",NOT(ISNUMBER($C84)),NOT(ISNUMBER($D84))),"",ROUND(MOD($D84-$C84,1)*1440,0))</f>
        <v/>
      </c>
      <c r="L84" s="37">
        <f>IF(NOT(ISNUMBER($K84)),0,IF(OR($K84&lt;=0,$J84="Cancelada",$J84="Suspensa"),0,$K84+Limpeza_Min))</f>
        <v/>
      </c>
      <c r="M84" s="37">
        <f>IF($L84&lt;=0,"",SUMPRODUCT((Mapa_Sala=$B84)*(Mapa_Data=$A84)*(Mapa_MinOcup&gt;0)*((Mapa_RelIni&lt;$R84)+((Mapa_RelIni=$R84)*(Mapa_Row&lt;=$U84)))))</f>
        <v/>
      </c>
      <c r="N84" s="43">
        <f>IF($L84&lt;=0,"",MOD(Turno_Ini+($S84+Limpeza_Min)/1440,1))</f>
        <v/>
      </c>
      <c r="O84" s="37">
        <f>IF($L84&lt;=0,"",MAX(0,IFERROR(INDEX(Mapa_RelIni,MATCH($B84&amp;"#"&amp;($M84+1),Mapa_Chave,0)),Turno_Min)-($S84+Limpeza_Min)))</f>
        <v/>
      </c>
      <c r="P84" s="19">
        <f>IF($B84="","",IF($Q84="","OK",LEFT($Q84,LEN($Q84)-3)))</f>
        <v/>
      </c>
      <c r="Q84" s="10">
        <f>IF($B84="","",IF(COUNTIF(Postos_Cod,$B84)=0,"Sala não cadastrada | ","")&amp;IF(AND(COUNTIF(Postos_Cod,$B84)&gt;0,IFERROR(INDEX(Postos_Tipo,MATCH($B84,Postos_Cod,0)),"")&lt;&gt;"Sala cirúrgica"),"Posto não é sala cirúrgica | ","")&amp;IF(AND(COUNTIF(Postos_Cod,$B84)&gt;0,IFERROR(INDEX(Postos_Status,MATCH($B84,Postos_Cod,0)),"")&lt;&gt;"Ativo"),"Sala não ativa | ","")&amp;IF(COUNTIF(Esp_Nome,$E84)=0,"Especialidade não cadastrada | ","")&amp;IF(COUNTIF(Lista_StatusCirurgia,$J84)=0,"Status inválido | ","")&amp;IF(OR(NOT(ISNUMBER($C84)),NOT(ISNUMBER($D84))),"Horário inválido | ","")&amp;IFERROR(IF(AND(ISNUMBER($C84),ISNUMBER($D84),MOD($D84-$C84,1)*1440&lt;=0),"Duração nula ou negativa | ",""),"")&amp;IF(AND($L84&gt;0,OR($R84&gt;=Turno_Min,$S84&gt;Turno_Min)),"Fora da janela do plantão | ","")&amp;IF(AND($L84&gt;0,SUMPRODUCT((Mapa_Sala=$B84)*(Mapa_Data=$A84)*(Mapa_MinOcup&gt;0)*(Mapa_RelIni&lt;$S84)*(Mapa_RelFim&gt;$R84))&gt;1),"Sobreposição de horário na sala | ","")&amp;IFERROR(IF(AND(ISNUMBER($K84),$K84&gt;0,COUNTIF(Esp_Nome,$E84)&gt;0,$K84&gt;3*INDEX(Esp_Dur,MATCH($E84,Esp_Nome,0))),"Duração atípica (&gt;3x a média) | ",""),""))</f>
        <v/>
      </c>
      <c r="R84" s="15">
        <f>IF(NOT(ISNUMBER($C84)),0,ROUND(MOD($C84-Turno_Ini,1)*1440,0))</f>
        <v/>
      </c>
      <c r="S84" s="15">
        <f>IF($L84&lt;=0,0,$R84+$K84)</f>
        <v/>
      </c>
      <c r="T84" s="15">
        <f>IF($M84="","",$B84&amp;"#"&amp;$M84)</f>
        <v/>
      </c>
      <c r="U84" s="15">
        <f>ROW()</f>
        <v/>
      </c>
    </row>
    <row r="85">
      <c r="A85" s="38" t="n"/>
      <c r="B85" s="29" t="n"/>
      <c r="C85" s="42" t="n"/>
      <c r="D85" s="42" t="n"/>
      <c r="E85" s="30" t="n"/>
      <c r="F85" s="34">
        <f>IF($E85="","",IFERROR(INDEX(Esp_Hab,MATCH($E85,Esp_Nome,0)),"—"))</f>
        <v/>
      </c>
      <c r="G85" s="30" t="n"/>
      <c r="H85" s="30" t="n"/>
      <c r="I85" s="29" t="n"/>
      <c r="J85" s="29" t="n"/>
      <c r="K85" s="37">
        <f>IF(OR($B85="",NOT(ISNUMBER($C85)),NOT(ISNUMBER($D85))),"",ROUND(MOD($D85-$C85,1)*1440,0))</f>
        <v/>
      </c>
      <c r="L85" s="37">
        <f>IF(NOT(ISNUMBER($K85)),0,IF(OR($K85&lt;=0,$J85="Cancelada",$J85="Suspensa"),0,$K85+Limpeza_Min))</f>
        <v/>
      </c>
      <c r="M85" s="37">
        <f>IF($L85&lt;=0,"",SUMPRODUCT((Mapa_Sala=$B85)*(Mapa_Data=$A85)*(Mapa_MinOcup&gt;0)*((Mapa_RelIni&lt;$R85)+((Mapa_RelIni=$R85)*(Mapa_Row&lt;=$U85)))))</f>
        <v/>
      </c>
      <c r="N85" s="43">
        <f>IF($L85&lt;=0,"",MOD(Turno_Ini+($S85+Limpeza_Min)/1440,1))</f>
        <v/>
      </c>
      <c r="O85" s="37">
        <f>IF($L85&lt;=0,"",MAX(0,IFERROR(INDEX(Mapa_RelIni,MATCH($B85&amp;"#"&amp;($M85+1),Mapa_Chave,0)),Turno_Min)-($S85+Limpeza_Min)))</f>
        <v/>
      </c>
      <c r="P85" s="19">
        <f>IF($B85="","",IF($Q85="","OK",LEFT($Q85,LEN($Q85)-3)))</f>
        <v/>
      </c>
      <c r="Q85" s="10">
        <f>IF($B85="","",IF(COUNTIF(Postos_Cod,$B85)=0,"Sala não cadastrada | ","")&amp;IF(AND(COUNTIF(Postos_Cod,$B85)&gt;0,IFERROR(INDEX(Postos_Tipo,MATCH($B85,Postos_Cod,0)),"")&lt;&gt;"Sala cirúrgica"),"Posto não é sala cirúrgica | ","")&amp;IF(AND(COUNTIF(Postos_Cod,$B85)&gt;0,IFERROR(INDEX(Postos_Status,MATCH($B85,Postos_Cod,0)),"")&lt;&gt;"Ativo"),"Sala não ativa | ","")&amp;IF(COUNTIF(Esp_Nome,$E85)=0,"Especialidade não cadastrada | ","")&amp;IF(COUNTIF(Lista_StatusCirurgia,$J85)=0,"Status inválido | ","")&amp;IF(OR(NOT(ISNUMBER($C85)),NOT(ISNUMBER($D85))),"Horário inválido | ","")&amp;IFERROR(IF(AND(ISNUMBER($C85),ISNUMBER($D85),MOD($D85-$C85,1)*1440&lt;=0),"Duração nula ou negativa | ",""),"")&amp;IF(AND($L85&gt;0,OR($R85&gt;=Turno_Min,$S85&gt;Turno_Min)),"Fora da janela do plantão | ","")&amp;IF(AND($L85&gt;0,SUMPRODUCT((Mapa_Sala=$B85)*(Mapa_Data=$A85)*(Mapa_MinOcup&gt;0)*(Mapa_RelIni&lt;$S85)*(Mapa_RelFim&gt;$R85))&gt;1),"Sobreposição de horário na sala | ","")&amp;IFERROR(IF(AND(ISNUMBER($K85),$K85&gt;0,COUNTIF(Esp_Nome,$E85)&gt;0,$K85&gt;3*INDEX(Esp_Dur,MATCH($E85,Esp_Nome,0))),"Duração atípica (&gt;3x a média) | ",""),""))</f>
        <v/>
      </c>
      <c r="R85" s="15">
        <f>IF(NOT(ISNUMBER($C85)),0,ROUND(MOD($C85-Turno_Ini,1)*1440,0))</f>
        <v/>
      </c>
      <c r="S85" s="15">
        <f>IF($L85&lt;=0,0,$R85+$K85)</f>
        <v/>
      </c>
      <c r="T85" s="15">
        <f>IF($M85="","",$B85&amp;"#"&amp;$M85)</f>
        <v/>
      </c>
      <c r="U85" s="15">
        <f>ROW()</f>
        <v/>
      </c>
    </row>
    <row r="86">
      <c r="A86" s="38" t="n"/>
      <c r="B86" s="29" t="n"/>
      <c r="C86" s="42" t="n"/>
      <c r="D86" s="42" t="n"/>
      <c r="E86" s="30" t="n"/>
      <c r="F86" s="34">
        <f>IF($E86="","",IFERROR(INDEX(Esp_Hab,MATCH($E86,Esp_Nome,0)),"—"))</f>
        <v/>
      </c>
      <c r="G86" s="30" t="n"/>
      <c r="H86" s="30" t="n"/>
      <c r="I86" s="29" t="n"/>
      <c r="J86" s="29" t="n"/>
      <c r="K86" s="37">
        <f>IF(OR($B86="",NOT(ISNUMBER($C86)),NOT(ISNUMBER($D86))),"",ROUND(MOD($D86-$C86,1)*1440,0))</f>
        <v/>
      </c>
      <c r="L86" s="37">
        <f>IF(NOT(ISNUMBER($K86)),0,IF(OR($K86&lt;=0,$J86="Cancelada",$J86="Suspensa"),0,$K86+Limpeza_Min))</f>
        <v/>
      </c>
      <c r="M86" s="37">
        <f>IF($L86&lt;=0,"",SUMPRODUCT((Mapa_Sala=$B86)*(Mapa_Data=$A86)*(Mapa_MinOcup&gt;0)*((Mapa_RelIni&lt;$R86)+((Mapa_RelIni=$R86)*(Mapa_Row&lt;=$U86)))))</f>
        <v/>
      </c>
      <c r="N86" s="43">
        <f>IF($L86&lt;=0,"",MOD(Turno_Ini+($S86+Limpeza_Min)/1440,1))</f>
        <v/>
      </c>
      <c r="O86" s="37">
        <f>IF($L86&lt;=0,"",MAX(0,IFERROR(INDEX(Mapa_RelIni,MATCH($B86&amp;"#"&amp;($M86+1),Mapa_Chave,0)),Turno_Min)-($S86+Limpeza_Min)))</f>
        <v/>
      </c>
      <c r="P86" s="19">
        <f>IF($B86="","",IF($Q86="","OK",LEFT($Q86,LEN($Q86)-3)))</f>
        <v/>
      </c>
      <c r="Q86" s="10">
        <f>IF($B86="","",IF(COUNTIF(Postos_Cod,$B86)=0,"Sala não cadastrada | ","")&amp;IF(AND(COUNTIF(Postos_Cod,$B86)&gt;0,IFERROR(INDEX(Postos_Tipo,MATCH($B86,Postos_Cod,0)),"")&lt;&gt;"Sala cirúrgica"),"Posto não é sala cirúrgica | ","")&amp;IF(AND(COUNTIF(Postos_Cod,$B86)&gt;0,IFERROR(INDEX(Postos_Status,MATCH($B86,Postos_Cod,0)),"")&lt;&gt;"Ativo"),"Sala não ativa | ","")&amp;IF(COUNTIF(Esp_Nome,$E86)=0,"Especialidade não cadastrada | ","")&amp;IF(COUNTIF(Lista_StatusCirurgia,$J86)=0,"Status inválido | ","")&amp;IF(OR(NOT(ISNUMBER($C86)),NOT(ISNUMBER($D86))),"Horário inválido | ","")&amp;IFERROR(IF(AND(ISNUMBER($C86),ISNUMBER($D86),MOD($D86-$C86,1)*1440&lt;=0),"Duração nula ou negativa | ",""),"")&amp;IF(AND($L86&gt;0,OR($R86&gt;=Turno_Min,$S86&gt;Turno_Min)),"Fora da janela do plantão | ","")&amp;IF(AND($L86&gt;0,SUMPRODUCT((Mapa_Sala=$B86)*(Mapa_Data=$A86)*(Mapa_MinOcup&gt;0)*(Mapa_RelIni&lt;$S86)*(Mapa_RelFim&gt;$R86))&gt;1),"Sobreposição de horário na sala | ","")&amp;IFERROR(IF(AND(ISNUMBER($K86),$K86&gt;0,COUNTIF(Esp_Nome,$E86)&gt;0,$K86&gt;3*INDEX(Esp_Dur,MATCH($E86,Esp_Nome,0))),"Duração atípica (&gt;3x a média) | ",""),""))</f>
        <v/>
      </c>
      <c r="R86" s="15">
        <f>IF(NOT(ISNUMBER($C86)),0,ROUND(MOD($C86-Turno_Ini,1)*1440,0))</f>
        <v/>
      </c>
      <c r="S86" s="15">
        <f>IF($L86&lt;=0,0,$R86+$K86)</f>
        <v/>
      </c>
      <c r="T86" s="15">
        <f>IF($M86="","",$B86&amp;"#"&amp;$M86)</f>
        <v/>
      </c>
      <c r="U86" s="15">
        <f>ROW()</f>
        <v/>
      </c>
    </row>
    <row r="87">
      <c r="A87" s="38" t="n"/>
      <c r="B87" s="29" t="n"/>
      <c r="C87" s="42" t="n"/>
      <c r="D87" s="42" t="n"/>
      <c r="E87" s="30" t="n"/>
      <c r="F87" s="34">
        <f>IF($E87="","",IFERROR(INDEX(Esp_Hab,MATCH($E87,Esp_Nome,0)),"—"))</f>
        <v/>
      </c>
      <c r="G87" s="30" t="n"/>
      <c r="H87" s="30" t="n"/>
      <c r="I87" s="29" t="n"/>
      <c r="J87" s="29" t="n"/>
      <c r="K87" s="37">
        <f>IF(OR($B87="",NOT(ISNUMBER($C87)),NOT(ISNUMBER($D87))),"",ROUND(MOD($D87-$C87,1)*1440,0))</f>
        <v/>
      </c>
      <c r="L87" s="37">
        <f>IF(NOT(ISNUMBER($K87)),0,IF(OR($K87&lt;=0,$J87="Cancelada",$J87="Suspensa"),0,$K87+Limpeza_Min))</f>
        <v/>
      </c>
      <c r="M87" s="37">
        <f>IF($L87&lt;=0,"",SUMPRODUCT((Mapa_Sala=$B87)*(Mapa_Data=$A87)*(Mapa_MinOcup&gt;0)*((Mapa_RelIni&lt;$R87)+((Mapa_RelIni=$R87)*(Mapa_Row&lt;=$U87)))))</f>
        <v/>
      </c>
      <c r="N87" s="43">
        <f>IF($L87&lt;=0,"",MOD(Turno_Ini+($S87+Limpeza_Min)/1440,1))</f>
        <v/>
      </c>
      <c r="O87" s="37">
        <f>IF($L87&lt;=0,"",MAX(0,IFERROR(INDEX(Mapa_RelIni,MATCH($B87&amp;"#"&amp;($M87+1),Mapa_Chave,0)),Turno_Min)-($S87+Limpeza_Min)))</f>
        <v/>
      </c>
      <c r="P87" s="19">
        <f>IF($B87="","",IF($Q87="","OK",LEFT($Q87,LEN($Q87)-3)))</f>
        <v/>
      </c>
      <c r="Q87" s="10">
        <f>IF($B87="","",IF(COUNTIF(Postos_Cod,$B87)=0,"Sala não cadastrada | ","")&amp;IF(AND(COUNTIF(Postos_Cod,$B87)&gt;0,IFERROR(INDEX(Postos_Tipo,MATCH($B87,Postos_Cod,0)),"")&lt;&gt;"Sala cirúrgica"),"Posto não é sala cirúrgica | ","")&amp;IF(AND(COUNTIF(Postos_Cod,$B87)&gt;0,IFERROR(INDEX(Postos_Status,MATCH($B87,Postos_Cod,0)),"")&lt;&gt;"Ativo"),"Sala não ativa | ","")&amp;IF(COUNTIF(Esp_Nome,$E87)=0,"Especialidade não cadastrada | ","")&amp;IF(COUNTIF(Lista_StatusCirurgia,$J87)=0,"Status inválido | ","")&amp;IF(OR(NOT(ISNUMBER($C87)),NOT(ISNUMBER($D87))),"Horário inválido | ","")&amp;IFERROR(IF(AND(ISNUMBER($C87),ISNUMBER($D87),MOD($D87-$C87,1)*1440&lt;=0),"Duração nula ou negativa | ",""),"")&amp;IF(AND($L87&gt;0,OR($R87&gt;=Turno_Min,$S87&gt;Turno_Min)),"Fora da janela do plantão | ","")&amp;IF(AND($L87&gt;0,SUMPRODUCT((Mapa_Sala=$B87)*(Mapa_Data=$A87)*(Mapa_MinOcup&gt;0)*(Mapa_RelIni&lt;$S87)*(Mapa_RelFim&gt;$R87))&gt;1),"Sobreposição de horário na sala | ","")&amp;IFERROR(IF(AND(ISNUMBER($K87),$K87&gt;0,COUNTIF(Esp_Nome,$E87)&gt;0,$K87&gt;3*INDEX(Esp_Dur,MATCH($E87,Esp_Nome,0))),"Duração atípica (&gt;3x a média) | ",""),""))</f>
        <v/>
      </c>
      <c r="R87" s="15">
        <f>IF(NOT(ISNUMBER($C87)),0,ROUND(MOD($C87-Turno_Ini,1)*1440,0))</f>
        <v/>
      </c>
      <c r="S87" s="15">
        <f>IF($L87&lt;=0,0,$R87+$K87)</f>
        <v/>
      </c>
      <c r="T87" s="15">
        <f>IF($M87="","",$B87&amp;"#"&amp;$M87)</f>
        <v/>
      </c>
      <c r="U87" s="15">
        <f>ROW()</f>
        <v/>
      </c>
    </row>
    <row r="88">
      <c r="A88" s="38" t="n"/>
      <c r="B88" s="29" t="n"/>
      <c r="C88" s="42" t="n"/>
      <c r="D88" s="42" t="n"/>
      <c r="E88" s="30" t="n"/>
      <c r="F88" s="34">
        <f>IF($E88="","",IFERROR(INDEX(Esp_Hab,MATCH($E88,Esp_Nome,0)),"—"))</f>
        <v/>
      </c>
      <c r="G88" s="30" t="n"/>
      <c r="H88" s="30" t="n"/>
      <c r="I88" s="29" t="n"/>
      <c r="J88" s="29" t="n"/>
      <c r="K88" s="37">
        <f>IF(OR($B88="",NOT(ISNUMBER($C88)),NOT(ISNUMBER($D88))),"",ROUND(MOD($D88-$C88,1)*1440,0))</f>
        <v/>
      </c>
      <c r="L88" s="37">
        <f>IF(NOT(ISNUMBER($K88)),0,IF(OR($K88&lt;=0,$J88="Cancelada",$J88="Suspensa"),0,$K88+Limpeza_Min))</f>
        <v/>
      </c>
      <c r="M88" s="37">
        <f>IF($L88&lt;=0,"",SUMPRODUCT((Mapa_Sala=$B88)*(Mapa_Data=$A88)*(Mapa_MinOcup&gt;0)*((Mapa_RelIni&lt;$R88)+((Mapa_RelIni=$R88)*(Mapa_Row&lt;=$U88)))))</f>
        <v/>
      </c>
      <c r="N88" s="43">
        <f>IF($L88&lt;=0,"",MOD(Turno_Ini+($S88+Limpeza_Min)/1440,1))</f>
        <v/>
      </c>
      <c r="O88" s="37">
        <f>IF($L88&lt;=0,"",MAX(0,IFERROR(INDEX(Mapa_RelIni,MATCH($B88&amp;"#"&amp;($M88+1),Mapa_Chave,0)),Turno_Min)-($S88+Limpeza_Min)))</f>
        <v/>
      </c>
      <c r="P88" s="19">
        <f>IF($B88="","",IF($Q88="","OK",LEFT($Q88,LEN($Q88)-3)))</f>
        <v/>
      </c>
      <c r="Q88" s="10">
        <f>IF($B88="","",IF(COUNTIF(Postos_Cod,$B88)=0,"Sala não cadastrada | ","")&amp;IF(AND(COUNTIF(Postos_Cod,$B88)&gt;0,IFERROR(INDEX(Postos_Tipo,MATCH($B88,Postos_Cod,0)),"")&lt;&gt;"Sala cirúrgica"),"Posto não é sala cirúrgica | ","")&amp;IF(AND(COUNTIF(Postos_Cod,$B88)&gt;0,IFERROR(INDEX(Postos_Status,MATCH($B88,Postos_Cod,0)),"")&lt;&gt;"Ativo"),"Sala não ativa | ","")&amp;IF(COUNTIF(Esp_Nome,$E88)=0,"Especialidade não cadastrada | ","")&amp;IF(COUNTIF(Lista_StatusCirurgia,$J88)=0,"Status inválido | ","")&amp;IF(OR(NOT(ISNUMBER($C88)),NOT(ISNUMBER($D88))),"Horário inválido | ","")&amp;IFERROR(IF(AND(ISNUMBER($C88),ISNUMBER($D88),MOD($D88-$C88,1)*1440&lt;=0),"Duração nula ou negativa | ",""),"")&amp;IF(AND($L88&gt;0,OR($R88&gt;=Turno_Min,$S88&gt;Turno_Min)),"Fora da janela do plantão | ","")&amp;IF(AND($L88&gt;0,SUMPRODUCT((Mapa_Sala=$B88)*(Mapa_Data=$A88)*(Mapa_MinOcup&gt;0)*(Mapa_RelIni&lt;$S88)*(Mapa_RelFim&gt;$R88))&gt;1),"Sobreposição de horário na sala | ","")&amp;IFERROR(IF(AND(ISNUMBER($K88),$K88&gt;0,COUNTIF(Esp_Nome,$E88)&gt;0,$K88&gt;3*INDEX(Esp_Dur,MATCH($E88,Esp_Nome,0))),"Duração atípica (&gt;3x a média) | ",""),""))</f>
        <v/>
      </c>
      <c r="R88" s="15">
        <f>IF(NOT(ISNUMBER($C88)),0,ROUND(MOD($C88-Turno_Ini,1)*1440,0))</f>
        <v/>
      </c>
      <c r="S88" s="15">
        <f>IF($L88&lt;=0,0,$R88+$K88)</f>
        <v/>
      </c>
      <c r="T88" s="15">
        <f>IF($M88="","",$B88&amp;"#"&amp;$M88)</f>
        <v/>
      </c>
      <c r="U88" s="15">
        <f>ROW()</f>
        <v/>
      </c>
    </row>
    <row r="89">
      <c r="A89" s="38" t="n"/>
      <c r="B89" s="29" t="n"/>
      <c r="C89" s="42" t="n"/>
      <c r="D89" s="42" t="n"/>
      <c r="E89" s="30" t="n"/>
      <c r="F89" s="34">
        <f>IF($E89="","",IFERROR(INDEX(Esp_Hab,MATCH($E89,Esp_Nome,0)),"—"))</f>
        <v/>
      </c>
      <c r="G89" s="30" t="n"/>
      <c r="H89" s="30" t="n"/>
      <c r="I89" s="29" t="n"/>
      <c r="J89" s="29" t="n"/>
      <c r="K89" s="37">
        <f>IF(OR($B89="",NOT(ISNUMBER($C89)),NOT(ISNUMBER($D89))),"",ROUND(MOD($D89-$C89,1)*1440,0))</f>
        <v/>
      </c>
      <c r="L89" s="37">
        <f>IF(NOT(ISNUMBER($K89)),0,IF(OR($K89&lt;=0,$J89="Cancelada",$J89="Suspensa"),0,$K89+Limpeza_Min))</f>
        <v/>
      </c>
      <c r="M89" s="37">
        <f>IF($L89&lt;=0,"",SUMPRODUCT((Mapa_Sala=$B89)*(Mapa_Data=$A89)*(Mapa_MinOcup&gt;0)*((Mapa_RelIni&lt;$R89)+((Mapa_RelIni=$R89)*(Mapa_Row&lt;=$U89)))))</f>
        <v/>
      </c>
      <c r="N89" s="43">
        <f>IF($L89&lt;=0,"",MOD(Turno_Ini+($S89+Limpeza_Min)/1440,1))</f>
        <v/>
      </c>
      <c r="O89" s="37">
        <f>IF($L89&lt;=0,"",MAX(0,IFERROR(INDEX(Mapa_RelIni,MATCH($B89&amp;"#"&amp;($M89+1),Mapa_Chave,0)),Turno_Min)-($S89+Limpeza_Min)))</f>
        <v/>
      </c>
      <c r="P89" s="19">
        <f>IF($B89="","",IF($Q89="","OK",LEFT($Q89,LEN($Q89)-3)))</f>
        <v/>
      </c>
      <c r="Q89" s="10">
        <f>IF($B89="","",IF(COUNTIF(Postos_Cod,$B89)=0,"Sala não cadastrada | ","")&amp;IF(AND(COUNTIF(Postos_Cod,$B89)&gt;0,IFERROR(INDEX(Postos_Tipo,MATCH($B89,Postos_Cod,0)),"")&lt;&gt;"Sala cirúrgica"),"Posto não é sala cirúrgica | ","")&amp;IF(AND(COUNTIF(Postos_Cod,$B89)&gt;0,IFERROR(INDEX(Postos_Status,MATCH($B89,Postos_Cod,0)),"")&lt;&gt;"Ativo"),"Sala não ativa | ","")&amp;IF(COUNTIF(Esp_Nome,$E89)=0,"Especialidade não cadastrada | ","")&amp;IF(COUNTIF(Lista_StatusCirurgia,$J89)=0,"Status inválido | ","")&amp;IF(OR(NOT(ISNUMBER($C89)),NOT(ISNUMBER($D89))),"Horário inválido | ","")&amp;IFERROR(IF(AND(ISNUMBER($C89),ISNUMBER($D89),MOD($D89-$C89,1)*1440&lt;=0),"Duração nula ou negativa | ",""),"")&amp;IF(AND($L89&gt;0,OR($R89&gt;=Turno_Min,$S89&gt;Turno_Min)),"Fora da janela do plantão | ","")&amp;IF(AND($L89&gt;0,SUMPRODUCT((Mapa_Sala=$B89)*(Mapa_Data=$A89)*(Mapa_MinOcup&gt;0)*(Mapa_RelIni&lt;$S89)*(Mapa_RelFim&gt;$R89))&gt;1),"Sobreposição de horário na sala | ","")&amp;IFERROR(IF(AND(ISNUMBER($K89),$K89&gt;0,COUNTIF(Esp_Nome,$E89)&gt;0,$K89&gt;3*INDEX(Esp_Dur,MATCH($E89,Esp_Nome,0))),"Duração atípica (&gt;3x a média) | ",""),""))</f>
        <v/>
      </c>
      <c r="R89" s="15">
        <f>IF(NOT(ISNUMBER($C89)),0,ROUND(MOD($C89-Turno_Ini,1)*1440,0))</f>
        <v/>
      </c>
      <c r="S89" s="15">
        <f>IF($L89&lt;=0,0,$R89+$K89)</f>
        <v/>
      </c>
      <c r="T89" s="15">
        <f>IF($M89="","",$B89&amp;"#"&amp;$M89)</f>
        <v/>
      </c>
      <c r="U89" s="15">
        <f>ROW()</f>
        <v/>
      </c>
    </row>
    <row r="90">
      <c r="A90" s="38" t="n"/>
      <c r="B90" s="29" t="n"/>
      <c r="C90" s="42" t="n"/>
      <c r="D90" s="42" t="n"/>
      <c r="E90" s="30" t="n"/>
      <c r="F90" s="34">
        <f>IF($E90="","",IFERROR(INDEX(Esp_Hab,MATCH($E90,Esp_Nome,0)),"—"))</f>
        <v/>
      </c>
      <c r="G90" s="30" t="n"/>
      <c r="H90" s="30" t="n"/>
      <c r="I90" s="29" t="n"/>
      <c r="J90" s="29" t="n"/>
      <c r="K90" s="37">
        <f>IF(OR($B90="",NOT(ISNUMBER($C90)),NOT(ISNUMBER($D90))),"",ROUND(MOD($D90-$C90,1)*1440,0))</f>
        <v/>
      </c>
      <c r="L90" s="37">
        <f>IF(NOT(ISNUMBER($K90)),0,IF(OR($K90&lt;=0,$J90="Cancelada",$J90="Suspensa"),0,$K90+Limpeza_Min))</f>
        <v/>
      </c>
      <c r="M90" s="37">
        <f>IF($L90&lt;=0,"",SUMPRODUCT((Mapa_Sala=$B90)*(Mapa_Data=$A90)*(Mapa_MinOcup&gt;0)*((Mapa_RelIni&lt;$R90)+((Mapa_RelIni=$R90)*(Mapa_Row&lt;=$U90)))))</f>
        <v/>
      </c>
      <c r="N90" s="43">
        <f>IF($L90&lt;=0,"",MOD(Turno_Ini+($S90+Limpeza_Min)/1440,1))</f>
        <v/>
      </c>
      <c r="O90" s="37">
        <f>IF($L90&lt;=0,"",MAX(0,IFERROR(INDEX(Mapa_RelIni,MATCH($B90&amp;"#"&amp;($M90+1),Mapa_Chave,0)),Turno_Min)-($S90+Limpeza_Min)))</f>
        <v/>
      </c>
      <c r="P90" s="19">
        <f>IF($B90="","",IF($Q90="","OK",LEFT($Q90,LEN($Q90)-3)))</f>
        <v/>
      </c>
      <c r="Q90" s="10">
        <f>IF($B90="","",IF(COUNTIF(Postos_Cod,$B90)=0,"Sala não cadastrada | ","")&amp;IF(AND(COUNTIF(Postos_Cod,$B90)&gt;0,IFERROR(INDEX(Postos_Tipo,MATCH($B90,Postos_Cod,0)),"")&lt;&gt;"Sala cirúrgica"),"Posto não é sala cirúrgica | ","")&amp;IF(AND(COUNTIF(Postos_Cod,$B90)&gt;0,IFERROR(INDEX(Postos_Status,MATCH($B90,Postos_Cod,0)),"")&lt;&gt;"Ativo"),"Sala não ativa | ","")&amp;IF(COUNTIF(Esp_Nome,$E90)=0,"Especialidade não cadastrada | ","")&amp;IF(COUNTIF(Lista_StatusCirurgia,$J90)=0,"Status inválido | ","")&amp;IF(OR(NOT(ISNUMBER($C90)),NOT(ISNUMBER($D90))),"Horário inválido | ","")&amp;IFERROR(IF(AND(ISNUMBER($C90),ISNUMBER($D90),MOD($D90-$C90,1)*1440&lt;=0),"Duração nula ou negativa | ",""),"")&amp;IF(AND($L90&gt;0,OR($R90&gt;=Turno_Min,$S90&gt;Turno_Min)),"Fora da janela do plantão | ","")&amp;IF(AND($L90&gt;0,SUMPRODUCT((Mapa_Sala=$B90)*(Mapa_Data=$A90)*(Mapa_MinOcup&gt;0)*(Mapa_RelIni&lt;$S90)*(Mapa_RelFim&gt;$R90))&gt;1),"Sobreposição de horário na sala | ","")&amp;IFERROR(IF(AND(ISNUMBER($K90),$K90&gt;0,COUNTIF(Esp_Nome,$E90)&gt;0,$K90&gt;3*INDEX(Esp_Dur,MATCH($E90,Esp_Nome,0))),"Duração atípica (&gt;3x a média) | ",""),""))</f>
        <v/>
      </c>
      <c r="R90" s="15">
        <f>IF(NOT(ISNUMBER($C90)),0,ROUND(MOD($C90-Turno_Ini,1)*1440,0))</f>
        <v/>
      </c>
      <c r="S90" s="15">
        <f>IF($L90&lt;=0,0,$R90+$K90)</f>
        <v/>
      </c>
      <c r="T90" s="15">
        <f>IF($M90="","",$B90&amp;"#"&amp;$M90)</f>
        <v/>
      </c>
      <c r="U90" s="15">
        <f>ROW()</f>
        <v/>
      </c>
    </row>
    <row r="91">
      <c r="A91" s="38" t="n"/>
      <c r="B91" s="29" t="n"/>
      <c r="C91" s="42" t="n"/>
      <c r="D91" s="42" t="n"/>
      <c r="E91" s="30" t="n"/>
      <c r="F91" s="34">
        <f>IF($E91="","",IFERROR(INDEX(Esp_Hab,MATCH($E91,Esp_Nome,0)),"—"))</f>
        <v/>
      </c>
      <c r="G91" s="30" t="n"/>
      <c r="H91" s="30" t="n"/>
      <c r="I91" s="29" t="n"/>
      <c r="J91" s="29" t="n"/>
      <c r="K91" s="37">
        <f>IF(OR($B91="",NOT(ISNUMBER($C91)),NOT(ISNUMBER($D91))),"",ROUND(MOD($D91-$C91,1)*1440,0))</f>
        <v/>
      </c>
      <c r="L91" s="37">
        <f>IF(NOT(ISNUMBER($K91)),0,IF(OR($K91&lt;=0,$J91="Cancelada",$J91="Suspensa"),0,$K91+Limpeza_Min))</f>
        <v/>
      </c>
      <c r="M91" s="37">
        <f>IF($L91&lt;=0,"",SUMPRODUCT((Mapa_Sala=$B91)*(Mapa_Data=$A91)*(Mapa_MinOcup&gt;0)*((Mapa_RelIni&lt;$R91)+((Mapa_RelIni=$R91)*(Mapa_Row&lt;=$U91)))))</f>
        <v/>
      </c>
      <c r="N91" s="43">
        <f>IF($L91&lt;=0,"",MOD(Turno_Ini+($S91+Limpeza_Min)/1440,1))</f>
        <v/>
      </c>
      <c r="O91" s="37">
        <f>IF($L91&lt;=0,"",MAX(0,IFERROR(INDEX(Mapa_RelIni,MATCH($B91&amp;"#"&amp;($M91+1),Mapa_Chave,0)),Turno_Min)-($S91+Limpeza_Min)))</f>
        <v/>
      </c>
      <c r="P91" s="19">
        <f>IF($B91="","",IF($Q91="","OK",LEFT($Q91,LEN($Q91)-3)))</f>
        <v/>
      </c>
      <c r="Q91" s="10">
        <f>IF($B91="","",IF(COUNTIF(Postos_Cod,$B91)=0,"Sala não cadastrada | ","")&amp;IF(AND(COUNTIF(Postos_Cod,$B91)&gt;0,IFERROR(INDEX(Postos_Tipo,MATCH($B91,Postos_Cod,0)),"")&lt;&gt;"Sala cirúrgica"),"Posto não é sala cirúrgica | ","")&amp;IF(AND(COUNTIF(Postos_Cod,$B91)&gt;0,IFERROR(INDEX(Postos_Status,MATCH($B91,Postos_Cod,0)),"")&lt;&gt;"Ativo"),"Sala não ativa | ","")&amp;IF(COUNTIF(Esp_Nome,$E91)=0,"Especialidade não cadastrada | ","")&amp;IF(COUNTIF(Lista_StatusCirurgia,$J91)=0,"Status inválido | ","")&amp;IF(OR(NOT(ISNUMBER($C91)),NOT(ISNUMBER($D91))),"Horário inválido | ","")&amp;IFERROR(IF(AND(ISNUMBER($C91),ISNUMBER($D91),MOD($D91-$C91,1)*1440&lt;=0),"Duração nula ou negativa | ",""),"")&amp;IF(AND($L91&gt;0,OR($R91&gt;=Turno_Min,$S91&gt;Turno_Min)),"Fora da janela do plantão | ","")&amp;IF(AND($L91&gt;0,SUMPRODUCT((Mapa_Sala=$B91)*(Mapa_Data=$A91)*(Mapa_MinOcup&gt;0)*(Mapa_RelIni&lt;$S91)*(Mapa_RelFim&gt;$R91))&gt;1),"Sobreposição de horário na sala | ","")&amp;IFERROR(IF(AND(ISNUMBER($K91),$K91&gt;0,COUNTIF(Esp_Nome,$E91)&gt;0,$K91&gt;3*INDEX(Esp_Dur,MATCH($E91,Esp_Nome,0))),"Duração atípica (&gt;3x a média) | ",""),""))</f>
        <v/>
      </c>
      <c r="R91" s="15">
        <f>IF(NOT(ISNUMBER($C91)),0,ROUND(MOD($C91-Turno_Ini,1)*1440,0))</f>
        <v/>
      </c>
      <c r="S91" s="15">
        <f>IF($L91&lt;=0,0,$R91+$K91)</f>
        <v/>
      </c>
      <c r="T91" s="15">
        <f>IF($M91="","",$B91&amp;"#"&amp;$M91)</f>
        <v/>
      </c>
      <c r="U91" s="15">
        <f>ROW()</f>
        <v/>
      </c>
    </row>
    <row r="92">
      <c r="A92" s="38" t="n"/>
      <c r="B92" s="29" t="n"/>
      <c r="C92" s="42" t="n"/>
      <c r="D92" s="42" t="n"/>
      <c r="E92" s="30" t="n"/>
      <c r="F92" s="34">
        <f>IF($E92="","",IFERROR(INDEX(Esp_Hab,MATCH($E92,Esp_Nome,0)),"—"))</f>
        <v/>
      </c>
      <c r="G92" s="30" t="n"/>
      <c r="H92" s="30" t="n"/>
      <c r="I92" s="29" t="n"/>
      <c r="J92" s="29" t="n"/>
      <c r="K92" s="37">
        <f>IF(OR($B92="",NOT(ISNUMBER($C92)),NOT(ISNUMBER($D92))),"",ROUND(MOD($D92-$C92,1)*1440,0))</f>
        <v/>
      </c>
      <c r="L92" s="37">
        <f>IF(NOT(ISNUMBER($K92)),0,IF(OR($K92&lt;=0,$J92="Cancelada",$J92="Suspensa"),0,$K92+Limpeza_Min))</f>
        <v/>
      </c>
      <c r="M92" s="37">
        <f>IF($L92&lt;=0,"",SUMPRODUCT((Mapa_Sala=$B92)*(Mapa_Data=$A92)*(Mapa_MinOcup&gt;0)*((Mapa_RelIni&lt;$R92)+((Mapa_RelIni=$R92)*(Mapa_Row&lt;=$U92)))))</f>
        <v/>
      </c>
      <c r="N92" s="43">
        <f>IF($L92&lt;=0,"",MOD(Turno_Ini+($S92+Limpeza_Min)/1440,1))</f>
        <v/>
      </c>
      <c r="O92" s="37">
        <f>IF($L92&lt;=0,"",MAX(0,IFERROR(INDEX(Mapa_RelIni,MATCH($B92&amp;"#"&amp;($M92+1),Mapa_Chave,0)),Turno_Min)-($S92+Limpeza_Min)))</f>
        <v/>
      </c>
      <c r="P92" s="19">
        <f>IF($B92="","",IF($Q92="","OK",LEFT($Q92,LEN($Q92)-3)))</f>
        <v/>
      </c>
      <c r="Q92" s="10">
        <f>IF($B92="","",IF(COUNTIF(Postos_Cod,$B92)=0,"Sala não cadastrada | ","")&amp;IF(AND(COUNTIF(Postos_Cod,$B92)&gt;0,IFERROR(INDEX(Postos_Tipo,MATCH($B92,Postos_Cod,0)),"")&lt;&gt;"Sala cirúrgica"),"Posto não é sala cirúrgica | ","")&amp;IF(AND(COUNTIF(Postos_Cod,$B92)&gt;0,IFERROR(INDEX(Postos_Status,MATCH($B92,Postos_Cod,0)),"")&lt;&gt;"Ativo"),"Sala não ativa | ","")&amp;IF(COUNTIF(Esp_Nome,$E92)=0,"Especialidade não cadastrada | ","")&amp;IF(COUNTIF(Lista_StatusCirurgia,$J92)=0,"Status inválido | ","")&amp;IF(OR(NOT(ISNUMBER($C92)),NOT(ISNUMBER($D92))),"Horário inválido | ","")&amp;IFERROR(IF(AND(ISNUMBER($C92),ISNUMBER($D92),MOD($D92-$C92,1)*1440&lt;=0),"Duração nula ou negativa | ",""),"")&amp;IF(AND($L92&gt;0,OR($R92&gt;=Turno_Min,$S92&gt;Turno_Min)),"Fora da janela do plantão | ","")&amp;IF(AND($L92&gt;0,SUMPRODUCT((Mapa_Sala=$B92)*(Mapa_Data=$A92)*(Mapa_MinOcup&gt;0)*(Mapa_RelIni&lt;$S92)*(Mapa_RelFim&gt;$R92))&gt;1),"Sobreposição de horário na sala | ","")&amp;IFERROR(IF(AND(ISNUMBER($K92),$K92&gt;0,COUNTIF(Esp_Nome,$E92)&gt;0,$K92&gt;3*INDEX(Esp_Dur,MATCH($E92,Esp_Nome,0))),"Duração atípica (&gt;3x a média) | ",""),""))</f>
        <v/>
      </c>
      <c r="R92" s="15">
        <f>IF(NOT(ISNUMBER($C92)),0,ROUND(MOD($C92-Turno_Ini,1)*1440,0))</f>
        <v/>
      </c>
      <c r="S92" s="15">
        <f>IF($L92&lt;=0,0,$R92+$K92)</f>
        <v/>
      </c>
      <c r="T92" s="15">
        <f>IF($M92="","",$B92&amp;"#"&amp;$M92)</f>
        <v/>
      </c>
      <c r="U92" s="15">
        <f>ROW()</f>
        <v/>
      </c>
    </row>
    <row r="93">
      <c r="A93" s="38" t="n"/>
      <c r="B93" s="29" t="n"/>
      <c r="C93" s="42" t="n"/>
      <c r="D93" s="42" t="n"/>
      <c r="E93" s="30" t="n"/>
      <c r="F93" s="34">
        <f>IF($E93="","",IFERROR(INDEX(Esp_Hab,MATCH($E93,Esp_Nome,0)),"—"))</f>
        <v/>
      </c>
      <c r="G93" s="30" t="n"/>
      <c r="H93" s="30" t="n"/>
      <c r="I93" s="29" t="n"/>
      <c r="J93" s="29" t="n"/>
      <c r="K93" s="37">
        <f>IF(OR($B93="",NOT(ISNUMBER($C93)),NOT(ISNUMBER($D93))),"",ROUND(MOD($D93-$C93,1)*1440,0))</f>
        <v/>
      </c>
      <c r="L93" s="37">
        <f>IF(NOT(ISNUMBER($K93)),0,IF(OR($K93&lt;=0,$J93="Cancelada",$J93="Suspensa"),0,$K93+Limpeza_Min))</f>
        <v/>
      </c>
      <c r="M93" s="37">
        <f>IF($L93&lt;=0,"",SUMPRODUCT((Mapa_Sala=$B93)*(Mapa_Data=$A93)*(Mapa_MinOcup&gt;0)*((Mapa_RelIni&lt;$R93)+((Mapa_RelIni=$R93)*(Mapa_Row&lt;=$U93)))))</f>
        <v/>
      </c>
      <c r="N93" s="43">
        <f>IF($L93&lt;=0,"",MOD(Turno_Ini+($S93+Limpeza_Min)/1440,1))</f>
        <v/>
      </c>
      <c r="O93" s="37">
        <f>IF($L93&lt;=0,"",MAX(0,IFERROR(INDEX(Mapa_RelIni,MATCH($B93&amp;"#"&amp;($M93+1),Mapa_Chave,0)),Turno_Min)-($S93+Limpeza_Min)))</f>
        <v/>
      </c>
      <c r="P93" s="19">
        <f>IF($B93="","",IF($Q93="","OK",LEFT($Q93,LEN($Q93)-3)))</f>
        <v/>
      </c>
      <c r="Q93" s="10">
        <f>IF($B93="","",IF(COUNTIF(Postos_Cod,$B93)=0,"Sala não cadastrada | ","")&amp;IF(AND(COUNTIF(Postos_Cod,$B93)&gt;0,IFERROR(INDEX(Postos_Tipo,MATCH($B93,Postos_Cod,0)),"")&lt;&gt;"Sala cirúrgica"),"Posto não é sala cirúrgica | ","")&amp;IF(AND(COUNTIF(Postos_Cod,$B93)&gt;0,IFERROR(INDEX(Postos_Status,MATCH($B93,Postos_Cod,0)),"")&lt;&gt;"Ativo"),"Sala não ativa | ","")&amp;IF(COUNTIF(Esp_Nome,$E93)=0,"Especialidade não cadastrada | ","")&amp;IF(COUNTIF(Lista_StatusCirurgia,$J93)=0,"Status inválido | ","")&amp;IF(OR(NOT(ISNUMBER($C93)),NOT(ISNUMBER($D93))),"Horário inválido | ","")&amp;IFERROR(IF(AND(ISNUMBER($C93),ISNUMBER($D93),MOD($D93-$C93,1)*1440&lt;=0),"Duração nula ou negativa | ",""),"")&amp;IF(AND($L93&gt;0,OR($R93&gt;=Turno_Min,$S93&gt;Turno_Min)),"Fora da janela do plantão | ","")&amp;IF(AND($L93&gt;0,SUMPRODUCT((Mapa_Sala=$B93)*(Mapa_Data=$A93)*(Mapa_MinOcup&gt;0)*(Mapa_RelIni&lt;$S93)*(Mapa_RelFim&gt;$R93))&gt;1),"Sobreposição de horário na sala | ","")&amp;IFERROR(IF(AND(ISNUMBER($K93),$K93&gt;0,COUNTIF(Esp_Nome,$E93)&gt;0,$K93&gt;3*INDEX(Esp_Dur,MATCH($E93,Esp_Nome,0))),"Duração atípica (&gt;3x a média) | ",""),""))</f>
        <v/>
      </c>
      <c r="R93" s="15">
        <f>IF(NOT(ISNUMBER($C93)),0,ROUND(MOD($C93-Turno_Ini,1)*1440,0))</f>
        <v/>
      </c>
      <c r="S93" s="15">
        <f>IF($L93&lt;=0,0,$R93+$K93)</f>
        <v/>
      </c>
      <c r="T93" s="15">
        <f>IF($M93="","",$B93&amp;"#"&amp;$M93)</f>
        <v/>
      </c>
      <c r="U93" s="15">
        <f>ROW()</f>
        <v/>
      </c>
    </row>
    <row r="94">
      <c r="A94" s="38" t="n"/>
      <c r="B94" s="29" t="n"/>
      <c r="C94" s="42" t="n"/>
      <c r="D94" s="42" t="n"/>
      <c r="E94" s="30" t="n"/>
      <c r="F94" s="34">
        <f>IF($E94="","",IFERROR(INDEX(Esp_Hab,MATCH($E94,Esp_Nome,0)),"—"))</f>
        <v/>
      </c>
      <c r="G94" s="30" t="n"/>
      <c r="H94" s="30" t="n"/>
      <c r="I94" s="29" t="n"/>
      <c r="J94" s="29" t="n"/>
      <c r="K94" s="37">
        <f>IF(OR($B94="",NOT(ISNUMBER($C94)),NOT(ISNUMBER($D94))),"",ROUND(MOD($D94-$C94,1)*1440,0))</f>
        <v/>
      </c>
      <c r="L94" s="37">
        <f>IF(NOT(ISNUMBER($K94)),0,IF(OR($K94&lt;=0,$J94="Cancelada",$J94="Suspensa"),0,$K94+Limpeza_Min))</f>
        <v/>
      </c>
      <c r="M94" s="37">
        <f>IF($L94&lt;=0,"",SUMPRODUCT((Mapa_Sala=$B94)*(Mapa_Data=$A94)*(Mapa_MinOcup&gt;0)*((Mapa_RelIni&lt;$R94)+((Mapa_RelIni=$R94)*(Mapa_Row&lt;=$U94)))))</f>
        <v/>
      </c>
      <c r="N94" s="43">
        <f>IF($L94&lt;=0,"",MOD(Turno_Ini+($S94+Limpeza_Min)/1440,1))</f>
        <v/>
      </c>
      <c r="O94" s="37">
        <f>IF($L94&lt;=0,"",MAX(0,IFERROR(INDEX(Mapa_RelIni,MATCH($B94&amp;"#"&amp;($M94+1),Mapa_Chave,0)),Turno_Min)-($S94+Limpeza_Min)))</f>
        <v/>
      </c>
      <c r="P94" s="19">
        <f>IF($B94="","",IF($Q94="","OK",LEFT($Q94,LEN($Q94)-3)))</f>
        <v/>
      </c>
      <c r="Q94" s="10">
        <f>IF($B94="","",IF(COUNTIF(Postos_Cod,$B94)=0,"Sala não cadastrada | ","")&amp;IF(AND(COUNTIF(Postos_Cod,$B94)&gt;0,IFERROR(INDEX(Postos_Tipo,MATCH($B94,Postos_Cod,0)),"")&lt;&gt;"Sala cirúrgica"),"Posto não é sala cirúrgica | ","")&amp;IF(AND(COUNTIF(Postos_Cod,$B94)&gt;0,IFERROR(INDEX(Postos_Status,MATCH($B94,Postos_Cod,0)),"")&lt;&gt;"Ativo"),"Sala não ativa | ","")&amp;IF(COUNTIF(Esp_Nome,$E94)=0,"Especialidade não cadastrada | ","")&amp;IF(COUNTIF(Lista_StatusCirurgia,$J94)=0,"Status inválido | ","")&amp;IF(OR(NOT(ISNUMBER($C94)),NOT(ISNUMBER($D94))),"Horário inválido | ","")&amp;IFERROR(IF(AND(ISNUMBER($C94),ISNUMBER($D94),MOD($D94-$C94,1)*1440&lt;=0),"Duração nula ou negativa | ",""),"")&amp;IF(AND($L94&gt;0,OR($R94&gt;=Turno_Min,$S94&gt;Turno_Min)),"Fora da janela do plantão | ","")&amp;IF(AND($L94&gt;0,SUMPRODUCT((Mapa_Sala=$B94)*(Mapa_Data=$A94)*(Mapa_MinOcup&gt;0)*(Mapa_RelIni&lt;$S94)*(Mapa_RelFim&gt;$R94))&gt;1),"Sobreposição de horário na sala | ","")&amp;IFERROR(IF(AND(ISNUMBER($K94),$K94&gt;0,COUNTIF(Esp_Nome,$E94)&gt;0,$K94&gt;3*INDEX(Esp_Dur,MATCH($E94,Esp_Nome,0))),"Duração atípica (&gt;3x a média) | ",""),""))</f>
        <v/>
      </c>
      <c r="R94" s="15">
        <f>IF(NOT(ISNUMBER($C94)),0,ROUND(MOD($C94-Turno_Ini,1)*1440,0))</f>
        <v/>
      </c>
      <c r="S94" s="15">
        <f>IF($L94&lt;=0,0,$R94+$K94)</f>
        <v/>
      </c>
      <c r="T94" s="15">
        <f>IF($M94="","",$B94&amp;"#"&amp;$M94)</f>
        <v/>
      </c>
      <c r="U94" s="15">
        <f>ROW()</f>
        <v/>
      </c>
    </row>
    <row r="95">
      <c r="A95" s="38" t="n"/>
      <c r="B95" s="29" t="n"/>
      <c r="C95" s="42" t="n"/>
      <c r="D95" s="42" t="n"/>
      <c r="E95" s="30" t="n"/>
      <c r="F95" s="34">
        <f>IF($E95="","",IFERROR(INDEX(Esp_Hab,MATCH($E95,Esp_Nome,0)),"—"))</f>
        <v/>
      </c>
      <c r="G95" s="30" t="n"/>
      <c r="H95" s="30" t="n"/>
      <c r="I95" s="29" t="n"/>
      <c r="J95" s="29" t="n"/>
      <c r="K95" s="37">
        <f>IF(OR($B95="",NOT(ISNUMBER($C95)),NOT(ISNUMBER($D95))),"",ROUND(MOD($D95-$C95,1)*1440,0))</f>
        <v/>
      </c>
      <c r="L95" s="37">
        <f>IF(NOT(ISNUMBER($K95)),0,IF(OR($K95&lt;=0,$J95="Cancelada",$J95="Suspensa"),0,$K95+Limpeza_Min))</f>
        <v/>
      </c>
      <c r="M95" s="37">
        <f>IF($L95&lt;=0,"",SUMPRODUCT((Mapa_Sala=$B95)*(Mapa_Data=$A95)*(Mapa_MinOcup&gt;0)*((Mapa_RelIni&lt;$R95)+((Mapa_RelIni=$R95)*(Mapa_Row&lt;=$U95)))))</f>
        <v/>
      </c>
      <c r="N95" s="43">
        <f>IF($L95&lt;=0,"",MOD(Turno_Ini+($S95+Limpeza_Min)/1440,1))</f>
        <v/>
      </c>
      <c r="O95" s="37">
        <f>IF($L95&lt;=0,"",MAX(0,IFERROR(INDEX(Mapa_RelIni,MATCH($B95&amp;"#"&amp;($M95+1),Mapa_Chave,0)),Turno_Min)-($S95+Limpeza_Min)))</f>
        <v/>
      </c>
      <c r="P95" s="19">
        <f>IF($B95="","",IF($Q95="","OK",LEFT($Q95,LEN($Q95)-3)))</f>
        <v/>
      </c>
      <c r="Q95" s="10">
        <f>IF($B95="","",IF(COUNTIF(Postos_Cod,$B95)=0,"Sala não cadastrada | ","")&amp;IF(AND(COUNTIF(Postos_Cod,$B95)&gt;0,IFERROR(INDEX(Postos_Tipo,MATCH($B95,Postos_Cod,0)),"")&lt;&gt;"Sala cirúrgica"),"Posto não é sala cirúrgica | ","")&amp;IF(AND(COUNTIF(Postos_Cod,$B95)&gt;0,IFERROR(INDEX(Postos_Status,MATCH($B95,Postos_Cod,0)),"")&lt;&gt;"Ativo"),"Sala não ativa | ","")&amp;IF(COUNTIF(Esp_Nome,$E95)=0,"Especialidade não cadastrada | ","")&amp;IF(COUNTIF(Lista_StatusCirurgia,$J95)=0,"Status inválido | ","")&amp;IF(OR(NOT(ISNUMBER($C95)),NOT(ISNUMBER($D95))),"Horário inválido | ","")&amp;IFERROR(IF(AND(ISNUMBER($C95),ISNUMBER($D95),MOD($D95-$C95,1)*1440&lt;=0),"Duração nula ou negativa | ",""),"")&amp;IF(AND($L95&gt;0,OR($R95&gt;=Turno_Min,$S95&gt;Turno_Min)),"Fora da janela do plantão | ","")&amp;IF(AND($L95&gt;0,SUMPRODUCT((Mapa_Sala=$B95)*(Mapa_Data=$A95)*(Mapa_MinOcup&gt;0)*(Mapa_RelIni&lt;$S95)*(Mapa_RelFim&gt;$R95))&gt;1),"Sobreposição de horário na sala | ","")&amp;IFERROR(IF(AND(ISNUMBER($K95),$K95&gt;0,COUNTIF(Esp_Nome,$E95)&gt;0,$K95&gt;3*INDEX(Esp_Dur,MATCH($E95,Esp_Nome,0))),"Duração atípica (&gt;3x a média) | ",""),""))</f>
        <v/>
      </c>
      <c r="R95" s="15">
        <f>IF(NOT(ISNUMBER($C95)),0,ROUND(MOD($C95-Turno_Ini,1)*1440,0))</f>
        <v/>
      </c>
      <c r="S95" s="15">
        <f>IF($L95&lt;=0,0,$R95+$K95)</f>
        <v/>
      </c>
      <c r="T95" s="15">
        <f>IF($M95="","",$B95&amp;"#"&amp;$M95)</f>
        <v/>
      </c>
      <c r="U95" s="15">
        <f>ROW()</f>
        <v/>
      </c>
    </row>
    <row r="96">
      <c r="A96" s="38" t="n"/>
      <c r="B96" s="29" t="n"/>
      <c r="C96" s="42" t="n"/>
      <c r="D96" s="42" t="n"/>
      <c r="E96" s="30" t="n"/>
      <c r="F96" s="34">
        <f>IF($E96="","",IFERROR(INDEX(Esp_Hab,MATCH($E96,Esp_Nome,0)),"—"))</f>
        <v/>
      </c>
      <c r="G96" s="30" t="n"/>
      <c r="H96" s="30" t="n"/>
      <c r="I96" s="29" t="n"/>
      <c r="J96" s="29" t="n"/>
      <c r="K96" s="37">
        <f>IF(OR($B96="",NOT(ISNUMBER($C96)),NOT(ISNUMBER($D96))),"",ROUND(MOD($D96-$C96,1)*1440,0))</f>
        <v/>
      </c>
      <c r="L96" s="37">
        <f>IF(NOT(ISNUMBER($K96)),0,IF(OR($K96&lt;=0,$J96="Cancelada",$J96="Suspensa"),0,$K96+Limpeza_Min))</f>
        <v/>
      </c>
      <c r="M96" s="37">
        <f>IF($L96&lt;=0,"",SUMPRODUCT((Mapa_Sala=$B96)*(Mapa_Data=$A96)*(Mapa_MinOcup&gt;0)*((Mapa_RelIni&lt;$R96)+((Mapa_RelIni=$R96)*(Mapa_Row&lt;=$U96)))))</f>
        <v/>
      </c>
      <c r="N96" s="43">
        <f>IF($L96&lt;=0,"",MOD(Turno_Ini+($S96+Limpeza_Min)/1440,1))</f>
        <v/>
      </c>
      <c r="O96" s="37">
        <f>IF($L96&lt;=0,"",MAX(0,IFERROR(INDEX(Mapa_RelIni,MATCH($B96&amp;"#"&amp;($M96+1),Mapa_Chave,0)),Turno_Min)-($S96+Limpeza_Min)))</f>
        <v/>
      </c>
      <c r="P96" s="19">
        <f>IF($B96="","",IF($Q96="","OK",LEFT($Q96,LEN($Q96)-3)))</f>
        <v/>
      </c>
      <c r="Q96" s="10">
        <f>IF($B96="","",IF(COUNTIF(Postos_Cod,$B96)=0,"Sala não cadastrada | ","")&amp;IF(AND(COUNTIF(Postos_Cod,$B96)&gt;0,IFERROR(INDEX(Postos_Tipo,MATCH($B96,Postos_Cod,0)),"")&lt;&gt;"Sala cirúrgica"),"Posto não é sala cirúrgica | ","")&amp;IF(AND(COUNTIF(Postos_Cod,$B96)&gt;0,IFERROR(INDEX(Postos_Status,MATCH($B96,Postos_Cod,0)),"")&lt;&gt;"Ativo"),"Sala não ativa | ","")&amp;IF(COUNTIF(Esp_Nome,$E96)=0,"Especialidade não cadastrada | ","")&amp;IF(COUNTIF(Lista_StatusCirurgia,$J96)=0,"Status inválido | ","")&amp;IF(OR(NOT(ISNUMBER($C96)),NOT(ISNUMBER($D96))),"Horário inválido | ","")&amp;IFERROR(IF(AND(ISNUMBER($C96),ISNUMBER($D96),MOD($D96-$C96,1)*1440&lt;=0),"Duração nula ou negativa | ",""),"")&amp;IF(AND($L96&gt;0,OR($R96&gt;=Turno_Min,$S96&gt;Turno_Min)),"Fora da janela do plantão | ","")&amp;IF(AND($L96&gt;0,SUMPRODUCT((Mapa_Sala=$B96)*(Mapa_Data=$A96)*(Mapa_MinOcup&gt;0)*(Mapa_RelIni&lt;$S96)*(Mapa_RelFim&gt;$R96))&gt;1),"Sobreposição de horário na sala | ","")&amp;IFERROR(IF(AND(ISNUMBER($K96),$K96&gt;0,COUNTIF(Esp_Nome,$E96)&gt;0,$K96&gt;3*INDEX(Esp_Dur,MATCH($E96,Esp_Nome,0))),"Duração atípica (&gt;3x a média) | ",""),""))</f>
        <v/>
      </c>
      <c r="R96" s="15">
        <f>IF(NOT(ISNUMBER($C96)),0,ROUND(MOD($C96-Turno_Ini,1)*1440,0))</f>
        <v/>
      </c>
      <c r="S96" s="15">
        <f>IF($L96&lt;=0,0,$R96+$K96)</f>
        <v/>
      </c>
      <c r="T96" s="15">
        <f>IF($M96="","",$B96&amp;"#"&amp;$M96)</f>
        <v/>
      </c>
      <c r="U96" s="15">
        <f>ROW()</f>
        <v/>
      </c>
    </row>
    <row r="97">
      <c r="A97" s="38" t="n"/>
      <c r="B97" s="29" t="n"/>
      <c r="C97" s="42" t="n"/>
      <c r="D97" s="42" t="n"/>
      <c r="E97" s="30" t="n"/>
      <c r="F97" s="34">
        <f>IF($E97="","",IFERROR(INDEX(Esp_Hab,MATCH($E97,Esp_Nome,0)),"—"))</f>
        <v/>
      </c>
      <c r="G97" s="30" t="n"/>
      <c r="H97" s="30" t="n"/>
      <c r="I97" s="29" t="n"/>
      <c r="J97" s="29" t="n"/>
      <c r="K97" s="37">
        <f>IF(OR($B97="",NOT(ISNUMBER($C97)),NOT(ISNUMBER($D97))),"",ROUND(MOD($D97-$C97,1)*1440,0))</f>
        <v/>
      </c>
      <c r="L97" s="37">
        <f>IF(NOT(ISNUMBER($K97)),0,IF(OR($K97&lt;=0,$J97="Cancelada",$J97="Suspensa"),0,$K97+Limpeza_Min))</f>
        <v/>
      </c>
      <c r="M97" s="37">
        <f>IF($L97&lt;=0,"",SUMPRODUCT((Mapa_Sala=$B97)*(Mapa_Data=$A97)*(Mapa_MinOcup&gt;0)*((Mapa_RelIni&lt;$R97)+((Mapa_RelIni=$R97)*(Mapa_Row&lt;=$U97)))))</f>
        <v/>
      </c>
      <c r="N97" s="43">
        <f>IF($L97&lt;=0,"",MOD(Turno_Ini+($S97+Limpeza_Min)/1440,1))</f>
        <v/>
      </c>
      <c r="O97" s="37">
        <f>IF($L97&lt;=0,"",MAX(0,IFERROR(INDEX(Mapa_RelIni,MATCH($B97&amp;"#"&amp;($M97+1),Mapa_Chave,0)),Turno_Min)-($S97+Limpeza_Min)))</f>
        <v/>
      </c>
      <c r="P97" s="19">
        <f>IF($B97="","",IF($Q97="","OK",LEFT($Q97,LEN($Q97)-3)))</f>
        <v/>
      </c>
      <c r="Q97" s="10">
        <f>IF($B97="","",IF(COUNTIF(Postos_Cod,$B97)=0,"Sala não cadastrada | ","")&amp;IF(AND(COUNTIF(Postos_Cod,$B97)&gt;0,IFERROR(INDEX(Postos_Tipo,MATCH($B97,Postos_Cod,0)),"")&lt;&gt;"Sala cirúrgica"),"Posto não é sala cirúrgica | ","")&amp;IF(AND(COUNTIF(Postos_Cod,$B97)&gt;0,IFERROR(INDEX(Postos_Status,MATCH($B97,Postos_Cod,0)),"")&lt;&gt;"Ativo"),"Sala não ativa | ","")&amp;IF(COUNTIF(Esp_Nome,$E97)=0,"Especialidade não cadastrada | ","")&amp;IF(COUNTIF(Lista_StatusCirurgia,$J97)=0,"Status inválido | ","")&amp;IF(OR(NOT(ISNUMBER($C97)),NOT(ISNUMBER($D97))),"Horário inválido | ","")&amp;IFERROR(IF(AND(ISNUMBER($C97),ISNUMBER($D97),MOD($D97-$C97,1)*1440&lt;=0),"Duração nula ou negativa | ",""),"")&amp;IF(AND($L97&gt;0,OR($R97&gt;=Turno_Min,$S97&gt;Turno_Min)),"Fora da janela do plantão | ","")&amp;IF(AND($L97&gt;0,SUMPRODUCT((Mapa_Sala=$B97)*(Mapa_Data=$A97)*(Mapa_MinOcup&gt;0)*(Mapa_RelIni&lt;$S97)*(Mapa_RelFim&gt;$R97))&gt;1),"Sobreposição de horário na sala | ","")&amp;IFERROR(IF(AND(ISNUMBER($K97),$K97&gt;0,COUNTIF(Esp_Nome,$E97)&gt;0,$K97&gt;3*INDEX(Esp_Dur,MATCH($E97,Esp_Nome,0))),"Duração atípica (&gt;3x a média) | ",""),""))</f>
        <v/>
      </c>
      <c r="R97" s="15">
        <f>IF(NOT(ISNUMBER($C97)),0,ROUND(MOD($C97-Turno_Ini,1)*1440,0))</f>
        <v/>
      </c>
      <c r="S97" s="15">
        <f>IF($L97&lt;=0,0,$R97+$K97)</f>
        <v/>
      </c>
      <c r="T97" s="15">
        <f>IF($M97="","",$B97&amp;"#"&amp;$M97)</f>
        <v/>
      </c>
      <c r="U97" s="15">
        <f>ROW()</f>
        <v/>
      </c>
    </row>
    <row r="98">
      <c r="A98" s="38" t="n"/>
      <c r="B98" s="29" t="n"/>
      <c r="C98" s="42" t="n"/>
      <c r="D98" s="42" t="n"/>
      <c r="E98" s="30" t="n"/>
      <c r="F98" s="34">
        <f>IF($E98="","",IFERROR(INDEX(Esp_Hab,MATCH($E98,Esp_Nome,0)),"—"))</f>
        <v/>
      </c>
      <c r="G98" s="30" t="n"/>
      <c r="H98" s="30" t="n"/>
      <c r="I98" s="29" t="n"/>
      <c r="J98" s="29" t="n"/>
      <c r="K98" s="37">
        <f>IF(OR($B98="",NOT(ISNUMBER($C98)),NOT(ISNUMBER($D98))),"",ROUND(MOD($D98-$C98,1)*1440,0))</f>
        <v/>
      </c>
      <c r="L98" s="37">
        <f>IF(NOT(ISNUMBER($K98)),0,IF(OR($K98&lt;=0,$J98="Cancelada",$J98="Suspensa"),0,$K98+Limpeza_Min))</f>
        <v/>
      </c>
      <c r="M98" s="37">
        <f>IF($L98&lt;=0,"",SUMPRODUCT((Mapa_Sala=$B98)*(Mapa_Data=$A98)*(Mapa_MinOcup&gt;0)*((Mapa_RelIni&lt;$R98)+((Mapa_RelIni=$R98)*(Mapa_Row&lt;=$U98)))))</f>
        <v/>
      </c>
      <c r="N98" s="43">
        <f>IF($L98&lt;=0,"",MOD(Turno_Ini+($S98+Limpeza_Min)/1440,1))</f>
        <v/>
      </c>
      <c r="O98" s="37">
        <f>IF($L98&lt;=0,"",MAX(0,IFERROR(INDEX(Mapa_RelIni,MATCH($B98&amp;"#"&amp;($M98+1),Mapa_Chave,0)),Turno_Min)-($S98+Limpeza_Min)))</f>
        <v/>
      </c>
      <c r="P98" s="19">
        <f>IF($B98="","",IF($Q98="","OK",LEFT($Q98,LEN($Q98)-3)))</f>
        <v/>
      </c>
      <c r="Q98" s="10">
        <f>IF($B98="","",IF(COUNTIF(Postos_Cod,$B98)=0,"Sala não cadastrada | ","")&amp;IF(AND(COUNTIF(Postos_Cod,$B98)&gt;0,IFERROR(INDEX(Postos_Tipo,MATCH($B98,Postos_Cod,0)),"")&lt;&gt;"Sala cirúrgica"),"Posto não é sala cirúrgica | ","")&amp;IF(AND(COUNTIF(Postos_Cod,$B98)&gt;0,IFERROR(INDEX(Postos_Status,MATCH($B98,Postos_Cod,0)),"")&lt;&gt;"Ativo"),"Sala não ativa | ","")&amp;IF(COUNTIF(Esp_Nome,$E98)=0,"Especialidade não cadastrada | ","")&amp;IF(COUNTIF(Lista_StatusCirurgia,$J98)=0,"Status inválido | ","")&amp;IF(OR(NOT(ISNUMBER($C98)),NOT(ISNUMBER($D98))),"Horário inválido | ","")&amp;IFERROR(IF(AND(ISNUMBER($C98),ISNUMBER($D98),MOD($D98-$C98,1)*1440&lt;=0),"Duração nula ou negativa | ",""),"")&amp;IF(AND($L98&gt;0,OR($R98&gt;=Turno_Min,$S98&gt;Turno_Min)),"Fora da janela do plantão | ","")&amp;IF(AND($L98&gt;0,SUMPRODUCT((Mapa_Sala=$B98)*(Mapa_Data=$A98)*(Mapa_MinOcup&gt;0)*(Mapa_RelIni&lt;$S98)*(Mapa_RelFim&gt;$R98))&gt;1),"Sobreposição de horário na sala | ","")&amp;IFERROR(IF(AND(ISNUMBER($K98),$K98&gt;0,COUNTIF(Esp_Nome,$E98)&gt;0,$K98&gt;3*INDEX(Esp_Dur,MATCH($E98,Esp_Nome,0))),"Duração atípica (&gt;3x a média) | ",""),""))</f>
        <v/>
      </c>
      <c r="R98" s="15">
        <f>IF(NOT(ISNUMBER($C98)),0,ROUND(MOD($C98-Turno_Ini,1)*1440,0))</f>
        <v/>
      </c>
      <c r="S98" s="15">
        <f>IF($L98&lt;=0,0,$R98+$K98)</f>
        <v/>
      </c>
      <c r="T98" s="15">
        <f>IF($M98="","",$B98&amp;"#"&amp;$M98)</f>
        <v/>
      </c>
      <c r="U98" s="15">
        <f>ROW()</f>
        <v/>
      </c>
    </row>
    <row r="99">
      <c r="A99" s="38" t="n"/>
      <c r="B99" s="29" t="n"/>
      <c r="C99" s="42" t="n"/>
      <c r="D99" s="42" t="n"/>
      <c r="E99" s="30" t="n"/>
      <c r="F99" s="34">
        <f>IF($E99="","",IFERROR(INDEX(Esp_Hab,MATCH($E99,Esp_Nome,0)),"—"))</f>
        <v/>
      </c>
      <c r="G99" s="30" t="n"/>
      <c r="H99" s="30" t="n"/>
      <c r="I99" s="29" t="n"/>
      <c r="J99" s="29" t="n"/>
      <c r="K99" s="37">
        <f>IF(OR($B99="",NOT(ISNUMBER($C99)),NOT(ISNUMBER($D99))),"",ROUND(MOD($D99-$C99,1)*1440,0))</f>
        <v/>
      </c>
      <c r="L99" s="37">
        <f>IF(NOT(ISNUMBER($K99)),0,IF(OR($K99&lt;=0,$J99="Cancelada",$J99="Suspensa"),0,$K99+Limpeza_Min))</f>
        <v/>
      </c>
      <c r="M99" s="37">
        <f>IF($L99&lt;=0,"",SUMPRODUCT((Mapa_Sala=$B99)*(Mapa_Data=$A99)*(Mapa_MinOcup&gt;0)*((Mapa_RelIni&lt;$R99)+((Mapa_RelIni=$R99)*(Mapa_Row&lt;=$U99)))))</f>
        <v/>
      </c>
      <c r="N99" s="43">
        <f>IF($L99&lt;=0,"",MOD(Turno_Ini+($S99+Limpeza_Min)/1440,1))</f>
        <v/>
      </c>
      <c r="O99" s="37">
        <f>IF($L99&lt;=0,"",MAX(0,IFERROR(INDEX(Mapa_RelIni,MATCH($B99&amp;"#"&amp;($M99+1),Mapa_Chave,0)),Turno_Min)-($S99+Limpeza_Min)))</f>
        <v/>
      </c>
      <c r="P99" s="19">
        <f>IF($B99="","",IF($Q99="","OK",LEFT($Q99,LEN($Q99)-3)))</f>
        <v/>
      </c>
      <c r="Q99" s="10">
        <f>IF($B99="","",IF(COUNTIF(Postos_Cod,$B99)=0,"Sala não cadastrada | ","")&amp;IF(AND(COUNTIF(Postos_Cod,$B99)&gt;0,IFERROR(INDEX(Postos_Tipo,MATCH($B99,Postos_Cod,0)),"")&lt;&gt;"Sala cirúrgica"),"Posto não é sala cirúrgica | ","")&amp;IF(AND(COUNTIF(Postos_Cod,$B99)&gt;0,IFERROR(INDEX(Postos_Status,MATCH($B99,Postos_Cod,0)),"")&lt;&gt;"Ativo"),"Sala não ativa | ","")&amp;IF(COUNTIF(Esp_Nome,$E99)=0,"Especialidade não cadastrada | ","")&amp;IF(COUNTIF(Lista_StatusCirurgia,$J99)=0,"Status inválido | ","")&amp;IF(OR(NOT(ISNUMBER($C99)),NOT(ISNUMBER($D99))),"Horário inválido | ","")&amp;IFERROR(IF(AND(ISNUMBER($C99),ISNUMBER($D99),MOD($D99-$C99,1)*1440&lt;=0),"Duração nula ou negativa | ",""),"")&amp;IF(AND($L99&gt;0,OR($R99&gt;=Turno_Min,$S99&gt;Turno_Min)),"Fora da janela do plantão | ","")&amp;IF(AND($L99&gt;0,SUMPRODUCT((Mapa_Sala=$B99)*(Mapa_Data=$A99)*(Mapa_MinOcup&gt;0)*(Mapa_RelIni&lt;$S99)*(Mapa_RelFim&gt;$R99))&gt;1),"Sobreposição de horário na sala | ","")&amp;IFERROR(IF(AND(ISNUMBER($K99),$K99&gt;0,COUNTIF(Esp_Nome,$E99)&gt;0,$K99&gt;3*INDEX(Esp_Dur,MATCH($E99,Esp_Nome,0))),"Duração atípica (&gt;3x a média) | ",""),""))</f>
        <v/>
      </c>
      <c r="R99" s="15">
        <f>IF(NOT(ISNUMBER($C99)),0,ROUND(MOD($C99-Turno_Ini,1)*1440,0))</f>
        <v/>
      </c>
      <c r="S99" s="15">
        <f>IF($L99&lt;=0,0,$R99+$K99)</f>
        <v/>
      </c>
      <c r="T99" s="15">
        <f>IF($M99="","",$B99&amp;"#"&amp;$M99)</f>
        <v/>
      </c>
      <c r="U99" s="15">
        <f>ROW()</f>
        <v/>
      </c>
    </row>
    <row r="100">
      <c r="A100" s="38" t="n"/>
      <c r="B100" s="29" t="n"/>
      <c r="C100" s="42" t="n"/>
      <c r="D100" s="42" t="n"/>
      <c r="E100" s="30" t="n"/>
      <c r="F100" s="34">
        <f>IF($E100="","",IFERROR(INDEX(Esp_Hab,MATCH($E100,Esp_Nome,0)),"—"))</f>
        <v/>
      </c>
      <c r="G100" s="30" t="n"/>
      <c r="H100" s="30" t="n"/>
      <c r="I100" s="29" t="n"/>
      <c r="J100" s="29" t="n"/>
      <c r="K100" s="37">
        <f>IF(OR($B100="",NOT(ISNUMBER($C100)),NOT(ISNUMBER($D100))),"",ROUND(MOD($D100-$C100,1)*1440,0))</f>
        <v/>
      </c>
      <c r="L100" s="37">
        <f>IF(NOT(ISNUMBER($K100)),0,IF(OR($K100&lt;=0,$J100="Cancelada",$J100="Suspensa"),0,$K100+Limpeza_Min))</f>
        <v/>
      </c>
      <c r="M100" s="37">
        <f>IF($L100&lt;=0,"",SUMPRODUCT((Mapa_Sala=$B100)*(Mapa_Data=$A100)*(Mapa_MinOcup&gt;0)*((Mapa_RelIni&lt;$R100)+((Mapa_RelIni=$R100)*(Mapa_Row&lt;=$U100)))))</f>
        <v/>
      </c>
      <c r="N100" s="43">
        <f>IF($L100&lt;=0,"",MOD(Turno_Ini+($S100+Limpeza_Min)/1440,1))</f>
        <v/>
      </c>
      <c r="O100" s="37">
        <f>IF($L100&lt;=0,"",MAX(0,IFERROR(INDEX(Mapa_RelIni,MATCH($B100&amp;"#"&amp;($M100+1),Mapa_Chave,0)),Turno_Min)-($S100+Limpeza_Min)))</f>
        <v/>
      </c>
      <c r="P100" s="19">
        <f>IF($B100="","",IF($Q100="","OK",LEFT($Q100,LEN($Q100)-3)))</f>
        <v/>
      </c>
      <c r="Q100" s="10">
        <f>IF($B100="","",IF(COUNTIF(Postos_Cod,$B100)=0,"Sala não cadastrada | ","")&amp;IF(AND(COUNTIF(Postos_Cod,$B100)&gt;0,IFERROR(INDEX(Postos_Tipo,MATCH($B100,Postos_Cod,0)),"")&lt;&gt;"Sala cirúrgica"),"Posto não é sala cirúrgica | ","")&amp;IF(AND(COUNTIF(Postos_Cod,$B100)&gt;0,IFERROR(INDEX(Postos_Status,MATCH($B100,Postos_Cod,0)),"")&lt;&gt;"Ativo"),"Sala não ativa | ","")&amp;IF(COUNTIF(Esp_Nome,$E100)=0,"Especialidade não cadastrada | ","")&amp;IF(COUNTIF(Lista_StatusCirurgia,$J100)=0,"Status inválido | ","")&amp;IF(OR(NOT(ISNUMBER($C100)),NOT(ISNUMBER($D100))),"Horário inválido | ","")&amp;IFERROR(IF(AND(ISNUMBER($C100),ISNUMBER($D100),MOD($D100-$C100,1)*1440&lt;=0),"Duração nula ou negativa | ",""),"")&amp;IF(AND($L100&gt;0,OR($R100&gt;=Turno_Min,$S100&gt;Turno_Min)),"Fora da janela do plantão | ","")&amp;IF(AND($L100&gt;0,SUMPRODUCT((Mapa_Sala=$B100)*(Mapa_Data=$A100)*(Mapa_MinOcup&gt;0)*(Mapa_RelIni&lt;$S100)*(Mapa_RelFim&gt;$R100))&gt;1),"Sobreposição de horário na sala | ","")&amp;IFERROR(IF(AND(ISNUMBER($K100),$K100&gt;0,COUNTIF(Esp_Nome,$E100)&gt;0,$K100&gt;3*INDEX(Esp_Dur,MATCH($E100,Esp_Nome,0))),"Duração atípica (&gt;3x a média) | ",""),""))</f>
        <v/>
      </c>
      <c r="R100" s="15">
        <f>IF(NOT(ISNUMBER($C100)),0,ROUND(MOD($C100-Turno_Ini,1)*1440,0))</f>
        <v/>
      </c>
      <c r="S100" s="15">
        <f>IF($L100&lt;=0,0,$R100+$K100)</f>
        <v/>
      </c>
      <c r="T100" s="15">
        <f>IF($M100="","",$B100&amp;"#"&amp;$M100)</f>
        <v/>
      </c>
      <c r="U100" s="15">
        <f>ROW()</f>
        <v/>
      </c>
    </row>
    <row r="101">
      <c r="A101" s="38" t="n"/>
      <c r="B101" s="29" t="n"/>
      <c r="C101" s="42" t="n"/>
      <c r="D101" s="42" t="n"/>
      <c r="E101" s="30" t="n"/>
      <c r="F101" s="34">
        <f>IF($E101="","",IFERROR(INDEX(Esp_Hab,MATCH($E101,Esp_Nome,0)),"—"))</f>
        <v/>
      </c>
      <c r="G101" s="30" t="n"/>
      <c r="H101" s="30" t="n"/>
      <c r="I101" s="29" t="n"/>
      <c r="J101" s="29" t="n"/>
      <c r="K101" s="37">
        <f>IF(OR($B101="",NOT(ISNUMBER($C101)),NOT(ISNUMBER($D101))),"",ROUND(MOD($D101-$C101,1)*1440,0))</f>
        <v/>
      </c>
      <c r="L101" s="37">
        <f>IF(NOT(ISNUMBER($K101)),0,IF(OR($K101&lt;=0,$J101="Cancelada",$J101="Suspensa"),0,$K101+Limpeza_Min))</f>
        <v/>
      </c>
      <c r="M101" s="37">
        <f>IF($L101&lt;=0,"",SUMPRODUCT((Mapa_Sala=$B101)*(Mapa_Data=$A101)*(Mapa_MinOcup&gt;0)*((Mapa_RelIni&lt;$R101)+((Mapa_RelIni=$R101)*(Mapa_Row&lt;=$U101)))))</f>
        <v/>
      </c>
      <c r="N101" s="43">
        <f>IF($L101&lt;=0,"",MOD(Turno_Ini+($S101+Limpeza_Min)/1440,1))</f>
        <v/>
      </c>
      <c r="O101" s="37">
        <f>IF($L101&lt;=0,"",MAX(0,IFERROR(INDEX(Mapa_RelIni,MATCH($B101&amp;"#"&amp;($M101+1),Mapa_Chave,0)),Turno_Min)-($S101+Limpeza_Min)))</f>
        <v/>
      </c>
      <c r="P101" s="19">
        <f>IF($B101="","",IF($Q101="","OK",LEFT($Q101,LEN($Q101)-3)))</f>
        <v/>
      </c>
      <c r="Q101" s="10">
        <f>IF($B101="","",IF(COUNTIF(Postos_Cod,$B101)=0,"Sala não cadastrada | ","")&amp;IF(AND(COUNTIF(Postos_Cod,$B101)&gt;0,IFERROR(INDEX(Postos_Tipo,MATCH($B101,Postos_Cod,0)),"")&lt;&gt;"Sala cirúrgica"),"Posto não é sala cirúrgica | ","")&amp;IF(AND(COUNTIF(Postos_Cod,$B101)&gt;0,IFERROR(INDEX(Postos_Status,MATCH($B101,Postos_Cod,0)),"")&lt;&gt;"Ativo"),"Sala não ativa | ","")&amp;IF(COUNTIF(Esp_Nome,$E101)=0,"Especialidade não cadastrada | ","")&amp;IF(COUNTIF(Lista_StatusCirurgia,$J101)=0,"Status inválido | ","")&amp;IF(OR(NOT(ISNUMBER($C101)),NOT(ISNUMBER($D101))),"Horário inválido | ","")&amp;IFERROR(IF(AND(ISNUMBER($C101),ISNUMBER($D101),MOD($D101-$C101,1)*1440&lt;=0),"Duração nula ou negativa | ",""),"")&amp;IF(AND($L101&gt;0,OR($R101&gt;=Turno_Min,$S101&gt;Turno_Min)),"Fora da janela do plantão | ","")&amp;IF(AND($L101&gt;0,SUMPRODUCT((Mapa_Sala=$B101)*(Mapa_Data=$A101)*(Mapa_MinOcup&gt;0)*(Mapa_RelIni&lt;$S101)*(Mapa_RelFim&gt;$R101))&gt;1),"Sobreposição de horário na sala | ","")&amp;IFERROR(IF(AND(ISNUMBER($K101),$K101&gt;0,COUNTIF(Esp_Nome,$E101)&gt;0,$K101&gt;3*INDEX(Esp_Dur,MATCH($E101,Esp_Nome,0))),"Duração atípica (&gt;3x a média) | ",""),""))</f>
        <v/>
      </c>
      <c r="R101" s="15">
        <f>IF(NOT(ISNUMBER($C101)),0,ROUND(MOD($C101-Turno_Ini,1)*1440,0))</f>
        <v/>
      </c>
      <c r="S101" s="15">
        <f>IF($L101&lt;=0,0,$R101+$K101)</f>
        <v/>
      </c>
      <c r="T101" s="15">
        <f>IF($M101="","",$B101&amp;"#"&amp;$M101)</f>
        <v/>
      </c>
      <c r="U101" s="15">
        <f>ROW()</f>
        <v/>
      </c>
    </row>
    <row r="102">
      <c r="A102" s="38" t="n"/>
      <c r="B102" s="29" t="n"/>
      <c r="C102" s="42" t="n"/>
      <c r="D102" s="42" t="n"/>
      <c r="E102" s="30" t="n"/>
      <c r="F102" s="34">
        <f>IF($E102="","",IFERROR(INDEX(Esp_Hab,MATCH($E102,Esp_Nome,0)),"—"))</f>
        <v/>
      </c>
      <c r="G102" s="30" t="n"/>
      <c r="H102" s="30" t="n"/>
      <c r="I102" s="29" t="n"/>
      <c r="J102" s="29" t="n"/>
      <c r="K102" s="37">
        <f>IF(OR($B102="",NOT(ISNUMBER($C102)),NOT(ISNUMBER($D102))),"",ROUND(MOD($D102-$C102,1)*1440,0))</f>
        <v/>
      </c>
      <c r="L102" s="37">
        <f>IF(NOT(ISNUMBER($K102)),0,IF(OR($K102&lt;=0,$J102="Cancelada",$J102="Suspensa"),0,$K102+Limpeza_Min))</f>
        <v/>
      </c>
      <c r="M102" s="37">
        <f>IF($L102&lt;=0,"",SUMPRODUCT((Mapa_Sala=$B102)*(Mapa_Data=$A102)*(Mapa_MinOcup&gt;0)*((Mapa_RelIni&lt;$R102)+((Mapa_RelIni=$R102)*(Mapa_Row&lt;=$U102)))))</f>
        <v/>
      </c>
      <c r="N102" s="43">
        <f>IF($L102&lt;=0,"",MOD(Turno_Ini+($S102+Limpeza_Min)/1440,1))</f>
        <v/>
      </c>
      <c r="O102" s="37">
        <f>IF($L102&lt;=0,"",MAX(0,IFERROR(INDEX(Mapa_RelIni,MATCH($B102&amp;"#"&amp;($M102+1),Mapa_Chave,0)),Turno_Min)-($S102+Limpeza_Min)))</f>
        <v/>
      </c>
      <c r="P102" s="19">
        <f>IF($B102="","",IF($Q102="","OK",LEFT($Q102,LEN($Q102)-3)))</f>
        <v/>
      </c>
      <c r="Q102" s="10">
        <f>IF($B102="","",IF(COUNTIF(Postos_Cod,$B102)=0,"Sala não cadastrada | ","")&amp;IF(AND(COUNTIF(Postos_Cod,$B102)&gt;0,IFERROR(INDEX(Postos_Tipo,MATCH($B102,Postos_Cod,0)),"")&lt;&gt;"Sala cirúrgica"),"Posto não é sala cirúrgica | ","")&amp;IF(AND(COUNTIF(Postos_Cod,$B102)&gt;0,IFERROR(INDEX(Postos_Status,MATCH($B102,Postos_Cod,0)),"")&lt;&gt;"Ativo"),"Sala não ativa | ","")&amp;IF(COUNTIF(Esp_Nome,$E102)=0,"Especialidade não cadastrada | ","")&amp;IF(COUNTIF(Lista_StatusCirurgia,$J102)=0,"Status inválido | ","")&amp;IF(OR(NOT(ISNUMBER($C102)),NOT(ISNUMBER($D102))),"Horário inválido | ","")&amp;IFERROR(IF(AND(ISNUMBER($C102),ISNUMBER($D102),MOD($D102-$C102,1)*1440&lt;=0),"Duração nula ou negativa | ",""),"")&amp;IF(AND($L102&gt;0,OR($R102&gt;=Turno_Min,$S102&gt;Turno_Min)),"Fora da janela do plantão | ","")&amp;IF(AND($L102&gt;0,SUMPRODUCT((Mapa_Sala=$B102)*(Mapa_Data=$A102)*(Mapa_MinOcup&gt;0)*(Mapa_RelIni&lt;$S102)*(Mapa_RelFim&gt;$R102))&gt;1),"Sobreposição de horário na sala | ","")&amp;IFERROR(IF(AND(ISNUMBER($K102),$K102&gt;0,COUNTIF(Esp_Nome,$E102)&gt;0,$K102&gt;3*INDEX(Esp_Dur,MATCH($E102,Esp_Nome,0))),"Duração atípica (&gt;3x a média) | ",""),""))</f>
        <v/>
      </c>
      <c r="R102" s="15">
        <f>IF(NOT(ISNUMBER($C102)),0,ROUND(MOD($C102-Turno_Ini,1)*1440,0))</f>
        <v/>
      </c>
      <c r="S102" s="15">
        <f>IF($L102&lt;=0,0,$R102+$K102)</f>
        <v/>
      </c>
      <c r="T102" s="15">
        <f>IF($M102="","",$B102&amp;"#"&amp;$M102)</f>
        <v/>
      </c>
      <c r="U102" s="15">
        <f>ROW()</f>
        <v/>
      </c>
    </row>
    <row r="103">
      <c r="A103" s="38" t="n"/>
      <c r="B103" s="29" t="n"/>
      <c r="C103" s="42" t="n"/>
      <c r="D103" s="42" t="n"/>
      <c r="E103" s="30" t="n"/>
      <c r="F103" s="34">
        <f>IF($E103="","",IFERROR(INDEX(Esp_Hab,MATCH($E103,Esp_Nome,0)),"—"))</f>
        <v/>
      </c>
      <c r="G103" s="30" t="n"/>
      <c r="H103" s="30" t="n"/>
      <c r="I103" s="29" t="n"/>
      <c r="J103" s="29" t="n"/>
      <c r="K103" s="37">
        <f>IF(OR($B103="",NOT(ISNUMBER($C103)),NOT(ISNUMBER($D103))),"",ROUND(MOD($D103-$C103,1)*1440,0))</f>
        <v/>
      </c>
      <c r="L103" s="37">
        <f>IF(NOT(ISNUMBER($K103)),0,IF(OR($K103&lt;=0,$J103="Cancelada",$J103="Suspensa"),0,$K103+Limpeza_Min))</f>
        <v/>
      </c>
      <c r="M103" s="37">
        <f>IF($L103&lt;=0,"",SUMPRODUCT((Mapa_Sala=$B103)*(Mapa_Data=$A103)*(Mapa_MinOcup&gt;0)*((Mapa_RelIni&lt;$R103)+((Mapa_RelIni=$R103)*(Mapa_Row&lt;=$U103)))))</f>
        <v/>
      </c>
      <c r="N103" s="43">
        <f>IF($L103&lt;=0,"",MOD(Turno_Ini+($S103+Limpeza_Min)/1440,1))</f>
        <v/>
      </c>
      <c r="O103" s="37">
        <f>IF($L103&lt;=0,"",MAX(0,IFERROR(INDEX(Mapa_RelIni,MATCH($B103&amp;"#"&amp;($M103+1),Mapa_Chave,0)),Turno_Min)-($S103+Limpeza_Min)))</f>
        <v/>
      </c>
      <c r="P103" s="19">
        <f>IF($B103="","",IF($Q103="","OK",LEFT($Q103,LEN($Q103)-3)))</f>
        <v/>
      </c>
      <c r="Q103" s="10">
        <f>IF($B103="","",IF(COUNTIF(Postos_Cod,$B103)=0,"Sala não cadastrada | ","")&amp;IF(AND(COUNTIF(Postos_Cod,$B103)&gt;0,IFERROR(INDEX(Postos_Tipo,MATCH($B103,Postos_Cod,0)),"")&lt;&gt;"Sala cirúrgica"),"Posto não é sala cirúrgica | ","")&amp;IF(AND(COUNTIF(Postos_Cod,$B103)&gt;0,IFERROR(INDEX(Postos_Status,MATCH($B103,Postos_Cod,0)),"")&lt;&gt;"Ativo"),"Sala não ativa | ","")&amp;IF(COUNTIF(Esp_Nome,$E103)=0,"Especialidade não cadastrada | ","")&amp;IF(COUNTIF(Lista_StatusCirurgia,$J103)=0,"Status inválido | ","")&amp;IF(OR(NOT(ISNUMBER($C103)),NOT(ISNUMBER($D103))),"Horário inválido | ","")&amp;IFERROR(IF(AND(ISNUMBER($C103),ISNUMBER($D103),MOD($D103-$C103,1)*1440&lt;=0),"Duração nula ou negativa | ",""),"")&amp;IF(AND($L103&gt;0,OR($R103&gt;=Turno_Min,$S103&gt;Turno_Min)),"Fora da janela do plantão | ","")&amp;IF(AND($L103&gt;0,SUMPRODUCT((Mapa_Sala=$B103)*(Mapa_Data=$A103)*(Mapa_MinOcup&gt;0)*(Mapa_RelIni&lt;$S103)*(Mapa_RelFim&gt;$R103))&gt;1),"Sobreposição de horário na sala | ","")&amp;IFERROR(IF(AND(ISNUMBER($K103),$K103&gt;0,COUNTIF(Esp_Nome,$E103)&gt;0,$K103&gt;3*INDEX(Esp_Dur,MATCH($E103,Esp_Nome,0))),"Duração atípica (&gt;3x a média) | ",""),""))</f>
        <v/>
      </c>
      <c r="R103" s="15">
        <f>IF(NOT(ISNUMBER($C103)),0,ROUND(MOD($C103-Turno_Ini,1)*1440,0))</f>
        <v/>
      </c>
      <c r="S103" s="15">
        <f>IF($L103&lt;=0,0,$R103+$K103)</f>
        <v/>
      </c>
      <c r="T103" s="15">
        <f>IF($M103="","",$B103&amp;"#"&amp;$M103)</f>
        <v/>
      </c>
      <c r="U103" s="15">
        <f>ROW()</f>
        <v/>
      </c>
    </row>
    <row r="104">
      <c r="A104" s="38" t="n"/>
      <c r="B104" s="29" t="n"/>
      <c r="C104" s="42" t="n"/>
      <c r="D104" s="42" t="n"/>
      <c r="E104" s="30" t="n"/>
      <c r="F104" s="34">
        <f>IF($E104="","",IFERROR(INDEX(Esp_Hab,MATCH($E104,Esp_Nome,0)),"—"))</f>
        <v/>
      </c>
      <c r="G104" s="30" t="n"/>
      <c r="H104" s="30" t="n"/>
      <c r="I104" s="29" t="n"/>
      <c r="J104" s="29" t="n"/>
      <c r="K104" s="37">
        <f>IF(OR($B104="",NOT(ISNUMBER($C104)),NOT(ISNUMBER($D104))),"",ROUND(MOD($D104-$C104,1)*1440,0))</f>
        <v/>
      </c>
      <c r="L104" s="37">
        <f>IF(NOT(ISNUMBER($K104)),0,IF(OR($K104&lt;=0,$J104="Cancelada",$J104="Suspensa"),0,$K104+Limpeza_Min))</f>
        <v/>
      </c>
      <c r="M104" s="37">
        <f>IF($L104&lt;=0,"",SUMPRODUCT((Mapa_Sala=$B104)*(Mapa_Data=$A104)*(Mapa_MinOcup&gt;0)*((Mapa_RelIni&lt;$R104)+((Mapa_RelIni=$R104)*(Mapa_Row&lt;=$U104)))))</f>
        <v/>
      </c>
      <c r="N104" s="43">
        <f>IF($L104&lt;=0,"",MOD(Turno_Ini+($S104+Limpeza_Min)/1440,1))</f>
        <v/>
      </c>
      <c r="O104" s="37">
        <f>IF($L104&lt;=0,"",MAX(0,IFERROR(INDEX(Mapa_RelIni,MATCH($B104&amp;"#"&amp;($M104+1),Mapa_Chave,0)),Turno_Min)-($S104+Limpeza_Min)))</f>
        <v/>
      </c>
      <c r="P104" s="19">
        <f>IF($B104="","",IF($Q104="","OK",LEFT($Q104,LEN($Q104)-3)))</f>
        <v/>
      </c>
      <c r="Q104" s="10">
        <f>IF($B104="","",IF(COUNTIF(Postos_Cod,$B104)=0,"Sala não cadastrada | ","")&amp;IF(AND(COUNTIF(Postos_Cod,$B104)&gt;0,IFERROR(INDEX(Postos_Tipo,MATCH($B104,Postos_Cod,0)),"")&lt;&gt;"Sala cirúrgica"),"Posto não é sala cirúrgica | ","")&amp;IF(AND(COUNTIF(Postos_Cod,$B104)&gt;0,IFERROR(INDEX(Postos_Status,MATCH($B104,Postos_Cod,0)),"")&lt;&gt;"Ativo"),"Sala não ativa | ","")&amp;IF(COUNTIF(Esp_Nome,$E104)=0,"Especialidade não cadastrada | ","")&amp;IF(COUNTIF(Lista_StatusCirurgia,$J104)=0,"Status inválido | ","")&amp;IF(OR(NOT(ISNUMBER($C104)),NOT(ISNUMBER($D104))),"Horário inválido | ","")&amp;IFERROR(IF(AND(ISNUMBER($C104),ISNUMBER($D104),MOD($D104-$C104,1)*1440&lt;=0),"Duração nula ou negativa | ",""),"")&amp;IF(AND($L104&gt;0,OR($R104&gt;=Turno_Min,$S104&gt;Turno_Min)),"Fora da janela do plantão | ","")&amp;IF(AND($L104&gt;0,SUMPRODUCT((Mapa_Sala=$B104)*(Mapa_Data=$A104)*(Mapa_MinOcup&gt;0)*(Mapa_RelIni&lt;$S104)*(Mapa_RelFim&gt;$R104))&gt;1),"Sobreposição de horário na sala | ","")&amp;IFERROR(IF(AND(ISNUMBER($K104),$K104&gt;0,COUNTIF(Esp_Nome,$E104)&gt;0,$K104&gt;3*INDEX(Esp_Dur,MATCH($E104,Esp_Nome,0))),"Duração atípica (&gt;3x a média) | ",""),""))</f>
        <v/>
      </c>
      <c r="R104" s="15">
        <f>IF(NOT(ISNUMBER($C104)),0,ROUND(MOD($C104-Turno_Ini,1)*1440,0))</f>
        <v/>
      </c>
      <c r="S104" s="15">
        <f>IF($L104&lt;=0,0,$R104+$K104)</f>
        <v/>
      </c>
      <c r="T104" s="15">
        <f>IF($M104="","",$B104&amp;"#"&amp;$M104)</f>
        <v/>
      </c>
      <c r="U104" s="15">
        <f>ROW()</f>
        <v/>
      </c>
    </row>
    <row r="105">
      <c r="A105" s="38" t="n"/>
      <c r="B105" s="29" t="n"/>
      <c r="C105" s="42" t="n"/>
      <c r="D105" s="42" t="n"/>
      <c r="E105" s="30" t="n"/>
      <c r="F105" s="34">
        <f>IF($E105="","",IFERROR(INDEX(Esp_Hab,MATCH($E105,Esp_Nome,0)),"—"))</f>
        <v/>
      </c>
      <c r="G105" s="30" t="n"/>
      <c r="H105" s="30" t="n"/>
      <c r="I105" s="29" t="n"/>
      <c r="J105" s="29" t="n"/>
      <c r="K105" s="37">
        <f>IF(OR($B105="",NOT(ISNUMBER($C105)),NOT(ISNUMBER($D105))),"",ROUND(MOD($D105-$C105,1)*1440,0))</f>
        <v/>
      </c>
      <c r="L105" s="37">
        <f>IF(NOT(ISNUMBER($K105)),0,IF(OR($K105&lt;=0,$J105="Cancelada",$J105="Suspensa"),0,$K105+Limpeza_Min))</f>
        <v/>
      </c>
      <c r="M105" s="37">
        <f>IF($L105&lt;=0,"",SUMPRODUCT((Mapa_Sala=$B105)*(Mapa_Data=$A105)*(Mapa_MinOcup&gt;0)*((Mapa_RelIni&lt;$R105)+((Mapa_RelIni=$R105)*(Mapa_Row&lt;=$U105)))))</f>
        <v/>
      </c>
      <c r="N105" s="43">
        <f>IF($L105&lt;=0,"",MOD(Turno_Ini+($S105+Limpeza_Min)/1440,1))</f>
        <v/>
      </c>
      <c r="O105" s="37">
        <f>IF($L105&lt;=0,"",MAX(0,IFERROR(INDEX(Mapa_RelIni,MATCH($B105&amp;"#"&amp;($M105+1),Mapa_Chave,0)),Turno_Min)-($S105+Limpeza_Min)))</f>
        <v/>
      </c>
      <c r="P105" s="19">
        <f>IF($B105="","",IF($Q105="","OK",LEFT($Q105,LEN($Q105)-3)))</f>
        <v/>
      </c>
      <c r="Q105" s="10">
        <f>IF($B105="","",IF(COUNTIF(Postos_Cod,$B105)=0,"Sala não cadastrada | ","")&amp;IF(AND(COUNTIF(Postos_Cod,$B105)&gt;0,IFERROR(INDEX(Postos_Tipo,MATCH($B105,Postos_Cod,0)),"")&lt;&gt;"Sala cirúrgica"),"Posto não é sala cirúrgica | ","")&amp;IF(AND(COUNTIF(Postos_Cod,$B105)&gt;0,IFERROR(INDEX(Postos_Status,MATCH($B105,Postos_Cod,0)),"")&lt;&gt;"Ativo"),"Sala não ativa | ","")&amp;IF(COUNTIF(Esp_Nome,$E105)=0,"Especialidade não cadastrada | ","")&amp;IF(COUNTIF(Lista_StatusCirurgia,$J105)=0,"Status inválido | ","")&amp;IF(OR(NOT(ISNUMBER($C105)),NOT(ISNUMBER($D105))),"Horário inválido | ","")&amp;IFERROR(IF(AND(ISNUMBER($C105),ISNUMBER($D105),MOD($D105-$C105,1)*1440&lt;=0),"Duração nula ou negativa | ",""),"")&amp;IF(AND($L105&gt;0,OR($R105&gt;=Turno_Min,$S105&gt;Turno_Min)),"Fora da janela do plantão | ","")&amp;IF(AND($L105&gt;0,SUMPRODUCT((Mapa_Sala=$B105)*(Mapa_Data=$A105)*(Mapa_MinOcup&gt;0)*(Mapa_RelIni&lt;$S105)*(Mapa_RelFim&gt;$R105))&gt;1),"Sobreposição de horário na sala | ","")&amp;IFERROR(IF(AND(ISNUMBER($K105),$K105&gt;0,COUNTIF(Esp_Nome,$E105)&gt;0,$K105&gt;3*INDEX(Esp_Dur,MATCH($E105,Esp_Nome,0))),"Duração atípica (&gt;3x a média) | ",""),""))</f>
        <v/>
      </c>
      <c r="R105" s="15">
        <f>IF(NOT(ISNUMBER($C105)),0,ROUND(MOD($C105-Turno_Ini,1)*1440,0))</f>
        <v/>
      </c>
      <c r="S105" s="15">
        <f>IF($L105&lt;=0,0,$R105+$K105)</f>
        <v/>
      </c>
      <c r="T105" s="15">
        <f>IF($M105="","",$B105&amp;"#"&amp;$M105)</f>
        <v/>
      </c>
      <c r="U105" s="15">
        <f>ROW()</f>
        <v/>
      </c>
    </row>
    <row r="106">
      <c r="A106" s="38" t="n"/>
      <c r="B106" s="29" t="n"/>
      <c r="C106" s="42" t="n"/>
      <c r="D106" s="42" t="n"/>
      <c r="E106" s="30" t="n"/>
      <c r="F106" s="34">
        <f>IF($E106="","",IFERROR(INDEX(Esp_Hab,MATCH($E106,Esp_Nome,0)),"—"))</f>
        <v/>
      </c>
      <c r="G106" s="30" t="n"/>
      <c r="H106" s="30" t="n"/>
      <c r="I106" s="29" t="n"/>
      <c r="J106" s="29" t="n"/>
      <c r="K106" s="37">
        <f>IF(OR($B106="",NOT(ISNUMBER($C106)),NOT(ISNUMBER($D106))),"",ROUND(MOD($D106-$C106,1)*1440,0))</f>
        <v/>
      </c>
      <c r="L106" s="37">
        <f>IF(NOT(ISNUMBER($K106)),0,IF(OR($K106&lt;=0,$J106="Cancelada",$J106="Suspensa"),0,$K106+Limpeza_Min))</f>
        <v/>
      </c>
      <c r="M106" s="37">
        <f>IF($L106&lt;=0,"",SUMPRODUCT((Mapa_Sala=$B106)*(Mapa_Data=$A106)*(Mapa_MinOcup&gt;0)*((Mapa_RelIni&lt;$R106)+((Mapa_RelIni=$R106)*(Mapa_Row&lt;=$U106)))))</f>
        <v/>
      </c>
      <c r="N106" s="43">
        <f>IF($L106&lt;=0,"",MOD(Turno_Ini+($S106+Limpeza_Min)/1440,1))</f>
        <v/>
      </c>
      <c r="O106" s="37">
        <f>IF($L106&lt;=0,"",MAX(0,IFERROR(INDEX(Mapa_RelIni,MATCH($B106&amp;"#"&amp;($M106+1),Mapa_Chave,0)),Turno_Min)-($S106+Limpeza_Min)))</f>
        <v/>
      </c>
      <c r="P106" s="19">
        <f>IF($B106="","",IF($Q106="","OK",LEFT($Q106,LEN($Q106)-3)))</f>
        <v/>
      </c>
      <c r="Q106" s="10">
        <f>IF($B106="","",IF(COUNTIF(Postos_Cod,$B106)=0,"Sala não cadastrada | ","")&amp;IF(AND(COUNTIF(Postos_Cod,$B106)&gt;0,IFERROR(INDEX(Postos_Tipo,MATCH($B106,Postos_Cod,0)),"")&lt;&gt;"Sala cirúrgica"),"Posto não é sala cirúrgica | ","")&amp;IF(AND(COUNTIF(Postos_Cod,$B106)&gt;0,IFERROR(INDEX(Postos_Status,MATCH($B106,Postos_Cod,0)),"")&lt;&gt;"Ativo"),"Sala não ativa | ","")&amp;IF(COUNTIF(Esp_Nome,$E106)=0,"Especialidade não cadastrada | ","")&amp;IF(COUNTIF(Lista_StatusCirurgia,$J106)=0,"Status inválido | ","")&amp;IF(OR(NOT(ISNUMBER($C106)),NOT(ISNUMBER($D106))),"Horário inválido | ","")&amp;IFERROR(IF(AND(ISNUMBER($C106),ISNUMBER($D106),MOD($D106-$C106,1)*1440&lt;=0),"Duração nula ou negativa | ",""),"")&amp;IF(AND($L106&gt;0,OR($R106&gt;=Turno_Min,$S106&gt;Turno_Min)),"Fora da janela do plantão | ","")&amp;IF(AND($L106&gt;0,SUMPRODUCT((Mapa_Sala=$B106)*(Mapa_Data=$A106)*(Mapa_MinOcup&gt;0)*(Mapa_RelIni&lt;$S106)*(Mapa_RelFim&gt;$R106))&gt;1),"Sobreposição de horário na sala | ","")&amp;IFERROR(IF(AND(ISNUMBER($K106),$K106&gt;0,COUNTIF(Esp_Nome,$E106)&gt;0,$K106&gt;3*INDEX(Esp_Dur,MATCH($E106,Esp_Nome,0))),"Duração atípica (&gt;3x a média) | ",""),""))</f>
        <v/>
      </c>
      <c r="R106" s="15">
        <f>IF(NOT(ISNUMBER($C106)),0,ROUND(MOD($C106-Turno_Ini,1)*1440,0))</f>
        <v/>
      </c>
      <c r="S106" s="15">
        <f>IF($L106&lt;=0,0,$R106+$K106)</f>
        <v/>
      </c>
      <c r="T106" s="15">
        <f>IF($M106="","",$B106&amp;"#"&amp;$M106)</f>
        <v/>
      </c>
      <c r="U106" s="15">
        <f>ROW()</f>
        <v/>
      </c>
    </row>
    <row r="107">
      <c r="A107" s="38" t="n"/>
      <c r="B107" s="29" t="n"/>
      <c r="C107" s="42" t="n"/>
      <c r="D107" s="42" t="n"/>
      <c r="E107" s="30" t="n"/>
      <c r="F107" s="34">
        <f>IF($E107="","",IFERROR(INDEX(Esp_Hab,MATCH($E107,Esp_Nome,0)),"—"))</f>
        <v/>
      </c>
      <c r="G107" s="30" t="n"/>
      <c r="H107" s="30" t="n"/>
      <c r="I107" s="29" t="n"/>
      <c r="J107" s="29" t="n"/>
      <c r="K107" s="37">
        <f>IF(OR($B107="",NOT(ISNUMBER($C107)),NOT(ISNUMBER($D107))),"",ROUND(MOD($D107-$C107,1)*1440,0))</f>
        <v/>
      </c>
      <c r="L107" s="37">
        <f>IF(NOT(ISNUMBER($K107)),0,IF(OR($K107&lt;=0,$J107="Cancelada",$J107="Suspensa"),0,$K107+Limpeza_Min))</f>
        <v/>
      </c>
      <c r="M107" s="37">
        <f>IF($L107&lt;=0,"",SUMPRODUCT((Mapa_Sala=$B107)*(Mapa_Data=$A107)*(Mapa_MinOcup&gt;0)*((Mapa_RelIni&lt;$R107)+((Mapa_RelIni=$R107)*(Mapa_Row&lt;=$U107)))))</f>
        <v/>
      </c>
      <c r="N107" s="43">
        <f>IF($L107&lt;=0,"",MOD(Turno_Ini+($S107+Limpeza_Min)/1440,1))</f>
        <v/>
      </c>
      <c r="O107" s="37">
        <f>IF($L107&lt;=0,"",MAX(0,IFERROR(INDEX(Mapa_RelIni,MATCH($B107&amp;"#"&amp;($M107+1),Mapa_Chave,0)),Turno_Min)-($S107+Limpeza_Min)))</f>
        <v/>
      </c>
      <c r="P107" s="19">
        <f>IF($B107="","",IF($Q107="","OK",LEFT($Q107,LEN($Q107)-3)))</f>
        <v/>
      </c>
      <c r="Q107" s="10">
        <f>IF($B107="","",IF(COUNTIF(Postos_Cod,$B107)=0,"Sala não cadastrada | ","")&amp;IF(AND(COUNTIF(Postos_Cod,$B107)&gt;0,IFERROR(INDEX(Postos_Tipo,MATCH($B107,Postos_Cod,0)),"")&lt;&gt;"Sala cirúrgica"),"Posto não é sala cirúrgica | ","")&amp;IF(AND(COUNTIF(Postos_Cod,$B107)&gt;0,IFERROR(INDEX(Postos_Status,MATCH($B107,Postos_Cod,0)),"")&lt;&gt;"Ativo"),"Sala não ativa | ","")&amp;IF(COUNTIF(Esp_Nome,$E107)=0,"Especialidade não cadastrada | ","")&amp;IF(COUNTIF(Lista_StatusCirurgia,$J107)=0,"Status inválido | ","")&amp;IF(OR(NOT(ISNUMBER($C107)),NOT(ISNUMBER($D107))),"Horário inválido | ","")&amp;IFERROR(IF(AND(ISNUMBER($C107),ISNUMBER($D107),MOD($D107-$C107,1)*1440&lt;=0),"Duração nula ou negativa | ",""),"")&amp;IF(AND($L107&gt;0,OR($R107&gt;=Turno_Min,$S107&gt;Turno_Min)),"Fora da janela do plantão | ","")&amp;IF(AND($L107&gt;0,SUMPRODUCT((Mapa_Sala=$B107)*(Mapa_Data=$A107)*(Mapa_MinOcup&gt;0)*(Mapa_RelIni&lt;$S107)*(Mapa_RelFim&gt;$R107))&gt;1),"Sobreposição de horário na sala | ","")&amp;IFERROR(IF(AND(ISNUMBER($K107),$K107&gt;0,COUNTIF(Esp_Nome,$E107)&gt;0,$K107&gt;3*INDEX(Esp_Dur,MATCH($E107,Esp_Nome,0))),"Duração atípica (&gt;3x a média) | ",""),""))</f>
        <v/>
      </c>
      <c r="R107" s="15">
        <f>IF(NOT(ISNUMBER($C107)),0,ROUND(MOD($C107-Turno_Ini,1)*1440,0))</f>
        <v/>
      </c>
      <c r="S107" s="15">
        <f>IF($L107&lt;=0,0,$R107+$K107)</f>
        <v/>
      </c>
      <c r="T107" s="15">
        <f>IF($M107="","",$B107&amp;"#"&amp;$M107)</f>
        <v/>
      </c>
      <c r="U107" s="15">
        <f>ROW()</f>
        <v/>
      </c>
    </row>
    <row r="108">
      <c r="A108" s="38" t="n"/>
      <c r="B108" s="29" t="n"/>
      <c r="C108" s="42" t="n"/>
      <c r="D108" s="42" t="n"/>
      <c r="E108" s="30" t="n"/>
      <c r="F108" s="34">
        <f>IF($E108="","",IFERROR(INDEX(Esp_Hab,MATCH($E108,Esp_Nome,0)),"—"))</f>
        <v/>
      </c>
      <c r="G108" s="30" t="n"/>
      <c r="H108" s="30" t="n"/>
      <c r="I108" s="29" t="n"/>
      <c r="J108" s="29" t="n"/>
      <c r="K108" s="37">
        <f>IF(OR($B108="",NOT(ISNUMBER($C108)),NOT(ISNUMBER($D108))),"",ROUND(MOD($D108-$C108,1)*1440,0))</f>
        <v/>
      </c>
      <c r="L108" s="37">
        <f>IF(NOT(ISNUMBER($K108)),0,IF(OR($K108&lt;=0,$J108="Cancelada",$J108="Suspensa"),0,$K108+Limpeza_Min))</f>
        <v/>
      </c>
      <c r="M108" s="37">
        <f>IF($L108&lt;=0,"",SUMPRODUCT((Mapa_Sala=$B108)*(Mapa_Data=$A108)*(Mapa_MinOcup&gt;0)*((Mapa_RelIni&lt;$R108)+((Mapa_RelIni=$R108)*(Mapa_Row&lt;=$U108)))))</f>
        <v/>
      </c>
      <c r="N108" s="43">
        <f>IF($L108&lt;=0,"",MOD(Turno_Ini+($S108+Limpeza_Min)/1440,1))</f>
        <v/>
      </c>
      <c r="O108" s="37">
        <f>IF($L108&lt;=0,"",MAX(0,IFERROR(INDEX(Mapa_RelIni,MATCH($B108&amp;"#"&amp;($M108+1),Mapa_Chave,0)),Turno_Min)-($S108+Limpeza_Min)))</f>
        <v/>
      </c>
      <c r="P108" s="19">
        <f>IF($B108="","",IF($Q108="","OK",LEFT($Q108,LEN($Q108)-3)))</f>
        <v/>
      </c>
      <c r="Q108" s="10">
        <f>IF($B108="","",IF(COUNTIF(Postos_Cod,$B108)=0,"Sala não cadastrada | ","")&amp;IF(AND(COUNTIF(Postos_Cod,$B108)&gt;0,IFERROR(INDEX(Postos_Tipo,MATCH($B108,Postos_Cod,0)),"")&lt;&gt;"Sala cirúrgica"),"Posto não é sala cirúrgica | ","")&amp;IF(AND(COUNTIF(Postos_Cod,$B108)&gt;0,IFERROR(INDEX(Postos_Status,MATCH($B108,Postos_Cod,0)),"")&lt;&gt;"Ativo"),"Sala não ativa | ","")&amp;IF(COUNTIF(Esp_Nome,$E108)=0,"Especialidade não cadastrada | ","")&amp;IF(COUNTIF(Lista_StatusCirurgia,$J108)=0,"Status inválido | ","")&amp;IF(OR(NOT(ISNUMBER($C108)),NOT(ISNUMBER($D108))),"Horário inválido | ","")&amp;IFERROR(IF(AND(ISNUMBER($C108),ISNUMBER($D108),MOD($D108-$C108,1)*1440&lt;=0),"Duração nula ou negativa | ",""),"")&amp;IF(AND($L108&gt;0,OR($R108&gt;=Turno_Min,$S108&gt;Turno_Min)),"Fora da janela do plantão | ","")&amp;IF(AND($L108&gt;0,SUMPRODUCT((Mapa_Sala=$B108)*(Mapa_Data=$A108)*(Mapa_MinOcup&gt;0)*(Mapa_RelIni&lt;$S108)*(Mapa_RelFim&gt;$R108))&gt;1),"Sobreposição de horário na sala | ","")&amp;IFERROR(IF(AND(ISNUMBER($K108),$K108&gt;0,COUNTIF(Esp_Nome,$E108)&gt;0,$K108&gt;3*INDEX(Esp_Dur,MATCH($E108,Esp_Nome,0))),"Duração atípica (&gt;3x a média) | ",""),""))</f>
        <v/>
      </c>
      <c r="R108" s="15">
        <f>IF(NOT(ISNUMBER($C108)),0,ROUND(MOD($C108-Turno_Ini,1)*1440,0))</f>
        <v/>
      </c>
      <c r="S108" s="15">
        <f>IF($L108&lt;=0,0,$R108+$K108)</f>
        <v/>
      </c>
      <c r="T108" s="15">
        <f>IF($M108="","",$B108&amp;"#"&amp;$M108)</f>
        <v/>
      </c>
      <c r="U108" s="15">
        <f>ROW()</f>
        <v/>
      </c>
    </row>
    <row r="109">
      <c r="A109" s="38" t="n"/>
      <c r="B109" s="29" t="n"/>
      <c r="C109" s="42" t="n"/>
      <c r="D109" s="42" t="n"/>
      <c r="E109" s="30" t="n"/>
      <c r="F109" s="34">
        <f>IF($E109="","",IFERROR(INDEX(Esp_Hab,MATCH($E109,Esp_Nome,0)),"—"))</f>
        <v/>
      </c>
      <c r="G109" s="30" t="n"/>
      <c r="H109" s="30" t="n"/>
      <c r="I109" s="29" t="n"/>
      <c r="J109" s="29" t="n"/>
      <c r="K109" s="37">
        <f>IF(OR($B109="",NOT(ISNUMBER($C109)),NOT(ISNUMBER($D109))),"",ROUND(MOD($D109-$C109,1)*1440,0))</f>
        <v/>
      </c>
      <c r="L109" s="37">
        <f>IF(NOT(ISNUMBER($K109)),0,IF(OR($K109&lt;=0,$J109="Cancelada",$J109="Suspensa"),0,$K109+Limpeza_Min))</f>
        <v/>
      </c>
      <c r="M109" s="37">
        <f>IF($L109&lt;=0,"",SUMPRODUCT((Mapa_Sala=$B109)*(Mapa_Data=$A109)*(Mapa_MinOcup&gt;0)*((Mapa_RelIni&lt;$R109)+((Mapa_RelIni=$R109)*(Mapa_Row&lt;=$U109)))))</f>
        <v/>
      </c>
      <c r="N109" s="43">
        <f>IF($L109&lt;=0,"",MOD(Turno_Ini+($S109+Limpeza_Min)/1440,1))</f>
        <v/>
      </c>
      <c r="O109" s="37">
        <f>IF($L109&lt;=0,"",MAX(0,IFERROR(INDEX(Mapa_RelIni,MATCH($B109&amp;"#"&amp;($M109+1),Mapa_Chave,0)),Turno_Min)-($S109+Limpeza_Min)))</f>
        <v/>
      </c>
      <c r="P109" s="19">
        <f>IF($B109="","",IF($Q109="","OK",LEFT($Q109,LEN($Q109)-3)))</f>
        <v/>
      </c>
      <c r="Q109" s="10">
        <f>IF($B109="","",IF(COUNTIF(Postos_Cod,$B109)=0,"Sala não cadastrada | ","")&amp;IF(AND(COUNTIF(Postos_Cod,$B109)&gt;0,IFERROR(INDEX(Postos_Tipo,MATCH($B109,Postos_Cod,0)),"")&lt;&gt;"Sala cirúrgica"),"Posto não é sala cirúrgica | ","")&amp;IF(AND(COUNTIF(Postos_Cod,$B109)&gt;0,IFERROR(INDEX(Postos_Status,MATCH($B109,Postos_Cod,0)),"")&lt;&gt;"Ativo"),"Sala não ativa | ","")&amp;IF(COUNTIF(Esp_Nome,$E109)=0,"Especialidade não cadastrada | ","")&amp;IF(COUNTIF(Lista_StatusCirurgia,$J109)=0,"Status inválido | ","")&amp;IF(OR(NOT(ISNUMBER($C109)),NOT(ISNUMBER($D109))),"Horário inválido | ","")&amp;IFERROR(IF(AND(ISNUMBER($C109),ISNUMBER($D109),MOD($D109-$C109,1)*1440&lt;=0),"Duração nula ou negativa | ",""),"")&amp;IF(AND($L109&gt;0,OR($R109&gt;=Turno_Min,$S109&gt;Turno_Min)),"Fora da janela do plantão | ","")&amp;IF(AND($L109&gt;0,SUMPRODUCT((Mapa_Sala=$B109)*(Mapa_Data=$A109)*(Mapa_MinOcup&gt;0)*(Mapa_RelIni&lt;$S109)*(Mapa_RelFim&gt;$R109))&gt;1),"Sobreposição de horário na sala | ","")&amp;IFERROR(IF(AND(ISNUMBER($K109),$K109&gt;0,COUNTIF(Esp_Nome,$E109)&gt;0,$K109&gt;3*INDEX(Esp_Dur,MATCH($E109,Esp_Nome,0))),"Duração atípica (&gt;3x a média) | ",""),""))</f>
        <v/>
      </c>
      <c r="R109" s="15">
        <f>IF(NOT(ISNUMBER($C109)),0,ROUND(MOD($C109-Turno_Ini,1)*1440,0))</f>
        <v/>
      </c>
      <c r="S109" s="15">
        <f>IF($L109&lt;=0,0,$R109+$K109)</f>
        <v/>
      </c>
      <c r="T109" s="15">
        <f>IF($M109="","",$B109&amp;"#"&amp;$M109)</f>
        <v/>
      </c>
      <c r="U109" s="15">
        <f>ROW()</f>
        <v/>
      </c>
    </row>
    <row r="110">
      <c r="A110" s="38" t="n"/>
      <c r="B110" s="29" t="n"/>
      <c r="C110" s="42" t="n"/>
      <c r="D110" s="42" t="n"/>
      <c r="E110" s="30" t="n"/>
      <c r="F110" s="34">
        <f>IF($E110="","",IFERROR(INDEX(Esp_Hab,MATCH($E110,Esp_Nome,0)),"—"))</f>
        <v/>
      </c>
      <c r="G110" s="30" t="n"/>
      <c r="H110" s="30" t="n"/>
      <c r="I110" s="29" t="n"/>
      <c r="J110" s="29" t="n"/>
      <c r="K110" s="37">
        <f>IF(OR($B110="",NOT(ISNUMBER($C110)),NOT(ISNUMBER($D110))),"",ROUND(MOD($D110-$C110,1)*1440,0))</f>
        <v/>
      </c>
      <c r="L110" s="37">
        <f>IF(NOT(ISNUMBER($K110)),0,IF(OR($K110&lt;=0,$J110="Cancelada",$J110="Suspensa"),0,$K110+Limpeza_Min))</f>
        <v/>
      </c>
      <c r="M110" s="37">
        <f>IF($L110&lt;=0,"",SUMPRODUCT((Mapa_Sala=$B110)*(Mapa_Data=$A110)*(Mapa_MinOcup&gt;0)*((Mapa_RelIni&lt;$R110)+((Mapa_RelIni=$R110)*(Mapa_Row&lt;=$U110)))))</f>
        <v/>
      </c>
      <c r="N110" s="43">
        <f>IF($L110&lt;=0,"",MOD(Turno_Ini+($S110+Limpeza_Min)/1440,1))</f>
        <v/>
      </c>
      <c r="O110" s="37">
        <f>IF($L110&lt;=0,"",MAX(0,IFERROR(INDEX(Mapa_RelIni,MATCH($B110&amp;"#"&amp;($M110+1),Mapa_Chave,0)),Turno_Min)-($S110+Limpeza_Min)))</f>
        <v/>
      </c>
      <c r="P110" s="19">
        <f>IF($B110="","",IF($Q110="","OK",LEFT($Q110,LEN($Q110)-3)))</f>
        <v/>
      </c>
      <c r="Q110" s="10">
        <f>IF($B110="","",IF(COUNTIF(Postos_Cod,$B110)=0,"Sala não cadastrada | ","")&amp;IF(AND(COUNTIF(Postos_Cod,$B110)&gt;0,IFERROR(INDEX(Postos_Tipo,MATCH($B110,Postos_Cod,0)),"")&lt;&gt;"Sala cirúrgica"),"Posto não é sala cirúrgica | ","")&amp;IF(AND(COUNTIF(Postos_Cod,$B110)&gt;0,IFERROR(INDEX(Postos_Status,MATCH($B110,Postos_Cod,0)),"")&lt;&gt;"Ativo"),"Sala não ativa | ","")&amp;IF(COUNTIF(Esp_Nome,$E110)=0,"Especialidade não cadastrada | ","")&amp;IF(COUNTIF(Lista_StatusCirurgia,$J110)=0,"Status inválido | ","")&amp;IF(OR(NOT(ISNUMBER($C110)),NOT(ISNUMBER($D110))),"Horário inválido | ","")&amp;IFERROR(IF(AND(ISNUMBER($C110),ISNUMBER($D110),MOD($D110-$C110,1)*1440&lt;=0),"Duração nula ou negativa | ",""),"")&amp;IF(AND($L110&gt;0,OR($R110&gt;=Turno_Min,$S110&gt;Turno_Min)),"Fora da janela do plantão | ","")&amp;IF(AND($L110&gt;0,SUMPRODUCT((Mapa_Sala=$B110)*(Mapa_Data=$A110)*(Mapa_MinOcup&gt;0)*(Mapa_RelIni&lt;$S110)*(Mapa_RelFim&gt;$R110))&gt;1),"Sobreposição de horário na sala | ","")&amp;IFERROR(IF(AND(ISNUMBER($K110),$K110&gt;0,COUNTIF(Esp_Nome,$E110)&gt;0,$K110&gt;3*INDEX(Esp_Dur,MATCH($E110,Esp_Nome,0))),"Duração atípica (&gt;3x a média) | ",""),""))</f>
        <v/>
      </c>
      <c r="R110" s="15">
        <f>IF(NOT(ISNUMBER($C110)),0,ROUND(MOD($C110-Turno_Ini,1)*1440,0))</f>
        <v/>
      </c>
      <c r="S110" s="15">
        <f>IF($L110&lt;=0,0,$R110+$K110)</f>
        <v/>
      </c>
      <c r="T110" s="15">
        <f>IF($M110="","",$B110&amp;"#"&amp;$M110)</f>
        <v/>
      </c>
      <c r="U110" s="15">
        <f>ROW()</f>
        <v/>
      </c>
    </row>
    <row r="111">
      <c r="A111" s="38" t="n"/>
      <c r="B111" s="29" t="n"/>
      <c r="C111" s="42" t="n"/>
      <c r="D111" s="42" t="n"/>
      <c r="E111" s="30" t="n"/>
      <c r="F111" s="34">
        <f>IF($E111="","",IFERROR(INDEX(Esp_Hab,MATCH($E111,Esp_Nome,0)),"—"))</f>
        <v/>
      </c>
      <c r="G111" s="30" t="n"/>
      <c r="H111" s="30" t="n"/>
      <c r="I111" s="29" t="n"/>
      <c r="J111" s="29" t="n"/>
      <c r="K111" s="37">
        <f>IF(OR($B111="",NOT(ISNUMBER($C111)),NOT(ISNUMBER($D111))),"",ROUND(MOD($D111-$C111,1)*1440,0))</f>
        <v/>
      </c>
      <c r="L111" s="37">
        <f>IF(NOT(ISNUMBER($K111)),0,IF(OR($K111&lt;=0,$J111="Cancelada",$J111="Suspensa"),0,$K111+Limpeza_Min))</f>
        <v/>
      </c>
      <c r="M111" s="37">
        <f>IF($L111&lt;=0,"",SUMPRODUCT((Mapa_Sala=$B111)*(Mapa_Data=$A111)*(Mapa_MinOcup&gt;0)*((Mapa_RelIni&lt;$R111)+((Mapa_RelIni=$R111)*(Mapa_Row&lt;=$U111)))))</f>
        <v/>
      </c>
      <c r="N111" s="43">
        <f>IF($L111&lt;=0,"",MOD(Turno_Ini+($S111+Limpeza_Min)/1440,1))</f>
        <v/>
      </c>
      <c r="O111" s="37">
        <f>IF($L111&lt;=0,"",MAX(0,IFERROR(INDEX(Mapa_RelIni,MATCH($B111&amp;"#"&amp;($M111+1),Mapa_Chave,0)),Turno_Min)-($S111+Limpeza_Min)))</f>
        <v/>
      </c>
      <c r="P111" s="19">
        <f>IF($B111="","",IF($Q111="","OK",LEFT($Q111,LEN($Q111)-3)))</f>
        <v/>
      </c>
      <c r="Q111" s="10">
        <f>IF($B111="","",IF(COUNTIF(Postos_Cod,$B111)=0,"Sala não cadastrada | ","")&amp;IF(AND(COUNTIF(Postos_Cod,$B111)&gt;0,IFERROR(INDEX(Postos_Tipo,MATCH($B111,Postos_Cod,0)),"")&lt;&gt;"Sala cirúrgica"),"Posto não é sala cirúrgica | ","")&amp;IF(AND(COUNTIF(Postos_Cod,$B111)&gt;0,IFERROR(INDEX(Postos_Status,MATCH($B111,Postos_Cod,0)),"")&lt;&gt;"Ativo"),"Sala não ativa | ","")&amp;IF(COUNTIF(Esp_Nome,$E111)=0,"Especialidade não cadastrada | ","")&amp;IF(COUNTIF(Lista_StatusCirurgia,$J111)=0,"Status inválido | ","")&amp;IF(OR(NOT(ISNUMBER($C111)),NOT(ISNUMBER($D111))),"Horário inválido | ","")&amp;IFERROR(IF(AND(ISNUMBER($C111),ISNUMBER($D111),MOD($D111-$C111,1)*1440&lt;=0),"Duração nula ou negativa | ",""),"")&amp;IF(AND($L111&gt;0,OR($R111&gt;=Turno_Min,$S111&gt;Turno_Min)),"Fora da janela do plantão | ","")&amp;IF(AND($L111&gt;0,SUMPRODUCT((Mapa_Sala=$B111)*(Mapa_Data=$A111)*(Mapa_MinOcup&gt;0)*(Mapa_RelIni&lt;$S111)*(Mapa_RelFim&gt;$R111))&gt;1),"Sobreposição de horário na sala | ","")&amp;IFERROR(IF(AND(ISNUMBER($K111),$K111&gt;0,COUNTIF(Esp_Nome,$E111)&gt;0,$K111&gt;3*INDEX(Esp_Dur,MATCH($E111,Esp_Nome,0))),"Duração atípica (&gt;3x a média) | ",""),""))</f>
        <v/>
      </c>
      <c r="R111" s="15">
        <f>IF(NOT(ISNUMBER($C111)),0,ROUND(MOD($C111-Turno_Ini,1)*1440,0))</f>
        <v/>
      </c>
      <c r="S111" s="15">
        <f>IF($L111&lt;=0,0,$R111+$K111)</f>
        <v/>
      </c>
      <c r="T111" s="15">
        <f>IF($M111="","",$B111&amp;"#"&amp;$M111)</f>
        <v/>
      </c>
      <c r="U111" s="15">
        <f>ROW()</f>
        <v/>
      </c>
    </row>
    <row r="112">
      <c r="A112" s="38" t="n"/>
      <c r="B112" s="29" t="n"/>
      <c r="C112" s="42" t="n"/>
      <c r="D112" s="42" t="n"/>
      <c r="E112" s="30" t="n"/>
      <c r="F112" s="34">
        <f>IF($E112="","",IFERROR(INDEX(Esp_Hab,MATCH($E112,Esp_Nome,0)),"—"))</f>
        <v/>
      </c>
      <c r="G112" s="30" t="n"/>
      <c r="H112" s="30" t="n"/>
      <c r="I112" s="29" t="n"/>
      <c r="J112" s="29" t="n"/>
      <c r="K112" s="37">
        <f>IF(OR($B112="",NOT(ISNUMBER($C112)),NOT(ISNUMBER($D112))),"",ROUND(MOD($D112-$C112,1)*1440,0))</f>
        <v/>
      </c>
      <c r="L112" s="37">
        <f>IF(NOT(ISNUMBER($K112)),0,IF(OR($K112&lt;=0,$J112="Cancelada",$J112="Suspensa"),0,$K112+Limpeza_Min))</f>
        <v/>
      </c>
      <c r="M112" s="37">
        <f>IF($L112&lt;=0,"",SUMPRODUCT((Mapa_Sala=$B112)*(Mapa_Data=$A112)*(Mapa_MinOcup&gt;0)*((Mapa_RelIni&lt;$R112)+((Mapa_RelIni=$R112)*(Mapa_Row&lt;=$U112)))))</f>
        <v/>
      </c>
      <c r="N112" s="43">
        <f>IF($L112&lt;=0,"",MOD(Turno_Ini+($S112+Limpeza_Min)/1440,1))</f>
        <v/>
      </c>
      <c r="O112" s="37">
        <f>IF($L112&lt;=0,"",MAX(0,IFERROR(INDEX(Mapa_RelIni,MATCH($B112&amp;"#"&amp;($M112+1),Mapa_Chave,0)),Turno_Min)-($S112+Limpeza_Min)))</f>
        <v/>
      </c>
      <c r="P112" s="19">
        <f>IF($B112="","",IF($Q112="","OK",LEFT($Q112,LEN($Q112)-3)))</f>
        <v/>
      </c>
      <c r="Q112" s="10">
        <f>IF($B112="","",IF(COUNTIF(Postos_Cod,$B112)=0,"Sala não cadastrada | ","")&amp;IF(AND(COUNTIF(Postos_Cod,$B112)&gt;0,IFERROR(INDEX(Postos_Tipo,MATCH($B112,Postos_Cod,0)),"")&lt;&gt;"Sala cirúrgica"),"Posto não é sala cirúrgica | ","")&amp;IF(AND(COUNTIF(Postos_Cod,$B112)&gt;0,IFERROR(INDEX(Postos_Status,MATCH($B112,Postos_Cod,0)),"")&lt;&gt;"Ativo"),"Sala não ativa | ","")&amp;IF(COUNTIF(Esp_Nome,$E112)=0,"Especialidade não cadastrada | ","")&amp;IF(COUNTIF(Lista_StatusCirurgia,$J112)=0,"Status inválido | ","")&amp;IF(OR(NOT(ISNUMBER($C112)),NOT(ISNUMBER($D112))),"Horário inválido | ","")&amp;IFERROR(IF(AND(ISNUMBER($C112),ISNUMBER($D112),MOD($D112-$C112,1)*1440&lt;=0),"Duração nula ou negativa | ",""),"")&amp;IF(AND($L112&gt;0,OR($R112&gt;=Turno_Min,$S112&gt;Turno_Min)),"Fora da janela do plantão | ","")&amp;IF(AND($L112&gt;0,SUMPRODUCT((Mapa_Sala=$B112)*(Mapa_Data=$A112)*(Mapa_MinOcup&gt;0)*(Mapa_RelIni&lt;$S112)*(Mapa_RelFim&gt;$R112))&gt;1),"Sobreposição de horário na sala | ","")&amp;IFERROR(IF(AND(ISNUMBER($K112),$K112&gt;0,COUNTIF(Esp_Nome,$E112)&gt;0,$K112&gt;3*INDEX(Esp_Dur,MATCH($E112,Esp_Nome,0))),"Duração atípica (&gt;3x a média) | ",""),""))</f>
        <v/>
      </c>
      <c r="R112" s="15">
        <f>IF(NOT(ISNUMBER($C112)),0,ROUND(MOD($C112-Turno_Ini,1)*1440,0))</f>
        <v/>
      </c>
      <c r="S112" s="15">
        <f>IF($L112&lt;=0,0,$R112+$K112)</f>
        <v/>
      </c>
      <c r="T112" s="15">
        <f>IF($M112="","",$B112&amp;"#"&amp;$M112)</f>
        <v/>
      </c>
      <c r="U112" s="15">
        <f>ROW()</f>
        <v/>
      </c>
    </row>
    <row r="113">
      <c r="A113" s="38" t="n"/>
      <c r="B113" s="29" t="n"/>
      <c r="C113" s="42" t="n"/>
      <c r="D113" s="42" t="n"/>
      <c r="E113" s="30" t="n"/>
      <c r="F113" s="34">
        <f>IF($E113="","",IFERROR(INDEX(Esp_Hab,MATCH($E113,Esp_Nome,0)),"—"))</f>
        <v/>
      </c>
      <c r="G113" s="30" t="n"/>
      <c r="H113" s="30" t="n"/>
      <c r="I113" s="29" t="n"/>
      <c r="J113" s="29" t="n"/>
      <c r="K113" s="37">
        <f>IF(OR($B113="",NOT(ISNUMBER($C113)),NOT(ISNUMBER($D113))),"",ROUND(MOD($D113-$C113,1)*1440,0))</f>
        <v/>
      </c>
      <c r="L113" s="37">
        <f>IF(NOT(ISNUMBER($K113)),0,IF(OR($K113&lt;=0,$J113="Cancelada",$J113="Suspensa"),0,$K113+Limpeza_Min))</f>
        <v/>
      </c>
      <c r="M113" s="37">
        <f>IF($L113&lt;=0,"",SUMPRODUCT((Mapa_Sala=$B113)*(Mapa_Data=$A113)*(Mapa_MinOcup&gt;0)*((Mapa_RelIni&lt;$R113)+((Mapa_RelIni=$R113)*(Mapa_Row&lt;=$U113)))))</f>
        <v/>
      </c>
      <c r="N113" s="43">
        <f>IF($L113&lt;=0,"",MOD(Turno_Ini+($S113+Limpeza_Min)/1440,1))</f>
        <v/>
      </c>
      <c r="O113" s="37">
        <f>IF($L113&lt;=0,"",MAX(0,IFERROR(INDEX(Mapa_RelIni,MATCH($B113&amp;"#"&amp;($M113+1),Mapa_Chave,0)),Turno_Min)-($S113+Limpeza_Min)))</f>
        <v/>
      </c>
      <c r="P113" s="19">
        <f>IF($B113="","",IF($Q113="","OK",LEFT($Q113,LEN($Q113)-3)))</f>
        <v/>
      </c>
      <c r="Q113" s="10">
        <f>IF($B113="","",IF(COUNTIF(Postos_Cod,$B113)=0,"Sala não cadastrada | ","")&amp;IF(AND(COUNTIF(Postos_Cod,$B113)&gt;0,IFERROR(INDEX(Postos_Tipo,MATCH($B113,Postos_Cod,0)),"")&lt;&gt;"Sala cirúrgica"),"Posto não é sala cirúrgica | ","")&amp;IF(AND(COUNTIF(Postos_Cod,$B113)&gt;0,IFERROR(INDEX(Postos_Status,MATCH($B113,Postos_Cod,0)),"")&lt;&gt;"Ativo"),"Sala não ativa | ","")&amp;IF(COUNTIF(Esp_Nome,$E113)=0,"Especialidade não cadastrada | ","")&amp;IF(COUNTIF(Lista_StatusCirurgia,$J113)=0,"Status inválido | ","")&amp;IF(OR(NOT(ISNUMBER($C113)),NOT(ISNUMBER($D113))),"Horário inválido | ","")&amp;IFERROR(IF(AND(ISNUMBER($C113),ISNUMBER($D113),MOD($D113-$C113,1)*1440&lt;=0),"Duração nula ou negativa | ",""),"")&amp;IF(AND($L113&gt;0,OR($R113&gt;=Turno_Min,$S113&gt;Turno_Min)),"Fora da janela do plantão | ","")&amp;IF(AND($L113&gt;0,SUMPRODUCT((Mapa_Sala=$B113)*(Mapa_Data=$A113)*(Mapa_MinOcup&gt;0)*(Mapa_RelIni&lt;$S113)*(Mapa_RelFim&gt;$R113))&gt;1),"Sobreposição de horário na sala | ","")&amp;IFERROR(IF(AND(ISNUMBER($K113),$K113&gt;0,COUNTIF(Esp_Nome,$E113)&gt;0,$K113&gt;3*INDEX(Esp_Dur,MATCH($E113,Esp_Nome,0))),"Duração atípica (&gt;3x a média) | ",""),""))</f>
        <v/>
      </c>
      <c r="R113" s="15">
        <f>IF(NOT(ISNUMBER($C113)),0,ROUND(MOD($C113-Turno_Ini,1)*1440,0))</f>
        <v/>
      </c>
      <c r="S113" s="15">
        <f>IF($L113&lt;=0,0,$R113+$K113)</f>
        <v/>
      </c>
      <c r="T113" s="15">
        <f>IF($M113="","",$B113&amp;"#"&amp;$M113)</f>
        <v/>
      </c>
      <c r="U113" s="15">
        <f>ROW()</f>
        <v/>
      </c>
    </row>
    <row r="114">
      <c r="A114" s="38" t="n"/>
      <c r="B114" s="29" t="n"/>
      <c r="C114" s="42" t="n"/>
      <c r="D114" s="42" t="n"/>
      <c r="E114" s="30" t="n"/>
      <c r="F114" s="34">
        <f>IF($E114="","",IFERROR(INDEX(Esp_Hab,MATCH($E114,Esp_Nome,0)),"—"))</f>
        <v/>
      </c>
      <c r="G114" s="30" t="n"/>
      <c r="H114" s="30" t="n"/>
      <c r="I114" s="29" t="n"/>
      <c r="J114" s="29" t="n"/>
      <c r="K114" s="37">
        <f>IF(OR($B114="",NOT(ISNUMBER($C114)),NOT(ISNUMBER($D114))),"",ROUND(MOD($D114-$C114,1)*1440,0))</f>
        <v/>
      </c>
      <c r="L114" s="37">
        <f>IF(NOT(ISNUMBER($K114)),0,IF(OR($K114&lt;=0,$J114="Cancelada",$J114="Suspensa"),0,$K114+Limpeza_Min))</f>
        <v/>
      </c>
      <c r="M114" s="37">
        <f>IF($L114&lt;=0,"",SUMPRODUCT((Mapa_Sala=$B114)*(Mapa_Data=$A114)*(Mapa_MinOcup&gt;0)*((Mapa_RelIni&lt;$R114)+((Mapa_RelIni=$R114)*(Mapa_Row&lt;=$U114)))))</f>
        <v/>
      </c>
      <c r="N114" s="43">
        <f>IF($L114&lt;=0,"",MOD(Turno_Ini+($S114+Limpeza_Min)/1440,1))</f>
        <v/>
      </c>
      <c r="O114" s="37">
        <f>IF($L114&lt;=0,"",MAX(0,IFERROR(INDEX(Mapa_RelIni,MATCH($B114&amp;"#"&amp;($M114+1),Mapa_Chave,0)),Turno_Min)-($S114+Limpeza_Min)))</f>
        <v/>
      </c>
      <c r="P114" s="19">
        <f>IF($B114="","",IF($Q114="","OK",LEFT($Q114,LEN($Q114)-3)))</f>
        <v/>
      </c>
      <c r="Q114" s="10">
        <f>IF($B114="","",IF(COUNTIF(Postos_Cod,$B114)=0,"Sala não cadastrada | ","")&amp;IF(AND(COUNTIF(Postos_Cod,$B114)&gt;0,IFERROR(INDEX(Postos_Tipo,MATCH($B114,Postos_Cod,0)),"")&lt;&gt;"Sala cirúrgica"),"Posto não é sala cirúrgica | ","")&amp;IF(AND(COUNTIF(Postos_Cod,$B114)&gt;0,IFERROR(INDEX(Postos_Status,MATCH($B114,Postos_Cod,0)),"")&lt;&gt;"Ativo"),"Sala não ativa | ","")&amp;IF(COUNTIF(Esp_Nome,$E114)=0,"Especialidade não cadastrada | ","")&amp;IF(COUNTIF(Lista_StatusCirurgia,$J114)=0,"Status inválido | ","")&amp;IF(OR(NOT(ISNUMBER($C114)),NOT(ISNUMBER($D114))),"Horário inválido | ","")&amp;IFERROR(IF(AND(ISNUMBER($C114),ISNUMBER($D114),MOD($D114-$C114,1)*1440&lt;=0),"Duração nula ou negativa | ",""),"")&amp;IF(AND($L114&gt;0,OR($R114&gt;=Turno_Min,$S114&gt;Turno_Min)),"Fora da janela do plantão | ","")&amp;IF(AND($L114&gt;0,SUMPRODUCT((Mapa_Sala=$B114)*(Mapa_Data=$A114)*(Mapa_MinOcup&gt;0)*(Mapa_RelIni&lt;$S114)*(Mapa_RelFim&gt;$R114))&gt;1),"Sobreposição de horário na sala | ","")&amp;IFERROR(IF(AND(ISNUMBER($K114),$K114&gt;0,COUNTIF(Esp_Nome,$E114)&gt;0,$K114&gt;3*INDEX(Esp_Dur,MATCH($E114,Esp_Nome,0))),"Duração atípica (&gt;3x a média) | ",""),""))</f>
        <v/>
      </c>
      <c r="R114" s="15">
        <f>IF(NOT(ISNUMBER($C114)),0,ROUND(MOD($C114-Turno_Ini,1)*1440,0))</f>
        <v/>
      </c>
      <c r="S114" s="15">
        <f>IF($L114&lt;=0,0,$R114+$K114)</f>
        <v/>
      </c>
      <c r="T114" s="15">
        <f>IF($M114="","",$B114&amp;"#"&amp;$M114)</f>
        <v/>
      </c>
      <c r="U114" s="15">
        <f>ROW()</f>
        <v/>
      </c>
    </row>
    <row r="115">
      <c r="A115" s="38" t="n"/>
      <c r="B115" s="29" t="n"/>
      <c r="C115" s="42" t="n"/>
      <c r="D115" s="42" t="n"/>
      <c r="E115" s="30" t="n"/>
      <c r="F115" s="34">
        <f>IF($E115="","",IFERROR(INDEX(Esp_Hab,MATCH($E115,Esp_Nome,0)),"—"))</f>
        <v/>
      </c>
      <c r="G115" s="30" t="n"/>
      <c r="H115" s="30" t="n"/>
      <c r="I115" s="29" t="n"/>
      <c r="J115" s="29" t="n"/>
      <c r="K115" s="37">
        <f>IF(OR($B115="",NOT(ISNUMBER($C115)),NOT(ISNUMBER($D115))),"",ROUND(MOD($D115-$C115,1)*1440,0))</f>
        <v/>
      </c>
      <c r="L115" s="37">
        <f>IF(NOT(ISNUMBER($K115)),0,IF(OR($K115&lt;=0,$J115="Cancelada",$J115="Suspensa"),0,$K115+Limpeza_Min))</f>
        <v/>
      </c>
      <c r="M115" s="37">
        <f>IF($L115&lt;=0,"",SUMPRODUCT((Mapa_Sala=$B115)*(Mapa_Data=$A115)*(Mapa_MinOcup&gt;0)*((Mapa_RelIni&lt;$R115)+((Mapa_RelIni=$R115)*(Mapa_Row&lt;=$U115)))))</f>
        <v/>
      </c>
      <c r="N115" s="43">
        <f>IF($L115&lt;=0,"",MOD(Turno_Ini+($S115+Limpeza_Min)/1440,1))</f>
        <v/>
      </c>
      <c r="O115" s="37">
        <f>IF($L115&lt;=0,"",MAX(0,IFERROR(INDEX(Mapa_RelIni,MATCH($B115&amp;"#"&amp;($M115+1),Mapa_Chave,0)),Turno_Min)-($S115+Limpeza_Min)))</f>
        <v/>
      </c>
      <c r="P115" s="19">
        <f>IF($B115="","",IF($Q115="","OK",LEFT($Q115,LEN($Q115)-3)))</f>
        <v/>
      </c>
      <c r="Q115" s="10">
        <f>IF($B115="","",IF(COUNTIF(Postos_Cod,$B115)=0,"Sala não cadastrada | ","")&amp;IF(AND(COUNTIF(Postos_Cod,$B115)&gt;0,IFERROR(INDEX(Postos_Tipo,MATCH($B115,Postos_Cod,0)),"")&lt;&gt;"Sala cirúrgica"),"Posto não é sala cirúrgica | ","")&amp;IF(AND(COUNTIF(Postos_Cod,$B115)&gt;0,IFERROR(INDEX(Postos_Status,MATCH($B115,Postos_Cod,0)),"")&lt;&gt;"Ativo"),"Sala não ativa | ","")&amp;IF(COUNTIF(Esp_Nome,$E115)=0,"Especialidade não cadastrada | ","")&amp;IF(COUNTIF(Lista_StatusCirurgia,$J115)=0,"Status inválido | ","")&amp;IF(OR(NOT(ISNUMBER($C115)),NOT(ISNUMBER($D115))),"Horário inválido | ","")&amp;IFERROR(IF(AND(ISNUMBER($C115),ISNUMBER($D115),MOD($D115-$C115,1)*1440&lt;=0),"Duração nula ou negativa | ",""),"")&amp;IF(AND($L115&gt;0,OR($R115&gt;=Turno_Min,$S115&gt;Turno_Min)),"Fora da janela do plantão | ","")&amp;IF(AND($L115&gt;0,SUMPRODUCT((Mapa_Sala=$B115)*(Mapa_Data=$A115)*(Mapa_MinOcup&gt;0)*(Mapa_RelIni&lt;$S115)*(Mapa_RelFim&gt;$R115))&gt;1),"Sobreposição de horário na sala | ","")&amp;IFERROR(IF(AND(ISNUMBER($K115),$K115&gt;0,COUNTIF(Esp_Nome,$E115)&gt;0,$K115&gt;3*INDEX(Esp_Dur,MATCH($E115,Esp_Nome,0))),"Duração atípica (&gt;3x a média) | ",""),""))</f>
        <v/>
      </c>
      <c r="R115" s="15">
        <f>IF(NOT(ISNUMBER($C115)),0,ROUND(MOD($C115-Turno_Ini,1)*1440,0))</f>
        <v/>
      </c>
      <c r="S115" s="15">
        <f>IF($L115&lt;=0,0,$R115+$K115)</f>
        <v/>
      </c>
      <c r="T115" s="15">
        <f>IF($M115="","",$B115&amp;"#"&amp;$M115)</f>
        <v/>
      </c>
      <c r="U115" s="15">
        <f>ROW()</f>
        <v/>
      </c>
    </row>
    <row r="116">
      <c r="A116" s="38" t="n"/>
      <c r="B116" s="29" t="n"/>
      <c r="C116" s="42" t="n"/>
      <c r="D116" s="42" t="n"/>
      <c r="E116" s="30" t="n"/>
      <c r="F116" s="34">
        <f>IF($E116="","",IFERROR(INDEX(Esp_Hab,MATCH($E116,Esp_Nome,0)),"—"))</f>
        <v/>
      </c>
      <c r="G116" s="30" t="n"/>
      <c r="H116" s="30" t="n"/>
      <c r="I116" s="29" t="n"/>
      <c r="J116" s="29" t="n"/>
      <c r="K116" s="37">
        <f>IF(OR($B116="",NOT(ISNUMBER($C116)),NOT(ISNUMBER($D116))),"",ROUND(MOD($D116-$C116,1)*1440,0))</f>
        <v/>
      </c>
      <c r="L116" s="37">
        <f>IF(NOT(ISNUMBER($K116)),0,IF(OR($K116&lt;=0,$J116="Cancelada",$J116="Suspensa"),0,$K116+Limpeza_Min))</f>
        <v/>
      </c>
      <c r="M116" s="37">
        <f>IF($L116&lt;=0,"",SUMPRODUCT((Mapa_Sala=$B116)*(Mapa_Data=$A116)*(Mapa_MinOcup&gt;0)*((Mapa_RelIni&lt;$R116)+((Mapa_RelIni=$R116)*(Mapa_Row&lt;=$U116)))))</f>
        <v/>
      </c>
      <c r="N116" s="43">
        <f>IF($L116&lt;=0,"",MOD(Turno_Ini+($S116+Limpeza_Min)/1440,1))</f>
        <v/>
      </c>
      <c r="O116" s="37">
        <f>IF($L116&lt;=0,"",MAX(0,IFERROR(INDEX(Mapa_RelIni,MATCH($B116&amp;"#"&amp;($M116+1),Mapa_Chave,0)),Turno_Min)-($S116+Limpeza_Min)))</f>
        <v/>
      </c>
      <c r="P116" s="19">
        <f>IF($B116="","",IF($Q116="","OK",LEFT($Q116,LEN($Q116)-3)))</f>
        <v/>
      </c>
      <c r="Q116" s="10">
        <f>IF($B116="","",IF(COUNTIF(Postos_Cod,$B116)=0,"Sala não cadastrada | ","")&amp;IF(AND(COUNTIF(Postos_Cod,$B116)&gt;0,IFERROR(INDEX(Postos_Tipo,MATCH($B116,Postos_Cod,0)),"")&lt;&gt;"Sala cirúrgica"),"Posto não é sala cirúrgica | ","")&amp;IF(AND(COUNTIF(Postos_Cod,$B116)&gt;0,IFERROR(INDEX(Postos_Status,MATCH($B116,Postos_Cod,0)),"")&lt;&gt;"Ativo"),"Sala não ativa | ","")&amp;IF(COUNTIF(Esp_Nome,$E116)=0,"Especialidade não cadastrada | ","")&amp;IF(COUNTIF(Lista_StatusCirurgia,$J116)=0,"Status inválido | ","")&amp;IF(OR(NOT(ISNUMBER($C116)),NOT(ISNUMBER($D116))),"Horário inválido | ","")&amp;IFERROR(IF(AND(ISNUMBER($C116),ISNUMBER($D116),MOD($D116-$C116,1)*1440&lt;=0),"Duração nula ou negativa | ",""),"")&amp;IF(AND($L116&gt;0,OR($R116&gt;=Turno_Min,$S116&gt;Turno_Min)),"Fora da janela do plantão | ","")&amp;IF(AND($L116&gt;0,SUMPRODUCT((Mapa_Sala=$B116)*(Mapa_Data=$A116)*(Mapa_MinOcup&gt;0)*(Mapa_RelIni&lt;$S116)*(Mapa_RelFim&gt;$R116))&gt;1),"Sobreposição de horário na sala | ","")&amp;IFERROR(IF(AND(ISNUMBER($K116),$K116&gt;0,COUNTIF(Esp_Nome,$E116)&gt;0,$K116&gt;3*INDEX(Esp_Dur,MATCH($E116,Esp_Nome,0))),"Duração atípica (&gt;3x a média) | ",""),""))</f>
        <v/>
      </c>
      <c r="R116" s="15">
        <f>IF(NOT(ISNUMBER($C116)),0,ROUND(MOD($C116-Turno_Ini,1)*1440,0))</f>
        <v/>
      </c>
      <c r="S116" s="15">
        <f>IF($L116&lt;=0,0,$R116+$K116)</f>
        <v/>
      </c>
      <c r="T116" s="15">
        <f>IF($M116="","",$B116&amp;"#"&amp;$M116)</f>
        <v/>
      </c>
      <c r="U116" s="15">
        <f>ROW()</f>
        <v/>
      </c>
    </row>
    <row r="117">
      <c r="A117" s="38" t="n"/>
      <c r="B117" s="29" t="n"/>
      <c r="C117" s="42" t="n"/>
      <c r="D117" s="42" t="n"/>
      <c r="E117" s="30" t="n"/>
      <c r="F117" s="34">
        <f>IF($E117="","",IFERROR(INDEX(Esp_Hab,MATCH($E117,Esp_Nome,0)),"—"))</f>
        <v/>
      </c>
      <c r="G117" s="30" t="n"/>
      <c r="H117" s="30" t="n"/>
      <c r="I117" s="29" t="n"/>
      <c r="J117" s="29" t="n"/>
      <c r="K117" s="37">
        <f>IF(OR($B117="",NOT(ISNUMBER($C117)),NOT(ISNUMBER($D117))),"",ROUND(MOD($D117-$C117,1)*1440,0))</f>
        <v/>
      </c>
      <c r="L117" s="37">
        <f>IF(NOT(ISNUMBER($K117)),0,IF(OR($K117&lt;=0,$J117="Cancelada",$J117="Suspensa"),0,$K117+Limpeza_Min))</f>
        <v/>
      </c>
      <c r="M117" s="37">
        <f>IF($L117&lt;=0,"",SUMPRODUCT((Mapa_Sala=$B117)*(Mapa_Data=$A117)*(Mapa_MinOcup&gt;0)*((Mapa_RelIni&lt;$R117)+((Mapa_RelIni=$R117)*(Mapa_Row&lt;=$U117)))))</f>
        <v/>
      </c>
      <c r="N117" s="43">
        <f>IF($L117&lt;=0,"",MOD(Turno_Ini+($S117+Limpeza_Min)/1440,1))</f>
        <v/>
      </c>
      <c r="O117" s="37">
        <f>IF($L117&lt;=0,"",MAX(0,IFERROR(INDEX(Mapa_RelIni,MATCH($B117&amp;"#"&amp;($M117+1),Mapa_Chave,0)),Turno_Min)-($S117+Limpeza_Min)))</f>
        <v/>
      </c>
      <c r="P117" s="19">
        <f>IF($B117="","",IF($Q117="","OK",LEFT($Q117,LEN($Q117)-3)))</f>
        <v/>
      </c>
      <c r="Q117" s="10">
        <f>IF($B117="","",IF(COUNTIF(Postos_Cod,$B117)=0,"Sala não cadastrada | ","")&amp;IF(AND(COUNTIF(Postos_Cod,$B117)&gt;0,IFERROR(INDEX(Postos_Tipo,MATCH($B117,Postos_Cod,0)),"")&lt;&gt;"Sala cirúrgica"),"Posto não é sala cirúrgica | ","")&amp;IF(AND(COUNTIF(Postos_Cod,$B117)&gt;0,IFERROR(INDEX(Postos_Status,MATCH($B117,Postos_Cod,0)),"")&lt;&gt;"Ativo"),"Sala não ativa | ","")&amp;IF(COUNTIF(Esp_Nome,$E117)=0,"Especialidade não cadastrada | ","")&amp;IF(COUNTIF(Lista_StatusCirurgia,$J117)=0,"Status inválido | ","")&amp;IF(OR(NOT(ISNUMBER($C117)),NOT(ISNUMBER($D117))),"Horário inválido | ","")&amp;IFERROR(IF(AND(ISNUMBER($C117),ISNUMBER($D117),MOD($D117-$C117,1)*1440&lt;=0),"Duração nula ou negativa | ",""),"")&amp;IF(AND($L117&gt;0,OR($R117&gt;=Turno_Min,$S117&gt;Turno_Min)),"Fora da janela do plantão | ","")&amp;IF(AND($L117&gt;0,SUMPRODUCT((Mapa_Sala=$B117)*(Mapa_Data=$A117)*(Mapa_MinOcup&gt;0)*(Mapa_RelIni&lt;$S117)*(Mapa_RelFim&gt;$R117))&gt;1),"Sobreposição de horário na sala | ","")&amp;IFERROR(IF(AND(ISNUMBER($K117),$K117&gt;0,COUNTIF(Esp_Nome,$E117)&gt;0,$K117&gt;3*INDEX(Esp_Dur,MATCH($E117,Esp_Nome,0))),"Duração atípica (&gt;3x a média) | ",""),""))</f>
        <v/>
      </c>
      <c r="R117" s="15">
        <f>IF(NOT(ISNUMBER($C117)),0,ROUND(MOD($C117-Turno_Ini,1)*1440,0))</f>
        <v/>
      </c>
      <c r="S117" s="15">
        <f>IF($L117&lt;=0,0,$R117+$K117)</f>
        <v/>
      </c>
      <c r="T117" s="15">
        <f>IF($M117="","",$B117&amp;"#"&amp;$M117)</f>
        <v/>
      </c>
      <c r="U117" s="15">
        <f>ROW()</f>
        <v/>
      </c>
    </row>
    <row r="118">
      <c r="A118" s="38" t="n"/>
      <c r="B118" s="29" t="n"/>
      <c r="C118" s="42" t="n"/>
      <c r="D118" s="42" t="n"/>
      <c r="E118" s="30" t="n"/>
      <c r="F118" s="34">
        <f>IF($E118="","",IFERROR(INDEX(Esp_Hab,MATCH($E118,Esp_Nome,0)),"—"))</f>
        <v/>
      </c>
      <c r="G118" s="30" t="n"/>
      <c r="H118" s="30" t="n"/>
      <c r="I118" s="29" t="n"/>
      <c r="J118" s="29" t="n"/>
      <c r="K118" s="37">
        <f>IF(OR($B118="",NOT(ISNUMBER($C118)),NOT(ISNUMBER($D118))),"",ROUND(MOD($D118-$C118,1)*1440,0))</f>
        <v/>
      </c>
      <c r="L118" s="37">
        <f>IF(NOT(ISNUMBER($K118)),0,IF(OR($K118&lt;=0,$J118="Cancelada",$J118="Suspensa"),0,$K118+Limpeza_Min))</f>
        <v/>
      </c>
      <c r="M118" s="37">
        <f>IF($L118&lt;=0,"",SUMPRODUCT((Mapa_Sala=$B118)*(Mapa_Data=$A118)*(Mapa_MinOcup&gt;0)*((Mapa_RelIni&lt;$R118)+((Mapa_RelIni=$R118)*(Mapa_Row&lt;=$U118)))))</f>
        <v/>
      </c>
      <c r="N118" s="43">
        <f>IF($L118&lt;=0,"",MOD(Turno_Ini+($S118+Limpeza_Min)/1440,1))</f>
        <v/>
      </c>
      <c r="O118" s="37">
        <f>IF($L118&lt;=0,"",MAX(0,IFERROR(INDEX(Mapa_RelIni,MATCH($B118&amp;"#"&amp;($M118+1),Mapa_Chave,0)),Turno_Min)-($S118+Limpeza_Min)))</f>
        <v/>
      </c>
      <c r="P118" s="19">
        <f>IF($B118="","",IF($Q118="","OK",LEFT($Q118,LEN($Q118)-3)))</f>
        <v/>
      </c>
      <c r="Q118" s="10">
        <f>IF($B118="","",IF(COUNTIF(Postos_Cod,$B118)=0,"Sala não cadastrada | ","")&amp;IF(AND(COUNTIF(Postos_Cod,$B118)&gt;0,IFERROR(INDEX(Postos_Tipo,MATCH($B118,Postos_Cod,0)),"")&lt;&gt;"Sala cirúrgica"),"Posto não é sala cirúrgica | ","")&amp;IF(AND(COUNTIF(Postos_Cod,$B118)&gt;0,IFERROR(INDEX(Postos_Status,MATCH($B118,Postos_Cod,0)),"")&lt;&gt;"Ativo"),"Sala não ativa | ","")&amp;IF(COUNTIF(Esp_Nome,$E118)=0,"Especialidade não cadastrada | ","")&amp;IF(COUNTIF(Lista_StatusCirurgia,$J118)=0,"Status inválido | ","")&amp;IF(OR(NOT(ISNUMBER($C118)),NOT(ISNUMBER($D118))),"Horário inválido | ","")&amp;IFERROR(IF(AND(ISNUMBER($C118),ISNUMBER($D118),MOD($D118-$C118,1)*1440&lt;=0),"Duração nula ou negativa | ",""),"")&amp;IF(AND($L118&gt;0,OR($R118&gt;=Turno_Min,$S118&gt;Turno_Min)),"Fora da janela do plantão | ","")&amp;IF(AND($L118&gt;0,SUMPRODUCT((Mapa_Sala=$B118)*(Mapa_Data=$A118)*(Mapa_MinOcup&gt;0)*(Mapa_RelIni&lt;$S118)*(Mapa_RelFim&gt;$R118))&gt;1),"Sobreposição de horário na sala | ","")&amp;IFERROR(IF(AND(ISNUMBER($K118),$K118&gt;0,COUNTIF(Esp_Nome,$E118)&gt;0,$K118&gt;3*INDEX(Esp_Dur,MATCH($E118,Esp_Nome,0))),"Duração atípica (&gt;3x a média) | ",""),""))</f>
        <v/>
      </c>
      <c r="R118" s="15">
        <f>IF(NOT(ISNUMBER($C118)),0,ROUND(MOD($C118-Turno_Ini,1)*1440,0))</f>
        <v/>
      </c>
      <c r="S118" s="15">
        <f>IF($L118&lt;=0,0,$R118+$K118)</f>
        <v/>
      </c>
      <c r="T118" s="15">
        <f>IF($M118="","",$B118&amp;"#"&amp;$M118)</f>
        <v/>
      </c>
      <c r="U118" s="15">
        <f>ROW()</f>
        <v/>
      </c>
    </row>
    <row r="119">
      <c r="A119" s="38" t="n"/>
      <c r="B119" s="29" t="n"/>
      <c r="C119" s="42" t="n"/>
      <c r="D119" s="42" t="n"/>
      <c r="E119" s="30" t="n"/>
      <c r="F119" s="34">
        <f>IF($E119="","",IFERROR(INDEX(Esp_Hab,MATCH($E119,Esp_Nome,0)),"—"))</f>
        <v/>
      </c>
      <c r="G119" s="30" t="n"/>
      <c r="H119" s="30" t="n"/>
      <c r="I119" s="29" t="n"/>
      <c r="J119" s="29" t="n"/>
      <c r="K119" s="37">
        <f>IF(OR($B119="",NOT(ISNUMBER($C119)),NOT(ISNUMBER($D119))),"",ROUND(MOD($D119-$C119,1)*1440,0))</f>
        <v/>
      </c>
      <c r="L119" s="37">
        <f>IF(NOT(ISNUMBER($K119)),0,IF(OR($K119&lt;=0,$J119="Cancelada",$J119="Suspensa"),0,$K119+Limpeza_Min))</f>
        <v/>
      </c>
      <c r="M119" s="37">
        <f>IF($L119&lt;=0,"",SUMPRODUCT((Mapa_Sala=$B119)*(Mapa_Data=$A119)*(Mapa_MinOcup&gt;0)*((Mapa_RelIni&lt;$R119)+((Mapa_RelIni=$R119)*(Mapa_Row&lt;=$U119)))))</f>
        <v/>
      </c>
      <c r="N119" s="43">
        <f>IF($L119&lt;=0,"",MOD(Turno_Ini+($S119+Limpeza_Min)/1440,1))</f>
        <v/>
      </c>
      <c r="O119" s="37">
        <f>IF($L119&lt;=0,"",MAX(0,IFERROR(INDEX(Mapa_RelIni,MATCH($B119&amp;"#"&amp;($M119+1),Mapa_Chave,0)),Turno_Min)-($S119+Limpeza_Min)))</f>
        <v/>
      </c>
      <c r="P119" s="19">
        <f>IF($B119="","",IF($Q119="","OK",LEFT($Q119,LEN($Q119)-3)))</f>
        <v/>
      </c>
      <c r="Q119" s="10">
        <f>IF($B119="","",IF(COUNTIF(Postos_Cod,$B119)=0,"Sala não cadastrada | ","")&amp;IF(AND(COUNTIF(Postos_Cod,$B119)&gt;0,IFERROR(INDEX(Postos_Tipo,MATCH($B119,Postos_Cod,0)),"")&lt;&gt;"Sala cirúrgica"),"Posto não é sala cirúrgica | ","")&amp;IF(AND(COUNTIF(Postos_Cod,$B119)&gt;0,IFERROR(INDEX(Postos_Status,MATCH($B119,Postos_Cod,0)),"")&lt;&gt;"Ativo"),"Sala não ativa | ","")&amp;IF(COUNTIF(Esp_Nome,$E119)=0,"Especialidade não cadastrada | ","")&amp;IF(COUNTIF(Lista_StatusCirurgia,$J119)=0,"Status inválido | ","")&amp;IF(OR(NOT(ISNUMBER($C119)),NOT(ISNUMBER($D119))),"Horário inválido | ","")&amp;IFERROR(IF(AND(ISNUMBER($C119),ISNUMBER($D119),MOD($D119-$C119,1)*1440&lt;=0),"Duração nula ou negativa | ",""),"")&amp;IF(AND($L119&gt;0,OR($R119&gt;=Turno_Min,$S119&gt;Turno_Min)),"Fora da janela do plantão | ","")&amp;IF(AND($L119&gt;0,SUMPRODUCT((Mapa_Sala=$B119)*(Mapa_Data=$A119)*(Mapa_MinOcup&gt;0)*(Mapa_RelIni&lt;$S119)*(Mapa_RelFim&gt;$R119))&gt;1),"Sobreposição de horário na sala | ","")&amp;IFERROR(IF(AND(ISNUMBER($K119),$K119&gt;0,COUNTIF(Esp_Nome,$E119)&gt;0,$K119&gt;3*INDEX(Esp_Dur,MATCH($E119,Esp_Nome,0))),"Duração atípica (&gt;3x a média) | ",""),""))</f>
        <v/>
      </c>
      <c r="R119" s="15">
        <f>IF(NOT(ISNUMBER($C119)),0,ROUND(MOD($C119-Turno_Ini,1)*1440,0))</f>
        <v/>
      </c>
      <c r="S119" s="15">
        <f>IF($L119&lt;=0,0,$R119+$K119)</f>
        <v/>
      </c>
      <c r="T119" s="15">
        <f>IF($M119="","",$B119&amp;"#"&amp;$M119)</f>
        <v/>
      </c>
      <c r="U119" s="15">
        <f>ROW()</f>
        <v/>
      </c>
    </row>
    <row r="120">
      <c r="A120" s="38" t="n"/>
      <c r="B120" s="29" t="n"/>
      <c r="C120" s="42" t="n"/>
      <c r="D120" s="42" t="n"/>
      <c r="E120" s="30" t="n"/>
      <c r="F120" s="34">
        <f>IF($E120="","",IFERROR(INDEX(Esp_Hab,MATCH($E120,Esp_Nome,0)),"—"))</f>
        <v/>
      </c>
      <c r="G120" s="30" t="n"/>
      <c r="H120" s="30" t="n"/>
      <c r="I120" s="29" t="n"/>
      <c r="J120" s="29" t="n"/>
      <c r="K120" s="37">
        <f>IF(OR($B120="",NOT(ISNUMBER($C120)),NOT(ISNUMBER($D120))),"",ROUND(MOD($D120-$C120,1)*1440,0))</f>
        <v/>
      </c>
      <c r="L120" s="37">
        <f>IF(NOT(ISNUMBER($K120)),0,IF(OR($K120&lt;=0,$J120="Cancelada",$J120="Suspensa"),0,$K120+Limpeza_Min))</f>
        <v/>
      </c>
      <c r="M120" s="37">
        <f>IF($L120&lt;=0,"",SUMPRODUCT((Mapa_Sala=$B120)*(Mapa_Data=$A120)*(Mapa_MinOcup&gt;0)*((Mapa_RelIni&lt;$R120)+((Mapa_RelIni=$R120)*(Mapa_Row&lt;=$U120)))))</f>
        <v/>
      </c>
      <c r="N120" s="43">
        <f>IF($L120&lt;=0,"",MOD(Turno_Ini+($S120+Limpeza_Min)/1440,1))</f>
        <v/>
      </c>
      <c r="O120" s="37">
        <f>IF($L120&lt;=0,"",MAX(0,IFERROR(INDEX(Mapa_RelIni,MATCH($B120&amp;"#"&amp;($M120+1),Mapa_Chave,0)),Turno_Min)-($S120+Limpeza_Min)))</f>
        <v/>
      </c>
      <c r="P120" s="19">
        <f>IF($B120="","",IF($Q120="","OK",LEFT($Q120,LEN($Q120)-3)))</f>
        <v/>
      </c>
      <c r="Q120" s="10">
        <f>IF($B120="","",IF(COUNTIF(Postos_Cod,$B120)=0,"Sala não cadastrada | ","")&amp;IF(AND(COUNTIF(Postos_Cod,$B120)&gt;0,IFERROR(INDEX(Postos_Tipo,MATCH($B120,Postos_Cod,0)),"")&lt;&gt;"Sala cirúrgica"),"Posto não é sala cirúrgica | ","")&amp;IF(AND(COUNTIF(Postos_Cod,$B120)&gt;0,IFERROR(INDEX(Postos_Status,MATCH($B120,Postos_Cod,0)),"")&lt;&gt;"Ativo"),"Sala não ativa | ","")&amp;IF(COUNTIF(Esp_Nome,$E120)=0,"Especialidade não cadastrada | ","")&amp;IF(COUNTIF(Lista_StatusCirurgia,$J120)=0,"Status inválido | ","")&amp;IF(OR(NOT(ISNUMBER($C120)),NOT(ISNUMBER($D120))),"Horário inválido | ","")&amp;IFERROR(IF(AND(ISNUMBER($C120),ISNUMBER($D120),MOD($D120-$C120,1)*1440&lt;=0),"Duração nula ou negativa | ",""),"")&amp;IF(AND($L120&gt;0,OR($R120&gt;=Turno_Min,$S120&gt;Turno_Min)),"Fora da janela do plantão | ","")&amp;IF(AND($L120&gt;0,SUMPRODUCT((Mapa_Sala=$B120)*(Mapa_Data=$A120)*(Mapa_MinOcup&gt;0)*(Mapa_RelIni&lt;$S120)*(Mapa_RelFim&gt;$R120))&gt;1),"Sobreposição de horário na sala | ","")&amp;IFERROR(IF(AND(ISNUMBER($K120),$K120&gt;0,COUNTIF(Esp_Nome,$E120)&gt;0,$K120&gt;3*INDEX(Esp_Dur,MATCH($E120,Esp_Nome,0))),"Duração atípica (&gt;3x a média) | ",""),""))</f>
        <v/>
      </c>
      <c r="R120" s="15">
        <f>IF(NOT(ISNUMBER($C120)),0,ROUND(MOD($C120-Turno_Ini,1)*1440,0))</f>
        <v/>
      </c>
      <c r="S120" s="15">
        <f>IF($L120&lt;=0,0,$R120+$K120)</f>
        <v/>
      </c>
      <c r="T120" s="15">
        <f>IF($M120="","",$B120&amp;"#"&amp;$M120)</f>
        <v/>
      </c>
      <c r="U120" s="15">
        <f>ROW()</f>
        <v/>
      </c>
    </row>
    <row r="121">
      <c r="A121" s="38" t="n"/>
      <c r="B121" s="29" t="n"/>
      <c r="C121" s="42" t="n"/>
      <c r="D121" s="42" t="n"/>
      <c r="E121" s="30" t="n"/>
      <c r="F121" s="34">
        <f>IF($E121="","",IFERROR(INDEX(Esp_Hab,MATCH($E121,Esp_Nome,0)),"—"))</f>
        <v/>
      </c>
      <c r="G121" s="30" t="n"/>
      <c r="H121" s="30" t="n"/>
      <c r="I121" s="29" t="n"/>
      <c r="J121" s="29" t="n"/>
      <c r="K121" s="37">
        <f>IF(OR($B121="",NOT(ISNUMBER($C121)),NOT(ISNUMBER($D121))),"",ROUND(MOD($D121-$C121,1)*1440,0))</f>
        <v/>
      </c>
      <c r="L121" s="37">
        <f>IF(NOT(ISNUMBER($K121)),0,IF(OR($K121&lt;=0,$J121="Cancelada",$J121="Suspensa"),0,$K121+Limpeza_Min))</f>
        <v/>
      </c>
      <c r="M121" s="37">
        <f>IF($L121&lt;=0,"",SUMPRODUCT((Mapa_Sala=$B121)*(Mapa_Data=$A121)*(Mapa_MinOcup&gt;0)*((Mapa_RelIni&lt;$R121)+((Mapa_RelIni=$R121)*(Mapa_Row&lt;=$U121)))))</f>
        <v/>
      </c>
      <c r="N121" s="43">
        <f>IF($L121&lt;=0,"",MOD(Turno_Ini+($S121+Limpeza_Min)/1440,1))</f>
        <v/>
      </c>
      <c r="O121" s="37">
        <f>IF($L121&lt;=0,"",MAX(0,IFERROR(INDEX(Mapa_RelIni,MATCH($B121&amp;"#"&amp;($M121+1),Mapa_Chave,0)),Turno_Min)-($S121+Limpeza_Min)))</f>
        <v/>
      </c>
      <c r="P121" s="19">
        <f>IF($B121="","",IF($Q121="","OK",LEFT($Q121,LEN($Q121)-3)))</f>
        <v/>
      </c>
      <c r="Q121" s="10">
        <f>IF($B121="","",IF(COUNTIF(Postos_Cod,$B121)=0,"Sala não cadastrada | ","")&amp;IF(AND(COUNTIF(Postos_Cod,$B121)&gt;0,IFERROR(INDEX(Postos_Tipo,MATCH($B121,Postos_Cod,0)),"")&lt;&gt;"Sala cirúrgica"),"Posto não é sala cirúrgica | ","")&amp;IF(AND(COUNTIF(Postos_Cod,$B121)&gt;0,IFERROR(INDEX(Postos_Status,MATCH($B121,Postos_Cod,0)),"")&lt;&gt;"Ativo"),"Sala não ativa | ","")&amp;IF(COUNTIF(Esp_Nome,$E121)=0,"Especialidade não cadastrada | ","")&amp;IF(COUNTIF(Lista_StatusCirurgia,$J121)=0,"Status inválido | ","")&amp;IF(OR(NOT(ISNUMBER($C121)),NOT(ISNUMBER($D121))),"Horário inválido | ","")&amp;IFERROR(IF(AND(ISNUMBER($C121),ISNUMBER($D121),MOD($D121-$C121,1)*1440&lt;=0),"Duração nula ou negativa | ",""),"")&amp;IF(AND($L121&gt;0,OR($R121&gt;=Turno_Min,$S121&gt;Turno_Min)),"Fora da janela do plantão | ","")&amp;IF(AND($L121&gt;0,SUMPRODUCT((Mapa_Sala=$B121)*(Mapa_Data=$A121)*(Mapa_MinOcup&gt;0)*(Mapa_RelIni&lt;$S121)*(Mapa_RelFim&gt;$R121))&gt;1),"Sobreposição de horário na sala | ","")&amp;IFERROR(IF(AND(ISNUMBER($K121),$K121&gt;0,COUNTIF(Esp_Nome,$E121)&gt;0,$K121&gt;3*INDEX(Esp_Dur,MATCH($E121,Esp_Nome,0))),"Duração atípica (&gt;3x a média) | ",""),""))</f>
        <v/>
      </c>
      <c r="R121" s="15">
        <f>IF(NOT(ISNUMBER($C121)),0,ROUND(MOD($C121-Turno_Ini,1)*1440,0))</f>
        <v/>
      </c>
      <c r="S121" s="15">
        <f>IF($L121&lt;=0,0,$R121+$K121)</f>
        <v/>
      </c>
      <c r="T121" s="15">
        <f>IF($M121="","",$B121&amp;"#"&amp;$M121)</f>
        <v/>
      </c>
      <c r="U121" s="15">
        <f>ROW()</f>
        <v/>
      </c>
    </row>
    <row r="122">
      <c r="A122" s="38" t="n"/>
      <c r="B122" s="29" t="n"/>
      <c r="C122" s="42" t="n"/>
      <c r="D122" s="42" t="n"/>
      <c r="E122" s="30" t="n"/>
      <c r="F122" s="34">
        <f>IF($E122="","",IFERROR(INDEX(Esp_Hab,MATCH($E122,Esp_Nome,0)),"—"))</f>
        <v/>
      </c>
      <c r="G122" s="30" t="n"/>
      <c r="H122" s="30" t="n"/>
      <c r="I122" s="29" t="n"/>
      <c r="J122" s="29" t="n"/>
      <c r="K122" s="37">
        <f>IF(OR($B122="",NOT(ISNUMBER($C122)),NOT(ISNUMBER($D122))),"",ROUND(MOD($D122-$C122,1)*1440,0))</f>
        <v/>
      </c>
      <c r="L122" s="37">
        <f>IF(NOT(ISNUMBER($K122)),0,IF(OR($K122&lt;=0,$J122="Cancelada",$J122="Suspensa"),0,$K122+Limpeza_Min))</f>
        <v/>
      </c>
      <c r="M122" s="37">
        <f>IF($L122&lt;=0,"",SUMPRODUCT((Mapa_Sala=$B122)*(Mapa_Data=$A122)*(Mapa_MinOcup&gt;0)*((Mapa_RelIni&lt;$R122)+((Mapa_RelIni=$R122)*(Mapa_Row&lt;=$U122)))))</f>
        <v/>
      </c>
      <c r="N122" s="43">
        <f>IF($L122&lt;=0,"",MOD(Turno_Ini+($S122+Limpeza_Min)/1440,1))</f>
        <v/>
      </c>
      <c r="O122" s="37">
        <f>IF($L122&lt;=0,"",MAX(0,IFERROR(INDEX(Mapa_RelIni,MATCH($B122&amp;"#"&amp;($M122+1),Mapa_Chave,0)),Turno_Min)-($S122+Limpeza_Min)))</f>
        <v/>
      </c>
      <c r="P122" s="19">
        <f>IF($B122="","",IF($Q122="","OK",LEFT($Q122,LEN($Q122)-3)))</f>
        <v/>
      </c>
      <c r="Q122" s="10">
        <f>IF($B122="","",IF(COUNTIF(Postos_Cod,$B122)=0,"Sala não cadastrada | ","")&amp;IF(AND(COUNTIF(Postos_Cod,$B122)&gt;0,IFERROR(INDEX(Postos_Tipo,MATCH($B122,Postos_Cod,0)),"")&lt;&gt;"Sala cirúrgica"),"Posto não é sala cirúrgica | ","")&amp;IF(AND(COUNTIF(Postos_Cod,$B122)&gt;0,IFERROR(INDEX(Postos_Status,MATCH($B122,Postos_Cod,0)),"")&lt;&gt;"Ativo"),"Sala não ativa | ","")&amp;IF(COUNTIF(Esp_Nome,$E122)=0,"Especialidade não cadastrada | ","")&amp;IF(COUNTIF(Lista_StatusCirurgia,$J122)=0,"Status inválido | ","")&amp;IF(OR(NOT(ISNUMBER($C122)),NOT(ISNUMBER($D122))),"Horário inválido | ","")&amp;IFERROR(IF(AND(ISNUMBER($C122),ISNUMBER($D122),MOD($D122-$C122,1)*1440&lt;=0),"Duração nula ou negativa | ",""),"")&amp;IF(AND($L122&gt;0,OR($R122&gt;=Turno_Min,$S122&gt;Turno_Min)),"Fora da janela do plantão | ","")&amp;IF(AND($L122&gt;0,SUMPRODUCT((Mapa_Sala=$B122)*(Mapa_Data=$A122)*(Mapa_MinOcup&gt;0)*(Mapa_RelIni&lt;$S122)*(Mapa_RelFim&gt;$R122))&gt;1),"Sobreposição de horário na sala | ","")&amp;IFERROR(IF(AND(ISNUMBER($K122),$K122&gt;0,COUNTIF(Esp_Nome,$E122)&gt;0,$K122&gt;3*INDEX(Esp_Dur,MATCH($E122,Esp_Nome,0))),"Duração atípica (&gt;3x a média) | ",""),""))</f>
        <v/>
      </c>
      <c r="R122" s="15">
        <f>IF(NOT(ISNUMBER($C122)),0,ROUND(MOD($C122-Turno_Ini,1)*1440,0))</f>
        <v/>
      </c>
      <c r="S122" s="15">
        <f>IF($L122&lt;=0,0,$R122+$K122)</f>
        <v/>
      </c>
      <c r="T122" s="15">
        <f>IF($M122="","",$B122&amp;"#"&amp;$M122)</f>
        <v/>
      </c>
      <c r="U122" s="15">
        <f>ROW()</f>
        <v/>
      </c>
    </row>
    <row r="123">
      <c r="A123" s="38" t="n"/>
      <c r="B123" s="29" t="n"/>
      <c r="C123" s="42" t="n"/>
      <c r="D123" s="42" t="n"/>
      <c r="E123" s="30" t="n"/>
      <c r="F123" s="34">
        <f>IF($E123="","",IFERROR(INDEX(Esp_Hab,MATCH($E123,Esp_Nome,0)),"—"))</f>
        <v/>
      </c>
      <c r="G123" s="30" t="n"/>
      <c r="H123" s="30" t="n"/>
      <c r="I123" s="29" t="n"/>
      <c r="J123" s="29" t="n"/>
      <c r="K123" s="37">
        <f>IF(OR($B123="",NOT(ISNUMBER($C123)),NOT(ISNUMBER($D123))),"",ROUND(MOD($D123-$C123,1)*1440,0))</f>
        <v/>
      </c>
      <c r="L123" s="37">
        <f>IF(NOT(ISNUMBER($K123)),0,IF(OR($K123&lt;=0,$J123="Cancelada",$J123="Suspensa"),0,$K123+Limpeza_Min))</f>
        <v/>
      </c>
      <c r="M123" s="37">
        <f>IF($L123&lt;=0,"",SUMPRODUCT((Mapa_Sala=$B123)*(Mapa_Data=$A123)*(Mapa_MinOcup&gt;0)*((Mapa_RelIni&lt;$R123)+((Mapa_RelIni=$R123)*(Mapa_Row&lt;=$U123)))))</f>
        <v/>
      </c>
      <c r="N123" s="43">
        <f>IF($L123&lt;=0,"",MOD(Turno_Ini+($S123+Limpeza_Min)/1440,1))</f>
        <v/>
      </c>
      <c r="O123" s="37">
        <f>IF($L123&lt;=0,"",MAX(0,IFERROR(INDEX(Mapa_RelIni,MATCH($B123&amp;"#"&amp;($M123+1),Mapa_Chave,0)),Turno_Min)-($S123+Limpeza_Min)))</f>
        <v/>
      </c>
      <c r="P123" s="19">
        <f>IF($B123="","",IF($Q123="","OK",LEFT($Q123,LEN($Q123)-3)))</f>
        <v/>
      </c>
      <c r="Q123" s="10">
        <f>IF($B123="","",IF(COUNTIF(Postos_Cod,$B123)=0,"Sala não cadastrada | ","")&amp;IF(AND(COUNTIF(Postos_Cod,$B123)&gt;0,IFERROR(INDEX(Postos_Tipo,MATCH($B123,Postos_Cod,0)),"")&lt;&gt;"Sala cirúrgica"),"Posto não é sala cirúrgica | ","")&amp;IF(AND(COUNTIF(Postos_Cod,$B123)&gt;0,IFERROR(INDEX(Postos_Status,MATCH($B123,Postos_Cod,0)),"")&lt;&gt;"Ativo"),"Sala não ativa | ","")&amp;IF(COUNTIF(Esp_Nome,$E123)=0,"Especialidade não cadastrada | ","")&amp;IF(COUNTIF(Lista_StatusCirurgia,$J123)=0,"Status inválido | ","")&amp;IF(OR(NOT(ISNUMBER($C123)),NOT(ISNUMBER($D123))),"Horário inválido | ","")&amp;IFERROR(IF(AND(ISNUMBER($C123),ISNUMBER($D123),MOD($D123-$C123,1)*1440&lt;=0),"Duração nula ou negativa | ",""),"")&amp;IF(AND($L123&gt;0,OR($R123&gt;=Turno_Min,$S123&gt;Turno_Min)),"Fora da janela do plantão | ","")&amp;IF(AND($L123&gt;0,SUMPRODUCT((Mapa_Sala=$B123)*(Mapa_Data=$A123)*(Mapa_MinOcup&gt;0)*(Mapa_RelIni&lt;$S123)*(Mapa_RelFim&gt;$R123))&gt;1),"Sobreposição de horário na sala | ","")&amp;IFERROR(IF(AND(ISNUMBER($K123),$K123&gt;0,COUNTIF(Esp_Nome,$E123)&gt;0,$K123&gt;3*INDEX(Esp_Dur,MATCH($E123,Esp_Nome,0))),"Duração atípica (&gt;3x a média) | ",""),""))</f>
        <v/>
      </c>
      <c r="R123" s="15">
        <f>IF(NOT(ISNUMBER($C123)),0,ROUND(MOD($C123-Turno_Ini,1)*1440,0))</f>
        <v/>
      </c>
      <c r="S123" s="15">
        <f>IF($L123&lt;=0,0,$R123+$K123)</f>
        <v/>
      </c>
      <c r="T123" s="15">
        <f>IF($M123="","",$B123&amp;"#"&amp;$M123)</f>
        <v/>
      </c>
      <c r="U123" s="15">
        <f>ROW()</f>
        <v/>
      </c>
    </row>
    <row r="124">
      <c r="A124" s="38" t="n"/>
      <c r="B124" s="29" t="n"/>
      <c r="C124" s="42" t="n"/>
      <c r="D124" s="42" t="n"/>
      <c r="E124" s="30" t="n"/>
      <c r="F124" s="34">
        <f>IF($E124="","",IFERROR(INDEX(Esp_Hab,MATCH($E124,Esp_Nome,0)),"—"))</f>
        <v/>
      </c>
      <c r="G124" s="30" t="n"/>
      <c r="H124" s="30" t="n"/>
      <c r="I124" s="29" t="n"/>
      <c r="J124" s="29" t="n"/>
      <c r="K124" s="37">
        <f>IF(OR($B124="",NOT(ISNUMBER($C124)),NOT(ISNUMBER($D124))),"",ROUND(MOD($D124-$C124,1)*1440,0))</f>
        <v/>
      </c>
      <c r="L124" s="37">
        <f>IF(NOT(ISNUMBER($K124)),0,IF(OR($K124&lt;=0,$J124="Cancelada",$J124="Suspensa"),0,$K124+Limpeza_Min))</f>
        <v/>
      </c>
      <c r="M124" s="37">
        <f>IF($L124&lt;=0,"",SUMPRODUCT((Mapa_Sala=$B124)*(Mapa_Data=$A124)*(Mapa_MinOcup&gt;0)*((Mapa_RelIni&lt;$R124)+((Mapa_RelIni=$R124)*(Mapa_Row&lt;=$U124)))))</f>
        <v/>
      </c>
      <c r="N124" s="43">
        <f>IF($L124&lt;=0,"",MOD(Turno_Ini+($S124+Limpeza_Min)/1440,1))</f>
        <v/>
      </c>
      <c r="O124" s="37">
        <f>IF($L124&lt;=0,"",MAX(0,IFERROR(INDEX(Mapa_RelIni,MATCH($B124&amp;"#"&amp;($M124+1),Mapa_Chave,0)),Turno_Min)-($S124+Limpeza_Min)))</f>
        <v/>
      </c>
      <c r="P124" s="19">
        <f>IF($B124="","",IF($Q124="","OK",LEFT($Q124,LEN($Q124)-3)))</f>
        <v/>
      </c>
      <c r="Q124" s="10">
        <f>IF($B124="","",IF(COUNTIF(Postos_Cod,$B124)=0,"Sala não cadastrada | ","")&amp;IF(AND(COUNTIF(Postos_Cod,$B124)&gt;0,IFERROR(INDEX(Postos_Tipo,MATCH($B124,Postos_Cod,0)),"")&lt;&gt;"Sala cirúrgica"),"Posto não é sala cirúrgica | ","")&amp;IF(AND(COUNTIF(Postos_Cod,$B124)&gt;0,IFERROR(INDEX(Postos_Status,MATCH($B124,Postos_Cod,0)),"")&lt;&gt;"Ativo"),"Sala não ativa | ","")&amp;IF(COUNTIF(Esp_Nome,$E124)=0,"Especialidade não cadastrada | ","")&amp;IF(COUNTIF(Lista_StatusCirurgia,$J124)=0,"Status inválido | ","")&amp;IF(OR(NOT(ISNUMBER($C124)),NOT(ISNUMBER($D124))),"Horário inválido | ","")&amp;IFERROR(IF(AND(ISNUMBER($C124),ISNUMBER($D124),MOD($D124-$C124,1)*1440&lt;=0),"Duração nula ou negativa | ",""),"")&amp;IF(AND($L124&gt;0,OR($R124&gt;=Turno_Min,$S124&gt;Turno_Min)),"Fora da janela do plantão | ","")&amp;IF(AND($L124&gt;0,SUMPRODUCT((Mapa_Sala=$B124)*(Mapa_Data=$A124)*(Mapa_MinOcup&gt;0)*(Mapa_RelIni&lt;$S124)*(Mapa_RelFim&gt;$R124))&gt;1),"Sobreposição de horário na sala | ","")&amp;IFERROR(IF(AND(ISNUMBER($K124),$K124&gt;0,COUNTIF(Esp_Nome,$E124)&gt;0,$K124&gt;3*INDEX(Esp_Dur,MATCH($E124,Esp_Nome,0))),"Duração atípica (&gt;3x a média) | ",""),""))</f>
        <v/>
      </c>
      <c r="R124" s="15">
        <f>IF(NOT(ISNUMBER($C124)),0,ROUND(MOD($C124-Turno_Ini,1)*1440,0))</f>
        <v/>
      </c>
      <c r="S124" s="15">
        <f>IF($L124&lt;=0,0,$R124+$K124)</f>
        <v/>
      </c>
      <c r="T124" s="15">
        <f>IF($M124="","",$B124&amp;"#"&amp;$M124)</f>
        <v/>
      </c>
      <c r="U124" s="15">
        <f>ROW()</f>
        <v/>
      </c>
    </row>
    <row r="125">
      <c r="A125" s="38" t="n"/>
      <c r="B125" s="29" t="n"/>
      <c r="C125" s="42" t="n"/>
      <c r="D125" s="42" t="n"/>
      <c r="E125" s="30" t="n"/>
      <c r="F125" s="34">
        <f>IF($E125="","",IFERROR(INDEX(Esp_Hab,MATCH($E125,Esp_Nome,0)),"—"))</f>
        <v/>
      </c>
      <c r="G125" s="30" t="n"/>
      <c r="H125" s="30" t="n"/>
      <c r="I125" s="29" t="n"/>
      <c r="J125" s="29" t="n"/>
      <c r="K125" s="37">
        <f>IF(OR($B125="",NOT(ISNUMBER($C125)),NOT(ISNUMBER($D125))),"",ROUND(MOD($D125-$C125,1)*1440,0))</f>
        <v/>
      </c>
      <c r="L125" s="37">
        <f>IF(NOT(ISNUMBER($K125)),0,IF(OR($K125&lt;=0,$J125="Cancelada",$J125="Suspensa"),0,$K125+Limpeza_Min))</f>
        <v/>
      </c>
      <c r="M125" s="37">
        <f>IF($L125&lt;=0,"",SUMPRODUCT((Mapa_Sala=$B125)*(Mapa_Data=$A125)*(Mapa_MinOcup&gt;0)*((Mapa_RelIni&lt;$R125)+((Mapa_RelIni=$R125)*(Mapa_Row&lt;=$U125)))))</f>
        <v/>
      </c>
      <c r="N125" s="43">
        <f>IF($L125&lt;=0,"",MOD(Turno_Ini+($S125+Limpeza_Min)/1440,1))</f>
        <v/>
      </c>
      <c r="O125" s="37">
        <f>IF($L125&lt;=0,"",MAX(0,IFERROR(INDEX(Mapa_RelIni,MATCH($B125&amp;"#"&amp;($M125+1),Mapa_Chave,0)),Turno_Min)-($S125+Limpeza_Min)))</f>
        <v/>
      </c>
      <c r="P125" s="19">
        <f>IF($B125="","",IF($Q125="","OK",LEFT($Q125,LEN($Q125)-3)))</f>
        <v/>
      </c>
      <c r="Q125" s="10">
        <f>IF($B125="","",IF(COUNTIF(Postos_Cod,$B125)=0,"Sala não cadastrada | ","")&amp;IF(AND(COUNTIF(Postos_Cod,$B125)&gt;0,IFERROR(INDEX(Postos_Tipo,MATCH($B125,Postos_Cod,0)),"")&lt;&gt;"Sala cirúrgica"),"Posto não é sala cirúrgica | ","")&amp;IF(AND(COUNTIF(Postos_Cod,$B125)&gt;0,IFERROR(INDEX(Postos_Status,MATCH($B125,Postos_Cod,0)),"")&lt;&gt;"Ativo"),"Sala não ativa | ","")&amp;IF(COUNTIF(Esp_Nome,$E125)=0,"Especialidade não cadastrada | ","")&amp;IF(COUNTIF(Lista_StatusCirurgia,$J125)=0,"Status inválido | ","")&amp;IF(OR(NOT(ISNUMBER($C125)),NOT(ISNUMBER($D125))),"Horário inválido | ","")&amp;IFERROR(IF(AND(ISNUMBER($C125),ISNUMBER($D125),MOD($D125-$C125,1)*1440&lt;=0),"Duração nula ou negativa | ",""),"")&amp;IF(AND($L125&gt;0,OR($R125&gt;=Turno_Min,$S125&gt;Turno_Min)),"Fora da janela do plantão | ","")&amp;IF(AND($L125&gt;0,SUMPRODUCT((Mapa_Sala=$B125)*(Mapa_Data=$A125)*(Mapa_MinOcup&gt;0)*(Mapa_RelIni&lt;$S125)*(Mapa_RelFim&gt;$R125))&gt;1),"Sobreposição de horário na sala | ","")&amp;IFERROR(IF(AND(ISNUMBER($K125),$K125&gt;0,COUNTIF(Esp_Nome,$E125)&gt;0,$K125&gt;3*INDEX(Esp_Dur,MATCH($E125,Esp_Nome,0))),"Duração atípica (&gt;3x a média) | ",""),""))</f>
        <v/>
      </c>
      <c r="R125" s="15">
        <f>IF(NOT(ISNUMBER($C125)),0,ROUND(MOD($C125-Turno_Ini,1)*1440,0))</f>
        <v/>
      </c>
      <c r="S125" s="15">
        <f>IF($L125&lt;=0,0,$R125+$K125)</f>
        <v/>
      </c>
      <c r="T125" s="15">
        <f>IF($M125="","",$B125&amp;"#"&amp;$M125)</f>
        <v/>
      </c>
      <c r="U125" s="15">
        <f>ROW()</f>
        <v/>
      </c>
    </row>
    <row r="126">
      <c r="A126" s="38" t="n"/>
      <c r="B126" s="29" t="n"/>
      <c r="C126" s="42" t="n"/>
      <c r="D126" s="42" t="n"/>
      <c r="E126" s="30" t="n"/>
      <c r="F126" s="34">
        <f>IF($E126="","",IFERROR(INDEX(Esp_Hab,MATCH($E126,Esp_Nome,0)),"—"))</f>
        <v/>
      </c>
      <c r="G126" s="30" t="n"/>
      <c r="H126" s="30" t="n"/>
      <c r="I126" s="29" t="n"/>
      <c r="J126" s="29" t="n"/>
      <c r="K126" s="37">
        <f>IF(OR($B126="",NOT(ISNUMBER($C126)),NOT(ISNUMBER($D126))),"",ROUND(MOD($D126-$C126,1)*1440,0))</f>
        <v/>
      </c>
      <c r="L126" s="37">
        <f>IF(NOT(ISNUMBER($K126)),0,IF(OR($K126&lt;=0,$J126="Cancelada",$J126="Suspensa"),0,$K126+Limpeza_Min))</f>
        <v/>
      </c>
      <c r="M126" s="37">
        <f>IF($L126&lt;=0,"",SUMPRODUCT((Mapa_Sala=$B126)*(Mapa_Data=$A126)*(Mapa_MinOcup&gt;0)*((Mapa_RelIni&lt;$R126)+((Mapa_RelIni=$R126)*(Mapa_Row&lt;=$U126)))))</f>
        <v/>
      </c>
      <c r="N126" s="43">
        <f>IF($L126&lt;=0,"",MOD(Turno_Ini+($S126+Limpeza_Min)/1440,1))</f>
        <v/>
      </c>
      <c r="O126" s="37">
        <f>IF($L126&lt;=0,"",MAX(0,IFERROR(INDEX(Mapa_RelIni,MATCH($B126&amp;"#"&amp;($M126+1),Mapa_Chave,0)),Turno_Min)-($S126+Limpeza_Min)))</f>
        <v/>
      </c>
      <c r="P126" s="19">
        <f>IF($B126="","",IF($Q126="","OK",LEFT($Q126,LEN($Q126)-3)))</f>
        <v/>
      </c>
      <c r="Q126" s="10">
        <f>IF($B126="","",IF(COUNTIF(Postos_Cod,$B126)=0,"Sala não cadastrada | ","")&amp;IF(AND(COUNTIF(Postos_Cod,$B126)&gt;0,IFERROR(INDEX(Postos_Tipo,MATCH($B126,Postos_Cod,0)),"")&lt;&gt;"Sala cirúrgica"),"Posto não é sala cirúrgica | ","")&amp;IF(AND(COUNTIF(Postos_Cod,$B126)&gt;0,IFERROR(INDEX(Postos_Status,MATCH($B126,Postos_Cod,0)),"")&lt;&gt;"Ativo"),"Sala não ativa | ","")&amp;IF(COUNTIF(Esp_Nome,$E126)=0,"Especialidade não cadastrada | ","")&amp;IF(COUNTIF(Lista_StatusCirurgia,$J126)=0,"Status inválido | ","")&amp;IF(OR(NOT(ISNUMBER($C126)),NOT(ISNUMBER($D126))),"Horário inválido | ","")&amp;IFERROR(IF(AND(ISNUMBER($C126),ISNUMBER($D126),MOD($D126-$C126,1)*1440&lt;=0),"Duração nula ou negativa | ",""),"")&amp;IF(AND($L126&gt;0,OR($R126&gt;=Turno_Min,$S126&gt;Turno_Min)),"Fora da janela do plantão | ","")&amp;IF(AND($L126&gt;0,SUMPRODUCT((Mapa_Sala=$B126)*(Mapa_Data=$A126)*(Mapa_MinOcup&gt;0)*(Mapa_RelIni&lt;$S126)*(Mapa_RelFim&gt;$R126))&gt;1),"Sobreposição de horário na sala | ","")&amp;IFERROR(IF(AND(ISNUMBER($K126),$K126&gt;0,COUNTIF(Esp_Nome,$E126)&gt;0,$K126&gt;3*INDEX(Esp_Dur,MATCH($E126,Esp_Nome,0))),"Duração atípica (&gt;3x a média) | ",""),""))</f>
        <v/>
      </c>
      <c r="R126" s="15">
        <f>IF(NOT(ISNUMBER($C126)),0,ROUND(MOD($C126-Turno_Ini,1)*1440,0))</f>
        <v/>
      </c>
      <c r="S126" s="15">
        <f>IF($L126&lt;=0,0,$R126+$K126)</f>
        <v/>
      </c>
      <c r="T126" s="15">
        <f>IF($M126="","",$B126&amp;"#"&amp;$M126)</f>
        <v/>
      </c>
      <c r="U126" s="15">
        <f>ROW()</f>
        <v/>
      </c>
    </row>
    <row r="127">
      <c r="A127" s="38" t="n"/>
      <c r="B127" s="29" t="n"/>
      <c r="C127" s="42" t="n"/>
      <c r="D127" s="42" t="n"/>
      <c r="E127" s="30" t="n"/>
      <c r="F127" s="34">
        <f>IF($E127="","",IFERROR(INDEX(Esp_Hab,MATCH($E127,Esp_Nome,0)),"—"))</f>
        <v/>
      </c>
      <c r="G127" s="30" t="n"/>
      <c r="H127" s="30" t="n"/>
      <c r="I127" s="29" t="n"/>
      <c r="J127" s="29" t="n"/>
      <c r="K127" s="37">
        <f>IF(OR($B127="",NOT(ISNUMBER($C127)),NOT(ISNUMBER($D127))),"",ROUND(MOD($D127-$C127,1)*1440,0))</f>
        <v/>
      </c>
      <c r="L127" s="37">
        <f>IF(NOT(ISNUMBER($K127)),0,IF(OR($K127&lt;=0,$J127="Cancelada",$J127="Suspensa"),0,$K127+Limpeza_Min))</f>
        <v/>
      </c>
      <c r="M127" s="37">
        <f>IF($L127&lt;=0,"",SUMPRODUCT((Mapa_Sala=$B127)*(Mapa_Data=$A127)*(Mapa_MinOcup&gt;0)*((Mapa_RelIni&lt;$R127)+((Mapa_RelIni=$R127)*(Mapa_Row&lt;=$U127)))))</f>
        <v/>
      </c>
      <c r="N127" s="43">
        <f>IF($L127&lt;=0,"",MOD(Turno_Ini+($S127+Limpeza_Min)/1440,1))</f>
        <v/>
      </c>
      <c r="O127" s="37">
        <f>IF($L127&lt;=0,"",MAX(0,IFERROR(INDEX(Mapa_RelIni,MATCH($B127&amp;"#"&amp;($M127+1),Mapa_Chave,0)),Turno_Min)-($S127+Limpeza_Min)))</f>
        <v/>
      </c>
      <c r="P127" s="19">
        <f>IF($B127="","",IF($Q127="","OK",LEFT($Q127,LEN($Q127)-3)))</f>
        <v/>
      </c>
      <c r="Q127" s="10">
        <f>IF($B127="","",IF(COUNTIF(Postos_Cod,$B127)=0,"Sala não cadastrada | ","")&amp;IF(AND(COUNTIF(Postos_Cod,$B127)&gt;0,IFERROR(INDEX(Postos_Tipo,MATCH($B127,Postos_Cod,0)),"")&lt;&gt;"Sala cirúrgica"),"Posto não é sala cirúrgica | ","")&amp;IF(AND(COUNTIF(Postos_Cod,$B127)&gt;0,IFERROR(INDEX(Postos_Status,MATCH($B127,Postos_Cod,0)),"")&lt;&gt;"Ativo"),"Sala não ativa | ","")&amp;IF(COUNTIF(Esp_Nome,$E127)=0,"Especialidade não cadastrada | ","")&amp;IF(COUNTIF(Lista_StatusCirurgia,$J127)=0,"Status inválido | ","")&amp;IF(OR(NOT(ISNUMBER($C127)),NOT(ISNUMBER($D127))),"Horário inválido | ","")&amp;IFERROR(IF(AND(ISNUMBER($C127),ISNUMBER($D127),MOD($D127-$C127,1)*1440&lt;=0),"Duração nula ou negativa | ",""),"")&amp;IF(AND($L127&gt;0,OR($R127&gt;=Turno_Min,$S127&gt;Turno_Min)),"Fora da janela do plantão | ","")&amp;IF(AND($L127&gt;0,SUMPRODUCT((Mapa_Sala=$B127)*(Mapa_Data=$A127)*(Mapa_MinOcup&gt;0)*(Mapa_RelIni&lt;$S127)*(Mapa_RelFim&gt;$R127))&gt;1),"Sobreposição de horário na sala | ","")&amp;IFERROR(IF(AND(ISNUMBER($K127),$K127&gt;0,COUNTIF(Esp_Nome,$E127)&gt;0,$K127&gt;3*INDEX(Esp_Dur,MATCH($E127,Esp_Nome,0))),"Duração atípica (&gt;3x a média) | ",""),""))</f>
        <v/>
      </c>
      <c r="R127" s="15">
        <f>IF(NOT(ISNUMBER($C127)),0,ROUND(MOD($C127-Turno_Ini,1)*1440,0))</f>
        <v/>
      </c>
      <c r="S127" s="15">
        <f>IF($L127&lt;=0,0,$R127+$K127)</f>
        <v/>
      </c>
      <c r="T127" s="15">
        <f>IF($M127="","",$B127&amp;"#"&amp;$M127)</f>
        <v/>
      </c>
      <c r="U127" s="15">
        <f>ROW()</f>
        <v/>
      </c>
    </row>
    <row r="128">
      <c r="A128" s="38" t="n"/>
      <c r="B128" s="29" t="n"/>
      <c r="C128" s="42" t="n"/>
      <c r="D128" s="42" t="n"/>
      <c r="E128" s="30" t="n"/>
      <c r="F128" s="34">
        <f>IF($E128="","",IFERROR(INDEX(Esp_Hab,MATCH($E128,Esp_Nome,0)),"—"))</f>
        <v/>
      </c>
      <c r="G128" s="30" t="n"/>
      <c r="H128" s="30" t="n"/>
      <c r="I128" s="29" t="n"/>
      <c r="J128" s="29" t="n"/>
      <c r="K128" s="37">
        <f>IF(OR($B128="",NOT(ISNUMBER($C128)),NOT(ISNUMBER($D128))),"",ROUND(MOD($D128-$C128,1)*1440,0))</f>
        <v/>
      </c>
      <c r="L128" s="37">
        <f>IF(NOT(ISNUMBER($K128)),0,IF(OR($K128&lt;=0,$J128="Cancelada",$J128="Suspensa"),0,$K128+Limpeza_Min))</f>
        <v/>
      </c>
      <c r="M128" s="37">
        <f>IF($L128&lt;=0,"",SUMPRODUCT((Mapa_Sala=$B128)*(Mapa_Data=$A128)*(Mapa_MinOcup&gt;0)*((Mapa_RelIni&lt;$R128)+((Mapa_RelIni=$R128)*(Mapa_Row&lt;=$U128)))))</f>
        <v/>
      </c>
      <c r="N128" s="43">
        <f>IF($L128&lt;=0,"",MOD(Turno_Ini+($S128+Limpeza_Min)/1440,1))</f>
        <v/>
      </c>
      <c r="O128" s="37">
        <f>IF($L128&lt;=0,"",MAX(0,IFERROR(INDEX(Mapa_RelIni,MATCH($B128&amp;"#"&amp;($M128+1),Mapa_Chave,0)),Turno_Min)-($S128+Limpeza_Min)))</f>
        <v/>
      </c>
      <c r="P128" s="19">
        <f>IF($B128="","",IF($Q128="","OK",LEFT($Q128,LEN($Q128)-3)))</f>
        <v/>
      </c>
      <c r="Q128" s="10">
        <f>IF($B128="","",IF(COUNTIF(Postos_Cod,$B128)=0,"Sala não cadastrada | ","")&amp;IF(AND(COUNTIF(Postos_Cod,$B128)&gt;0,IFERROR(INDEX(Postos_Tipo,MATCH($B128,Postos_Cod,0)),"")&lt;&gt;"Sala cirúrgica"),"Posto não é sala cirúrgica | ","")&amp;IF(AND(COUNTIF(Postos_Cod,$B128)&gt;0,IFERROR(INDEX(Postos_Status,MATCH($B128,Postos_Cod,0)),"")&lt;&gt;"Ativo"),"Sala não ativa | ","")&amp;IF(COUNTIF(Esp_Nome,$E128)=0,"Especialidade não cadastrada | ","")&amp;IF(COUNTIF(Lista_StatusCirurgia,$J128)=0,"Status inválido | ","")&amp;IF(OR(NOT(ISNUMBER($C128)),NOT(ISNUMBER($D128))),"Horário inválido | ","")&amp;IFERROR(IF(AND(ISNUMBER($C128),ISNUMBER($D128),MOD($D128-$C128,1)*1440&lt;=0),"Duração nula ou negativa | ",""),"")&amp;IF(AND($L128&gt;0,OR($R128&gt;=Turno_Min,$S128&gt;Turno_Min)),"Fora da janela do plantão | ","")&amp;IF(AND($L128&gt;0,SUMPRODUCT((Mapa_Sala=$B128)*(Mapa_Data=$A128)*(Mapa_MinOcup&gt;0)*(Mapa_RelIni&lt;$S128)*(Mapa_RelFim&gt;$R128))&gt;1),"Sobreposição de horário na sala | ","")&amp;IFERROR(IF(AND(ISNUMBER($K128),$K128&gt;0,COUNTIF(Esp_Nome,$E128)&gt;0,$K128&gt;3*INDEX(Esp_Dur,MATCH($E128,Esp_Nome,0))),"Duração atípica (&gt;3x a média) | ",""),""))</f>
        <v/>
      </c>
      <c r="R128" s="15">
        <f>IF(NOT(ISNUMBER($C128)),0,ROUND(MOD($C128-Turno_Ini,1)*1440,0))</f>
        <v/>
      </c>
      <c r="S128" s="15">
        <f>IF($L128&lt;=0,0,$R128+$K128)</f>
        <v/>
      </c>
      <c r="T128" s="15">
        <f>IF($M128="","",$B128&amp;"#"&amp;$M128)</f>
        <v/>
      </c>
      <c r="U128" s="15">
        <f>ROW()</f>
        <v/>
      </c>
    </row>
    <row r="129">
      <c r="A129" s="38" t="n"/>
      <c r="B129" s="29" t="n"/>
      <c r="C129" s="42" t="n"/>
      <c r="D129" s="42" t="n"/>
      <c r="E129" s="30" t="n"/>
      <c r="F129" s="34">
        <f>IF($E129="","",IFERROR(INDEX(Esp_Hab,MATCH($E129,Esp_Nome,0)),"—"))</f>
        <v/>
      </c>
      <c r="G129" s="30" t="n"/>
      <c r="H129" s="30" t="n"/>
      <c r="I129" s="29" t="n"/>
      <c r="J129" s="29" t="n"/>
      <c r="K129" s="37">
        <f>IF(OR($B129="",NOT(ISNUMBER($C129)),NOT(ISNUMBER($D129))),"",ROUND(MOD($D129-$C129,1)*1440,0))</f>
        <v/>
      </c>
      <c r="L129" s="37">
        <f>IF(NOT(ISNUMBER($K129)),0,IF(OR($K129&lt;=0,$J129="Cancelada",$J129="Suspensa"),0,$K129+Limpeza_Min))</f>
        <v/>
      </c>
      <c r="M129" s="37">
        <f>IF($L129&lt;=0,"",SUMPRODUCT((Mapa_Sala=$B129)*(Mapa_Data=$A129)*(Mapa_MinOcup&gt;0)*((Mapa_RelIni&lt;$R129)+((Mapa_RelIni=$R129)*(Mapa_Row&lt;=$U129)))))</f>
        <v/>
      </c>
      <c r="N129" s="43">
        <f>IF($L129&lt;=0,"",MOD(Turno_Ini+($S129+Limpeza_Min)/1440,1))</f>
        <v/>
      </c>
      <c r="O129" s="37">
        <f>IF($L129&lt;=0,"",MAX(0,IFERROR(INDEX(Mapa_RelIni,MATCH($B129&amp;"#"&amp;($M129+1),Mapa_Chave,0)),Turno_Min)-($S129+Limpeza_Min)))</f>
        <v/>
      </c>
      <c r="P129" s="19">
        <f>IF($B129="","",IF($Q129="","OK",LEFT($Q129,LEN($Q129)-3)))</f>
        <v/>
      </c>
      <c r="Q129" s="10">
        <f>IF($B129="","",IF(COUNTIF(Postos_Cod,$B129)=0,"Sala não cadastrada | ","")&amp;IF(AND(COUNTIF(Postos_Cod,$B129)&gt;0,IFERROR(INDEX(Postos_Tipo,MATCH($B129,Postos_Cod,0)),"")&lt;&gt;"Sala cirúrgica"),"Posto não é sala cirúrgica | ","")&amp;IF(AND(COUNTIF(Postos_Cod,$B129)&gt;0,IFERROR(INDEX(Postos_Status,MATCH($B129,Postos_Cod,0)),"")&lt;&gt;"Ativo"),"Sala não ativa | ","")&amp;IF(COUNTIF(Esp_Nome,$E129)=0,"Especialidade não cadastrada | ","")&amp;IF(COUNTIF(Lista_StatusCirurgia,$J129)=0,"Status inválido | ","")&amp;IF(OR(NOT(ISNUMBER($C129)),NOT(ISNUMBER($D129))),"Horário inválido | ","")&amp;IFERROR(IF(AND(ISNUMBER($C129),ISNUMBER($D129),MOD($D129-$C129,1)*1440&lt;=0),"Duração nula ou negativa | ",""),"")&amp;IF(AND($L129&gt;0,OR($R129&gt;=Turno_Min,$S129&gt;Turno_Min)),"Fora da janela do plantão | ","")&amp;IF(AND($L129&gt;0,SUMPRODUCT((Mapa_Sala=$B129)*(Mapa_Data=$A129)*(Mapa_MinOcup&gt;0)*(Mapa_RelIni&lt;$S129)*(Mapa_RelFim&gt;$R129))&gt;1),"Sobreposição de horário na sala | ","")&amp;IFERROR(IF(AND(ISNUMBER($K129),$K129&gt;0,COUNTIF(Esp_Nome,$E129)&gt;0,$K129&gt;3*INDEX(Esp_Dur,MATCH($E129,Esp_Nome,0))),"Duração atípica (&gt;3x a média) | ",""),""))</f>
        <v/>
      </c>
      <c r="R129" s="15">
        <f>IF(NOT(ISNUMBER($C129)),0,ROUND(MOD($C129-Turno_Ini,1)*1440,0))</f>
        <v/>
      </c>
      <c r="S129" s="15">
        <f>IF($L129&lt;=0,0,$R129+$K129)</f>
        <v/>
      </c>
      <c r="T129" s="15">
        <f>IF($M129="","",$B129&amp;"#"&amp;$M129)</f>
        <v/>
      </c>
      <c r="U129" s="15">
        <f>ROW()</f>
        <v/>
      </c>
    </row>
    <row r="130">
      <c r="A130" s="38" t="n"/>
      <c r="B130" s="29" t="n"/>
      <c r="C130" s="42" t="n"/>
      <c r="D130" s="42" t="n"/>
      <c r="E130" s="30" t="n"/>
      <c r="F130" s="34">
        <f>IF($E130="","",IFERROR(INDEX(Esp_Hab,MATCH($E130,Esp_Nome,0)),"—"))</f>
        <v/>
      </c>
      <c r="G130" s="30" t="n"/>
      <c r="H130" s="30" t="n"/>
      <c r="I130" s="29" t="n"/>
      <c r="J130" s="29" t="n"/>
      <c r="K130" s="37">
        <f>IF(OR($B130="",NOT(ISNUMBER($C130)),NOT(ISNUMBER($D130))),"",ROUND(MOD($D130-$C130,1)*1440,0))</f>
        <v/>
      </c>
      <c r="L130" s="37">
        <f>IF(NOT(ISNUMBER($K130)),0,IF(OR($K130&lt;=0,$J130="Cancelada",$J130="Suspensa"),0,$K130+Limpeza_Min))</f>
        <v/>
      </c>
      <c r="M130" s="37">
        <f>IF($L130&lt;=0,"",SUMPRODUCT((Mapa_Sala=$B130)*(Mapa_Data=$A130)*(Mapa_MinOcup&gt;0)*((Mapa_RelIni&lt;$R130)+((Mapa_RelIni=$R130)*(Mapa_Row&lt;=$U130)))))</f>
        <v/>
      </c>
      <c r="N130" s="43">
        <f>IF($L130&lt;=0,"",MOD(Turno_Ini+($S130+Limpeza_Min)/1440,1))</f>
        <v/>
      </c>
      <c r="O130" s="37">
        <f>IF($L130&lt;=0,"",MAX(0,IFERROR(INDEX(Mapa_RelIni,MATCH($B130&amp;"#"&amp;($M130+1),Mapa_Chave,0)),Turno_Min)-($S130+Limpeza_Min)))</f>
        <v/>
      </c>
      <c r="P130" s="19">
        <f>IF($B130="","",IF($Q130="","OK",LEFT($Q130,LEN($Q130)-3)))</f>
        <v/>
      </c>
      <c r="Q130" s="10">
        <f>IF($B130="","",IF(COUNTIF(Postos_Cod,$B130)=0,"Sala não cadastrada | ","")&amp;IF(AND(COUNTIF(Postos_Cod,$B130)&gt;0,IFERROR(INDEX(Postos_Tipo,MATCH($B130,Postos_Cod,0)),"")&lt;&gt;"Sala cirúrgica"),"Posto não é sala cirúrgica | ","")&amp;IF(AND(COUNTIF(Postos_Cod,$B130)&gt;0,IFERROR(INDEX(Postos_Status,MATCH($B130,Postos_Cod,0)),"")&lt;&gt;"Ativo"),"Sala não ativa | ","")&amp;IF(COUNTIF(Esp_Nome,$E130)=0,"Especialidade não cadastrada | ","")&amp;IF(COUNTIF(Lista_StatusCirurgia,$J130)=0,"Status inválido | ","")&amp;IF(OR(NOT(ISNUMBER($C130)),NOT(ISNUMBER($D130))),"Horário inválido | ","")&amp;IFERROR(IF(AND(ISNUMBER($C130),ISNUMBER($D130),MOD($D130-$C130,1)*1440&lt;=0),"Duração nula ou negativa | ",""),"")&amp;IF(AND($L130&gt;0,OR($R130&gt;=Turno_Min,$S130&gt;Turno_Min)),"Fora da janela do plantão | ","")&amp;IF(AND($L130&gt;0,SUMPRODUCT((Mapa_Sala=$B130)*(Mapa_Data=$A130)*(Mapa_MinOcup&gt;0)*(Mapa_RelIni&lt;$S130)*(Mapa_RelFim&gt;$R130))&gt;1),"Sobreposição de horário na sala | ","")&amp;IFERROR(IF(AND(ISNUMBER($K130),$K130&gt;0,COUNTIF(Esp_Nome,$E130)&gt;0,$K130&gt;3*INDEX(Esp_Dur,MATCH($E130,Esp_Nome,0))),"Duração atípica (&gt;3x a média) | ",""),""))</f>
        <v/>
      </c>
      <c r="R130" s="15">
        <f>IF(NOT(ISNUMBER($C130)),0,ROUND(MOD($C130-Turno_Ini,1)*1440,0))</f>
        <v/>
      </c>
      <c r="S130" s="15">
        <f>IF($L130&lt;=0,0,$R130+$K130)</f>
        <v/>
      </c>
      <c r="T130" s="15">
        <f>IF($M130="","",$B130&amp;"#"&amp;$M130)</f>
        <v/>
      </c>
      <c r="U130" s="15">
        <f>ROW()</f>
        <v/>
      </c>
    </row>
    <row r="131">
      <c r="A131" s="38" t="n"/>
      <c r="B131" s="29" t="n"/>
      <c r="C131" s="42" t="n"/>
      <c r="D131" s="42" t="n"/>
      <c r="E131" s="30" t="n"/>
      <c r="F131" s="34">
        <f>IF($E131="","",IFERROR(INDEX(Esp_Hab,MATCH($E131,Esp_Nome,0)),"—"))</f>
        <v/>
      </c>
      <c r="G131" s="30" t="n"/>
      <c r="H131" s="30" t="n"/>
      <c r="I131" s="29" t="n"/>
      <c r="J131" s="29" t="n"/>
      <c r="K131" s="37">
        <f>IF(OR($B131="",NOT(ISNUMBER($C131)),NOT(ISNUMBER($D131))),"",ROUND(MOD($D131-$C131,1)*1440,0))</f>
        <v/>
      </c>
      <c r="L131" s="37">
        <f>IF(NOT(ISNUMBER($K131)),0,IF(OR($K131&lt;=0,$J131="Cancelada",$J131="Suspensa"),0,$K131+Limpeza_Min))</f>
        <v/>
      </c>
      <c r="M131" s="37">
        <f>IF($L131&lt;=0,"",SUMPRODUCT((Mapa_Sala=$B131)*(Mapa_Data=$A131)*(Mapa_MinOcup&gt;0)*((Mapa_RelIni&lt;$R131)+((Mapa_RelIni=$R131)*(Mapa_Row&lt;=$U131)))))</f>
        <v/>
      </c>
      <c r="N131" s="43">
        <f>IF($L131&lt;=0,"",MOD(Turno_Ini+($S131+Limpeza_Min)/1440,1))</f>
        <v/>
      </c>
      <c r="O131" s="37">
        <f>IF($L131&lt;=0,"",MAX(0,IFERROR(INDEX(Mapa_RelIni,MATCH($B131&amp;"#"&amp;($M131+1),Mapa_Chave,0)),Turno_Min)-($S131+Limpeza_Min)))</f>
        <v/>
      </c>
      <c r="P131" s="19">
        <f>IF($B131="","",IF($Q131="","OK",LEFT($Q131,LEN($Q131)-3)))</f>
        <v/>
      </c>
      <c r="Q131" s="10">
        <f>IF($B131="","",IF(COUNTIF(Postos_Cod,$B131)=0,"Sala não cadastrada | ","")&amp;IF(AND(COUNTIF(Postos_Cod,$B131)&gt;0,IFERROR(INDEX(Postos_Tipo,MATCH($B131,Postos_Cod,0)),"")&lt;&gt;"Sala cirúrgica"),"Posto não é sala cirúrgica | ","")&amp;IF(AND(COUNTIF(Postos_Cod,$B131)&gt;0,IFERROR(INDEX(Postos_Status,MATCH($B131,Postos_Cod,0)),"")&lt;&gt;"Ativo"),"Sala não ativa | ","")&amp;IF(COUNTIF(Esp_Nome,$E131)=0,"Especialidade não cadastrada | ","")&amp;IF(COUNTIF(Lista_StatusCirurgia,$J131)=0,"Status inválido | ","")&amp;IF(OR(NOT(ISNUMBER($C131)),NOT(ISNUMBER($D131))),"Horário inválido | ","")&amp;IFERROR(IF(AND(ISNUMBER($C131),ISNUMBER($D131),MOD($D131-$C131,1)*1440&lt;=0),"Duração nula ou negativa | ",""),"")&amp;IF(AND($L131&gt;0,OR($R131&gt;=Turno_Min,$S131&gt;Turno_Min)),"Fora da janela do plantão | ","")&amp;IF(AND($L131&gt;0,SUMPRODUCT((Mapa_Sala=$B131)*(Mapa_Data=$A131)*(Mapa_MinOcup&gt;0)*(Mapa_RelIni&lt;$S131)*(Mapa_RelFim&gt;$R131))&gt;1),"Sobreposição de horário na sala | ","")&amp;IFERROR(IF(AND(ISNUMBER($K131),$K131&gt;0,COUNTIF(Esp_Nome,$E131)&gt;0,$K131&gt;3*INDEX(Esp_Dur,MATCH($E131,Esp_Nome,0))),"Duração atípica (&gt;3x a média) | ",""),""))</f>
        <v/>
      </c>
      <c r="R131" s="15">
        <f>IF(NOT(ISNUMBER($C131)),0,ROUND(MOD($C131-Turno_Ini,1)*1440,0))</f>
        <v/>
      </c>
      <c r="S131" s="15">
        <f>IF($L131&lt;=0,0,$R131+$K131)</f>
        <v/>
      </c>
      <c r="T131" s="15">
        <f>IF($M131="","",$B131&amp;"#"&amp;$M131)</f>
        <v/>
      </c>
      <c r="U131" s="15">
        <f>ROW()</f>
        <v/>
      </c>
    </row>
    <row r="132">
      <c r="A132" s="38" t="n"/>
      <c r="B132" s="29" t="n"/>
      <c r="C132" s="42" t="n"/>
      <c r="D132" s="42" t="n"/>
      <c r="E132" s="30" t="n"/>
      <c r="F132" s="34">
        <f>IF($E132="","",IFERROR(INDEX(Esp_Hab,MATCH($E132,Esp_Nome,0)),"—"))</f>
        <v/>
      </c>
      <c r="G132" s="30" t="n"/>
      <c r="H132" s="30" t="n"/>
      <c r="I132" s="29" t="n"/>
      <c r="J132" s="29" t="n"/>
      <c r="K132" s="37">
        <f>IF(OR($B132="",NOT(ISNUMBER($C132)),NOT(ISNUMBER($D132))),"",ROUND(MOD($D132-$C132,1)*1440,0))</f>
        <v/>
      </c>
      <c r="L132" s="37">
        <f>IF(NOT(ISNUMBER($K132)),0,IF(OR($K132&lt;=0,$J132="Cancelada",$J132="Suspensa"),0,$K132+Limpeza_Min))</f>
        <v/>
      </c>
      <c r="M132" s="37">
        <f>IF($L132&lt;=0,"",SUMPRODUCT((Mapa_Sala=$B132)*(Mapa_Data=$A132)*(Mapa_MinOcup&gt;0)*((Mapa_RelIni&lt;$R132)+((Mapa_RelIni=$R132)*(Mapa_Row&lt;=$U132)))))</f>
        <v/>
      </c>
      <c r="N132" s="43">
        <f>IF($L132&lt;=0,"",MOD(Turno_Ini+($S132+Limpeza_Min)/1440,1))</f>
        <v/>
      </c>
      <c r="O132" s="37">
        <f>IF($L132&lt;=0,"",MAX(0,IFERROR(INDEX(Mapa_RelIni,MATCH($B132&amp;"#"&amp;($M132+1),Mapa_Chave,0)),Turno_Min)-($S132+Limpeza_Min)))</f>
        <v/>
      </c>
      <c r="P132" s="19">
        <f>IF($B132="","",IF($Q132="","OK",LEFT($Q132,LEN($Q132)-3)))</f>
        <v/>
      </c>
      <c r="Q132" s="10">
        <f>IF($B132="","",IF(COUNTIF(Postos_Cod,$B132)=0,"Sala não cadastrada | ","")&amp;IF(AND(COUNTIF(Postos_Cod,$B132)&gt;0,IFERROR(INDEX(Postos_Tipo,MATCH($B132,Postos_Cod,0)),"")&lt;&gt;"Sala cirúrgica"),"Posto não é sala cirúrgica | ","")&amp;IF(AND(COUNTIF(Postos_Cod,$B132)&gt;0,IFERROR(INDEX(Postos_Status,MATCH($B132,Postos_Cod,0)),"")&lt;&gt;"Ativo"),"Sala não ativa | ","")&amp;IF(COUNTIF(Esp_Nome,$E132)=0,"Especialidade não cadastrada | ","")&amp;IF(COUNTIF(Lista_StatusCirurgia,$J132)=0,"Status inválido | ","")&amp;IF(OR(NOT(ISNUMBER($C132)),NOT(ISNUMBER($D132))),"Horário inválido | ","")&amp;IFERROR(IF(AND(ISNUMBER($C132),ISNUMBER($D132),MOD($D132-$C132,1)*1440&lt;=0),"Duração nula ou negativa | ",""),"")&amp;IF(AND($L132&gt;0,OR($R132&gt;=Turno_Min,$S132&gt;Turno_Min)),"Fora da janela do plantão | ","")&amp;IF(AND($L132&gt;0,SUMPRODUCT((Mapa_Sala=$B132)*(Mapa_Data=$A132)*(Mapa_MinOcup&gt;0)*(Mapa_RelIni&lt;$S132)*(Mapa_RelFim&gt;$R132))&gt;1),"Sobreposição de horário na sala | ","")&amp;IFERROR(IF(AND(ISNUMBER($K132),$K132&gt;0,COUNTIF(Esp_Nome,$E132)&gt;0,$K132&gt;3*INDEX(Esp_Dur,MATCH($E132,Esp_Nome,0))),"Duração atípica (&gt;3x a média) | ",""),""))</f>
        <v/>
      </c>
      <c r="R132" s="15">
        <f>IF(NOT(ISNUMBER($C132)),0,ROUND(MOD($C132-Turno_Ini,1)*1440,0))</f>
        <v/>
      </c>
      <c r="S132" s="15">
        <f>IF($L132&lt;=0,0,$R132+$K132)</f>
        <v/>
      </c>
      <c r="T132" s="15">
        <f>IF($M132="","",$B132&amp;"#"&amp;$M132)</f>
        <v/>
      </c>
      <c r="U132" s="15">
        <f>ROW()</f>
        <v/>
      </c>
    </row>
    <row r="133">
      <c r="A133" s="38" t="n"/>
      <c r="B133" s="29" t="n"/>
      <c r="C133" s="42" t="n"/>
      <c r="D133" s="42" t="n"/>
      <c r="E133" s="30" t="n"/>
      <c r="F133" s="34">
        <f>IF($E133="","",IFERROR(INDEX(Esp_Hab,MATCH($E133,Esp_Nome,0)),"—"))</f>
        <v/>
      </c>
      <c r="G133" s="30" t="n"/>
      <c r="H133" s="30" t="n"/>
      <c r="I133" s="29" t="n"/>
      <c r="J133" s="29" t="n"/>
      <c r="K133" s="37">
        <f>IF(OR($B133="",NOT(ISNUMBER($C133)),NOT(ISNUMBER($D133))),"",ROUND(MOD($D133-$C133,1)*1440,0))</f>
        <v/>
      </c>
      <c r="L133" s="37">
        <f>IF(NOT(ISNUMBER($K133)),0,IF(OR($K133&lt;=0,$J133="Cancelada",$J133="Suspensa"),0,$K133+Limpeza_Min))</f>
        <v/>
      </c>
      <c r="M133" s="37">
        <f>IF($L133&lt;=0,"",SUMPRODUCT((Mapa_Sala=$B133)*(Mapa_Data=$A133)*(Mapa_MinOcup&gt;0)*((Mapa_RelIni&lt;$R133)+((Mapa_RelIni=$R133)*(Mapa_Row&lt;=$U133)))))</f>
        <v/>
      </c>
      <c r="N133" s="43">
        <f>IF($L133&lt;=0,"",MOD(Turno_Ini+($S133+Limpeza_Min)/1440,1))</f>
        <v/>
      </c>
      <c r="O133" s="37">
        <f>IF($L133&lt;=0,"",MAX(0,IFERROR(INDEX(Mapa_RelIni,MATCH($B133&amp;"#"&amp;($M133+1),Mapa_Chave,0)),Turno_Min)-($S133+Limpeza_Min)))</f>
        <v/>
      </c>
      <c r="P133" s="19">
        <f>IF($B133="","",IF($Q133="","OK",LEFT($Q133,LEN($Q133)-3)))</f>
        <v/>
      </c>
      <c r="Q133" s="10">
        <f>IF($B133="","",IF(COUNTIF(Postos_Cod,$B133)=0,"Sala não cadastrada | ","")&amp;IF(AND(COUNTIF(Postos_Cod,$B133)&gt;0,IFERROR(INDEX(Postos_Tipo,MATCH($B133,Postos_Cod,0)),"")&lt;&gt;"Sala cirúrgica"),"Posto não é sala cirúrgica | ","")&amp;IF(AND(COUNTIF(Postos_Cod,$B133)&gt;0,IFERROR(INDEX(Postos_Status,MATCH($B133,Postos_Cod,0)),"")&lt;&gt;"Ativo"),"Sala não ativa | ","")&amp;IF(COUNTIF(Esp_Nome,$E133)=0,"Especialidade não cadastrada | ","")&amp;IF(COUNTIF(Lista_StatusCirurgia,$J133)=0,"Status inválido | ","")&amp;IF(OR(NOT(ISNUMBER($C133)),NOT(ISNUMBER($D133))),"Horário inválido | ","")&amp;IFERROR(IF(AND(ISNUMBER($C133),ISNUMBER($D133),MOD($D133-$C133,1)*1440&lt;=0),"Duração nula ou negativa | ",""),"")&amp;IF(AND($L133&gt;0,OR($R133&gt;=Turno_Min,$S133&gt;Turno_Min)),"Fora da janela do plantão | ","")&amp;IF(AND($L133&gt;0,SUMPRODUCT((Mapa_Sala=$B133)*(Mapa_Data=$A133)*(Mapa_MinOcup&gt;0)*(Mapa_RelIni&lt;$S133)*(Mapa_RelFim&gt;$R133))&gt;1),"Sobreposição de horário na sala | ","")&amp;IFERROR(IF(AND(ISNUMBER($K133),$K133&gt;0,COUNTIF(Esp_Nome,$E133)&gt;0,$K133&gt;3*INDEX(Esp_Dur,MATCH($E133,Esp_Nome,0))),"Duração atípica (&gt;3x a média) | ",""),""))</f>
        <v/>
      </c>
      <c r="R133" s="15">
        <f>IF(NOT(ISNUMBER($C133)),0,ROUND(MOD($C133-Turno_Ini,1)*1440,0))</f>
        <v/>
      </c>
      <c r="S133" s="15">
        <f>IF($L133&lt;=0,0,$R133+$K133)</f>
        <v/>
      </c>
      <c r="T133" s="15">
        <f>IF($M133="","",$B133&amp;"#"&amp;$M133)</f>
        <v/>
      </c>
      <c r="U133" s="15">
        <f>ROW()</f>
        <v/>
      </c>
    </row>
    <row r="134">
      <c r="A134" s="38" t="n"/>
      <c r="B134" s="29" t="n"/>
      <c r="C134" s="42" t="n"/>
      <c r="D134" s="42" t="n"/>
      <c r="E134" s="30" t="n"/>
      <c r="F134" s="34">
        <f>IF($E134="","",IFERROR(INDEX(Esp_Hab,MATCH($E134,Esp_Nome,0)),"—"))</f>
        <v/>
      </c>
      <c r="G134" s="30" t="n"/>
      <c r="H134" s="30" t="n"/>
      <c r="I134" s="29" t="n"/>
      <c r="J134" s="29" t="n"/>
      <c r="K134" s="37">
        <f>IF(OR($B134="",NOT(ISNUMBER($C134)),NOT(ISNUMBER($D134))),"",ROUND(MOD($D134-$C134,1)*1440,0))</f>
        <v/>
      </c>
      <c r="L134" s="37">
        <f>IF(NOT(ISNUMBER($K134)),0,IF(OR($K134&lt;=0,$J134="Cancelada",$J134="Suspensa"),0,$K134+Limpeza_Min))</f>
        <v/>
      </c>
      <c r="M134" s="37">
        <f>IF($L134&lt;=0,"",SUMPRODUCT((Mapa_Sala=$B134)*(Mapa_Data=$A134)*(Mapa_MinOcup&gt;0)*((Mapa_RelIni&lt;$R134)+((Mapa_RelIni=$R134)*(Mapa_Row&lt;=$U134)))))</f>
        <v/>
      </c>
      <c r="N134" s="43">
        <f>IF($L134&lt;=0,"",MOD(Turno_Ini+($S134+Limpeza_Min)/1440,1))</f>
        <v/>
      </c>
      <c r="O134" s="37">
        <f>IF($L134&lt;=0,"",MAX(0,IFERROR(INDEX(Mapa_RelIni,MATCH($B134&amp;"#"&amp;($M134+1),Mapa_Chave,0)),Turno_Min)-($S134+Limpeza_Min)))</f>
        <v/>
      </c>
      <c r="P134" s="19">
        <f>IF($B134="","",IF($Q134="","OK",LEFT($Q134,LEN($Q134)-3)))</f>
        <v/>
      </c>
      <c r="Q134" s="10">
        <f>IF($B134="","",IF(COUNTIF(Postos_Cod,$B134)=0,"Sala não cadastrada | ","")&amp;IF(AND(COUNTIF(Postos_Cod,$B134)&gt;0,IFERROR(INDEX(Postos_Tipo,MATCH($B134,Postos_Cod,0)),"")&lt;&gt;"Sala cirúrgica"),"Posto não é sala cirúrgica | ","")&amp;IF(AND(COUNTIF(Postos_Cod,$B134)&gt;0,IFERROR(INDEX(Postos_Status,MATCH($B134,Postos_Cod,0)),"")&lt;&gt;"Ativo"),"Sala não ativa | ","")&amp;IF(COUNTIF(Esp_Nome,$E134)=0,"Especialidade não cadastrada | ","")&amp;IF(COUNTIF(Lista_StatusCirurgia,$J134)=0,"Status inválido | ","")&amp;IF(OR(NOT(ISNUMBER($C134)),NOT(ISNUMBER($D134))),"Horário inválido | ","")&amp;IFERROR(IF(AND(ISNUMBER($C134),ISNUMBER($D134),MOD($D134-$C134,1)*1440&lt;=0),"Duração nula ou negativa | ",""),"")&amp;IF(AND($L134&gt;0,OR($R134&gt;=Turno_Min,$S134&gt;Turno_Min)),"Fora da janela do plantão | ","")&amp;IF(AND($L134&gt;0,SUMPRODUCT((Mapa_Sala=$B134)*(Mapa_Data=$A134)*(Mapa_MinOcup&gt;0)*(Mapa_RelIni&lt;$S134)*(Mapa_RelFim&gt;$R134))&gt;1),"Sobreposição de horário na sala | ","")&amp;IFERROR(IF(AND(ISNUMBER($K134),$K134&gt;0,COUNTIF(Esp_Nome,$E134)&gt;0,$K134&gt;3*INDEX(Esp_Dur,MATCH($E134,Esp_Nome,0))),"Duração atípica (&gt;3x a média) | ",""),""))</f>
        <v/>
      </c>
      <c r="R134" s="15">
        <f>IF(NOT(ISNUMBER($C134)),0,ROUND(MOD($C134-Turno_Ini,1)*1440,0))</f>
        <v/>
      </c>
      <c r="S134" s="15">
        <f>IF($L134&lt;=0,0,$R134+$K134)</f>
        <v/>
      </c>
      <c r="T134" s="15">
        <f>IF($M134="","",$B134&amp;"#"&amp;$M134)</f>
        <v/>
      </c>
      <c r="U134" s="15">
        <f>ROW()</f>
        <v/>
      </c>
    </row>
    <row r="135">
      <c r="A135" s="38" t="n"/>
      <c r="B135" s="29" t="n"/>
      <c r="C135" s="42" t="n"/>
      <c r="D135" s="42" t="n"/>
      <c r="E135" s="30" t="n"/>
      <c r="F135" s="34">
        <f>IF($E135="","",IFERROR(INDEX(Esp_Hab,MATCH($E135,Esp_Nome,0)),"—"))</f>
        <v/>
      </c>
      <c r="G135" s="30" t="n"/>
      <c r="H135" s="30" t="n"/>
      <c r="I135" s="29" t="n"/>
      <c r="J135" s="29" t="n"/>
      <c r="K135" s="37">
        <f>IF(OR($B135="",NOT(ISNUMBER($C135)),NOT(ISNUMBER($D135))),"",ROUND(MOD($D135-$C135,1)*1440,0))</f>
        <v/>
      </c>
      <c r="L135" s="37">
        <f>IF(NOT(ISNUMBER($K135)),0,IF(OR($K135&lt;=0,$J135="Cancelada",$J135="Suspensa"),0,$K135+Limpeza_Min))</f>
        <v/>
      </c>
      <c r="M135" s="37">
        <f>IF($L135&lt;=0,"",SUMPRODUCT((Mapa_Sala=$B135)*(Mapa_Data=$A135)*(Mapa_MinOcup&gt;0)*((Mapa_RelIni&lt;$R135)+((Mapa_RelIni=$R135)*(Mapa_Row&lt;=$U135)))))</f>
        <v/>
      </c>
      <c r="N135" s="43">
        <f>IF($L135&lt;=0,"",MOD(Turno_Ini+($S135+Limpeza_Min)/1440,1))</f>
        <v/>
      </c>
      <c r="O135" s="37">
        <f>IF($L135&lt;=0,"",MAX(0,IFERROR(INDEX(Mapa_RelIni,MATCH($B135&amp;"#"&amp;($M135+1),Mapa_Chave,0)),Turno_Min)-($S135+Limpeza_Min)))</f>
        <v/>
      </c>
      <c r="P135" s="19">
        <f>IF($B135="","",IF($Q135="","OK",LEFT($Q135,LEN($Q135)-3)))</f>
        <v/>
      </c>
      <c r="Q135" s="10">
        <f>IF($B135="","",IF(COUNTIF(Postos_Cod,$B135)=0,"Sala não cadastrada | ","")&amp;IF(AND(COUNTIF(Postos_Cod,$B135)&gt;0,IFERROR(INDEX(Postos_Tipo,MATCH($B135,Postos_Cod,0)),"")&lt;&gt;"Sala cirúrgica"),"Posto não é sala cirúrgica | ","")&amp;IF(AND(COUNTIF(Postos_Cod,$B135)&gt;0,IFERROR(INDEX(Postos_Status,MATCH($B135,Postos_Cod,0)),"")&lt;&gt;"Ativo"),"Sala não ativa | ","")&amp;IF(COUNTIF(Esp_Nome,$E135)=0,"Especialidade não cadastrada | ","")&amp;IF(COUNTIF(Lista_StatusCirurgia,$J135)=0,"Status inválido | ","")&amp;IF(OR(NOT(ISNUMBER($C135)),NOT(ISNUMBER($D135))),"Horário inválido | ","")&amp;IFERROR(IF(AND(ISNUMBER($C135),ISNUMBER($D135),MOD($D135-$C135,1)*1440&lt;=0),"Duração nula ou negativa | ",""),"")&amp;IF(AND($L135&gt;0,OR($R135&gt;=Turno_Min,$S135&gt;Turno_Min)),"Fora da janela do plantão | ","")&amp;IF(AND($L135&gt;0,SUMPRODUCT((Mapa_Sala=$B135)*(Mapa_Data=$A135)*(Mapa_MinOcup&gt;0)*(Mapa_RelIni&lt;$S135)*(Mapa_RelFim&gt;$R135))&gt;1),"Sobreposição de horário na sala | ","")&amp;IFERROR(IF(AND(ISNUMBER($K135),$K135&gt;0,COUNTIF(Esp_Nome,$E135)&gt;0,$K135&gt;3*INDEX(Esp_Dur,MATCH($E135,Esp_Nome,0))),"Duração atípica (&gt;3x a média) | ",""),""))</f>
        <v/>
      </c>
      <c r="R135" s="15">
        <f>IF(NOT(ISNUMBER($C135)),0,ROUND(MOD($C135-Turno_Ini,1)*1440,0))</f>
        <v/>
      </c>
      <c r="S135" s="15">
        <f>IF($L135&lt;=0,0,$R135+$K135)</f>
        <v/>
      </c>
      <c r="T135" s="15">
        <f>IF($M135="","",$B135&amp;"#"&amp;$M135)</f>
        <v/>
      </c>
      <c r="U135" s="15">
        <f>ROW()</f>
        <v/>
      </c>
    </row>
    <row r="136">
      <c r="A136" s="38" t="n"/>
      <c r="B136" s="29" t="n"/>
      <c r="C136" s="42" t="n"/>
      <c r="D136" s="42" t="n"/>
      <c r="E136" s="30" t="n"/>
      <c r="F136" s="34">
        <f>IF($E136="","",IFERROR(INDEX(Esp_Hab,MATCH($E136,Esp_Nome,0)),"—"))</f>
        <v/>
      </c>
      <c r="G136" s="30" t="n"/>
      <c r="H136" s="30" t="n"/>
      <c r="I136" s="29" t="n"/>
      <c r="J136" s="29" t="n"/>
      <c r="K136" s="37">
        <f>IF(OR($B136="",NOT(ISNUMBER($C136)),NOT(ISNUMBER($D136))),"",ROUND(MOD($D136-$C136,1)*1440,0))</f>
        <v/>
      </c>
      <c r="L136" s="37">
        <f>IF(NOT(ISNUMBER($K136)),0,IF(OR($K136&lt;=0,$J136="Cancelada",$J136="Suspensa"),0,$K136+Limpeza_Min))</f>
        <v/>
      </c>
      <c r="M136" s="37">
        <f>IF($L136&lt;=0,"",SUMPRODUCT((Mapa_Sala=$B136)*(Mapa_Data=$A136)*(Mapa_MinOcup&gt;0)*((Mapa_RelIni&lt;$R136)+((Mapa_RelIni=$R136)*(Mapa_Row&lt;=$U136)))))</f>
        <v/>
      </c>
      <c r="N136" s="43">
        <f>IF($L136&lt;=0,"",MOD(Turno_Ini+($S136+Limpeza_Min)/1440,1))</f>
        <v/>
      </c>
      <c r="O136" s="37">
        <f>IF($L136&lt;=0,"",MAX(0,IFERROR(INDEX(Mapa_RelIni,MATCH($B136&amp;"#"&amp;($M136+1),Mapa_Chave,0)),Turno_Min)-($S136+Limpeza_Min)))</f>
        <v/>
      </c>
      <c r="P136" s="19">
        <f>IF($B136="","",IF($Q136="","OK",LEFT($Q136,LEN($Q136)-3)))</f>
        <v/>
      </c>
      <c r="Q136" s="10">
        <f>IF($B136="","",IF(COUNTIF(Postos_Cod,$B136)=0,"Sala não cadastrada | ","")&amp;IF(AND(COUNTIF(Postos_Cod,$B136)&gt;0,IFERROR(INDEX(Postos_Tipo,MATCH($B136,Postos_Cod,0)),"")&lt;&gt;"Sala cirúrgica"),"Posto não é sala cirúrgica | ","")&amp;IF(AND(COUNTIF(Postos_Cod,$B136)&gt;0,IFERROR(INDEX(Postos_Status,MATCH($B136,Postos_Cod,0)),"")&lt;&gt;"Ativo"),"Sala não ativa | ","")&amp;IF(COUNTIF(Esp_Nome,$E136)=0,"Especialidade não cadastrada | ","")&amp;IF(COUNTIF(Lista_StatusCirurgia,$J136)=0,"Status inválido | ","")&amp;IF(OR(NOT(ISNUMBER($C136)),NOT(ISNUMBER($D136))),"Horário inválido | ","")&amp;IFERROR(IF(AND(ISNUMBER($C136),ISNUMBER($D136),MOD($D136-$C136,1)*1440&lt;=0),"Duração nula ou negativa | ",""),"")&amp;IF(AND($L136&gt;0,OR($R136&gt;=Turno_Min,$S136&gt;Turno_Min)),"Fora da janela do plantão | ","")&amp;IF(AND($L136&gt;0,SUMPRODUCT((Mapa_Sala=$B136)*(Mapa_Data=$A136)*(Mapa_MinOcup&gt;0)*(Mapa_RelIni&lt;$S136)*(Mapa_RelFim&gt;$R136))&gt;1),"Sobreposição de horário na sala | ","")&amp;IFERROR(IF(AND(ISNUMBER($K136),$K136&gt;0,COUNTIF(Esp_Nome,$E136)&gt;0,$K136&gt;3*INDEX(Esp_Dur,MATCH($E136,Esp_Nome,0))),"Duração atípica (&gt;3x a média) | ",""),""))</f>
        <v/>
      </c>
      <c r="R136" s="15">
        <f>IF(NOT(ISNUMBER($C136)),0,ROUND(MOD($C136-Turno_Ini,1)*1440,0))</f>
        <v/>
      </c>
      <c r="S136" s="15">
        <f>IF($L136&lt;=0,0,$R136+$K136)</f>
        <v/>
      </c>
      <c r="T136" s="15">
        <f>IF($M136="","",$B136&amp;"#"&amp;$M136)</f>
        <v/>
      </c>
      <c r="U136" s="15">
        <f>ROW()</f>
        <v/>
      </c>
    </row>
    <row r="137">
      <c r="A137" s="38" t="n"/>
      <c r="B137" s="29" t="n"/>
      <c r="C137" s="42" t="n"/>
      <c r="D137" s="42" t="n"/>
      <c r="E137" s="30" t="n"/>
      <c r="F137" s="34">
        <f>IF($E137="","",IFERROR(INDEX(Esp_Hab,MATCH($E137,Esp_Nome,0)),"—"))</f>
        <v/>
      </c>
      <c r="G137" s="30" t="n"/>
      <c r="H137" s="30" t="n"/>
      <c r="I137" s="29" t="n"/>
      <c r="J137" s="29" t="n"/>
      <c r="K137" s="37">
        <f>IF(OR($B137="",NOT(ISNUMBER($C137)),NOT(ISNUMBER($D137))),"",ROUND(MOD($D137-$C137,1)*1440,0))</f>
        <v/>
      </c>
      <c r="L137" s="37">
        <f>IF(NOT(ISNUMBER($K137)),0,IF(OR($K137&lt;=0,$J137="Cancelada",$J137="Suspensa"),0,$K137+Limpeza_Min))</f>
        <v/>
      </c>
      <c r="M137" s="37">
        <f>IF($L137&lt;=0,"",SUMPRODUCT((Mapa_Sala=$B137)*(Mapa_Data=$A137)*(Mapa_MinOcup&gt;0)*((Mapa_RelIni&lt;$R137)+((Mapa_RelIni=$R137)*(Mapa_Row&lt;=$U137)))))</f>
        <v/>
      </c>
      <c r="N137" s="43">
        <f>IF($L137&lt;=0,"",MOD(Turno_Ini+($S137+Limpeza_Min)/1440,1))</f>
        <v/>
      </c>
      <c r="O137" s="37">
        <f>IF($L137&lt;=0,"",MAX(0,IFERROR(INDEX(Mapa_RelIni,MATCH($B137&amp;"#"&amp;($M137+1),Mapa_Chave,0)),Turno_Min)-($S137+Limpeza_Min)))</f>
        <v/>
      </c>
      <c r="P137" s="19">
        <f>IF($B137="","",IF($Q137="","OK",LEFT($Q137,LEN($Q137)-3)))</f>
        <v/>
      </c>
      <c r="Q137" s="10">
        <f>IF($B137="","",IF(COUNTIF(Postos_Cod,$B137)=0,"Sala não cadastrada | ","")&amp;IF(AND(COUNTIF(Postos_Cod,$B137)&gt;0,IFERROR(INDEX(Postos_Tipo,MATCH($B137,Postos_Cod,0)),"")&lt;&gt;"Sala cirúrgica"),"Posto não é sala cirúrgica | ","")&amp;IF(AND(COUNTIF(Postos_Cod,$B137)&gt;0,IFERROR(INDEX(Postos_Status,MATCH($B137,Postos_Cod,0)),"")&lt;&gt;"Ativo"),"Sala não ativa | ","")&amp;IF(COUNTIF(Esp_Nome,$E137)=0,"Especialidade não cadastrada | ","")&amp;IF(COUNTIF(Lista_StatusCirurgia,$J137)=0,"Status inválido | ","")&amp;IF(OR(NOT(ISNUMBER($C137)),NOT(ISNUMBER($D137))),"Horário inválido | ","")&amp;IFERROR(IF(AND(ISNUMBER($C137),ISNUMBER($D137),MOD($D137-$C137,1)*1440&lt;=0),"Duração nula ou negativa | ",""),"")&amp;IF(AND($L137&gt;0,OR($R137&gt;=Turno_Min,$S137&gt;Turno_Min)),"Fora da janela do plantão | ","")&amp;IF(AND($L137&gt;0,SUMPRODUCT((Mapa_Sala=$B137)*(Mapa_Data=$A137)*(Mapa_MinOcup&gt;0)*(Mapa_RelIni&lt;$S137)*(Mapa_RelFim&gt;$R137))&gt;1),"Sobreposição de horário na sala | ","")&amp;IFERROR(IF(AND(ISNUMBER($K137),$K137&gt;0,COUNTIF(Esp_Nome,$E137)&gt;0,$K137&gt;3*INDEX(Esp_Dur,MATCH($E137,Esp_Nome,0))),"Duração atípica (&gt;3x a média) | ",""),""))</f>
        <v/>
      </c>
      <c r="R137" s="15">
        <f>IF(NOT(ISNUMBER($C137)),0,ROUND(MOD($C137-Turno_Ini,1)*1440,0))</f>
        <v/>
      </c>
      <c r="S137" s="15">
        <f>IF($L137&lt;=0,0,$R137+$K137)</f>
        <v/>
      </c>
      <c r="T137" s="15">
        <f>IF($M137="","",$B137&amp;"#"&amp;$M137)</f>
        <v/>
      </c>
      <c r="U137" s="15">
        <f>ROW()</f>
        <v/>
      </c>
    </row>
    <row r="138">
      <c r="A138" s="38" t="n"/>
      <c r="B138" s="29" t="n"/>
      <c r="C138" s="42" t="n"/>
      <c r="D138" s="42" t="n"/>
      <c r="E138" s="30" t="n"/>
      <c r="F138" s="34">
        <f>IF($E138="","",IFERROR(INDEX(Esp_Hab,MATCH($E138,Esp_Nome,0)),"—"))</f>
        <v/>
      </c>
      <c r="G138" s="30" t="n"/>
      <c r="H138" s="30" t="n"/>
      <c r="I138" s="29" t="n"/>
      <c r="J138" s="29" t="n"/>
      <c r="K138" s="37">
        <f>IF(OR($B138="",NOT(ISNUMBER($C138)),NOT(ISNUMBER($D138))),"",ROUND(MOD($D138-$C138,1)*1440,0))</f>
        <v/>
      </c>
      <c r="L138" s="37">
        <f>IF(NOT(ISNUMBER($K138)),0,IF(OR($K138&lt;=0,$J138="Cancelada",$J138="Suspensa"),0,$K138+Limpeza_Min))</f>
        <v/>
      </c>
      <c r="M138" s="37">
        <f>IF($L138&lt;=0,"",SUMPRODUCT((Mapa_Sala=$B138)*(Mapa_Data=$A138)*(Mapa_MinOcup&gt;0)*((Mapa_RelIni&lt;$R138)+((Mapa_RelIni=$R138)*(Mapa_Row&lt;=$U138)))))</f>
        <v/>
      </c>
      <c r="N138" s="43">
        <f>IF($L138&lt;=0,"",MOD(Turno_Ini+($S138+Limpeza_Min)/1440,1))</f>
        <v/>
      </c>
      <c r="O138" s="37">
        <f>IF($L138&lt;=0,"",MAX(0,IFERROR(INDEX(Mapa_RelIni,MATCH($B138&amp;"#"&amp;($M138+1),Mapa_Chave,0)),Turno_Min)-($S138+Limpeza_Min)))</f>
        <v/>
      </c>
      <c r="P138" s="19">
        <f>IF($B138="","",IF($Q138="","OK",LEFT($Q138,LEN($Q138)-3)))</f>
        <v/>
      </c>
      <c r="Q138" s="10">
        <f>IF($B138="","",IF(COUNTIF(Postos_Cod,$B138)=0,"Sala não cadastrada | ","")&amp;IF(AND(COUNTIF(Postos_Cod,$B138)&gt;0,IFERROR(INDEX(Postos_Tipo,MATCH($B138,Postos_Cod,0)),"")&lt;&gt;"Sala cirúrgica"),"Posto não é sala cirúrgica | ","")&amp;IF(AND(COUNTIF(Postos_Cod,$B138)&gt;0,IFERROR(INDEX(Postos_Status,MATCH($B138,Postos_Cod,0)),"")&lt;&gt;"Ativo"),"Sala não ativa | ","")&amp;IF(COUNTIF(Esp_Nome,$E138)=0,"Especialidade não cadastrada | ","")&amp;IF(COUNTIF(Lista_StatusCirurgia,$J138)=0,"Status inválido | ","")&amp;IF(OR(NOT(ISNUMBER($C138)),NOT(ISNUMBER($D138))),"Horário inválido | ","")&amp;IFERROR(IF(AND(ISNUMBER($C138),ISNUMBER($D138),MOD($D138-$C138,1)*1440&lt;=0),"Duração nula ou negativa | ",""),"")&amp;IF(AND($L138&gt;0,OR($R138&gt;=Turno_Min,$S138&gt;Turno_Min)),"Fora da janela do plantão | ","")&amp;IF(AND($L138&gt;0,SUMPRODUCT((Mapa_Sala=$B138)*(Mapa_Data=$A138)*(Mapa_MinOcup&gt;0)*(Mapa_RelIni&lt;$S138)*(Mapa_RelFim&gt;$R138))&gt;1),"Sobreposição de horário na sala | ","")&amp;IFERROR(IF(AND(ISNUMBER($K138),$K138&gt;0,COUNTIF(Esp_Nome,$E138)&gt;0,$K138&gt;3*INDEX(Esp_Dur,MATCH($E138,Esp_Nome,0))),"Duração atípica (&gt;3x a média) | ",""),""))</f>
        <v/>
      </c>
      <c r="R138" s="15">
        <f>IF(NOT(ISNUMBER($C138)),0,ROUND(MOD($C138-Turno_Ini,1)*1440,0))</f>
        <v/>
      </c>
      <c r="S138" s="15">
        <f>IF($L138&lt;=0,0,$R138+$K138)</f>
        <v/>
      </c>
      <c r="T138" s="15">
        <f>IF($M138="","",$B138&amp;"#"&amp;$M138)</f>
        <v/>
      </c>
      <c r="U138" s="15">
        <f>ROW()</f>
        <v/>
      </c>
    </row>
    <row r="139">
      <c r="A139" s="38" t="n"/>
      <c r="B139" s="29" t="n"/>
      <c r="C139" s="42" t="n"/>
      <c r="D139" s="42" t="n"/>
      <c r="E139" s="30" t="n"/>
      <c r="F139" s="34">
        <f>IF($E139="","",IFERROR(INDEX(Esp_Hab,MATCH($E139,Esp_Nome,0)),"—"))</f>
        <v/>
      </c>
      <c r="G139" s="30" t="n"/>
      <c r="H139" s="30" t="n"/>
      <c r="I139" s="29" t="n"/>
      <c r="J139" s="29" t="n"/>
      <c r="K139" s="37">
        <f>IF(OR($B139="",NOT(ISNUMBER($C139)),NOT(ISNUMBER($D139))),"",ROUND(MOD($D139-$C139,1)*1440,0))</f>
        <v/>
      </c>
      <c r="L139" s="37">
        <f>IF(NOT(ISNUMBER($K139)),0,IF(OR($K139&lt;=0,$J139="Cancelada",$J139="Suspensa"),0,$K139+Limpeza_Min))</f>
        <v/>
      </c>
      <c r="M139" s="37">
        <f>IF($L139&lt;=0,"",SUMPRODUCT((Mapa_Sala=$B139)*(Mapa_Data=$A139)*(Mapa_MinOcup&gt;0)*((Mapa_RelIni&lt;$R139)+((Mapa_RelIni=$R139)*(Mapa_Row&lt;=$U139)))))</f>
        <v/>
      </c>
      <c r="N139" s="43">
        <f>IF($L139&lt;=0,"",MOD(Turno_Ini+($S139+Limpeza_Min)/1440,1))</f>
        <v/>
      </c>
      <c r="O139" s="37">
        <f>IF($L139&lt;=0,"",MAX(0,IFERROR(INDEX(Mapa_RelIni,MATCH($B139&amp;"#"&amp;($M139+1),Mapa_Chave,0)),Turno_Min)-($S139+Limpeza_Min)))</f>
        <v/>
      </c>
      <c r="P139" s="19">
        <f>IF($B139="","",IF($Q139="","OK",LEFT($Q139,LEN($Q139)-3)))</f>
        <v/>
      </c>
      <c r="Q139" s="10">
        <f>IF($B139="","",IF(COUNTIF(Postos_Cod,$B139)=0,"Sala não cadastrada | ","")&amp;IF(AND(COUNTIF(Postos_Cod,$B139)&gt;0,IFERROR(INDEX(Postos_Tipo,MATCH($B139,Postos_Cod,0)),"")&lt;&gt;"Sala cirúrgica"),"Posto não é sala cirúrgica | ","")&amp;IF(AND(COUNTIF(Postos_Cod,$B139)&gt;0,IFERROR(INDEX(Postos_Status,MATCH($B139,Postos_Cod,0)),"")&lt;&gt;"Ativo"),"Sala não ativa | ","")&amp;IF(COUNTIF(Esp_Nome,$E139)=0,"Especialidade não cadastrada | ","")&amp;IF(COUNTIF(Lista_StatusCirurgia,$J139)=0,"Status inválido | ","")&amp;IF(OR(NOT(ISNUMBER($C139)),NOT(ISNUMBER($D139))),"Horário inválido | ","")&amp;IFERROR(IF(AND(ISNUMBER($C139),ISNUMBER($D139),MOD($D139-$C139,1)*1440&lt;=0),"Duração nula ou negativa | ",""),"")&amp;IF(AND($L139&gt;0,OR($R139&gt;=Turno_Min,$S139&gt;Turno_Min)),"Fora da janela do plantão | ","")&amp;IF(AND($L139&gt;0,SUMPRODUCT((Mapa_Sala=$B139)*(Mapa_Data=$A139)*(Mapa_MinOcup&gt;0)*(Mapa_RelIni&lt;$S139)*(Mapa_RelFim&gt;$R139))&gt;1),"Sobreposição de horário na sala | ","")&amp;IFERROR(IF(AND(ISNUMBER($K139),$K139&gt;0,COUNTIF(Esp_Nome,$E139)&gt;0,$K139&gt;3*INDEX(Esp_Dur,MATCH($E139,Esp_Nome,0))),"Duração atípica (&gt;3x a média) | ",""),""))</f>
        <v/>
      </c>
      <c r="R139" s="15">
        <f>IF(NOT(ISNUMBER($C139)),0,ROUND(MOD($C139-Turno_Ini,1)*1440,0))</f>
        <v/>
      </c>
      <c r="S139" s="15">
        <f>IF($L139&lt;=0,0,$R139+$K139)</f>
        <v/>
      </c>
      <c r="T139" s="15">
        <f>IF($M139="","",$B139&amp;"#"&amp;$M139)</f>
        <v/>
      </c>
      <c r="U139" s="15">
        <f>ROW()</f>
        <v/>
      </c>
    </row>
    <row r="140">
      <c r="A140" s="38" t="n"/>
      <c r="B140" s="29" t="n"/>
      <c r="C140" s="42" t="n"/>
      <c r="D140" s="42" t="n"/>
      <c r="E140" s="30" t="n"/>
      <c r="F140" s="34">
        <f>IF($E140="","",IFERROR(INDEX(Esp_Hab,MATCH($E140,Esp_Nome,0)),"—"))</f>
        <v/>
      </c>
      <c r="G140" s="30" t="n"/>
      <c r="H140" s="30" t="n"/>
      <c r="I140" s="29" t="n"/>
      <c r="J140" s="29" t="n"/>
      <c r="K140" s="37">
        <f>IF(OR($B140="",NOT(ISNUMBER($C140)),NOT(ISNUMBER($D140))),"",ROUND(MOD($D140-$C140,1)*1440,0))</f>
        <v/>
      </c>
      <c r="L140" s="37">
        <f>IF(NOT(ISNUMBER($K140)),0,IF(OR($K140&lt;=0,$J140="Cancelada",$J140="Suspensa"),0,$K140+Limpeza_Min))</f>
        <v/>
      </c>
      <c r="M140" s="37">
        <f>IF($L140&lt;=0,"",SUMPRODUCT((Mapa_Sala=$B140)*(Mapa_Data=$A140)*(Mapa_MinOcup&gt;0)*((Mapa_RelIni&lt;$R140)+((Mapa_RelIni=$R140)*(Mapa_Row&lt;=$U140)))))</f>
        <v/>
      </c>
      <c r="N140" s="43">
        <f>IF($L140&lt;=0,"",MOD(Turno_Ini+($S140+Limpeza_Min)/1440,1))</f>
        <v/>
      </c>
      <c r="O140" s="37">
        <f>IF($L140&lt;=0,"",MAX(0,IFERROR(INDEX(Mapa_RelIni,MATCH($B140&amp;"#"&amp;($M140+1),Mapa_Chave,0)),Turno_Min)-($S140+Limpeza_Min)))</f>
        <v/>
      </c>
      <c r="P140" s="19">
        <f>IF($B140="","",IF($Q140="","OK",LEFT($Q140,LEN($Q140)-3)))</f>
        <v/>
      </c>
      <c r="Q140" s="10">
        <f>IF($B140="","",IF(COUNTIF(Postos_Cod,$B140)=0,"Sala não cadastrada | ","")&amp;IF(AND(COUNTIF(Postos_Cod,$B140)&gt;0,IFERROR(INDEX(Postos_Tipo,MATCH($B140,Postos_Cod,0)),"")&lt;&gt;"Sala cirúrgica"),"Posto não é sala cirúrgica | ","")&amp;IF(AND(COUNTIF(Postos_Cod,$B140)&gt;0,IFERROR(INDEX(Postos_Status,MATCH($B140,Postos_Cod,0)),"")&lt;&gt;"Ativo"),"Sala não ativa | ","")&amp;IF(COUNTIF(Esp_Nome,$E140)=0,"Especialidade não cadastrada | ","")&amp;IF(COUNTIF(Lista_StatusCirurgia,$J140)=0,"Status inválido | ","")&amp;IF(OR(NOT(ISNUMBER($C140)),NOT(ISNUMBER($D140))),"Horário inválido | ","")&amp;IFERROR(IF(AND(ISNUMBER($C140),ISNUMBER($D140),MOD($D140-$C140,1)*1440&lt;=0),"Duração nula ou negativa | ",""),"")&amp;IF(AND($L140&gt;0,OR($R140&gt;=Turno_Min,$S140&gt;Turno_Min)),"Fora da janela do plantão | ","")&amp;IF(AND($L140&gt;0,SUMPRODUCT((Mapa_Sala=$B140)*(Mapa_Data=$A140)*(Mapa_MinOcup&gt;0)*(Mapa_RelIni&lt;$S140)*(Mapa_RelFim&gt;$R140))&gt;1),"Sobreposição de horário na sala | ","")&amp;IFERROR(IF(AND(ISNUMBER($K140),$K140&gt;0,COUNTIF(Esp_Nome,$E140)&gt;0,$K140&gt;3*INDEX(Esp_Dur,MATCH($E140,Esp_Nome,0))),"Duração atípica (&gt;3x a média) | ",""),""))</f>
        <v/>
      </c>
      <c r="R140" s="15">
        <f>IF(NOT(ISNUMBER($C140)),0,ROUND(MOD($C140-Turno_Ini,1)*1440,0))</f>
        <v/>
      </c>
      <c r="S140" s="15">
        <f>IF($L140&lt;=0,0,$R140+$K140)</f>
        <v/>
      </c>
      <c r="T140" s="15">
        <f>IF($M140="","",$B140&amp;"#"&amp;$M140)</f>
        <v/>
      </c>
      <c r="U140" s="15">
        <f>ROW()</f>
        <v/>
      </c>
    </row>
    <row r="141">
      <c r="A141" s="38" t="n"/>
      <c r="B141" s="29" t="n"/>
      <c r="C141" s="42" t="n"/>
      <c r="D141" s="42" t="n"/>
      <c r="E141" s="30" t="n"/>
      <c r="F141" s="34">
        <f>IF($E141="","",IFERROR(INDEX(Esp_Hab,MATCH($E141,Esp_Nome,0)),"—"))</f>
        <v/>
      </c>
      <c r="G141" s="30" t="n"/>
      <c r="H141" s="30" t="n"/>
      <c r="I141" s="29" t="n"/>
      <c r="J141" s="29" t="n"/>
      <c r="K141" s="37">
        <f>IF(OR($B141="",NOT(ISNUMBER($C141)),NOT(ISNUMBER($D141))),"",ROUND(MOD($D141-$C141,1)*1440,0))</f>
        <v/>
      </c>
      <c r="L141" s="37">
        <f>IF(NOT(ISNUMBER($K141)),0,IF(OR($K141&lt;=0,$J141="Cancelada",$J141="Suspensa"),0,$K141+Limpeza_Min))</f>
        <v/>
      </c>
      <c r="M141" s="37">
        <f>IF($L141&lt;=0,"",SUMPRODUCT((Mapa_Sala=$B141)*(Mapa_Data=$A141)*(Mapa_MinOcup&gt;0)*((Mapa_RelIni&lt;$R141)+((Mapa_RelIni=$R141)*(Mapa_Row&lt;=$U141)))))</f>
        <v/>
      </c>
      <c r="N141" s="43">
        <f>IF($L141&lt;=0,"",MOD(Turno_Ini+($S141+Limpeza_Min)/1440,1))</f>
        <v/>
      </c>
      <c r="O141" s="37">
        <f>IF($L141&lt;=0,"",MAX(0,IFERROR(INDEX(Mapa_RelIni,MATCH($B141&amp;"#"&amp;($M141+1),Mapa_Chave,0)),Turno_Min)-($S141+Limpeza_Min)))</f>
        <v/>
      </c>
      <c r="P141" s="19">
        <f>IF($B141="","",IF($Q141="","OK",LEFT($Q141,LEN($Q141)-3)))</f>
        <v/>
      </c>
      <c r="Q141" s="10">
        <f>IF($B141="","",IF(COUNTIF(Postos_Cod,$B141)=0,"Sala não cadastrada | ","")&amp;IF(AND(COUNTIF(Postos_Cod,$B141)&gt;0,IFERROR(INDEX(Postos_Tipo,MATCH($B141,Postos_Cod,0)),"")&lt;&gt;"Sala cirúrgica"),"Posto não é sala cirúrgica | ","")&amp;IF(AND(COUNTIF(Postos_Cod,$B141)&gt;0,IFERROR(INDEX(Postos_Status,MATCH($B141,Postos_Cod,0)),"")&lt;&gt;"Ativo"),"Sala não ativa | ","")&amp;IF(COUNTIF(Esp_Nome,$E141)=0,"Especialidade não cadastrada | ","")&amp;IF(COUNTIF(Lista_StatusCirurgia,$J141)=0,"Status inválido | ","")&amp;IF(OR(NOT(ISNUMBER($C141)),NOT(ISNUMBER($D141))),"Horário inválido | ","")&amp;IFERROR(IF(AND(ISNUMBER($C141),ISNUMBER($D141),MOD($D141-$C141,1)*1440&lt;=0),"Duração nula ou negativa | ",""),"")&amp;IF(AND($L141&gt;0,OR($R141&gt;=Turno_Min,$S141&gt;Turno_Min)),"Fora da janela do plantão | ","")&amp;IF(AND($L141&gt;0,SUMPRODUCT((Mapa_Sala=$B141)*(Mapa_Data=$A141)*(Mapa_MinOcup&gt;0)*(Mapa_RelIni&lt;$S141)*(Mapa_RelFim&gt;$R141))&gt;1),"Sobreposição de horário na sala | ","")&amp;IFERROR(IF(AND(ISNUMBER($K141),$K141&gt;0,COUNTIF(Esp_Nome,$E141)&gt;0,$K141&gt;3*INDEX(Esp_Dur,MATCH($E141,Esp_Nome,0))),"Duração atípica (&gt;3x a média) | ",""),""))</f>
        <v/>
      </c>
      <c r="R141" s="15">
        <f>IF(NOT(ISNUMBER($C141)),0,ROUND(MOD($C141-Turno_Ini,1)*1440,0))</f>
        <v/>
      </c>
      <c r="S141" s="15">
        <f>IF($L141&lt;=0,0,$R141+$K141)</f>
        <v/>
      </c>
      <c r="T141" s="15">
        <f>IF($M141="","",$B141&amp;"#"&amp;$M141)</f>
        <v/>
      </c>
      <c r="U141" s="15">
        <f>ROW()</f>
        <v/>
      </c>
    </row>
    <row r="142">
      <c r="A142" s="38" t="n"/>
      <c r="B142" s="29" t="n"/>
      <c r="C142" s="42" t="n"/>
      <c r="D142" s="42" t="n"/>
      <c r="E142" s="30" t="n"/>
      <c r="F142" s="34">
        <f>IF($E142="","",IFERROR(INDEX(Esp_Hab,MATCH($E142,Esp_Nome,0)),"—"))</f>
        <v/>
      </c>
      <c r="G142" s="30" t="n"/>
      <c r="H142" s="30" t="n"/>
      <c r="I142" s="29" t="n"/>
      <c r="J142" s="29" t="n"/>
      <c r="K142" s="37">
        <f>IF(OR($B142="",NOT(ISNUMBER($C142)),NOT(ISNUMBER($D142))),"",ROUND(MOD($D142-$C142,1)*1440,0))</f>
        <v/>
      </c>
      <c r="L142" s="37">
        <f>IF(NOT(ISNUMBER($K142)),0,IF(OR($K142&lt;=0,$J142="Cancelada",$J142="Suspensa"),0,$K142+Limpeza_Min))</f>
        <v/>
      </c>
      <c r="M142" s="37">
        <f>IF($L142&lt;=0,"",SUMPRODUCT((Mapa_Sala=$B142)*(Mapa_Data=$A142)*(Mapa_MinOcup&gt;0)*((Mapa_RelIni&lt;$R142)+((Mapa_RelIni=$R142)*(Mapa_Row&lt;=$U142)))))</f>
        <v/>
      </c>
      <c r="N142" s="43">
        <f>IF($L142&lt;=0,"",MOD(Turno_Ini+($S142+Limpeza_Min)/1440,1))</f>
        <v/>
      </c>
      <c r="O142" s="37">
        <f>IF($L142&lt;=0,"",MAX(0,IFERROR(INDEX(Mapa_RelIni,MATCH($B142&amp;"#"&amp;($M142+1),Mapa_Chave,0)),Turno_Min)-($S142+Limpeza_Min)))</f>
        <v/>
      </c>
      <c r="P142" s="19">
        <f>IF($B142="","",IF($Q142="","OK",LEFT($Q142,LEN($Q142)-3)))</f>
        <v/>
      </c>
      <c r="Q142" s="10">
        <f>IF($B142="","",IF(COUNTIF(Postos_Cod,$B142)=0,"Sala não cadastrada | ","")&amp;IF(AND(COUNTIF(Postos_Cod,$B142)&gt;0,IFERROR(INDEX(Postos_Tipo,MATCH($B142,Postos_Cod,0)),"")&lt;&gt;"Sala cirúrgica"),"Posto não é sala cirúrgica | ","")&amp;IF(AND(COUNTIF(Postos_Cod,$B142)&gt;0,IFERROR(INDEX(Postos_Status,MATCH($B142,Postos_Cod,0)),"")&lt;&gt;"Ativo"),"Sala não ativa | ","")&amp;IF(COUNTIF(Esp_Nome,$E142)=0,"Especialidade não cadastrada | ","")&amp;IF(COUNTIF(Lista_StatusCirurgia,$J142)=0,"Status inválido | ","")&amp;IF(OR(NOT(ISNUMBER($C142)),NOT(ISNUMBER($D142))),"Horário inválido | ","")&amp;IFERROR(IF(AND(ISNUMBER($C142),ISNUMBER($D142),MOD($D142-$C142,1)*1440&lt;=0),"Duração nula ou negativa | ",""),"")&amp;IF(AND($L142&gt;0,OR($R142&gt;=Turno_Min,$S142&gt;Turno_Min)),"Fora da janela do plantão | ","")&amp;IF(AND($L142&gt;0,SUMPRODUCT((Mapa_Sala=$B142)*(Mapa_Data=$A142)*(Mapa_MinOcup&gt;0)*(Mapa_RelIni&lt;$S142)*(Mapa_RelFim&gt;$R142))&gt;1),"Sobreposição de horário na sala | ","")&amp;IFERROR(IF(AND(ISNUMBER($K142),$K142&gt;0,COUNTIF(Esp_Nome,$E142)&gt;0,$K142&gt;3*INDEX(Esp_Dur,MATCH($E142,Esp_Nome,0))),"Duração atípica (&gt;3x a média) | ",""),""))</f>
        <v/>
      </c>
      <c r="R142" s="15">
        <f>IF(NOT(ISNUMBER($C142)),0,ROUND(MOD($C142-Turno_Ini,1)*1440,0))</f>
        <v/>
      </c>
      <c r="S142" s="15">
        <f>IF($L142&lt;=0,0,$R142+$K142)</f>
        <v/>
      </c>
      <c r="T142" s="15">
        <f>IF($M142="","",$B142&amp;"#"&amp;$M142)</f>
        <v/>
      </c>
      <c r="U142" s="15">
        <f>ROW()</f>
        <v/>
      </c>
    </row>
    <row r="143">
      <c r="A143" s="38" t="n"/>
      <c r="B143" s="29" t="n"/>
      <c r="C143" s="42" t="n"/>
      <c r="D143" s="42" t="n"/>
      <c r="E143" s="30" t="n"/>
      <c r="F143" s="34">
        <f>IF($E143="","",IFERROR(INDEX(Esp_Hab,MATCH($E143,Esp_Nome,0)),"—"))</f>
        <v/>
      </c>
      <c r="G143" s="30" t="n"/>
      <c r="H143" s="30" t="n"/>
      <c r="I143" s="29" t="n"/>
      <c r="J143" s="29" t="n"/>
      <c r="K143" s="37">
        <f>IF(OR($B143="",NOT(ISNUMBER($C143)),NOT(ISNUMBER($D143))),"",ROUND(MOD($D143-$C143,1)*1440,0))</f>
        <v/>
      </c>
      <c r="L143" s="37">
        <f>IF(NOT(ISNUMBER($K143)),0,IF(OR($K143&lt;=0,$J143="Cancelada",$J143="Suspensa"),0,$K143+Limpeza_Min))</f>
        <v/>
      </c>
      <c r="M143" s="37">
        <f>IF($L143&lt;=0,"",SUMPRODUCT((Mapa_Sala=$B143)*(Mapa_Data=$A143)*(Mapa_MinOcup&gt;0)*((Mapa_RelIni&lt;$R143)+((Mapa_RelIni=$R143)*(Mapa_Row&lt;=$U143)))))</f>
        <v/>
      </c>
      <c r="N143" s="43">
        <f>IF($L143&lt;=0,"",MOD(Turno_Ini+($S143+Limpeza_Min)/1440,1))</f>
        <v/>
      </c>
      <c r="O143" s="37">
        <f>IF($L143&lt;=0,"",MAX(0,IFERROR(INDEX(Mapa_RelIni,MATCH($B143&amp;"#"&amp;($M143+1),Mapa_Chave,0)),Turno_Min)-($S143+Limpeza_Min)))</f>
        <v/>
      </c>
      <c r="P143" s="19">
        <f>IF($B143="","",IF($Q143="","OK",LEFT($Q143,LEN($Q143)-3)))</f>
        <v/>
      </c>
      <c r="Q143" s="10">
        <f>IF($B143="","",IF(COUNTIF(Postos_Cod,$B143)=0,"Sala não cadastrada | ","")&amp;IF(AND(COUNTIF(Postos_Cod,$B143)&gt;0,IFERROR(INDEX(Postos_Tipo,MATCH($B143,Postos_Cod,0)),"")&lt;&gt;"Sala cirúrgica"),"Posto não é sala cirúrgica | ","")&amp;IF(AND(COUNTIF(Postos_Cod,$B143)&gt;0,IFERROR(INDEX(Postos_Status,MATCH($B143,Postos_Cod,0)),"")&lt;&gt;"Ativo"),"Sala não ativa | ","")&amp;IF(COUNTIF(Esp_Nome,$E143)=0,"Especialidade não cadastrada | ","")&amp;IF(COUNTIF(Lista_StatusCirurgia,$J143)=0,"Status inválido | ","")&amp;IF(OR(NOT(ISNUMBER($C143)),NOT(ISNUMBER($D143))),"Horário inválido | ","")&amp;IFERROR(IF(AND(ISNUMBER($C143),ISNUMBER($D143),MOD($D143-$C143,1)*1440&lt;=0),"Duração nula ou negativa | ",""),"")&amp;IF(AND($L143&gt;0,OR($R143&gt;=Turno_Min,$S143&gt;Turno_Min)),"Fora da janela do plantão | ","")&amp;IF(AND($L143&gt;0,SUMPRODUCT((Mapa_Sala=$B143)*(Mapa_Data=$A143)*(Mapa_MinOcup&gt;0)*(Mapa_RelIni&lt;$S143)*(Mapa_RelFim&gt;$R143))&gt;1),"Sobreposição de horário na sala | ","")&amp;IFERROR(IF(AND(ISNUMBER($K143),$K143&gt;0,COUNTIF(Esp_Nome,$E143)&gt;0,$K143&gt;3*INDEX(Esp_Dur,MATCH($E143,Esp_Nome,0))),"Duração atípica (&gt;3x a média) | ",""),""))</f>
        <v/>
      </c>
      <c r="R143" s="15">
        <f>IF(NOT(ISNUMBER($C143)),0,ROUND(MOD($C143-Turno_Ini,1)*1440,0))</f>
        <v/>
      </c>
      <c r="S143" s="15">
        <f>IF($L143&lt;=0,0,$R143+$K143)</f>
        <v/>
      </c>
      <c r="T143" s="15">
        <f>IF($M143="","",$B143&amp;"#"&amp;$M143)</f>
        <v/>
      </c>
      <c r="U143" s="15">
        <f>ROW()</f>
        <v/>
      </c>
    </row>
    <row r="144">
      <c r="A144" s="38" t="n"/>
      <c r="B144" s="29" t="n"/>
      <c r="C144" s="42" t="n"/>
      <c r="D144" s="42" t="n"/>
      <c r="E144" s="30" t="n"/>
      <c r="F144" s="34">
        <f>IF($E144="","",IFERROR(INDEX(Esp_Hab,MATCH($E144,Esp_Nome,0)),"—"))</f>
        <v/>
      </c>
      <c r="G144" s="30" t="n"/>
      <c r="H144" s="30" t="n"/>
      <c r="I144" s="29" t="n"/>
      <c r="J144" s="29" t="n"/>
      <c r="K144" s="37">
        <f>IF(OR($B144="",NOT(ISNUMBER($C144)),NOT(ISNUMBER($D144))),"",ROUND(MOD($D144-$C144,1)*1440,0))</f>
        <v/>
      </c>
      <c r="L144" s="37">
        <f>IF(NOT(ISNUMBER($K144)),0,IF(OR($K144&lt;=0,$J144="Cancelada",$J144="Suspensa"),0,$K144+Limpeza_Min))</f>
        <v/>
      </c>
      <c r="M144" s="37">
        <f>IF($L144&lt;=0,"",SUMPRODUCT((Mapa_Sala=$B144)*(Mapa_Data=$A144)*(Mapa_MinOcup&gt;0)*((Mapa_RelIni&lt;$R144)+((Mapa_RelIni=$R144)*(Mapa_Row&lt;=$U144)))))</f>
        <v/>
      </c>
      <c r="N144" s="43">
        <f>IF($L144&lt;=0,"",MOD(Turno_Ini+($S144+Limpeza_Min)/1440,1))</f>
        <v/>
      </c>
      <c r="O144" s="37">
        <f>IF($L144&lt;=0,"",MAX(0,IFERROR(INDEX(Mapa_RelIni,MATCH($B144&amp;"#"&amp;($M144+1),Mapa_Chave,0)),Turno_Min)-($S144+Limpeza_Min)))</f>
        <v/>
      </c>
      <c r="P144" s="19">
        <f>IF($B144="","",IF($Q144="","OK",LEFT($Q144,LEN($Q144)-3)))</f>
        <v/>
      </c>
      <c r="Q144" s="10">
        <f>IF($B144="","",IF(COUNTIF(Postos_Cod,$B144)=0,"Sala não cadastrada | ","")&amp;IF(AND(COUNTIF(Postos_Cod,$B144)&gt;0,IFERROR(INDEX(Postos_Tipo,MATCH($B144,Postos_Cod,0)),"")&lt;&gt;"Sala cirúrgica"),"Posto não é sala cirúrgica | ","")&amp;IF(AND(COUNTIF(Postos_Cod,$B144)&gt;0,IFERROR(INDEX(Postos_Status,MATCH($B144,Postos_Cod,0)),"")&lt;&gt;"Ativo"),"Sala não ativa | ","")&amp;IF(COUNTIF(Esp_Nome,$E144)=0,"Especialidade não cadastrada | ","")&amp;IF(COUNTIF(Lista_StatusCirurgia,$J144)=0,"Status inválido | ","")&amp;IF(OR(NOT(ISNUMBER($C144)),NOT(ISNUMBER($D144))),"Horário inválido | ","")&amp;IFERROR(IF(AND(ISNUMBER($C144),ISNUMBER($D144),MOD($D144-$C144,1)*1440&lt;=0),"Duração nula ou negativa | ",""),"")&amp;IF(AND($L144&gt;0,OR($R144&gt;=Turno_Min,$S144&gt;Turno_Min)),"Fora da janela do plantão | ","")&amp;IF(AND($L144&gt;0,SUMPRODUCT((Mapa_Sala=$B144)*(Mapa_Data=$A144)*(Mapa_MinOcup&gt;0)*(Mapa_RelIni&lt;$S144)*(Mapa_RelFim&gt;$R144))&gt;1),"Sobreposição de horário na sala | ","")&amp;IFERROR(IF(AND(ISNUMBER($K144),$K144&gt;0,COUNTIF(Esp_Nome,$E144)&gt;0,$K144&gt;3*INDEX(Esp_Dur,MATCH($E144,Esp_Nome,0))),"Duração atípica (&gt;3x a média) | ",""),""))</f>
        <v/>
      </c>
      <c r="R144" s="15">
        <f>IF(NOT(ISNUMBER($C144)),0,ROUND(MOD($C144-Turno_Ini,1)*1440,0))</f>
        <v/>
      </c>
      <c r="S144" s="15">
        <f>IF($L144&lt;=0,0,$R144+$K144)</f>
        <v/>
      </c>
      <c r="T144" s="15">
        <f>IF($M144="","",$B144&amp;"#"&amp;$M144)</f>
        <v/>
      </c>
      <c r="U144" s="15">
        <f>ROW()</f>
        <v/>
      </c>
    </row>
    <row r="145">
      <c r="A145" s="38" t="n"/>
      <c r="B145" s="29" t="n"/>
      <c r="C145" s="42" t="n"/>
      <c r="D145" s="42" t="n"/>
      <c r="E145" s="30" t="n"/>
      <c r="F145" s="34">
        <f>IF($E145="","",IFERROR(INDEX(Esp_Hab,MATCH($E145,Esp_Nome,0)),"—"))</f>
        <v/>
      </c>
      <c r="G145" s="30" t="n"/>
      <c r="H145" s="30" t="n"/>
      <c r="I145" s="29" t="n"/>
      <c r="J145" s="29" t="n"/>
      <c r="K145" s="37">
        <f>IF(OR($B145="",NOT(ISNUMBER($C145)),NOT(ISNUMBER($D145))),"",ROUND(MOD($D145-$C145,1)*1440,0))</f>
        <v/>
      </c>
      <c r="L145" s="37">
        <f>IF(NOT(ISNUMBER($K145)),0,IF(OR($K145&lt;=0,$J145="Cancelada",$J145="Suspensa"),0,$K145+Limpeza_Min))</f>
        <v/>
      </c>
      <c r="M145" s="37">
        <f>IF($L145&lt;=0,"",SUMPRODUCT((Mapa_Sala=$B145)*(Mapa_Data=$A145)*(Mapa_MinOcup&gt;0)*((Mapa_RelIni&lt;$R145)+((Mapa_RelIni=$R145)*(Mapa_Row&lt;=$U145)))))</f>
        <v/>
      </c>
      <c r="N145" s="43">
        <f>IF($L145&lt;=0,"",MOD(Turno_Ini+($S145+Limpeza_Min)/1440,1))</f>
        <v/>
      </c>
      <c r="O145" s="37">
        <f>IF($L145&lt;=0,"",MAX(0,IFERROR(INDEX(Mapa_RelIni,MATCH($B145&amp;"#"&amp;($M145+1),Mapa_Chave,0)),Turno_Min)-($S145+Limpeza_Min)))</f>
        <v/>
      </c>
      <c r="P145" s="19">
        <f>IF($B145="","",IF($Q145="","OK",LEFT($Q145,LEN($Q145)-3)))</f>
        <v/>
      </c>
      <c r="Q145" s="10">
        <f>IF($B145="","",IF(COUNTIF(Postos_Cod,$B145)=0,"Sala não cadastrada | ","")&amp;IF(AND(COUNTIF(Postos_Cod,$B145)&gt;0,IFERROR(INDEX(Postos_Tipo,MATCH($B145,Postos_Cod,0)),"")&lt;&gt;"Sala cirúrgica"),"Posto não é sala cirúrgica | ","")&amp;IF(AND(COUNTIF(Postos_Cod,$B145)&gt;0,IFERROR(INDEX(Postos_Status,MATCH($B145,Postos_Cod,0)),"")&lt;&gt;"Ativo"),"Sala não ativa | ","")&amp;IF(COUNTIF(Esp_Nome,$E145)=0,"Especialidade não cadastrada | ","")&amp;IF(COUNTIF(Lista_StatusCirurgia,$J145)=0,"Status inválido | ","")&amp;IF(OR(NOT(ISNUMBER($C145)),NOT(ISNUMBER($D145))),"Horário inválido | ","")&amp;IFERROR(IF(AND(ISNUMBER($C145),ISNUMBER($D145),MOD($D145-$C145,1)*1440&lt;=0),"Duração nula ou negativa | ",""),"")&amp;IF(AND($L145&gt;0,OR($R145&gt;=Turno_Min,$S145&gt;Turno_Min)),"Fora da janela do plantão | ","")&amp;IF(AND($L145&gt;0,SUMPRODUCT((Mapa_Sala=$B145)*(Mapa_Data=$A145)*(Mapa_MinOcup&gt;0)*(Mapa_RelIni&lt;$S145)*(Mapa_RelFim&gt;$R145))&gt;1),"Sobreposição de horário na sala | ","")&amp;IFERROR(IF(AND(ISNUMBER($K145),$K145&gt;0,COUNTIF(Esp_Nome,$E145)&gt;0,$K145&gt;3*INDEX(Esp_Dur,MATCH($E145,Esp_Nome,0))),"Duração atípica (&gt;3x a média) | ",""),""))</f>
        <v/>
      </c>
      <c r="R145" s="15">
        <f>IF(NOT(ISNUMBER($C145)),0,ROUND(MOD($C145-Turno_Ini,1)*1440,0))</f>
        <v/>
      </c>
      <c r="S145" s="15">
        <f>IF($L145&lt;=0,0,$R145+$K145)</f>
        <v/>
      </c>
      <c r="T145" s="15">
        <f>IF($M145="","",$B145&amp;"#"&amp;$M145)</f>
        <v/>
      </c>
      <c r="U145" s="15">
        <f>ROW()</f>
        <v/>
      </c>
    </row>
    <row r="146">
      <c r="A146" s="38" t="n"/>
      <c r="B146" s="29" t="n"/>
      <c r="C146" s="42" t="n"/>
      <c r="D146" s="42" t="n"/>
      <c r="E146" s="30" t="n"/>
      <c r="F146" s="34">
        <f>IF($E146="","",IFERROR(INDEX(Esp_Hab,MATCH($E146,Esp_Nome,0)),"—"))</f>
        <v/>
      </c>
      <c r="G146" s="30" t="n"/>
      <c r="H146" s="30" t="n"/>
      <c r="I146" s="29" t="n"/>
      <c r="J146" s="29" t="n"/>
      <c r="K146" s="37">
        <f>IF(OR($B146="",NOT(ISNUMBER($C146)),NOT(ISNUMBER($D146))),"",ROUND(MOD($D146-$C146,1)*1440,0))</f>
        <v/>
      </c>
      <c r="L146" s="37">
        <f>IF(NOT(ISNUMBER($K146)),0,IF(OR($K146&lt;=0,$J146="Cancelada",$J146="Suspensa"),0,$K146+Limpeza_Min))</f>
        <v/>
      </c>
      <c r="M146" s="37">
        <f>IF($L146&lt;=0,"",SUMPRODUCT((Mapa_Sala=$B146)*(Mapa_Data=$A146)*(Mapa_MinOcup&gt;0)*((Mapa_RelIni&lt;$R146)+((Mapa_RelIni=$R146)*(Mapa_Row&lt;=$U146)))))</f>
        <v/>
      </c>
      <c r="N146" s="43">
        <f>IF($L146&lt;=0,"",MOD(Turno_Ini+($S146+Limpeza_Min)/1440,1))</f>
        <v/>
      </c>
      <c r="O146" s="37">
        <f>IF($L146&lt;=0,"",MAX(0,IFERROR(INDEX(Mapa_RelIni,MATCH($B146&amp;"#"&amp;($M146+1),Mapa_Chave,0)),Turno_Min)-($S146+Limpeza_Min)))</f>
        <v/>
      </c>
      <c r="P146" s="19">
        <f>IF($B146="","",IF($Q146="","OK",LEFT($Q146,LEN($Q146)-3)))</f>
        <v/>
      </c>
      <c r="Q146" s="10">
        <f>IF($B146="","",IF(COUNTIF(Postos_Cod,$B146)=0,"Sala não cadastrada | ","")&amp;IF(AND(COUNTIF(Postos_Cod,$B146)&gt;0,IFERROR(INDEX(Postos_Tipo,MATCH($B146,Postos_Cod,0)),"")&lt;&gt;"Sala cirúrgica"),"Posto não é sala cirúrgica | ","")&amp;IF(AND(COUNTIF(Postos_Cod,$B146)&gt;0,IFERROR(INDEX(Postos_Status,MATCH($B146,Postos_Cod,0)),"")&lt;&gt;"Ativo"),"Sala não ativa | ","")&amp;IF(COUNTIF(Esp_Nome,$E146)=0,"Especialidade não cadastrada | ","")&amp;IF(COUNTIF(Lista_StatusCirurgia,$J146)=0,"Status inválido | ","")&amp;IF(OR(NOT(ISNUMBER($C146)),NOT(ISNUMBER($D146))),"Horário inválido | ","")&amp;IFERROR(IF(AND(ISNUMBER($C146),ISNUMBER($D146),MOD($D146-$C146,1)*1440&lt;=0),"Duração nula ou negativa | ",""),"")&amp;IF(AND($L146&gt;0,OR($R146&gt;=Turno_Min,$S146&gt;Turno_Min)),"Fora da janela do plantão | ","")&amp;IF(AND($L146&gt;0,SUMPRODUCT((Mapa_Sala=$B146)*(Mapa_Data=$A146)*(Mapa_MinOcup&gt;0)*(Mapa_RelIni&lt;$S146)*(Mapa_RelFim&gt;$R146))&gt;1),"Sobreposição de horário na sala | ","")&amp;IFERROR(IF(AND(ISNUMBER($K146),$K146&gt;0,COUNTIF(Esp_Nome,$E146)&gt;0,$K146&gt;3*INDEX(Esp_Dur,MATCH($E146,Esp_Nome,0))),"Duração atípica (&gt;3x a média) | ",""),""))</f>
        <v/>
      </c>
      <c r="R146" s="15">
        <f>IF(NOT(ISNUMBER($C146)),0,ROUND(MOD($C146-Turno_Ini,1)*1440,0))</f>
        <v/>
      </c>
      <c r="S146" s="15">
        <f>IF($L146&lt;=0,0,$R146+$K146)</f>
        <v/>
      </c>
      <c r="T146" s="15">
        <f>IF($M146="","",$B146&amp;"#"&amp;$M146)</f>
        <v/>
      </c>
      <c r="U146" s="15">
        <f>ROW()</f>
        <v/>
      </c>
    </row>
    <row r="147">
      <c r="A147" s="38" t="n"/>
      <c r="B147" s="29" t="n"/>
      <c r="C147" s="42" t="n"/>
      <c r="D147" s="42" t="n"/>
      <c r="E147" s="30" t="n"/>
      <c r="F147" s="34">
        <f>IF($E147="","",IFERROR(INDEX(Esp_Hab,MATCH($E147,Esp_Nome,0)),"—"))</f>
        <v/>
      </c>
      <c r="G147" s="30" t="n"/>
      <c r="H147" s="30" t="n"/>
      <c r="I147" s="29" t="n"/>
      <c r="J147" s="29" t="n"/>
      <c r="K147" s="37">
        <f>IF(OR($B147="",NOT(ISNUMBER($C147)),NOT(ISNUMBER($D147))),"",ROUND(MOD($D147-$C147,1)*1440,0))</f>
        <v/>
      </c>
      <c r="L147" s="37">
        <f>IF(NOT(ISNUMBER($K147)),0,IF(OR($K147&lt;=0,$J147="Cancelada",$J147="Suspensa"),0,$K147+Limpeza_Min))</f>
        <v/>
      </c>
      <c r="M147" s="37">
        <f>IF($L147&lt;=0,"",SUMPRODUCT((Mapa_Sala=$B147)*(Mapa_Data=$A147)*(Mapa_MinOcup&gt;0)*((Mapa_RelIni&lt;$R147)+((Mapa_RelIni=$R147)*(Mapa_Row&lt;=$U147)))))</f>
        <v/>
      </c>
      <c r="N147" s="43">
        <f>IF($L147&lt;=0,"",MOD(Turno_Ini+($S147+Limpeza_Min)/1440,1))</f>
        <v/>
      </c>
      <c r="O147" s="37">
        <f>IF($L147&lt;=0,"",MAX(0,IFERROR(INDEX(Mapa_RelIni,MATCH($B147&amp;"#"&amp;($M147+1),Mapa_Chave,0)),Turno_Min)-($S147+Limpeza_Min)))</f>
        <v/>
      </c>
      <c r="P147" s="19">
        <f>IF($B147="","",IF($Q147="","OK",LEFT($Q147,LEN($Q147)-3)))</f>
        <v/>
      </c>
      <c r="Q147" s="10">
        <f>IF($B147="","",IF(COUNTIF(Postos_Cod,$B147)=0,"Sala não cadastrada | ","")&amp;IF(AND(COUNTIF(Postos_Cod,$B147)&gt;0,IFERROR(INDEX(Postos_Tipo,MATCH($B147,Postos_Cod,0)),"")&lt;&gt;"Sala cirúrgica"),"Posto não é sala cirúrgica | ","")&amp;IF(AND(COUNTIF(Postos_Cod,$B147)&gt;0,IFERROR(INDEX(Postos_Status,MATCH($B147,Postos_Cod,0)),"")&lt;&gt;"Ativo"),"Sala não ativa | ","")&amp;IF(COUNTIF(Esp_Nome,$E147)=0,"Especialidade não cadastrada | ","")&amp;IF(COUNTIF(Lista_StatusCirurgia,$J147)=0,"Status inválido | ","")&amp;IF(OR(NOT(ISNUMBER($C147)),NOT(ISNUMBER($D147))),"Horário inválido | ","")&amp;IFERROR(IF(AND(ISNUMBER($C147),ISNUMBER($D147),MOD($D147-$C147,1)*1440&lt;=0),"Duração nula ou negativa | ",""),"")&amp;IF(AND($L147&gt;0,OR($R147&gt;=Turno_Min,$S147&gt;Turno_Min)),"Fora da janela do plantão | ","")&amp;IF(AND($L147&gt;0,SUMPRODUCT((Mapa_Sala=$B147)*(Mapa_Data=$A147)*(Mapa_MinOcup&gt;0)*(Mapa_RelIni&lt;$S147)*(Mapa_RelFim&gt;$R147))&gt;1),"Sobreposição de horário na sala | ","")&amp;IFERROR(IF(AND(ISNUMBER($K147),$K147&gt;0,COUNTIF(Esp_Nome,$E147)&gt;0,$K147&gt;3*INDEX(Esp_Dur,MATCH($E147,Esp_Nome,0))),"Duração atípica (&gt;3x a média) | ",""),""))</f>
        <v/>
      </c>
      <c r="R147" s="15">
        <f>IF(NOT(ISNUMBER($C147)),0,ROUND(MOD($C147-Turno_Ini,1)*1440,0))</f>
        <v/>
      </c>
      <c r="S147" s="15">
        <f>IF($L147&lt;=0,0,$R147+$K147)</f>
        <v/>
      </c>
      <c r="T147" s="15">
        <f>IF($M147="","",$B147&amp;"#"&amp;$M147)</f>
        <v/>
      </c>
      <c r="U147" s="15">
        <f>ROW()</f>
        <v/>
      </c>
    </row>
    <row r="148">
      <c r="A148" s="38" t="n"/>
      <c r="B148" s="29" t="n"/>
      <c r="C148" s="42" t="n"/>
      <c r="D148" s="42" t="n"/>
      <c r="E148" s="30" t="n"/>
      <c r="F148" s="34">
        <f>IF($E148="","",IFERROR(INDEX(Esp_Hab,MATCH($E148,Esp_Nome,0)),"—"))</f>
        <v/>
      </c>
      <c r="G148" s="30" t="n"/>
      <c r="H148" s="30" t="n"/>
      <c r="I148" s="29" t="n"/>
      <c r="J148" s="29" t="n"/>
      <c r="K148" s="37">
        <f>IF(OR($B148="",NOT(ISNUMBER($C148)),NOT(ISNUMBER($D148))),"",ROUND(MOD($D148-$C148,1)*1440,0))</f>
        <v/>
      </c>
      <c r="L148" s="37">
        <f>IF(NOT(ISNUMBER($K148)),0,IF(OR($K148&lt;=0,$J148="Cancelada",$J148="Suspensa"),0,$K148+Limpeza_Min))</f>
        <v/>
      </c>
      <c r="M148" s="37">
        <f>IF($L148&lt;=0,"",SUMPRODUCT((Mapa_Sala=$B148)*(Mapa_Data=$A148)*(Mapa_MinOcup&gt;0)*((Mapa_RelIni&lt;$R148)+((Mapa_RelIni=$R148)*(Mapa_Row&lt;=$U148)))))</f>
        <v/>
      </c>
      <c r="N148" s="43">
        <f>IF($L148&lt;=0,"",MOD(Turno_Ini+($S148+Limpeza_Min)/1440,1))</f>
        <v/>
      </c>
      <c r="O148" s="37">
        <f>IF($L148&lt;=0,"",MAX(0,IFERROR(INDEX(Mapa_RelIni,MATCH($B148&amp;"#"&amp;($M148+1),Mapa_Chave,0)),Turno_Min)-($S148+Limpeza_Min)))</f>
        <v/>
      </c>
      <c r="P148" s="19">
        <f>IF($B148="","",IF($Q148="","OK",LEFT($Q148,LEN($Q148)-3)))</f>
        <v/>
      </c>
      <c r="Q148" s="10">
        <f>IF($B148="","",IF(COUNTIF(Postos_Cod,$B148)=0,"Sala não cadastrada | ","")&amp;IF(AND(COUNTIF(Postos_Cod,$B148)&gt;0,IFERROR(INDEX(Postos_Tipo,MATCH($B148,Postos_Cod,0)),"")&lt;&gt;"Sala cirúrgica"),"Posto não é sala cirúrgica | ","")&amp;IF(AND(COUNTIF(Postos_Cod,$B148)&gt;0,IFERROR(INDEX(Postos_Status,MATCH($B148,Postos_Cod,0)),"")&lt;&gt;"Ativo"),"Sala não ativa | ","")&amp;IF(COUNTIF(Esp_Nome,$E148)=0,"Especialidade não cadastrada | ","")&amp;IF(COUNTIF(Lista_StatusCirurgia,$J148)=0,"Status inválido | ","")&amp;IF(OR(NOT(ISNUMBER($C148)),NOT(ISNUMBER($D148))),"Horário inválido | ","")&amp;IFERROR(IF(AND(ISNUMBER($C148),ISNUMBER($D148),MOD($D148-$C148,1)*1440&lt;=0),"Duração nula ou negativa | ",""),"")&amp;IF(AND($L148&gt;0,OR($R148&gt;=Turno_Min,$S148&gt;Turno_Min)),"Fora da janela do plantão | ","")&amp;IF(AND($L148&gt;0,SUMPRODUCT((Mapa_Sala=$B148)*(Mapa_Data=$A148)*(Mapa_MinOcup&gt;0)*(Mapa_RelIni&lt;$S148)*(Mapa_RelFim&gt;$R148))&gt;1),"Sobreposição de horário na sala | ","")&amp;IFERROR(IF(AND(ISNUMBER($K148),$K148&gt;0,COUNTIF(Esp_Nome,$E148)&gt;0,$K148&gt;3*INDEX(Esp_Dur,MATCH($E148,Esp_Nome,0))),"Duração atípica (&gt;3x a média) | ",""),""))</f>
        <v/>
      </c>
      <c r="R148" s="15">
        <f>IF(NOT(ISNUMBER($C148)),0,ROUND(MOD($C148-Turno_Ini,1)*1440,0))</f>
        <v/>
      </c>
      <c r="S148" s="15">
        <f>IF($L148&lt;=0,0,$R148+$K148)</f>
        <v/>
      </c>
      <c r="T148" s="15">
        <f>IF($M148="","",$B148&amp;"#"&amp;$M148)</f>
        <v/>
      </c>
      <c r="U148" s="15">
        <f>ROW()</f>
        <v/>
      </c>
    </row>
    <row r="149">
      <c r="A149" s="38" t="n"/>
      <c r="B149" s="29" t="n"/>
      <c r="C149" s="42" t="n"/>
      <c r="D149" s="42" t="n"/>
      <c r="E149" s="30" t="n"/>
      <c r="F149" s="34">
        <f>IF($E149="","",IFERROR(INDEX(Esp_Hab,MATCH($E149,Esp_Nome,0)),"—"))</f>
        <v/>
      </c>
      <c r="G149" s="30" t="n"/>
      <c r="H149" s="30" t="n"/>
      <c r="I149" s="29" t="n"/>
      <c r="J149" s="29" t="n"/>
      <c r="K149" s="37">
        <f>IF(OR($B149="",NOT(ISNUMBER($C149)),NOT(ISNUMBER($D149))),"",ROUND(MOD($D149-$C149,1)*1440,0))</f>
        <v/>
      </c>
      <c r="L149" s="37">
        <f>IF(NOT(ISNUMBER($K149)),0,IF(OR($K149&lt;=0,$J149="Cancelada",$J149="Suspensa"),0,$K149+Limpeza_Min))</f>
        <v/>
      </c>
      <c r="M149" s="37">
        <f>IF($L149&lt;=0,"",SUMPRODUCT((Mapa_Sala=$B149)*(Mapa_Data=$A149)*(Mapa_MinOcup&gt;0)*((Mapa_RelIni&lt;$R149)+((Mapa_RelIni=$R149)*(Mapa_Row&lt;=$U149)))))</f>
        <v/>
      </c>
      <c r="N149" s="43">
        <f>IF($L149&lt;=0,"",MOD(Turno_Ini+($S149+Limpeza_Min)/1440,1))</f>
        <v/>
      </c>
      <c r="O149" s="37">
        <f>IF($L149&lt;=0,"",MAX(0,IFERROR(INDEX(Mapa_RelIni,MATCH($B149&amp;"#"&amp;($M149+1),Mapa_Chave,0)),Turno_Min)-($S149+Limpeza_Min)))</f>
        <v/>
      </c>
      <c r="P149" s="19">
        <f>IF($B149="","",IF($Q149="","OK",LEFT($Q149,LEN($Q149)-3)))</f>
        <v/>
      </c>
      <c r="Q149" s="10">
        <f>IF($B149="","",IF(COUNTIF(Postos_Cod,$B149)=0,"Sala não cadastrada | ","")&amp;IF(AND(COUNTIF(Postos_Cod,$B149)&gt;0,IFERROR(INDEX(Postos_Tipo,MATCH($B149,Postos_Cod,0)),"")&lt;&gt;"Sala cirúrgica"),"Posto não é sala cirúrgica | ","")&amp;IF(AND(COUNTIF(Postos_Cod,$B149)&gt;0,IFERROR(INDEX(Postos_Status,MATCH($B149,Postos_Cod,0)),"")&lt;&gt;"Ativo"),"Sala não ativa | ","")&amp;IF(COUNTIF(Esp_Nome,$E149)=0,"Especialidade não cadastrada | ","")&amp;IF(COUNTIF(Lista_StatusCirurgia,$J149)=0,"Status inválido | ","")&amp;IF(OR(NOT(ISNUMBER($C149)),NOT(ISNUMBER($D149))),"Horário inválido | ","")&amp;IFERROR(IF(AND(ISNUMBER($C149),ISNUMBER($D149),MOD($D149-$C149,1)*1440&lt;=0),"Duração nula ou negativa | ",""),"")&amp;IF(AND($L149&gt;0,OR($R149&gt;=Turno_Min,$S149&gt;Turno_Min)),"Fora da janela do plantão | ","")&amp;IF(AND($L149&gt;0,SUMPRODUCT((Mapa_Sala=$B149)*(Mapa_Data=$A149)*(Mapa_MinOcup&gt;0)*(Mapa_RelIni&lt;$S149)*(Mapa_RelFim&gt;$R149))&gt;1),"Sobreposição de horário na sala | ","")&amp;IFERROR(IF(AND(ISNUMBER($K149),$K149&gt;0,COUNTIF(Esp_Nome,$E149)&gt;0,$K149&gt;3*INDEX(Esp_Dur,MATCH($E149,Esp_Nome,0))),"Duração atípica (&gt;3x a média) | ",""),""))</f>
        <v/>
      </c>
      <c r="R149" s="15">
        <f>IF(NOT(ISNUMBER($C149)),0,ROUND(MOD($C149-Turno_Ini,1)*1440,0))</f>
        <v/>
      </c>
      <c r="S149" s="15">
        <f>IF($L149&lt;=0,0,$R149+$K149)</f>
        <v/>
      </c>
      <c r="T149" s="15">
        <f>IF($M149="","",$B149&amp;"#"&amp;$M149)</f>
        <v/>
      </c>
      <c r="U149" s="15">
        <f>ROW()</f>
        <v/>
      </c>
    </row>
    <row r="150">
      <c r="A150" s="38" t="n"/>
      <c r="B150" s="29" t="n"/>
      <c r="C150" s="42" t="n"/>
      <c r="D150" s="42" t="n"/>
      <c r="E150" s="30" t="n"/>
      <c r="F150" s="34">
        <f>IF($E150="","",IFERROR(INDEX(Esp_Hab,MATCH($E150,Esp_Nome,0)),"—"))</f>
        <v/>
      </c>
      <c r="G150" s="30" t="n"/>
      <c r="H150" s="30" t="n"/>
      <c r="I150" s="29" t="n"/>
      <c r="J150" s="29" t="n"/>
      <c r="K150" s="37">
        <f>IF(OR($B150="",NOT(ISNUMBER($C150)),NOT(ISNUMBER($D150))),"",ROUND(MOD($D150-$C150,1)*1440,0))</f>
        <v/>
      </c>
      <c r="L150" s="37">
        <f>IF(NOT(ISNUMBER($K150)),0,IF(OR($K150&lt;=0,$J150="Cancelada",$J150="Suspensa"),0,$K150+Limpeza_Min))</f>
        <v/>
      </c>
      <c r="M150" s="37">
        <f>IF($L150&lt;=0,"",SUMPRODUCT((Mapa_Sala=$B150)*(Mapa_Data=$A150)*(Mapa_MinOcup&gt;0)*((Mapa_RelIni&lt;$R150)+((Mapa_RelIni=$R150)*(Mapa_Row&lt;=$U150)))))</f>
        <v/>
      </c>
      <c r="N150" s="43">
        <f>IF($L150&lt;=0,"",MOD(Turno_Ini+($S150+Limpeza_Min)/1440,1))</f>
        <v/>
      </c>
      <c r="O150" s="37">
        <f>IF($L150&lt;=0,"",MAX(0,IFERROR(INDEX(Mapa_RelIni,MATCH($B150&amp;"#"&amp;($M150+1),Mapa_Chave,0)),Turno_Min)-($S150+Limpeza_Min)))</f>
        <v/>
      </c>
      <c r="P150" s="19">
        <f>IF($B150="","",IF($Q150="","OK",LEFT($Q150,LEN($Q150)-3)))</f>
        <v/>
      </c>
      <c r="Q150" s="10">
        <f>IF($B150="","",IF(COUNTIF(Postos_Cod,$B150)=0,"Sala não cadastrada | ","")&amp;IF(AND(COUNTIF(Postos_Cod,$B150)&gt;0,IFERROR(INDEX(Postos_Tipo,MATCH($B150,Postos_Cod,0)),"")&lt;&gt;"Sala cirúrgica"),"Posto não é sala cirúrgica | ","")&amp;IF(AND(COUNTIF(Postos_Cod,$B150)&gt;0,IFERROR(INDEX(Postos_Status,MATCH($B150,Postos_Cod,0)),"")&lt;&gt;"Ativo"),"Sala não ativa | ","")&amp;IF(COUNTIF(Esp_Nome,$E150)=0,"Especialidade não cadastrada | ","")&amp;IF(COUNTIF(Lista_StatusCirurgia,$J150)=0,"Status inválido | ","")&amp;IF(OR(NOT(ISNUMBER($C150)),NOT(ISNUMBER($D150))),"Horário inválido | ","")&amp;IFERROR(IF(AND(ISNUMBER($C150),ISNUMBER($D150),MOD($D150-$C150,1)*1440&lt;=0),"Duração nula ou negativa | ",""),"")&amp;IF(AND($L150&gt;0,OR($R150&gt;=Turno_Min,$S150&gt;Turno_Min)),"Fora da janela do plantão | ","")&amp;IF(AND($L150&gt;0,SUMPRODUCT((Mapa_Sala=$B150)*(Mapa_Data=$A150)*(Mapa_MinOcup&gt;0)*(Mapa_RelIni&lt;$S150)*(Mapa_RelFim&gt;$R150))&gt;1),"Sobreposição de horário na sala | ","")&amp;IFERROR(IF(AND(ISNUMBER($K150),$K150&gt;0,COUNTIF(Esp_Nome,$E150)&gt;0,$K150&gt;3*INDEX(Esp_Dur,MATCH($E150,Esp_Nome,0))),"Duração atípica (&gt;3x a média) | ",""),""))</f>
        <v/>
      </c>
      <c r="R150" s="15">
        <f>IF(NOT(ISNUMBER($C150)),0,ROUND(MOD($C150-Turno_Ini,1)*1440,0))</f>
        <v/>
      </c>
      <c r="S150" s="15">
        <f>IF($L150&lt;=0,0,$R150+$K150)</f>
        <v/>
      </c>
      <c r="T150" s="15">
        <f>IF($M150="","",$B150&amp;"#"&amp;$M150)</f>
        <v/>
      </c>
      <c r="U150" s="15">
        <f>ROW()</f>
        <v/>
      </c>
    </row>
    <row r="151">
      <c r="A151" s="38" t="n"/>
      <c r="B151" s="29" t="n"/>
      <c r="C151" s="42" t="n"/>
      <c r="D151" s="42" t="n"/>
      <c r="E151" s="30" t="n"/>
      <c r="F151" s="34">
        <f>IF($E151="","",IFERROR(INDEX(Esp_Hab,MATCH($E151,Esp_Nome,0)),"—"))</f>
        <v/>
      </c>
      <c r="G151" s="30" t="n"/>
      <c r="H151" s="30" t="n"/>
      <c r="I151" s="29" t="n"/>
      <c r="J151" s="29" t="n"/>
      <c r="K151" s="37">
        <f>IF(OR($B151="",NOT(ISNUMBER($C151)),NOT(ISNUMBER($D151))),"",ROUND(MOD($D151-$C151,1)*1440,0))</f>
        <v/>
      </c>
      <c r="L151" s="37">
        <f>IF(NOT(ISNUMBER($K151)),0,IF(OR($K151&lt;=0,$J151="Cancelada",$J151="Suspensa"),0,$K151+Limpeza_Min))</f>
        <v/>
      </c>
      <c r="M151" s="37">
        <f>IF($L151&lt;=0,"",SUMPRODUCT((Mapa_Sala=$B151)*(Mapa_Data=$A151)*(Mapa_MinOcup&gt;0)*((Mapa_RelIni&lt;$R151)+((Mapa_RelIni=$R151)*(Mapa_Row&lt;=$U151)))))</f>
        <v/>
      </c>
      <c r="N151" s="43">
        <f>IF($L151&lt;=0,"",MOD(Turno_Ini+($S151+Limpeza_Min)/1440,1))</f>
        <v/>
      </c>
      <c r="O151" s="37">
        <f>IF($L151&lt;=0,"",MAX(0,IFERROR(INDEX(Mapa_RelIni,MATCH($B151&amp;"#"&amp;($M151+1),Mapa_Chave,0)),Turno_Min)-($S151+Limpeza_Min)))</f>
        <v/>
      </c>
      <c r="P151" s="19">
        <f>IF($B151="","",IF($Q151="","OK",LEFT($Q151,LEN($Q151)-3)))</f>
        <v/>
      </c>
      <c r="Q151" s="10">
        <f>IF($B151="","",IF(COUNTIF(Postos_Cod,$B151)=0,"Sala não cadastrada | ","")&amp;IF(AND(COUNTIF(Postos_Cod,$B151)&gt;0,IFERROR(INDEX(Postos_Tipo,MATCH($B151,Postos_Cod,0)),"")&lt;&gt;"Sala cirúrgica"),"Posto não é sala cirúrgica | ","")&amp;IF(AND(COUNTIF(Postos_Cod,$B151)&gt;0,IFERROR(INDEX(Postos_Status,MATCH($B151,Postos_Cod,0)),"")&lt;&gt;"Ativo"),"Sala não ativa | ","")&amp;IF(COUNTIF(Esp_Nome,$E151)=0,"Especialidade não cadastrada | ","")&amp;IF(COUNTIF(Lista_StatusCirurgia,$J151)=0,"Status inválido | ","")&amp;IF(OR(NOT(ISNUMBER($C151)),NOT(ISNUMBER($D151))),"Horário inválido | ","")&amp;IFERROR(IF(AND(ISNUMBER($C151),ISNUMBER($D151),MOD($D151-$C151,1)*1440&lt;=0),"Duração nula ou negativa | ",""),"")&amp;IF(AND($L151&gt;0,OR($R151&gt;=Turno_Min,$S151&gt;Turno_Min)),"Fora da janela do plantão | ","")&amp;IF(AND($L151&gt;0,SUMPRODUCT((Mapa_Sala=$B151)*(Mapa_Data=$A151)*(Mapa_MinOcup&gt;0)*(Mapa_RelIni&lt;$S151)*(Mapa_RelFim&gt;$R151))&gt;1),"Sobreposição de horário na sala | ","")&amp;IFERROR(IF(AND(ISNUMBER($K151),$K151&gt;0,COUNTIF(Esp_Nome,$E151)&gt;0,$K151&gt;3*INDEX(Esp_Dur,MATCH($E151,Esp_Nome,0))),"Duração atípica (&gt;3x a média) | ",""),""))</f>
        <v/>
      </c>
      <c r="R151" s="15">
        <f>IF(NOT(ISNUMBER($C151)),0,ROUND(MOD($C151-Turno_Ini,1)*1440,0))</f>
        <v/>
      </c>
      <c r="S151" s="15">
        <f>IF($L151&lt;=0,0,$R151+$K151)</f>
        <v/>
      </c>
      <c r="T151" s="15">
        <f>IF($M151="","",$B151&amp;"#"&amp;$M151)</f>
        <v/>
      </c>
      <c r="U151" s="15">
        <f>ROW()</f>
        <v/>
      </c>
    </row>
    <row r="152">
      <c r="A152" s="38" t="n"/>
      <c r="B152" s="29" t="n"/>
      <c r="C152" s="42" t="n"/>
      <c r="D152" s="42" t="n"/>
      <c r="E152" s="30" t="n"/>
      <c r="F152" s="34">
        <f>IF($E152="","",IFERROR(INDEX(Esp_Hab,MATCH($E152,Esp_Nome,0)),"—"))</f>
        <v/>
      </c>
      <c r="G152" s="30" t="n"/>
      <c r="H152" s="30" t="n"/>
      <c r="I152" s="29" t="n"/>
      <c r="J152" s="29" t="n"/>
      <c r="K152" s="37">
        <f>IF(OR($B152="",NOT(ISNUMBER($C152)),NOT(ISNUMBER($D152))),"",ROUND(MOD($D152-$C152,1)*1440,0))</f>
        <v/>
      </c>
      <c r="L152" s="37">
        <f>IF(NOT(ISNUMBER($K152)),0,IF(OR($K152&lt;=0,$J152="Cancelada",$J152="Suspensa"),0,$K152+Limpeza_Min))</f>
        <v/>
      </c>
      <c r="M152" s="37">
        <f>IF($L152&lt;=0,"",SUMPRODUCT((Mapa_Sala=$B152)*(Mapa_Data=$A152)*(Mapa_MinOcup&gt;0)*((Mapa_RelIni&lt;$R152)+((Mapa_RelIni=$R152)*(Mapa_Row&lt;=$U152)))))</f>
        <v/>
      </c>
      <c r="N152" s="43">
        <f>IF($L152&lt;=0,"",MOD(Turno_Ini+($S152+Limpeza_Min)/1440,1))</f>
        <v/>
      </c>
      <c r="O152" s="37">
        <f>IF($L152&lt;=0,"",MAX(0,IFERROR(INDEX(Mapa_RelIni,MATCH($B152&amp;"#"&amp;($M152+1),Mapa_Chave,0)),Turno_Min)-($S152+Limpeza_Min)))</f>
        <v/>
      </c>
      <c r="P152" s="19">
        <f>IF($B152="","",IF($Q152="","OK",LEFT($Q152,LEN($Q152)-3)))</f>
        <v/>
      </c>
      <c r="Q152" s="10">
        <f>IF($B152="","",IF(COUNTIF(Postos_Cod,$B152)=0,"Sala não cadastrada | ","")&amp;IF(AND(COUNTIF(Postos_Cod,$B152)&gt;0,IFERROR(INDEX(Postos_Tipo,MATCH($B152,Postos_Cod,0)),"")&lt;&gt;"Sala cirúrgica"),"Posto não é sala cirúrgica | ","")&amp;IF(AND(COUNTIF(Postos_Cod,$B152)&gt;0,IFERROR(INDEX(Postos_Status,MATCH($B152,Postos_Cod,0)),"")&lt;&gt;"Ativo"),"Sala não ativa | ","")&amp;IF(COUNTIF(Esp_Nome,$E152)=0,"Especialidade não cadastrada | ","")&amp;IF(COUNTIF(Lista_StatusCirurgia,$J152)=0,"Status inválido | ","")&amp;IF(OR(NOT(ISNUMBER($C152)),NOT(ISNUMBER($D152))),"Horário inválido | ","")&amp;IFERROR(IF(AND(ISNUMBER($C152),ISNUMBER($D152),MOD($D152-$C152,1)*1440&lt;=0),"Duração nula ou negativa | ",""),"")&amp;IF(AND($L152&gt;0,OR($R152&gt;=Turno_Min,$S152&gt;Turno_Min)),"Fora da janela do plantão | ","")&amp;IF(AND($L152&gt;0,SUMPRODUCT((Mapa_Sala=$B152)*(Mapa_Data=$A152)*(Mapa_MinOcup&gt;0)*(Mapa_RelIni&lt;$S152)*(Mapa_RelFim&gt;$R152))&gt;1),"Sobreposição de horário na sala | ","")&amp;IFERROR(IF(AND(ISNUMBER($K152),$K152&gt;0,COUNTIF(Esp_Nome,$E152)&gt;0,$K152&gt;3*INDEX(Esp_Dur,MATCH($E152,Esp_Nome,0))),"Duração atípica (&gt;3x a média) | ",""),""))</f>
        <v/>
      </c>
      <c r="R152" s="15">
        <f>IF(NOT(ISNUMBER($C152)),0,ROUND(MOD($C152-Turno_Ini,1)*1440,0))</f>
        <v/>
      </c>
      <c r="S152" s="15">
        <f>IF($L152&lt;=0,0,$R152+$K152)</f>
        <v/>
      </c>
      <c r="T152" s="15">
        <f>IF($M152="","",$B152&amp;"#"&amp;$M152)</f>
        <v/>
      </c>
      <c r="U152" s="15">
        <f>ROW()</f>
        <v/>
      </c>
    </row>
    <row r="153">
      <c r="A153" s="38" t="n"/>
      <c r="B153" s="29" t="n"/>
      <c r="C153" s="42" t="n"/>
      <c r="D153" s="42" t="n"/>
      <c r="E153" s="30" t="n"/>
      <c r="F153" s="34">
        <f>IF($E153="","",IFERROR(INDEX(Esp_Hab,MATCH($E153,Esp_Nome,0)),"—"))</f>
        <v/>
      </c>
      <c r="G153" s="30" t="n"/>
      <c r="H153" s="30" t="n"/>
      <c r="I153" s="29" t="n"/>
      <c r="J153" s="29" t="n"/>
      <c r="K153" s="37">
        <f>IF(OR($B153="",NOT(ISNUMBER($C153)),NOT(ISNUMBER($D153))),"",ROUND(MOD($D153-$C153,1)*1440,0))</f>
        <v/>
      </c>
      <c r="L153" s="37">
        <f>IF(NOT(ISNUMBER($K153)),0,IF(OR($K153&lt;=0,$J153="Cancelada",$J153="Suspensa"),0,$K153+Limpeza_Min))</f>
        <v/>
      </c>
      <c r="M153" s="37">
        <f>IF($L153&lt;=0,"",SUMPRODUCT((Mapa_Sala=$B153)*(Mapa_Data=$A153)*(Mapa_MinOcup&gt;0)*((Mapa_RelIni&lt;$R153)+((Mapa_RelIni=$R153)*(Mapa_Row&lt;=$U153)))))</f>
        <v/>
      </c>
      <c r="N153" s="43">
        <f>IF($L153&lt;=0,"",MOD(Turno_Ini+($S153+Limpeza_Min)/1440,1))</f>
        <v/>
      </c>
      <c r="O153" s="37">
        <f>IF($L153&lt;=0,"",MAX(0,IFERROR(INDEX(Mapa_RelIni,MATCH($B153&amp;"#"&amp;($M153+1),Mapa_Chave,0)),Turno_Min)-($S153+Limpeza_Min)))</f>
        <v/>
      </c>
      <c r="P153" s="19">
        <f>IF($B153="","",IF($Q153="","OK",LEFT($Q153,LEN($Q153)-3)))</f>
        <v/>
      </c>
      <c r="Q153" s="10">
        <f>IF($B153="","",IF(COUNTIF(Postos_Cod,$B153)=0,"Sala não cadastrada | ","")&amp;IF(AND(COUNTIF(Postos_Cod,$B153)&gt;0,IFERROR(INDEX(Postos_Tipo,MATCH($B153,Postos_Cod,0)),"")&lt;&gt;"Sala cirúrgica"),"Posto não é sala cirúrgica | ","")&amp;IF(AND(COUNTIF(Postos_Cod,$B153)&gt;0,IFERROR(INDEX(Postos_Status,MATCH($B153,Postos_Cod,0)),"")&lt;&gt;"Ativo"),"Sala não ativa | ","")&amp;IF(COUNTIF(Esp_Nome,$E153)=0,"Especialidade não cadastrada | ","")&amp;IF(COUNTIF(Lista_StatusCirurgia,$J153)=0,"Status inválido | ","")&amp;IF(OR(NOT(ISNUMBER($C153)),NOT(ISNUMBER($D153))),"Horário inválido | ","")&amp;IFERROR(IF(AND(ISNUMBER($C153),ISNUMBER($D153),MOD($D153-$C153,1)*1440&lt;=0),"Duração nula ou negativa | ",""),"")&amp;IF(AND($L153&gt;0,OR($R153&gt;=Turno_Min,$S153&gt;Turno_Min)),"Fora da janela do plantão | ","")&amp;IF(AND($L153&gt;0,SUMPRODUCT((Mapa_Sala=$B153)*(Mapa_Data=$A153)*(Mapa_MinOcup&gt;0)*(Mapa_RelIni&lt;$S153)*(Mapa_RelFim&gt;$R153))&gt;1),"Sobreposição de horário na sala | ","")&amp;IFERROR(IF(AND(ISNUMBER($K153),$K153&gt;0,COUNTIF(Esp_Nome,$E153)&gt;0,$K153&gt;3*INDEX(Esp_Dur,MATCH($E153,Esp_Nome,0))),"Duração atípica (&gt;3x a média) | ",""),""))</f>
        <v/>
      </c>
      <c r="R153" s="15">
        <f>IF(NOT(ISNUMBER($C153)),0,ROUND(MOD($C153-Turno_Ini,1)*1440,0))</f>
        <v/>
      </c>
      <c r="S153" s="15">
        <f>IF($L153&lt;=0,0,$R153+$K153)</f>
        <v/>
      </c>
      <c r="T153" s="15">
        <f>IF($M153="","",$B153&amp;"#"&amp;$M153)</f>
        <v/>
      </c>
      <c r="U153" s="15">
        <f>ROW()</f>
        <v/>
      </c>
    </row>
    <row r="154">
      <c r="A154" s="38" t="n"/>
      <c r="B154" s="29" t="n"/>
      <c r="C154" s="42" t="n"/>
      <c r="D154" s="42" t="n"/>
      <c r="E154" s="30" t="n"/>
      <c r="F154" s="34">
        <f>IF($E154="","",IFERROR(INDEX(Esp_Hab,MATCH($E154,Esp_Nome,0)),"—"))</f>
        <v/>
      </c>
      <c r="G154" s="30" t="n"/>
      <c r="H154" s="30" t="n"/>
      <c r="I154" s="29" t="n"/>
      <c r="J154" s="29" t="n"/>
      <c r="K154" s="37">
        <f>IF(OR($B154="",NOT(ISNUMBER($C154)),NOT(ISNUMBER($D154))),"",ROUND(MOD($D154-$C154,1)*1440,0))</f>
        <v/>
      </c>
      <c r="L154" s="37">
        <f>IF(NOT(ISNUMBER($K154)),0,IF(OR($K154&lt;=0,$J154="Cancelada",$J154="Suspensa"),0,$K154+Limpeza_Min))</f>
        <v/>
      </c>
      <c r="M154" s="37">
        <f>IF($L154&lt;=0,"",SUMPRODUCT((Mapa_Sala=$B154)*(Mapa_Data=$A154)*(Mapa_MinOcup&gt;0)*((Mapa_RelIni&lt;$R154)+((Mapa_RelIni=$R154)*(Mapa_Row&lt;=$U154)))))</f>
        <v/>
      </c>
      <c r="N154" s="43">
        <f>IF($L154&lt;=0,"",MOD(Turno_Ini+($S154+Limpeza_Min)/1440,1))</f>
        <v/>
      </c>
      <c r="O154" s="37">
        <f>IF($L154&lt;=0,"",MAX(0,IFERROR(INDEX(Mapa_RelIni,MATCH($B154&amp;"#"&amp;($M154+1),Mapa_Chave,0)),Turno_Min)-($S154+Limpeza_Min)))</f>
        <v/>
      </c>
      <c r="P154" s="19">
        <f>IF($B154="","",IF($Q154="","OK",LEFT($Q154,LEN($Q154)-3)))</f>
        <v/>
      </c>
      <c r="Q154" s="10">
        <f>IF($B154="","",IF(COUNTIF(Postos_Cod,$B154)=0,"Sala não cadastrada | ","")&amp;IF(AND(COUNTIF(Postos_Cod,$B154)&gt;0,IFERROR(INDEX(Postos_Tipo,MATCH($B154,Postos_Cod,0)),"")&lt;&gt;"Sala cirúrgica"),"Posto não é sala cirúrgica | ","")&amp;IF(AND(COUNTIF(Postos_Cod,$B154)&gt;0,IFERROR(INDEX(Postos_Status,MATCH($B154,Postos_Cod,0)),"")&lt;&gt;"Ativo"),"Sala não ativa | ","")&amp;IF(COUNTIF(Esp_Nome,$E154)=0,"Especialidade não cadastrada | ","")&amp;IF(COUNTIF(Lista_StatusCirurgia,$J154)=0,"Status inválido | ","")&amp;IF(OR(NOT(ISNUMBER($C154)),NOT(ISNUMBER($D154))),"Horário inválido | ","")&amp;IFERROR(IF(AND(ISNUMBER($C154),ISNUMBER($D154),MOD($D154-$C154,1)*1440&lt;=0),"Duração nula ou negativa | ",""),"")&amp;IF(AND($L154&gt;0,OR($R154&gt;=Turno_Min,$S154&gt;Turno_Min)),"Fora da janela do plantão | ","")&amp;IF(AND($L154&gt;0,SUMPRODUCT((Mapa_Sala=$B154)*(Mapa_Data=$A154)*(Mapa_MinOcup&gt;0)*(Mapa_RelIni&lt;$S154)*(Mapa_RelFim&gt;$R154))&gt;1),"Sobreposição de horário na sala | ","")&amp;IFERROR(IF(AND(ISNUMBER($K154),$K154&gt;0,COUNTIF(Esp_Nome,$E154)&gt;0,$K154&gt;3*INDEX(Esp_Dur,MATCH($E154,Esp_Nome,0))),"Duração atípica (&gt;3x a média) | ",""),""))</f>
        <v/>
      </c>
      <c r="R154" s="15">
        <f>IF(NOT(ISNUMBER($C154)),0,ROUND(MOD($C154-Turno_Ini,1)*1440,0))</f>
        <v/>
      </c>
      <c r="S154" s="15">
        <f>IF($L154&lt;=0,0,$R154+$K154)</f>
        <v/>
      </c>
      <c r="T154" s="15">
        <f>IF($M154="","",$B154&amp;"#"&amp;$M154)</f>
        <v/>
      </c>
      <c r="U154" s="15">
        <f>ROW()</f>
        <v/>
      </c>
    </row>
    <row r="155">
      <c r="A155" s="38" t="n"/>
      <c r="B155" s="29" t="n"/>
      <c r="C155" s="42" t="n"/>
      <c r="D155" s="42" t="n"/>
      <c r="E155" s="30" t="n"/>
      <c r="F155" s="34">
        <f>IF($E155="","",IFERROR(INDEX(Esp_Hab,MATCH($E155,Esp_Nome,0)),"—"))</f>
        <v/>
      </c>
      <c r="G155" s="30" t="n"/>
      <c r="H155" s="30" t="n"/>
      <c r="I155" s="29" t="n"/>
      <c r="J155" s="29" t="n"/>
      <c r="K155" s="37">
        <f>IF(OR($B155="",NOT(ISNUMBER($C155)),NOT(ISNUMBER($D155))),"",ROUND(MOD($D155-$C155,1)*1440,0))</f>
        <v/>
      </c>
      <c r="L155" s="37">
        <f>IF(NOT(ISNUMBER($K155)),0,IF(OR($K155&lt;=0,$J155="Cancelada",$J155="Suspensa"),0,$K155+Limpeza_Min))</f>
        <v/>
      </c>
      <c r="M155" s="37">
        <f>IF($L155&lt;=0,"",SUMPRODUCT((Mapa_Sala=$B155)*(Mapa_Data=$A155)*(Mapa_MinOcup&gt;0)*((Mapa_RelIni&lt;$R155)+((Mapa_RelIni=$R155)*(Mapa_Row&lt;=$U155)))))</f>
        <v/>
      </c>
      <c r="N155" s="43">
        <f>IF($L155&lt;=0,"",MOD(Turno_Ini+($S155+Limpeza_Min)/1440,1))</f>
        <v/>
      </c>
      <c r="O155" s="37">
        <f>IF($L155&lt;=0,"",MAX(0,IFERROR(INDEX(Mapa_RelIni,MATCH($B155&amp;"#"&amp;($M155+1),Mapa_Chave,0)),Turno_Min)-($S155+Limpeza_Min)))</f>
        <v/>
      </c>
      <c r="P155" s="19">
        <f>IF($B155="","",IF($Q155="","OK",LEFT($Q155,LEN($Q155)-3)))</f>
        <v/>
      </c>
      <c r="Q155" s="10">
        <f>IF($B155="","",IF(COUNTIF(Postos_Cod,$B155)=0,"Sala não cadastrada | ","")&amp;IF(AND(COUNTIF(Postos_Cod,$B155)&gt;0,IFERROR(INDEX(Postos_Tipo,MATCH($B155,Postos_Cod,0)),"")&lt;&gt;"Sala cirúrgica"),"Posto não é sala cirúrgica | ","")&amp;IF(AND(COUNTIF(Postos_Cod,$B155)&gt;0,IFERROR(INDEX(Postos_Status,MATCH($B155,Postos_Cod,0)),"")&lt;&gt;"Ativo"),"Sala não ativa | ","")&amp;IF(COUNTIF(Esp_Nome,$E155)=0,"Especialidade não cadastrada | ","")&amp;IF(COUNTIF(Lista_StatusCirurgia,$J155)=0,"Status inválido | ","")&amp;IF(OR(NOT(ISNUMBER($C155)),NOT(ISNUMBER($D155))),"Horário inválido | ","")&amp;IFERROR(IF(AND(ISNUMBER($C155),ISNUMBER($D155),MOD($D155-$C155,1)*1440&lt;=0),"Duração nula ou negativa | ",""),"")&amp;IF(AND($L155&gt;0,OR($R155&gt;=Turno_Min,$S155&gt;Turno_Min)),"Fora da janela do plantão | ","")&amp;IF(AND($L155&gt;0,SUMPRODUCT((Mapa_Sala=$B155)*(Mapa_Data=$A155)*(Mapa_MinOcup&gt;0)*(Mapa_RelIni&lt;$S155)*(Mapa_RelFim&gt;$R155))&gt;1),"Sobreposição de horário na sala | ","")&amp;IFERROR(IF(AND(ISNUMBER($K155),$K155&gt;0,COUNTIF(Esp_Nome,$E155)&gt;0,$K155&gt;3*INDEX(Esp_Dur,MATCH($E155,Esp_Nome,0))),"Duração atípica (&gt;3x a média) | ",""),""))</f>
        <v/>
      </c>
      <c r="R155" s="15">
        <f>IF(NOT(ISNUMBER($C155)),0,ROUND(MOD($C155-Turno_Ini,1)*1440,0))</f>
        <v/>
      </c>
      <c r="S155" s="15">
        <f>IF($L155&lt;=0,0,$R155+$K155)</f>
        <v/>
      </c>
      <c r="T155" s="15">
        <f>IF($M155="","",$B155&amp;"#"&amp;$M155)</f>
        <v/>
      </c>
      <c r="U155" s="15">
        <f>ROW()</f>
        <v/>
      </c>
    </row>
    <row r="156">
      <c r="A156" s="38" t="n"/>
      <c r="B156" s="29" t="n"/>
      <c r="C156" s="42" t="n"/>
      <c r="D156" s="42" t="n"/>
      <c r="E156" s="30" t="n"/>
      <c r="F156" s="34">
        <f>IF($E156="","",IFERROR(INDEX(Esp_Hab,MATCH($E156,Esp_Nome,0)),"—"))</f>
        <v/>
      </c>
      <c r="G156" s="30" t="n"/>
      <c r="H156" s="30" t="n"/>
      <c r="I156" s="29" t="n"/>
      <c r="J156" s="29" t="n"/>
      <c r="K156" s="37">
        <f>IF(OR($B156="",NOT(ISNUMBER($C156)),NOT(ISNUMBER($D156))),"",ROUND(MOD($D156-$C156,1)*1440,0))</f>
        <v/>
      </c>
      <c r="L156" s="37">
        <f>IF(NOT(ISNUMBER($K156)),0,IF(OR($K156&lt;=0,$J156="Cancelada",$J156="Suspensa"),0,$K156+Limpeza_Min))</f>
        <v/>
      </c>
      <c r="M156" s="37">
        <f>IF($L156&lt;=0,"",SUMPRODUCT((Mapa_Sala=$B156)*(Mapa_Data=$A156)*(Mapa_MinOcup&gt;0)*((Mapa_RelIni&lt;$R156)+((Mapa_RelIni=$R156)*(Mapa_Row&lt;=$U156)))))</f>
        <v/>
      </c>
      <c r="N156" s="43">
        <f>IF($L156&lt;=0,"",MOD(Turno_Ini+($S156+Limpeza_Min)/1440,1))</f>
        <v/>
      </c>
      <c r="O156" s="37">
        <f>IF($L156&lt;=0,"",MAX(0,IFERROR(INDEX(Mapa_RelIni,MATCH($B156&amp;"#"&amp;($M156+1),Mapa_Chave,0)),Turno_Min)-($S156+Limpeza_Min)))</f>
        <v/>
      </c>
      <c r="P156" s="19">
        <f>IF($B156="","",IF($Q156="","OK",LEFT($Q156,LEN($Q156)-3)))</f>
        <v/>
      </c>
      <c r="Q156" s="10">
        <f>IF($B156="","",IF(COUNTIF(Postos_Cod,$B156)=0,"Sala não cadastrada | ","")&amp;IF(AND(COUNTIF(Postos_Cod,$B156)&gt;0,IFERROR(INDEX(Postos_Tipo,MATCH($B156,Postos_Cod,0)),"")&lt;&gt;"Sala cirúrgica"),"Posto não é sala cirúrgica | ","")&amp;IF(AND(COUNTIF(Postos_Cod,$B156)&gt;0,IFERROR(INDEX(Postos_Status,MATCH($B156,Postos_Cod,0)),"")&lt;&gt;"Ativo"),"Sala não ativa | ","")&amp;IF(COUNTIF(Esp_Nome,$E156)=0,"Especialidade não cadastrada | ","")&amp;IF(COUNTIF(Lista_StatusCirurgia,$J156)=0,"Status inválido | ","")&amp;IF(OR(NOT(ISNUMBER($C156)),NOT(ISNUMBER($D156))),"Horário inválido | ","")&amp;IFERROR(IF(AND(ISNUMBER($C156),ISNUMBER($D156),MOD($D156-$C156,1)*1440&lt;=0),"Duração nula ou negativa | ",""),"")&amp;IF(AND($L156&gt;0,OR($R156&gt;=Turno_Min,$S156&gt;Turno_Min)),"Fora da janela do plantão | ","")&amp;IF(AND($L156&gt;0,SUMPRODUCT((Mapa_Sala=$B156)*(Mapa_Data=$A156)*(Mapa_MinOcup&gt;0)*(Mapa_RelIni&lt;$S156)*(Mapa_RelFim&gt;$R156))&gt;1),"Sobreposição de horário na sala | ","")&amp;IFERROR(IF(AND(ISNUMBER($K156),$K156&gt;0,COUNTIF(Esp_Nome,$E156)&gt;0,$K156&gt;3*INDEX(Esp_Dur,MATCH($E156,Esp_Nome,0))),"Duração atípica (&gt;3x a média) | ",""),""))</f>
        <v/>
      </c>
      <c r="R156" s="15">
        <f>IF(NOT(ISNUMBER($C156)),0,ROUND(MOD($C156-Turno_Ini,1)*1440,0))</f>
        <v/>
      </c>
      <c r="S156" s="15">
        <f>IF($L156&lt;=0,0,$R156+$K156)</f>
        <v/>
      </c>
      <c r="T156" s="15">
        <f>IF($M156="","",$B156&amp;"#"&amp;$M156)</f>
        <v/>
      </c>
      <c r="U156" s="15">
        <f>ROW()</f>
        <v/>
      </c>
    </row>
    <row r="157">
      <c r="A157" s="38" t="n"/>
      <c r="B157" s="29" t="n"/>
      <c r="C157" s="42" t="n"/>
      <c r="D157" s="42" t="n"/>
      <c r="E157" s="30" t="n"/>
      <c r="F157" s="34">
        <f>IF($E157="","",IFERROR(INDEX(Esp_Hab,MATCH($E157,Esp_Nome,0)),"—"))</f>
        <v/>
      </c>
      <c r="G157" s="30" t="n"/>
      <c r="H157" s="30" t="n"/>
      <c r="I157" s="29" t="n"/>
      <c r="J157" s="29" t="n"/>
      <c r="K157" s="37">
        <f>IF(OR($B157="",NOT(ISNUMBER($C157)),NOT(ISNUMBER($D157))),"",ROUND(MOD($D157-$C157,1)*1440,0))</f>
        <v/>
      </c>
      <c r="L157" s="37">
        <f>IF(NOT(ISNUMBER($K157)),0,IF(OR($K157&lt;=0,$J157="Cancelada",$J157="Suspensa"),0,$K157+Limpeza_Min))</f>
        <v/>
      </c>
      <c r="M157" s="37">
        <f>IF($L157&lt;=0,"",SUMPRODUCT((Mapa_Sala=$B157)*(Mapa_Data=$A157)*(Mapa_MinOcup&gt;0)*((Mapa_RelIni&lt;$R157)+((Mapa_RelIni=$R157)*(Mapa_Row&lt;=$U157)))))</f>
        <v/>
      </c>
      <c r="N157" s="43">
        <f>IF($L157&lt;=0,"",MOD(Turno_Ini+($S157+Limpeza_Min)/1440,1))</f>
        <v/>
      </c>
      <c r="O157" s="37">
        <f>IF($L157&lt;=0,"",MAX(0,IFERROR(INDEX(Mapa_RelIni,MATCH($B157&amp;"#"&amp;($M157+1),Mapa_Chave,0)),Turno_Min)-($S157+Limpeza_Min)))</f>
        <v/>
      </c>
      <c r="P157" s="19">
        <f>IF($B157="","",IF($Q157="","OK",LEFT($Q157,LEN($Q157)-3)))</f>
        <v/>
      </c>
      <c r="Q157" s="10">
        <f>IF($B157="","",IF(COUNTIF(Postos_Cod,$B157)=0,"Sala não cadastrada | ","")&amp;IF(AND(COUNTIF(Postos_Cod,$B157)&gt;0,IFERROR(INDEX(Postos_Tipo,MATCH($B157,Postos_Cod,0)),"")&lt;&gt;"Sala cirúrgica"),"Posto não é sala cirúrgica | ","")&amp;IF(AND(COUNTIF(Postos_Cod,$B157)&gt;0,IFERROR(INDEX(Postos_Status,MATCH($B157,Postos_Cod,0)),"")&lt;&gt;"Ativo"),"Sala não ativa | ","")&amp;IF(COUNTIF(Esp_Nome,$E157)=0,"Especialidade não cadastrada | ","")&amp;IF(COUNTIF(Lista_StatusCirurgia,$J157)=0,"Status inválido | ","")&amp;IF(OR(NOT(ISNUMBER($C157)),NOT(ISNUMBER($D157))),"Horário inválido | ","")&amp;IFERROR(IF(AND(ISNUMBER($C157),ISNUMBER($D157),MOD($D157-$C157,1)*1440&lt;=0),"Duração nula ou negativa | ",""),"")&amp;IF(AND($L157&gt;0,OR($R157&gt;=Turno_Min,$S157&gt;Turno_Min)),"Fora da janela do plantão | ","")&amp;IF(AND($L157&gt;0,SUMPRODUCT((Mapa_Sala=$B157)*(Mapa_Data=$A157)*(Mapa_MinOcup&gt;0)*(Mapa_RelIni&lt;$S157)*(Mapa_RelFim&gt;$R157))&gt;1),"Sobreposição de horário na sala | ","")&amp;IFERROR(IF(AND(ISNUMBER($K157),$K157&gt;0,COUNTIF(Esp_Nome,$E157)&gt;0,$K157&gt;3*INDEX(Esp_Dur,MATCH($E157,Esp_Nome,0))),"Duração atípica (&gt;3x a média) | ",""),""))</f>
        <v/>
      </c>
      <c r="R157" s="15">
        <f>IF(NOT(ISNUMBER($C157)),0,ROUND(MOD($C157-Turno_Ini,1)*1440,0))</f>
        <v/>
      </c>
      <c r="S157" s="15">
        <f>IF($L157&lt;=0,0,$R157+$K157)</f>
        <v/>
      </c>
      <c r="T157" s="15">
        <f>IF($M157="","",$B157&amp;"#"&amp;$M157)</f>
        <v/>
      </c>
      <c r="U157" s="15">
        <f>ROW()</f>
        <v/>
      </c>
    </row>
    <row r="158">
      <c r="A158" s="38" t="n"/>
      <c r="B158" s="29" t="n"/>
      <c r="C158" s="42" t="n"/>
      <c r="D158" s="42" t="n"/>
      <c r="E158" s="30" t="n"/>
      <c r="F158" s="34">
        <f>IF($E158="","",IFERROR(INDEX(Esp_Hab,MATCH($E158,Esp_Nome,0)),"—"))</f>
        <v/>
      </c>
      <c r="G158" s="30" t="n"/>
      <c r="H158" s="30" t="n"/>
      <c r="I158" s="29" t="n"/>
      <c r="J158" s="29" t="n"/>
      <c r="K158" s="37">
        <f>IF(OR($B158="",NOT(ISNUMBER($C158)),NOT(ISNUMBER($D158))),"",ROUND(MOD($D158-$C158,1)*1440,0))</f>
        <v/>
      </c>
      <c r="L158" s="37">
        <f>IF(NOT(ISNUMBER($K158)),0,IF(OR($K158&lt;=0,$J158="Cancelada",$J158="Suspensa"),0,$K158+Limpeza_Min))</f>
        <v/>
      </c>
      <c r="M158" s="37">
        <f>IF($L158&lt;=0,"",SUMPRODUCT((Mapa_Sala=$B158)*(Mapa_Data=$A158)*(Mapa_MinOcup&gt;0)*((Mapa_RelIni&lt;$R158)+((Mapa_RelIni=$R158)*(Mapa_Row&lt;=$U158)))))</f>
        <v/>
      </c>
      <c r="N158" s="43">
        <f>IF($L158&lt;=0,"",MOD(Turno_Ini+($S158+Limpeza_Min)/1440,1))</f>
        <v/>
      </c>
      <c r="O158" s="37">
        <f>IF($L158&lt;=0,"",MAX(0,IFERROR(INDEX(Mapa_RelIni,MATCH($B158&amp;"#"&amp;($M158+1),Mapa_Chave,0)),Turno_Min)-($S158+Limpeza_Min)))</f>
        <v/>
      </c>
      <c r="P158" s="19">
        <f>IF($B158="","",IF($Q158="","OK",LEFT($Q158,LEN($Q158)-3)))</f>
        <v/>
      </c>
      <c r="Q158" s="10">
        <f>IF($B158="","",IF(COUNTIF(Postos_Cod,$B158)=0,"Sala não cadastrada | ","")&amp;IF(AND(COUNTIF(Postos_Cod,$B158)&gt;0,IFERROR(INDEX(Postos_Tipo,MATCH($B158,Postos_Cod,0)),"")&lt;&gt;"Sala cirúrgica"),"Posto não é sala cirúrgica | ","")&amp;IF(AND(COUNTIF(Postos_Cod,$B158)&gt;0,IFERROR(INDEX(Postos_Status,MATCH($B158,Postos_Cod,0)),"")&lt;&gt;"Ativo"),"Sala não ativa | ","")&amp;IF(COUNTIF(Esp_Nome,$E158)=0,"Especialidade não cadastrada | ","")&amp;IF(COUNTIF(Lista_StatusCirurgia,$J158)=0,"Status inválido | ","")&amp;IF(OR(NOT(ISNUMBER($C158)),NOT(ISNUMBER($D158))),"Horário inválido | ","")&amp;IFERROR(IF(AND(ISNUMBER($C158),ISNUMBER($D158),MOD($D158-$C158,1)*1440&lt;=0),"Duração nula ou negativa | ",""),"")&amp;IF(AND($L158&gt;0,OR($R158&gt;=Turno_Min,$S158&gt;Turno_Min)),"Fora da janela do plantão | ","")&amp;IF(AND($L158&gt;0,SUMPRODUCT((Mapa_Sala=$B158)*(Mapa_Data=$A158)*(Mapa_MinOcup&gt;0)*(Mapa_RelIni&lt;$S158)*(Mapa_RelFim&gt;$R158))&gt;1),"Sobreposição de horário na sala | ","")&amp;IFERROR(IF(AND(ISNUMBER($K158),$K158&gt;0,COUNTIF(Esp_Nome,$E158)&gt;0,$K158&gt;3*INDEX(Esp_Dur,MATCH($E158,Esp_Nome,0))),"Duração atípica (&gt;3x a média) | ",""),""))</f>
        <v/>
      </c>
      <c r="R158" s="15">
        <f>IF(NOT(ISNUMBER($C158)),0,ROUND(MOD($C158-Turno_Ini,1)*1440,0))</f>
        <v/>
      </c>
      <c r="S158" s="15">
        <f>IF($L158&lt;=0,0,$R158+$K158)</f>
        <v/>
      </c>
      <c r="T158" s="15">
        <f>IF($M158="","",$B158&amp;"#"&amp;$M158)</f>
        <v/>
      </c>
      <c r="U158" s="15">
        <f>ROW()</f>
        <v/>
      </c>
    </row>
    <row r="159">
      <c r="A159" s="38" t="n"/>
      <c r="B159" s="29" t="n"/>
      <c r="C159" s="42" t="n"/>
      <c r="D159" s="42" t="n"/>
      <c r="E159" s="30" t="n"/>
      <c r="F159" s="34">
        <f>IF($E159="","",IFERROR(INDEX(Esp_Hab,MATCH($E159,Esp_Nome,0)),"—"))</f>
        <v/>
      </c>
      <c r="G159" s="30" t="n"/>
      <c r="H159" s="30" t="n"/>
      <c r="I159" s="29" t="n"/>
      <c r="J159" s="29" t="n"/>
      <c r="K159" s="37">
        <f>IF(OR($B159="",NOT(ISNUMBER($C159)),NOT(ISNUMBER($D159))),"",ROUND(MOD($D159-$C159,1)*1440,0))</f>
        <v/>
      </c>
      <c r="L159" s="37">
        <f>IF(NOT(ISNUMBER($K159)),0,IF(OR($K159&lt;=0,$J159="Cancelada",$J159="Suspensa"),0,$K159+Limpeza_Min))</f>
        <v/>
      </c>
      <c r="M159" s="37">
        <f>IF($L159&lt;=0,"",SUMPRODUCT((Mapa_Sala=$B159)*(Mapa_Data=$A159)*(Mapa_MinOcup&gt;0)*((Mapa_RelIni&lt;$R159)+((Mapa_RelIni=$R159)*(Mapa_Row&lt;=$U159)))))</f>
        <v/>
      </c>
      <c r="N159" s="43">
        <f>IF($L159&lt;=0,"",MOD(Turno_Ini+($S159+Limpeza_Min)/1440,1))</f>
        <v/>
      </c>
      <c r="O159" s="37">
        <f>IF($L159&lt;=0,"",MAX(0,IFERROR(INDEX(Mapa_RelIni,MATCH($B159&amp;"#"&amp;($M159+1),Mapa_Chave,0)),Turno_Min)-($S159+Limpeza_Min)))</f>
        <v/>
      </c>
      <c r="P159" s="19">
        <f>IF($B159="","",IF($Q159="","OK",LEFT($Q159,LEN($Q159)-3)))</f>
        <v/>
      </c>
      <c r="Q159" s="10">
        <f>IF($B159="","",IF(COUNTIF(Postos_Cod,$B159)=0,"Sala não cadastrada | ","")&amp;IF(AND(COUNTIF(Postos_Cod,$B159)&gt;0,IFERROR(INDEX(Postos_Tipo,MATCH($B159,Postos_Cod,0)),"")&lt;&gt;"Sala cirúrgica"),"Posto não é sala cirúrgica | ","")&amp;IF(AND(COUNTIF(Postos_Cod,$B159)&gt;0,IFERROR(INDEX(Postos_Status,MATCH($B159,Postos_Cod,0)),"")&lt;&gt;"Ativo"),"Sala não ativa | ","")&amp;IF(COUNTIF(Esp_Nome,$E159)=0,"Especialidade não cadastrada | ","")&amp;IF(COUNTIF(Lista_StatusCirurgia,$J159)=0,"Status inválido | ","")&amp;IF(OR(NOT(ISNUMBER($C159)),NOT(ISNUMBER($D159))),"Horário inválido | ","")&amp;IFERROR(IF(AND(ISNUMBER($C159),ISNUMBER($D159),MOD($D159-$C159,1)*1440&lt;=0),"Duração nula ou negativa | ",""),"")&amp;IF(AND($L159&gt;0,OR($R159&gt;=Turno_Min,$S159&gt;Turno_Min)),"Fora da janela do plantão | ","")&amp;IF(AND($L159&gt;0,SUMPRODUCT((Mapa_Sala=$B159)*(Mapa_Data=$A159)*(Mapa_MinOcup&gt;0)*(Mapa_RelIni&lt;$S159)*(Mapa_RelFim&gt;$R159))&gt;1),"Sobreposição de horário na sala | ","")&amp;IFERROR(IF(AND(ISNUMBER($K159),$K159&gt;0,COUNTIF(Esp_Nome,$E159)&gt;0,$K159&gt;3*INDEX(Esp_Dur,MATCH($E159,Esp_Nome,0))),"Duração atípica (&gt;3x a média) | ",""),""))</f>
        <v/>
      </c>
      <c r="R159" s="15">
        <f>IF(NOT(ISNUMBER($C159)),0,ROUND(MOD($C159-Turno_Ini,1)*1440,0))</f>
        <v/>
      </c>
      <c r="S159" s="15">
        <f>IF($L159&lt;=0,0,$R159+$K159)</f>
        <v/>
      </c>
      <c r="T159" s="15">
        <f>IF($M159="","",$B159&amp;"#"&amp;$M159)</f>
        <v/>
      </c>
      <c r="U159" s="15">
        <f>ROW()</f>
        <v/>
      </c>
    </row>
    <row r="160">
      <c r="A160" s="38" t="n"/>
      <c r="B160" s="29" t="n"/>
      <c r="C160" s="42" t="n"/>
      <c r="D160" s="42" t="n"/>
      <c r="E160" s="30" t="n"/>
      <c r="F160" s="34">
        <f>IF($E160="","",IFERROR(INDEX(Esp_Hab,MATCH($E160,Esp_Nome,0)),"—"))</f>
        <v/>
      </c>
      <c r="G160" s="30" t="n"/>
      <c r="H160" s="30" t="n"/>
      <c r="I160" s="29" t="n"/>
      <c r="J160" s="29" t="n"/>
      <c r="K160" s="37">
        <f>IF(OR($B160="",NOT(ISNUMBER($C160)),NOT(ISNUMBER($D160))),"",ROUND(MOD($D160-$C160,1)*1440,0))</f>
        <v/>
      </c>
      <c r="L160" s="37">
        <f>IF(NOT(ISNUMBER($K160)),0,IF(OR($K160&lt;=0,$J160="Cancelada",$J160="Suspensa"),0,$K160+Limpeza_Min))</f>
        <v/>
      </c>
      <c r="M160" s="37">
        <f>IF($L160&lt;=0,"",SUMPRODUCT((Mapa_Sala=$B160)*(Mapa_Data=$A160)*(Mapa_MinOcup&gt;0)*((Mapa_RelIni&lt;$R160)+((Mapa_RelIni=$R160)*(Mapa_Row&lt;=$U160)))))</f>
        <v/>
      </c>
      <c r="N160" s="43">
        <f>IF($L160&lt;=0,"",MOD(Turno_Ini+($S160+Limpeza_Min)/1440,1))</f>
        <v/>
      </c>
      <c r="O160" s="37">
        <f>IF($L160&lt;=0,"",MAX(0,IFERROR(INDEX(Mapa_RelIni,MATCH($B160&amp;"#"&amp;($M160+1),Mapa_Chave,0)),Turno_Min)-($S160+Limpeza_Min)))</f>
        <v/>
      </c>
      <c r="P160" s="19">
        <f>IF($B160="","",IF($Q160="","OK",LEFT($Q160,LEN($Q160)-3)))</f>
        <v/>
      </c>
      <c r="Q160" s="10">
        <f>IF($B160="","",IF(COUNTIF(Postos_Cod,$B160)=0,"Sala não cadastrada | ","")&amp;IF(AND(COUNTIF(Postos_Cod,$B160)&gt;0,IFERROR(INDEX(Postos_Tipo,MATCH($B160,Postos_Cod,0)),"")&lt;&gt;"Sala cirúrgica"),"Posto não é sala cirúrgica | ","")&amp;IF(AND(COUNTIF(Postos_Cod,$B160)&gt;0,IFERROR(INDEX(Postos_Status,MATCH($B160,Postos_Cod,0)),"")&lt;&gt;"Ativo"),"Sala não ativa | ","")&amp;IF(COUNTIF(Esp_Nome,$E160)=0,"Especialidade não cadastrada | ","")&amp;IF(COUNTIF(Lista_StatusCirurgia,$J160)=0,"Status inválido | ","")&amp;IF(OR(NOT(ISNUMBER($C160)),NOT(ISNUMBER($D160))),"Horário inválido | ","")&amp;IFERROR(IF(AND(ISNUMBER($C160),ISNUMBER($D160),MOD($D160-$C160,1)*1440&lt;=0),"Duração nula ou negativa | ",""),"")&amp;IF(AND($L160&gt;0,OR($R160&gt;=Turno_Min,$S160&gt;Turno_Min)),"Fora da janela do plantão | ","")&amp;IF(AND($L160&gt;0,SUMPRODUCT((Mapa_Sala=$B160)*(Mapa_Data=$A160)*(Mapa_MinOcup&gt;0)*(Mapa_RelIni&lt;$S160)*(Mapa_RelFim&gt;$R160))&gt;1),"Sobreposição de horário na sala | ","")&amp;IFERROR(IF(AND(ISNUMBER($K160),$K160&gt;0,COUNTIF(Esp_Nome,$E160)&gt;0,$K160&gt;3*INDEX(Esp_Dur,MATCH($E160,Esp_Nome,0))),"Duração atípica (&gt;3x a média) | ",""),""))</f>
        <v/>
      </c>
      <c r="R160" s="15">
        <f>IF(NOT(ISNUMBER($C160)),0,ROUND(MOD($C160-Turno_Ini,1)*1440,0))</f>
        <v/>
      </c>
      <c r="S160" s="15">
        <f>IF($L160&lt;=0,0,$R160+$K160)</f>
        <v/>
      </c>
      <c r="T160" s="15">
        <f>IF($M160="","",$B160&amp;"#"&amp;$M160)</f>
        <v/>
      </c>
      <c r="U160" s="15">
        <f>ROW()</f>
        <v/>
      </c>
    </row>
    <row r="161">
      <c r="A161" s="38" t="n"/>
      <c r="B161" s="29" t="n"/>
      <c r="C161" s="42" t="n"/>
      <c r="D161" s="42" t="n"/>
      <c r="E161" s="30" t="n"/>
      <c r="F161" s="34">
        <f>IF($E161="","",IFERROR(INDEX(Esp_Hab,MATCH($E161,Esp_Nome,0)),"—"))</f>
        <v/>
      </c>
      <c r="G161" s="30" t="n"/>
      <c r="H161" s="30" t="n"/>
      <c r="I161" s="29" t="n"/>
      <c r="J161" s="29" t="n"/>
      <c r="K161" s="37">
        <f>IF(OR($B161="",NOT(ISNUMBER($C161)),NOT(ISNUMBER($D161))),"",ROUND(MOD($D161-$C161,1)*1440,0))</f>
        <v/>
      </c>
      <c r="L161" s="37">
        <f>IF(NOT(ISNUMBER($K161)),0,IF(OR($K161&lt;=0,$J161="Cancelada",$J161="Suspensa"),0,$K161+Limpeza_Min))</f>
        <v/>
      </c>
      <c r="M161" s="37">
        <f>IF($L161&lt;=0,"",SUMPRODUCT((Mapa_Sala=$B161)*(Mapa_Data=$A161)*(Mapa_MinOcup&gt;0)*((Mapa_RelIni&lt;$R161)+((Mapa_RelIni=$R161)*(Mapa_Row&lt;=$U161)))))</f>
        <v/>
      </c>
      <c r="N161" s="43">
        <f>IF($L161&lt;=0,"",MOD(Turno_Ini+($S161+Limpeza_Min)/1440,1))</f>
        <v/>
      </c>
      <c r="O161" s="37">
        <f>IF($L161&lt;=0,"",MAX(0,IFERROR(INDEX(Mapa_RelIni,MATCH($B161&amp;"#"&amp;($M161+1),Mapa_Chave,0)),Turno_Min)-($S161+Limpeza_Min)))</f>
        <v/>
      </c>
      <c r="P161" s="19">
        <f>IF($B161="","",IF($Q161="","OK",LEFT($Q161,LEN($Q161)-3)))</f>
        <v/>
      </c>
      <c r="Q161" s="10">
        <f>IF($B161="","",IF(COUNTIF(Postos_Cod,$B161)=0,"Sala não cadastrada | ","")&amp;IF(AND(COUNTIF(Postos_Cod,$B161)&gt;0,IFERROR(INDEX(Postos_Tipo,MATCH($B161,Postos_Cod,0)),"")&lt;&gt;"Sala cirúrgica"),"Posto não é sala cirúrgica | ","")&amp;IF(AND(COUNTIF(Postos_Cod,$B161)&gt;0,IFERROR(INDEX(Postos_Status,MATCH($B161,Postos_Cod,0)),"")&lt;&gt;"Ativo"),"Sala não ativa | ","")&amp;IF(COUNTIF(Esp_Nome,$E161)=0,"Especialidade não cadastrada | ","")&amp;IF(COUNTIF(Lista_StatusCirurgia,$J161)=0,"Status inválido | ","")&amp;IF(OR(NOT(ISNUMBER($C161)),NOT(ISNUMBER($D161))),"Horário inválido | ","")&amp;IFERROR(IF(AND(ISNUMBER($C161),ISNUMBER($D161),MOD($D161-$C161,1)*1440&lt;=0),"Duração nula ou negativa | ",""),"")&amp;IF(AND($L161&gt;0,OR($R161&gt;=Turno_Min,$S161&gt;Turno_Min)),"Fora da janela do plantão | ","")&amp;IF(AND($L161&gt;0,SUMPRODUCT((Mapa_Sala=$B161)*(Mapa_Data=$A161)*(Mapa_MinOcup&gt;0)*(Mapa_RelIni&lt;$S161)*(Mapa_RelFim&gt;$R161))&gt;1),"Sobreposição de horário na sala | ","")&amp;IFERROR(IF(AND(ISNUMBER($K161),$K161&gt;0,COUNTIF(Esp_Nome,$E161)&gt;0,$K161&gt;3*INDEX(Esp_Dur,MATCH($E161,Esp_Nome,0))),"Duração atípica (&gt;3x a média) | ",""),""))</f>
        <v/>
      </c>
      <c r="R161" s="15">
        <f>IF(NOT(ISNUMBER($C161)),0,ROUND(MOD($C161-Turno_Ini,1)*1440,0))</f>
        <v/>
      </c>
      <c r="S161" s="15">
        <f>IF($L161&lt;=0,0,$R161+$K161)</f>
        <v/>
      </c>
      <c r="T161" s="15">
        <f>IF($M161="","",$B161&amp;"#"&amp;$M161)</f>
        <v/>
      </c>
      <c r="U161" s="15">
        <f>ROW()</f>
        <v/>
      </c>
    </row>
    <row r="162">
      <c r="A162" s="38" t="n"/>
      <c r="B162" s="29" t="n"/>
      <c r="C162" s="42" t="n"/>
      <c r="D162" s="42" t="n"/>
      <c r="E162" s="30" t="n"/>
      <c r="F162" s="34">
        <f>IF($E162="","",IFERROR(INDEX(Esp_Hab,MATCH($E162,Esp_Nome,0)),"—"))</f>
        <v/>
      </c>
      <c r="G162" s="30" t="n"/>
      <c r="H162" s="30" t="n"/>
      <c r="I162" s="29" t="n"/>
      <c r="J162" s="29" t="n"/>
      <c r="K162" s="37">
        <f>IF(OR($B162="",NOT(ISNUMBER($C162)),NOT(ISNUMBER($D162))),"",ROUND(MOD($D162-$C162,1)*1440,0))</f>
        <v/>
      </c>
      <c r="L162" s="37">
        <f>IF(NOT(ISNUMBER($K162)),0,IF(OR($K162&lt;=0,$J162="Cancelada",$J162="Suspensa"),0,$K162+Limpeza_Min))</f>
        <v/>
      </c>
      <c r="M162" s="37">
        <f>IF($L162&lt;=0,"",SUMPRODUCT((Mapa_Sala=$B162)*(Mapa_Data=$A162)*(Mapa_MinOcup&gt;0)*((Mapa_RelIni&lt;$R162)+((Mapa_RelIni=$R162)*(Mapa_Row&lt;=$U162)))))</f>
        <v/>
      </c>
      <c r="N162" s="43">
        <f>IF($L162&lt;=0,"",MOD(Turno_Ini+($S162+Limpeza_Min)/1440,1))</f>
        <v/>
      </c>
      <c r="O162" s="37">
        <f>IF($L162&lt;=0,"",MAX(0,IFERROR(INDEX(Mapa_RelIni,MATCH($B162&amp;"#"&amp;($M162+1),Mapa_Chave,0)),Turno_Min)-($S162+Limpeza_Min)))</f>
        <v/>
      </c>
      <c r="P162" s="19">
        <f>IF($B162="","",IF($Q162="","OK",LEFT($Q162,LEN($Q162)-3)))</f>
        <v/>
      </c>
      <c r="Q162" s="10">
        <f>IF($B162="","",IF(COUNTIF(Postos_Cod,$B162)=0,"Sala não cadastrada | ","")&amp;IF(AND(COUNTIF(Postos_Cod,$B162)&gt;0,IFERROR(INDEX(Postos_Tipo,MATCH($B162,Postos_Cod,0)),"")&lt;&gt;"Sala cirúrgica"),"Posto não é sala cirúrgica | ","")&amp;IF(AND(COUNTIF(Postos_Cod,$B162)&gt;0,IFERROR(INDEX(Postos_Status,MATCH($B162,Postos_Cod,0)),"")&lt;&gt;"Ativo"),"Sala não ativa | ","")&amp;IF(COUNTIF(Esp_Nome,$E162)=0,"Especialidade não cadastrada | ","")&amp;IF(COUNTIF(Lista_StatusCirurgia,$J162)=0,"Status inválido | ","")&amp;IF(OR(NOT(ISNUMBER($C162)),NOT(ISNUMBER($D162))),"Horário inválido | ","")&amp;IFERROR(IF(AND(ISNUMBER($C162),ISNUMBER($D162),MOD($D162-$C162,1)*1440&lt;=0),"Duração nula ou negativa | ",""),"")&amp;IF(AND($L162&gt;0,OR($R162&gt;=Turno_Min,$S162&gt;Turno_Min)),"Fora da janela do plantão | ","")&amp;IF(AND($L162&gt;0,SUMPRODUCT((Mapa_Sala=$B162)*(Mapa_Data=$A162)*(Mapa_MinOcup&gt;0)*(Mapa_RelIni&lt;$S162)*(Mapa_RelFim&gt;$R162))&gt;1),"Sobreposição de horário na sala | ","")&amp;IFERROR(IF(AND(ISNUMBER($K162),$K162&gt;0,COUNTIF(Esp_Nome,$E162)&gt;0,$K162&gt;3*INDEX(Esp_Dur,MATCH($E162,Esp_Nome,0))),"Duração atípica (&gt;3x a média) | ",""),""))</f>
        <v/>
      </c>
      <c r="R162" s="15">
        <f>IF(NOT(ISNUMBER($C162)),0,ROUND(MOD($C162-Turno_Ini,1)*1440,0))</f>
        <v/>
      </c>
      <c r="S162" s="15">
        <f>IF($L162&lt;=0,0,$R162+$K162)</f>
        <v/>
      </c>
      <c r="T162" s="15">
        <f>IF($M162="","",$B162&amp;"#"&amp;$M162)</f>
        <v/>
      </c>
      <c r="U162" s="15">
        <f>ROW()</f>
        <v/>
      </c>
    </row>
    <row r="163">
      <c r="A163" s="38" t="n"/>
      <c r="B163" s="29" t="n"/>
      <c r="C163" s="42" t="n"/>
      <c r="D163" s="42" t="n"/>
      <c r="E163" s="30" t="n"/>
      <c r="F163" s="34">
        <f>IF($E163="","",IFERROR(INDEX(Esp_Hab,MATCH($E163,Esp_Nome,0)),"—"))</f>
        <v/>
      </c>
      <c r="G163" s="30" t="n"/>
      <c r="H163" s="30" t="n"/>
      <c r="I163" s="29" t="n"/>
      <c r="J163" s="29" t="n"/>
      <c r="K163" s="37">
        <f>IF(OR($B163="",NOT(ISNUMBER($C163)),NOT(ISNUMBER($D163))),"",ROUND(MOD($D163-$C163,1)*1440,0))</f>
        <v/>
      </c>
      <c r="L163" s="37">
        <f>IF(NOT(ISNUMBER($K163)),0,IF(OR($K163&lt;=0,$J163="Cancelada",$J163="Suspensa"),0,$K163+Limpeza_Min))</f>
        <v/>
      </c>
      <c r="M163" s="37">
        <f>IF($L163&lt;=0,"",SUMPRODUCT((Mapa_Sala=$B163)*(Mapa_Data=$A163)*(Mapa_MinOcup&gt;0)*((Mapa_RelIni&lt;$R163)+((Mapa_RelIni=$R163)*(Mapa_Row&lt;=$U163)))))</f>
        <v/>
      </c>
      <c r="N163" s="43">
        <f>IF($L163&lt;=0,"",MOD(Turno_Ini+($S163+Limpeza_Min)/1440,1))</f>
        <v/>
      </c>
      <c r="O163" s="37">
        <f>IF($L163&lt;=0,"",MAX(0,IFERROR(INDEX(Mapa_RelIni,MATCH($B163&amp;"#"&amp;($M163+1),Mapa_Chave,0)),Turno_Min)-($S163+Limpeza_Min)))</f>
        <v/>
      </c>
      <c r="P163" s="19">
        <f>IF($B163="","",IF($Q163="","OK",LEFT($Q163,LEN($Q163)-3)))</f>
        <v/>
      </c>
      <c r="Q163" s="10">
        <f>IF($B163="","",IF(COUNTIF(Postos_Cod,$B163)=0,"Sala não cadastrada | ","")&amp;IF(AND(COUNTIF(Postos_Cod,$B163)&gt;0,IFERROR(INDEX(Postos_Tipo,MATCH($B163,Postos_Cod,0)),"")&lt;&gt;"Sala cirúrgica"),"Posto não é sala cirúrgica | ","")&amp;IF(AND(COUNTIF(Postos_Cod,$B163)&gt;0,IFERROR(INDEX(Postos_Status,MATCH($B163,Postos_Cod,0)),"")&lt;&gt;"Ativo"),"Sala não ativa | ","")&amp;IF(COUNTIF(Esp_Nome,$E163)=0,"Especialidade não cadastrada | ","")&amp;IF(COUNTIF(Lista_StatusCirurgia,$J163)=0,"Status inválido | ","")&amp;IF(OR(NOT(ISNUMBER($C163)),NOT(ISNUMBER($D163))),"Horário inválido | ","")&amp;IFERROR(IF(AND(ISNUMBER($C163),ISNUMBER($D163),MOD($D163-$C163,1)*1440&lt;=0),"Duração nula ou negativa | ",""),"")&amp;IF(AND($L163&gt;0,OR($R163&gt;=Turno_Min,$S163&gt;Turno_Min)),"Fora da janela do plantão | ","")&amp;IF(AND($L163&gt;0,SUMPRODUCT((Mapa_Sala=$B163)*(Mapa_Data=$A163)*(Mapa_MinOcup&gt;0)*(Mapa_RelIni&lt;$S163)*(Mapa_RelFim&gt;$R163))&gt;1),"Sobreposição de horário na sala | ","")&amp;IFERROR(IF(AND(ISNUMBER($K163),$K163&gt;0,COUNTIF(Esp_Nome,$E163)&gt;0,$K163&gt;3*INDEX(Esp_Dur,MATCH($E163,Esp_Nome,0))),"Duração atípica (&gt;3x a média) | ",""),""))</f>
        <v/>
      </c>
      <c r="R163" s="15">
        <f>IF(NOT(ISNUMBER($C163)),0,ROUND(MOD($C163-Turno_Ini,1)*1440,0))</f>
        <v/>
      </c>
      <c r="S163" s="15">
        <f>IF($L163&lt;=0,0,$R163+$K163)</f>
        <v/>
      </c>
      <c r="T163" s="15">
        <f>IF($M163="","",$B163&amp;"#"&amp;$M163)</f>
        <v/>
      </c>
      <c r="U163" s="15">
        <f>ROW()</f>
        <v/>
      </c>
    </row>
    <row r="164">
      <c r="A164" s="38" t="n"/>
      <c r="B164" s="29" t="n"/>
      <c r="C164" s="42" t="n"/>
      <c r="D164" s="42" t="n"/>
      <c r="E164" s="30" t="n"/>
      <c r="F164" s="34">
        <f>IF($E164="","",IFERROR(INDEX(Esp_Hab,MATCH($E164,Esp_Nome,0)),"—"))</f>
        <v/>
      </c>
      <c r="G164" s="30" t="n"/>
      <c r="H164" s="30" t="n"/>
      <c r="I164" s="29" t="n"/>
      <c r="J164" s="29" t="n"/>
      <c r="K164" s="37">
        <f>IF(OR($B164="",NOT(ISNUMBER($C164)),NOT(ISNUMBER($D164))),"",ROUND(MOD($D164-$C164,1)*1440,0))</f>
        <v/>
      </c>
      <c r="L164" s="37">
        <f>IF(NOT(ISNUMBER($K164)),0,IF(OR($K164&lt;=0,$J164="Cancelada",$J164="Suspensa"),0,$K164+Limpeza_Min))</f>
        <v/>
      </c>
      <c r="M164" s="37">
        <f>IF($L164&lt;=0,"",SUMPRODUCT((Mapa_Sala=$B164)*(Mapa_Data=$A164)*(Mapa_MinOcup&gt;0)*((Mapa_RelIni&lt;$R164)+((Mapa_RelIni=$R164)*(Mapa_Row&lt;=$U164)))))</f>
        <v/>
      </c>
      <c r="N164" s="43">
        <f>IF($L164&lt;=0,"",MOD(Turno_Ini+($S164+Limpeza_Min)/1440,1))</f>
        <v/>
      </c>
      <c r="O164" s="37">
        <f>IF($L164&lt;=0,"",MAX(0,IFERROR(INDEX(Mapa_RelIni,MATCH($B164&amp;"#"&amp;($M164+1),Mapa_Chave,0)),Turno_Min)-($S164+Limpeza_Min)))</f>
        <v/>
      </c>
      <c r="P164" s="19">
        <f>IF($B164="","",IF($Q164="","OK",LEFT($Q164,LEN($Q164)-3)))</f>
        <v/>
      </c>
      <c r="Q164" s="10">
        <f>IF($B164="","",IF(COUNTIF(Postos_Cod,$B164)=0,"Sala não cadastrada | ","")&amp;IF(AND(COUNTIF(Postos_Cod,$B164)&gt;0,IFERROR(INDEX(Postos_Tipo,MATCH($B164,Postos_Cod,0)),"")&lt;&gt;"Sala cirúrgica"),"Posto não é sala cirúrgica | ","")&amp;IF(AND(COUNTIF(Postos_Cod,$B164)&gt;0,IFERROR(INDEX(Postos_Status,MATCH($B164,Postos_Cod,0)),"")&lt;&gt;"Ativo"),"Sala não ativa | ","")&amp;IF(COUNTIF(Esp_Nome,$E164)=0,"Especialidade não cadastrada | ","")&amp;IF(COUNTIF(Lista_StatusCirurgia,$J164)=0,"Status inválido | ","")&amp;IF(OR(NOT(ISNUMBER($C164)),NOT(ISNUMBER($D164))),"Horário inválido | ","")&amp;IFERROR(IF(AND(ISNUMBER($C164),ISNUMBER($D164),MOD($D164-$C164,1)*1440&lt;=0),"Duração nula ou negativa | ",""),"")&amp;IF(AND($L164&gt;0,OR($R164&gt;=Turno_Min,$S164&gt;Turno_Min)),"Fora da janela do plantão | ","")&amp;IF(AND($L164&gt;0,SUMPRODUCT((Mapa_Sala=$B164)*(Mapa_Data=$A164)*(Mapa_MinOcup&gt;0)*(Mapa_RelIni&lt;$S164)*(Mapa_RelFim&gt;$R164))&gt;1),"Sobreposição de horário na sala | ","")&amp;IFERROR(IF(AND(ISNUMBER($K164),$K164&gt;0,COUNTIF(Esp_Nome,$E164)&gt;0,$K164&gt;3*INDEX(Esp_Dur,MATCH($E164,Esp_Nome,0))),"Duração atípica (&gt;3x a média) | ",""),""))</f>
        <v/>
      </c>
      <c r="R164" s="15">
        <f>IF(NOT(ISNUMBER($C164)),0,ROUND(MOD($C164-Turno_Ini,1)*1440,0))</f>
        <v/>
      </c>
      <c r="S164" s="15">
        <f>IF($L164&lt;=0,0,$R164+$K164)</f>
        <v/>
      </c>
      <c r="T164" s="15">
        <f>IF($M164="","",$B164&amp;"#"&amp;$M164)</f>
        <v/>
      </c>
      <c r="U164" s="15">
        <f>ROW()</f>
        <v/>
      </c>
    </row>
    <row r="165">
      <c r="A165" s="38" t="n"/>
      <c r="B165" s="29" t="n"/>
      <c r="C165" s="42" t="n"/>
      <c r="D165" s="42" t="n"/>
      <c r="E165" s="30" t="n"/>
      <c r="F165" s="34">
        <f>IF($E165="","",IFERROR(INDEX(Esp_Hab,MATCH($E165,Esp_Nome,0)),"—"))</f>
        <v/>
      </c>
      <c r="G165" s="30" t="n"/>
      <c r="H165" s="30" t="n"/>
      <c r="I165" s="29" t="n"/>
      <c r="J165" s="29" t="n"/>
      <c r="K165" s="37">
        <f>IF(OR($B165="",NOT(ISNUMBER($C165)),NOT(ISNUMBER($D165))),"",ROUND(MOD($D165-$C165,1)*1440,0))</f>
        <v/>
      </c>
      <c r="L165" s="37">
        <f>IF(NOT(ISNUMBER($K165)),0,IF(OR($K165&lt;=0,$J165="Cancelada",$J165="Suspensa"),0,$K165+Limpeza_Min))</f>
        <v/>
      </c>
      <c r="M165" s="37">
        <f>IF($L165&lt;=0,"",SUMPRODUCT((Mapa_Sala=$B165)*(Mapa_Data=$A165)*(Mapa_MinOcup&gt;0)*((Mapa_RelIni&lt;$R165)+((Mapa_RelIni=$R165)*(Mapa_Row&lt;=$U165)))))</f>
        <v/>
      </c>
      <c r="N165" s="43">
        <f>IF($L165&lt;=0,"",MOD(Turno_Ini+($S165+Limpeza_Min)/1440,1))</f>
        <v/>
      </c>
      <c r="O165" s="37">
        <f>IF($L165&lt;=0,"",MAX(0,IFERROR(INDEX(Mapa_RelIni,MATCH($B165&amp;"#"&amp;($M165+1),Mapa_Chave,0)),Turno_Min)-($S165+Limpeza_Min)))</f>
        <v/>
      </c>
      <c r="P165" s="19">
        <f>IF($B165="","",IF($Q165="","OK",LEFT($Q165,LEN($Q165)-3)))</f>
        <v/>
      </c>
      <c r="Q165" s="10">
        <f>IF($B165="","",IF(COUNTIF(Postos_Cod,$B165)=0,"Sala não cadastrada | ","")&amp;IF(AND(COUNTIF(Postos_Cod,$B165)&gt;0,IFERROR(INDEX(Postos_Tipo,MATCH($B165,Postos_Cod,0)),"")&lt;&gt;"Sala cirúrgica"),"Posto não é sala cirúrgica | ","")&amp;IF(AND(COUNTIF(Postos_Cod,$B165)&gt;0,IFERROR(INDEX(Postos_Status,MATCH($B165,Postos_Cod,0)),"")&lt;&gt;"Ativo"),"Sala não ativa | ","")&amp;IF(COUNTIF(Esp_Nome,$E165)=0,"Especialidade não cadastrada | ","")&amp;IF(COUNTIF(Lista_StatusCirurgia,$J165)=0,"Status inválido | ","")&amp;IF(OR(NOT(ISNUMBER($C165)),NOT(ISNUMBER($D165))),"Horário inválido | ","")&amp;IFERROR(IF(AND(ISNUMBER($C165),ISNUMBER($D165),MOD($D165-$C165,1)*1440&lt;=0),"Duração nula ou negativa | ",""),"")&amp;IF(AND($L165&gt;0,OR($R165&gt;=Turno_Min,$S165&gt;Turno_Min)),"Fora da janela do plantão | ","")&amp;IF(AND($L165&gt;0,SUMPRODUCT((Mapa_Sala=$B165)*(Mapa_Data=$A165)*(Mapa_MinOcup&gt;0)*(Mapa_RelIni&lt;$S165)*(Mapa_RelFim&gt;$R165))&gt;1),"Sobreposição de horário na sala | ","")&amp;IFERROR(IF(AND(ISNUMBER($K165),$K165&gt;0,COUNTIF(Esp_Nome,$E165)&gt;0,$K165&gt;3*INDEX(Esp_Dur,MATCH($E165,Esp_Nome,0))),"Duração atípica (&gt;3x a média) | ",""),""))</f>
        <v/>
      </c>
      <c r="R165" s="15">
        <f>IF(NOT(ISNUMBER($C165)),0,ROUND(MOD($C165-Turno_Ini,1)*1440,0))</f>
        <v/>
      </c>
      <c r="S165" s="15">
        <f>IF($L165&lt;=0,0,$R165+$K165)</f>
        <v/>
      </c>
      <c r="T165" s="15">
        <f>IF($M165="","",$B165&amp;"#"&amp;$M165)</f>
        <v/>
      </c>
      <c r="U165" s="15">
        <f>ROW()</f>
        <v/>
      </c>
    </row>
    <row r="166">
      <c r="A166" s="38" t="n"/>
      <c r="B166" s="29" t="n"/>
      <c r="C166" s="42" t="n"/>
      <c r="D166" s="42" t="n"/>
      <c r="E166" s="30" t="n"/>
      <c r="F166" s="34">
        <f>IF($E166="","",IFERROR(INDEX(Esp_Hab,MATCH($E166,Esp_Nome,0)),"—"))</f>
        <v/>
      </c>
      <c r="G166" s="30" t="n"/>
      <c r="H166" s="30" t="n"/>
      <c r="I166" s="29" t="n"/>
      <c r="J166" s="29" t="n"/>
      <c r="K166" s="37">
        <f>IF(OR($B166="",NOT(ISNUMBER($C166)),NOT(ISNUMBER($D166))),"",ROUND(MOD($D166-$C166,1)*1440,0))</f>
        <v/>
      </c>
      <c r="L166" s="37">
        <f>IF(NOT(ISNUMBER($K166)),0,IF(OR($K166&lt;=0,$J166="Cancelada",$J166="Suspensa"),0,$K166+Limpeza_Min))</f>
        <v/>
      </c>
      <c r="M166" s="37">
        <f>IF($L166&lt;=0,"",SUMPRODUCT((Mapa_Sala=$B166)*(Mapa_Data=$A166)*(Mapa_MinOcup&gt;0)*((Mapa_RelIni&lt;$R166)+((Mapa_RelIni=$R166)*(Mapa_Row&lt;=$U166)))))</f>
        <v/>
      </c>
      <c r="N166" s="43">
        <f>IF($L166&lt;=0,"",MOD(Turno_Ini+($S166+Limpeza_Min)/1440,1))</f>
        <v/>
      </c>
      <c r="O166" s="37">
        <f>IF($L166&lt;=0,"",MAX(0,IFERROR(INDEX(Mapa_RelIni,MATCH($B166&amp;"#"&amp;($M166+1),Mapa_Chave,0)),Turno_Min)-($S166+Limpeza_Min)))</f>
        <v/>
      </c>
      <c r="P166" s="19">
        <f>IF($B166="","",IF($Q166="","OK",LEFT($Q166,LEN($Q166)-3)))</f>
        <v/>
      </c>
      <c r="Q166" s="10">
        <f>IF($B166="","",IF(COUNTIF(Postos_Cod,$B166)=0,"Sala não cadastrada | ","")&amp;IF(AND(COUNTIF(Postos_Cod,$B166)&gt;0,IFERROR(INDEX(Postos_Tipo,MATCH($B166,Postos_Cod,0)),"")&lt;&gt;"Sala cirúrgica"),"Posto não é sala cirúrgica | ","")&amp;IF(AND(COUNTIF(Postos_Cod,$B166)&gt;0,IFERROR(INDEX(Postos_Status,MATCH($B166,Postos_Cod,0)),"")&lt;&gt;"Ativo"),"Sala não ativa | ","")&amp;IF(COUNTIF(Esp_Nome,$E166)=0,"Especialidade não cadastrada | ","")&amp;IF(COUNTIF(Lista_StatusCirurgia,$J166)=0,"Status inválido | ","")&amp;IF(OR(NOT(ISNUMBER($C166)),NOT(ISNUMBER($D166))),"Horário inválido | ","")&amp;IFERROR(IF(AND(ISNUMBER($C166),ISNUMBER($D166),MOD($D166-$C166,1)*1440&lt;=0),"Duração nula ou negativa | ",""),"")&amp;IF(AND($L166&gt;0,OR($R166&gt;=Turno_Min,$S166&gt;Turno_Min)),"Fora da janela do plantão | ","")&amp;IF(AND($L166&gt;0,SUMPRODUCT((Mapa_Sala=$B166)*(Mapa_Data=$A166)*(Mapa_MinOcup&gt;0)*(Mapa_RelIni&lt;$S166)*(Mapa_RelFim&gt;$R166))&gt;1),"Sobreposição de horário na sala | ","")&amp;IFERROR(IF(AND(ISNUMBER($K166),$K166&gt;0,COUNTIF(Esp_Nome,$E166)&gt;0,$K166&gt;3*INDEX(Esp_Dur,MATCH($E166,Esp_Nome,0))),"Duração atípica (&gt;3x a média) | ",""),""))</f>
        <v/>
      </c>
      <c r="R166" s="15">
        <f>IF(NOT(ISNUMBER($C166)),0,ROUND(MOD($C166-Turno_Ini,1)*1440,0))</f>
        <v/>
      </c>
      <c r="S166" s="15">
        <f>IF($L166&lt;=0,0,$R166+$K166)</f>
        <v/>
      </c>
      <c r="T166" s="15">
        <f>IF($M166="","",$B166&amp;"#"&amp;$M166)</f>
        <v/>
      </c>
      <c r="U166" s="15">
        <f>ROW()</f>
        <v/>
      </c>
    </row>
    <row r="167">
      <c r="A167" s="38" t="n"/>
      <c r="B167" s="29" t="n"/>
      <c r="C167" s="42" t="n"/>
      <c r="D167" s="42" t="n"/>
      <c r="E167" s="30" t="n"/>
      <c r="F167" s="34">
        <f>IF($E167="","",IFERROR(INDEX(Esp_Hab,MATCH($E167,Esp_Nome,0)),"—"))</f>
        <v/>
      </c>
      <c r="G167" s="30" t="n"/>
      <c r="H167" s="30" t="n"/>
      <c r="I167" s="29" t="n"/>
      <c r="J167" s="29" t="n"/>
      <c r="K167" s="37">
        <f>IF(OR($B167="",NOT(ISNUMBER($C167)),NOT(ISNUMBER($D167))),"",ROUND(MOD($D167-$C167,1)*1440,0))</f>
        <v/>
      </c>
      <c r="L167" s="37">
        <f>IF(NOT(ISNUMBER($K167)),0,IF(OR($K167&lt;=0,$J167="Cancelada",$J167="Suspensa"),0,$K167+Limpeza_Min))</f>
        <v/>
      </c>
      <c r="M167" s="37">
        <f>IF($L167&lt;=0,"",SUMPRODUCT((Mapa_Sala=$B167)*(Mapa_Data=$A167)*(Mapa_MinOcup&gt;0)*((Mapa_RelIni&lt;$R167)+((Mapa_RelIni=$R167)*(Mapa_Row&lt;=$U167)))))</f>
        <v/>
      </c>
      <c r="N167" s="43">
        <f>IF($L167&lt;=0,"",MOD(Turno_Ini+($S167+Limpeza_Min)/1440,1))</f>
        <v/>
      </c>
      <c r="O167" s="37">
        <f>IF($L167&lt;=0,"",MAX(0,IFERROR(INDEX(Mapa_RelIni,MATCH($B167&amp;"#"&amp;($M167+1),Mapa_Chave,0)),Turno_Min)-($S167+Limpeza_Min)))</f>
        <v/>
      </c>
      <c r="P167" s="19">
        <f>IF($B167="","",IF($Q167="","OK",LEFT($Q167,LEN($Q167)-3)))</f>
        <v/>
      </c>
      <c r="Q167" s="10">
        <f>IF($B167="","",IF(COUNTIF(Postos_Cod,$B167)=0,"Sala não cadastrada | ","")&amp;IF(AND(COUNTIF(Postos_Cod,$B167)&gt;0,IFERROR(INDEX(Postos_Tipo,MATCH($B167,Postos_Cod,0)),"")&lt;&gt;"Sala cirúrgica"),"Posto não é sala cirúrgica | ","")&amp;IF(AND(COUNTIF(Postos_Cod,$B167)&gt;0,IFERROR(INDEX(Postos_Status,MATCH($B167,Postos_Cod,0)),"")&lt;&gt;"Ativo"),"Sala não ativa | ","")&amp;IF(COUNTIF(Esp_Nome,$E167)=0,"Especialidade não cadastrada | ","")&amp;IF(COUNTIF(Lista_StatusCirurgia,$J167)=0,"Status inválido | ","")&amp;IF(OR(NOT(ISNUMBER($C167)),NOT(ISNUMBER($D167))),"Horário inválido | ","")&amp;IFERROR(IF(AND(ISNUMBER($C167),ISNUMBER($D167),MOD($D167-$C167,1)*1440&lt;=0),"Duração nula ou negativa | ",""),"")&amp;IF(AND($L167&gt;0,OR($R167&gt;=Turno_Min,$S167&gt;Turno_Min)),"Fora da janela do plantão | ","")&amp;IF(AND($L167&gt;0,SUMPRODUCT((Mapa_Sala=$B167)*(Mapa_Data=$A167)*(Mapa_MinOcup&gt;0)*(Mapa_RelIni&lt;$S167)*(Mapa_RelFim&gt;$R167))&gt;1),"Sobreposição de horário na sala | ","")&amp;IFERROR(IF(AND(ISNUMBER($K167),$K167&gt;0,COUNTIF(Esp_Nome,$E167)&gt;0,$K167&gt;3*INDEX(Esp_Dur,MATCH($E167,Esp_Nome,0))),"Duração atípica (&gt;3x a média) | ",""),""))</f>
        <v/>
      </c>
      <c r="R167" s="15">
        <f>IF(NOT(ISNUMBER($C167)),0,ROUND(MOD($C167-Turno_Ini,1)*1440,0))</f>
        <v/>
      </c>
      <c r="S167" s="15">
        <f>IF($L167&lt;=0,0,$R167+$K167)</f>
        <v/>
      </c>
      <c r="T167" s="15">
        <f>IF($M167="","",$B167&amp;"#"&amp;$M167)</f>
        <v/>
      </c>
      <c r="U167" s="15">
        <f>ROW()</f>
        <v/>
      </c>
    </row>
    <row r="168">
      <c r="A168" s="38" t="n"/>
      <c r="B168" s="29" t="n"/>
      <c r="C168" s="42" t="n"/>
      <c r="D168" s="42" t="n"/>
      <c r="E168" s="30" t="n"/>
      <c r="F168" s="34">
        <f>IF($E168="","",IFERROR(INDEX(Esp_Hab,MATCH($E168,Esp_Nome,0)),"—"))</f>
        <v/>
      </c>
      <c r="G168" s="30" t="n"/>
      <c r="H168" s="30" t="n"/>
      <c r="I168" s="29" t="n"/>
      <c r="J168" s="29" t="n"/>
      <c r="K168" s="37">
        <f>IF(OR($B168="",NOT(ISNUMBER($C168)),NOT(ISNUMBER($D168))),"",ROUND(MOD($D168-$C168,1)*1440,0))</f>
        <v/>
      </c>
      <c r="L168" s="37">
        <f>IF(NOT(ISNUMBER($K168)),0,IF(OR($K168&lt;=0,$J168="Cancelada",$J168="Suspensa"),0,$K168+Limpeza_Min))</f>
        <v/>
      </c>
      <c r="M168" s="37">
        <f>IF($L168&lt;=0,"",SUMPRODUCT((Mapa_Sala=$B168)*(Mapa_Data=$A168)*(Mapa_MinOcup&gt;0)*((Mapa_RelIni&lt;$R168)+((Mapa_RelIni=$R168)*(Mapa_Row&lt;=$U168)))))</f>
        <v/>
      </c>
      <c r="N168" s="43">
        <f>IF($L168&lt;=0,"",MOD(Turno_Ini+($S168+Limpeza_Min)/1440,1))</f>
        <v/>
      </c>
      <c r="O168" s="37">
        <f>IF($L168&lt;=0,"",MAX(0,IFERROR(INDEX(Mapa_RelIni,MATCH($B168&amp;"#"&amp;($M168+1),Mapa_Chave,0)),Turno_Min)-($S168+Limpeza_Min)))</f>
        <v/>
      </c>
      <c r="P168" s="19">
        <f>IF($B168="","",IF($Q168="","OK",LEFT($Q168,LEN($Q168)-3)))</f>
        <v/>
      </c>
      <c r="Q168" s="10">
        <f>IF($B168="","",IF(COUNTIF(Postos_Cod,$B168)=0,"Sala não cadastrada | ","")&amp;IF(AND(COUNTIF(Postos_Cod,$B168)&gt;0,IFERROR(INDEX(Postos_Tipo,MATCH($B168,Postos_Cod,0)),"")&lt;&gt;"Sala cirúrgica"),"Posto não é sala cirúrgica | ","")&amp;IF(AND(COUNTIF(Postos_Cod,$B168)&gt;0,IFERROR(INDEX(Postos_Status,MATCH($B168,Postos_Cod,0)),"")&lt;&gt;"Ativo"),"Sala não ativa | ","")&amp;IF(COUNTIF(Esp_Nome,$E168)=0,"Especialidade não cadastrada | ","")&amp;IF(COUNTIF(Lista_StatusCirurgia,$J168)=0,"Status inválido | ","")&amp;IF(OR(NOT(ISNUMBER($C168)),NOT(ISNUMBER($D168))),"Horário inválido | ","")&amp;IFERROR(IF(AND(ISNUMBER($C168),ISNUMBER($D168),MOD($D168-$C168,1)*1440&lt;=0),"Duração nula ou negativa | ",""),"")&amp;IF(AND($L168&gt;0,OR($R168&gt;=Turno_Min,$S168&gt;Turno_Min)),"Fora da janela do plantão | ","")&amp;IF(AND($L168&gt;0,SUMPRODUCT((Mapa_Sala=$B168)*(Mapa_Data=$A168)*(Mapa_MinOcup&gt;0)*(Mapa_RelIni&lt;$S168)*(Mapa_RelFim&gt;$R168))&gt;1),"Sobreposição de horário na sala | ","")&amp;IFERROR(IF(AND(ISNUMBER($K168),$K168&gt;0,COUNTIF(Esp_Nome,$E168)&gt;0,$K168&gt;3*INDEX(Esp_Dur,MATCH($E168,Esp_Nome,0))),"Duração atípica (&gt;3x a média) | ",""),""))</f>
        <v/>
      </c>
      <c r="R168" s="15">
        <f>IF(NOT(ISNUMBER($C168)),0,ROUND(MOD($C168-Turno_Ini,1)*1440,0))</f>
        <v/>
      </c>
      <c r="S168" s="15">
        <f>IF($L168&lt;=0,0,$R168+$K168)</f>
        <v/>
      </c>
      <c r="T168" s="15">
        <f>IF($M168="","",$B168&amp;"#"&amp;$M168)</f>
        <v/>
      </c>
      <c r="U168" s="15">
        <f>ROW()</f>
        <v/>
      </c>
    </row>
    <row r="169">
      <c r="A169" s="38" t="n"/>
      <c r="B169" s="29" t="n"/>
      <c r="C169" s="42" t="n"/>
      <c r="D169" s="42" t="n"/>
      <c r="E169" s="30" t="n"/>
      <c r="F169" s="34">
        <f>IF($E169="","",IFERROR(INDEX(Esp_Hab,MATCH($E169,Esp_Nome,0)),"—"))</f>
        <v/>
      </c>
      <c r="G169" s="30" t="n"/>
      <c r="H169" s="30" t="n"/>
      <c r="I169" s="29" t="n"/>
      <c r="J169" s="29" t="n"/>
      <c r="K169" s="37">
        <f>IF(OR($B169="",NOT(ISNUMBER($C169)),NOT(ISNUMBER($D169))),"",ROUND(MOD($D169-$C169,1)*1440,0))</f>
        <v/>
      </c>
      <c r="L169" s="37">
        <f>IF(NOT(ISNUMBER($K169)),0,IF(OR($K169&lt;=0,$J169="Cancelada",$J169="Suspensa"),0,$K169+Limpeza_Min))</f>
        <v/>
      </c>
      <c r="M169" s="37">
        <f>IF($L169&lt;=0,"",SUMPRODUCT((Mapa_Sala=$B169)*(Mapa_Data=$A169)*(Mapa_MinOcup&gt;0)*((Mapa_RelIni&lt;$R169)+((Mapa_RelIni=$R169)*(Mapa_Row&lt;=$U169)))))</f>
        <v/>
      </c>
      <c r="N169" s="43">
        <f>IF($L169&lt;=0,"",MOD(Turno_Ini+($S169+Limpeza_Min)/1440,1))</f>
        <v/>
      </c>
      <c r="O169" s="37">
        <f>IF($L169&lt;=0,"",MAX(0,IFERROR(INDEX(Mapa_RelIni,MATCH($B169&amp;"#"&amp;($M169+1),Mapa_Chave,0)),Turno_Min)-($S169+Limpeza_Min)))</f>
        <v/>
      </c>
      <c r="P169" s="19">
        <f>IF($B169="","",IF($Q169="","OK",LEFT($Q169,LEN($Q169)-3)))</f>
        <v/>
      </c>
      <c r="Q169" s="10">
        <f>IF($B169="","",IF(COUNTIF(Postos_Cod,$B169)=0,"Sala não cadastrada | ","")&amp;IF(AND(COUNTIF(Postos_Cod,$B169)&gt;0,IFERROR(INDEX(Postos_Tipo,MATCH($B169,Postos_Cod,0)),"")&lt;&gt;"Sala cirúrgica"),"Posto não é sala cirúrgica | ","")&amp;IF(AND(COUNTIF(Postos_Cod,$B169)&gt;0,IFERROR(INDEX(Postos_Status,MATCH($B169,Postos_Cod,0)),"")&lt;&gt;"Ativo"),"Sala não ativa | ","")&amp;IF(COUNTIF(Esp_Nome,$E169)=0,"Especialidade não cadastrada | ","")&amp;IF(COUNTIF(Lista_StatusCirurgia,$J169)=0,"Status inválido | ","")&amp;IF(OR(NOT(ISNUMBER($C169)),NOT(ISNUMBER($D169))),"Horário inválido | ","")&amp;IFERROR(IF(AND(ISNUMBER($C169),ISNUMBER($D169),MOD($D169-$C169,1)*1440&lt;=0),"Duração nula ou negativa | ",""),"")&amp;IF(AND($L169&gt;0,OR($R169&gt;=Turno_Min,$S169&gt;Turno_Min)),"Fora da janela do plantão | ","")&amp;IF(AND($L169&gt;0,SUMPRODUCT((Mapa_Sala=$B169)*(Mapa_Data=$A169)*(Mapa_MinOcup&gt;0)*(Mapa_RelIni&lt;$S169)*(Mapa_RelFim&gt;$R169))&gt;1),"Sobreposição de horário na sala | ","")&amp;IFERROR(IF(AND(ISNUMBER($K169),$K169&gt;0,COUNTIF(Esp_Nome,$E169)&gt;0,$K169&gt;3*INDEX(Esp_Dur,MATCH($E169,Esp_Nome,0))),"Duração atípica (&gt;3x a média) | ",""),""))</f>
        <v/>
      </c>
      <c r="R169" s="15">
        <f>IF(NOT(ISNUMBER($C169)),0,ROUND(MOD($C169-Turno_Ini,1)*1440,0))</f>
        <v/>
      </c>
      <c r="S169" s="15">
        <f>IF($L169&lt;=0,0,$R169+$K169)</f>
        <v/>
      </c>
      <c r="T169" s="15">
        <f>IF($M169="","",$B169&amp;"#"&amp;$M169)</f>
        <v/>
      </c>
      <c r="U169" s="15">
        <f>ROW()</f>
        <v/>
      </c>
    </row>
    <row r="170">
      <c r="A170" s="38" t="n"/>
      <c r="B170" s="29" t="n"/>
      <c r="C170" s="42" t="n"/>
      <c r="D170" s="42" t="n"/>
      <c r="E170" s="30" t="n"/>
      <c r="F170" s="34">
        <f>IF($E170="","",IFERROR(INDEX(Esp_Hab,MATCH($E170,Esp_Nome,0)),"—"))</f>
        <v/>
      </c>
      <c r="G170" s="30" t="n"/>
      <c r="H170" s="30" t="n"/>
      <c r="I170" s="29" t="n"/>
      <c r="J170" s="29" t="n"/>
      <c r="K170" s="37">
        <f>IF(OR($B170="",NOT(ISNUMBER($C170)),NOT(ISNUMBER($D170))),"",ROUND(MOD($D170-$C170,1)*1440,0))</f>
        <v/>
      </c>
      <c r="L170" s="37">
        <f>IF(NOT(ISNUMBER($K170)),0,IF(OR($K170&lt;=0,$J170="Cancelada",$J170="Suspensa"),0,$K170+Limpeza_Min))</f>
        <v/>
      </c>
      <c r="M170" s="37">
        <f>IF($L170&lt;=0,"",SUMPRODUCT((Mapa_Sala=$B170)*(Mapa_Data=$A170)*(Mapa_MinOcup&gt;0)*((Mapa_RelIni&lt;$R170)+((Mapa_RelIni=$R170)*(Mapa_Row&lt;=$U170)))))</f>
        <v/>
      </c>
      <c r="N170" s="43">
        <f>IF($L170&lt;=0,"",MOD(Turno_Ini+($S170+Limpeza_Min)/1440,1))</f>
        <v/>
      </c>
      <c r="O170" s="37">
        <f>IF($L170&lt;=0,"",MAX(0,IFERROR(INDEX(Mapa_RelIni,MATCH($B170&amp;"#"&amp;($M170+1),Mapa_Chave,0)),Turno_Min)-($S170+Limpeza_Min)))</f>
        <v/>
      </c>
      <c r="P170" s="19">
        <f>IF($B170="","",IF($Q170="","OK",LEFT($Q170,LEN($Q170)-3)))</f>
        <v/>
      </c>
      <c r="Q170" s="10">
        <f>IF($B170="","",IF(COUNTIF(Postos_Cod,$B170)=0,"Sala não cadastrada | ","")&amp;IF(AND(COUNTIF(Postos_Cod,$B170)&gt;0,IFERROR(INDEX(Postos_Tipo,MATCH($B170,Postos_Cod,0)),"")&lt;&gt;"Sala cirúrgica"),"Posto não é sala cirúrgica | ","")&amp;IF(AND(COUNTIF(Postos_Cod,$B170)&gt;0,IFERROR(INDEX(Postos_Status,MATCH($B170,Postos_Cod,0)),"")&lt;&gt;"Ativo"),"Sala não ativa | ","")&amp;IF(COUNTIF(Esp_Nome,$E170)=0,"Especialidade não cadastrada | ","")&amp;IF(COUNTIF(Lista_StatusCirurgia,$J170)=0,"Status inválido | ","")&amp;IF(OR(NOT(ISNUMBER($C170)),NOT(ISNUMBER($D170))),"Horário inválido | ","")&amp;IFERROR(IF(AND(ISNUMBER($C170),ISNUMBER($D170),MOD($D170-$C170,1)*1440&lt;=0),"Duração nula ou negativa | ",""),"")&amp;IF(AND($L170&gt;0,OR($R170&gt;=Turno_Min,$S170&gt;Turno_Min)),"Fora da janela do plantão | ","")&amp;IF(AND($L170&gt;0,SUMPRODUCT((Mapa_Sala=$B170)*(Mapa_Data=$A170)*(Mapa_MinOcup&gt;0)*(Mapa_RelIni&lt;$S170)*(Mapa_RelFim&gt;$R170))&gt;1),"Sobreposição de horário na sala | ","")&amp;IFERROR(IF(AND(ISNUMBER($K170),$K170&gt;0,COUNTIF(Esp_Nome,$E170)&gt;0,$K170&gt;3*INDEX(Esp_Dur,MATCH($E170,Esp_Nome,0))),"Duração atípica (&gt;3x a média) | ",""),""))</f>
        <v/>
      </c>
      <c r="R170" s="15">
        <f>IF(NOT(ISNUMBER($C170)),0,ROUND(MOD($C170-Turno_Ini,1)*1440,0))</f>
        <v/>
      </c>
      <c r="S170" s="15">
        <f>IF($L170&lt;=0,0,$R170+$K170)</f>
        <v/>
      </c>
      <c r="T170" s="15">
        <f>IF($M170="","",$B170&amp;"#"&amp;$M170)</f>
        <v/>
      </c>
      <c r="U170" s="15">
        <f>ROW()</f>
        <v/>
      </c>
    </row>
    <row r="171">
      <c r="A171" s="38" t="n"/>
      <c r="B171" s="29" t="n"/>
      <c r="C171" s="42" t="n"/>
      <c r="D171" s="42" t="n"/>
      <c r="E171" s="30" t="n"/>
      <c r="F171" s="34">
        <f>IF($E171="","",IFERROR(INDEX(Esp_Hab,MATCH($E171,Esp_Nome,0)),"—"))</f>
        <v/>
      </c>
      <c r="G171" s="30" t="n"/>
      <c r="H171" s="30" t="n"/>
      <c r="I171" s="29" t="n"/>
      <c r="J171" s="29" t="n"/>
      <c r="K171" s="37">
        <f>IF(OR($B171="",NOT(ISNUMBER($C171)),NOT(ISNUMBER($D171))),"",ROUND(MOD($D171-$C171,1)*1440,0))</f>
        <v/>
      </c>
      <c r="L171" s="37">
        <f>IF(NOT(ISNUMBER($K171)),0,IF(OR($K171&lt;=0,$J171="Cancelada",$J171="Suspensa"),0,$K171+Limpeza_Min))</f>
        <v/>
      </c>
      <c r="M171" s="37">
        <f>IF($L171&lt;=0,"",SUMPRODUCT((Mapa_Sala=$B171)*(Mapa_Data=$A171)*(Mapa_MinOcup&gt;0)*((Mapa_RelIni&lt;$R171)+((Mapa_RelIni=$R171)*(Mapa_Row&lt;=$U171)))))</f>
        <v/>
      </c>
      <c r="N171" s="43">
        <f>IF($L171&lt;=0,"",MOD(Turno_Ini+($S171+Limpeza_Min)/1440,1))</f>
        <v/>
      </c>
      <c r="O171" s="37">
        <f>IF($L171&lt;=0,"",MAX(0,IFERROR(INDEX(Mapa_RelIni,MATCH($B171&amp;"#"&amp;($M171+1),Mapa_Chave,0)),Turno_Min)-($S171+Limpeza_Min)))</f>
        <v/>
      </c>
      <c r="P171" s="19">
        <f>IF($B171="","",IF($Q171="","OK",LEFT($Q171,LEN($Q171)-3)))</f>
        <v/>
      </c>
      <c r="Q171" s="10">
        <f>IF($B171="","",IF(COUNTIF(Postos_Cod,$B171)=0,"Sala não cadastrada | ","")&amp;IF(AND(COUNTIF(Postos_Cod,$B171)&gt;0,IFERROR(INDEX(Postos_Tipo,MATCH($B171,Postos_Cod,0)),"")&lt;&gt;"Sala cirúrgica"),"Posto não é sala cirúrgica | ","")&amp;IF(AND(COUNTIF(Postos_Cod,$B171)&gt;0,IFERROR(INDEX(Postos_Status,MATCH($B171,Postos_Cod,0)),"")&lt;&gt;"Ativo"),"Sala não ativa | ","")&amp;IF(COUNTIF(Esp_Nome,$E171)=0,"Especialidade não cadastrada | ","")&amp;IF(COUNTIF(Lista_StatusCirurgia,$J171)=0,"Status inválido | ","")&amp;IF(OR(NOT(ISNUMBER($C171)),NOT(ISNUMBER($D171))),"Horário inválido | ","")&amp;IFERROR(IF(AND(ISNUMBER($C171),ISNUMBER($D171),MOD($D171-$C171,1)*1440&lt;=0),"Duração nula ou negativa | ",""),"")&amp;IF(AND($L171&gt;0,OR($R171&gt;=Turno_Min,$S171&gt;Turno_Min)),"Fora da janela do plantão | ","")&amp;IF(AND($L171&gt;0,SUMPRODUCT((Mapa_Sala=$B171)*(Mapa_Data=$A171)*(Mapa_MinOcup&gt;0)*(Mapa_RelIni&lt;$S171)*(Mapa_RelFim&gt;$R171))&gt;1),"Sobreposição de horário na sala | ","")&amp;IFERROR(IF(AND(ISNUMBER($K171),$K171&gt;0,COUNTIF(Esp_Nome,$E171)&gt;0,$K171&gt;3*INDEX(Esp_Dur,MATCH($E171,Esp_Nome,0))),"Duração atípica (&gt;3x a média) | ",""),""))</f>
        <v/>
      </c>
      <c r="R171" s="15">
        <f>IF(NOT(ISNUMBER($C171)),0,ROUND(MOD($C171-Turno_Ini,1)*1440,0))</f>
        <v/>
      </c>
      <c r="S171" s="15">
        <f>IF($L171&lt;=0,0,$R171+$K171)</f>
        <v/>
      </c>
      <c r="T171" s="15">
        <f>IF($M171="","",$B171&amp;"#"&amp;$M171)</f>
        <v/>
      </c>
      <c r="U171" s="15">
        <f>ROW()</f>
        <v/>
      </c>
    </row>
    <row r="172">
      <c r="A172" s="38" t="n"/>
      <c r="B172" s="29" t="n"/>
      <c r="C172" s="42" t="n"/>
      <c r="D172" s="42" t="n"/>
      <c r="E172" s="30" t="n"/>
      <c r="F172" s="34">
        <f>IF($E172="","",IFERROR(INDEX(Esp_Hab,MATCH($E172,Esp_Nome,0)),"—"))</f>
        <v/>
      </c>
      <c r="G172" s="30" t="n"/>
      <c r="H172" s="30" t="n"/>
      <c r="I172" s="29" t="n"/>
      <c r="J172" s="29" t="n"/>
      <c r="K172" s="37">
        <f>IF(OR($B172="",NOT(ISNUMBER($C172)),NOT(ISNUMBER($D172))),"",ROUND(MOD($D172-$C172,1)*1440,0))</f>
        <v/>
      </c>
      <c r="L172" s="37">
        <f>IF(NOT(ISNUMBER($K172)),0,IF(OR($K172&lt;=0,$J172="Cancelada",$J172="Suspensa"),0,$K172+Limpeza_Min))</f>
        <v/>
      </c>
      <c r="M172" s="37">
        <f>IF($L172&lt;=0,"",SUMPRODUCT((Mapa_Sala=$B172)*(Mapa_Data=$A172)*(Mapa_MinOcup&gt;0)*((Mapa_RelIni&lt;$R172)+((Mapa_RelIni=$R172)*(Mapa_Row&lt;=$U172)))))</f>
        <v/>
      </c>
      <c r="N172" s="43">
        <f>IF($L172&lt;=0,"",MOD(Turno_Ini+($S172+Limpeza_Min)/1440,1))</f>
        <v/>
      </c>
      <c r="O172" s="37">
        <f>IF($L172&lt;=0,"",MAX(0,IFERROR(INDEX(Mapa_RelIni,MATCH($B172&amp;"#"&amp;($M172+1),Mapa_Chave,0)),Turno_Min)-($S172+Limpeza_Min)))</f>
        <v/>
      </c>
      <c r="P172" s="19">
        <f>IF($B172="","",IF($Q172="","OK",LEFT($Q172,LEN($Q172)-3)))</f>
        <v/>
      </c>
      <c r="Q172" s="10">
        <f>IF($B172="","",IF(COUNTIF(Postos_Cod,$B172)=0,"Sala não cadastrada | ","")&amp;IF(AND(COUNTIF(Postos_Cod,$B172)&gt;0,IFERROR(INDEX(Postos_Tipo,MATCH($B172,Postos_Cod,0)),"")&lt;&gt;"Sala cirúrgica"),"Posto não é sala cirúrgica | ","")&amp;IF(AND(COUNTIF(Postos_Cod,$B172)&gt;0,IFERROR(INDEX(Postos_Status,MATCH($B172,Postos_Cod,0)),"")&lt;&gt;"Ativo"),"Sala não ativa | ","")&amp;IF(COUNTIF(Esp_Nome,$E172)=0,"Especialidade não cadastrada | ","")&amp;IF(COUNTIF(Lista_StatusCirurgia,$J172)=0,"Status inválido | ","")&amp;IF(OR(NOT(ISNUMBER($C172)),NOT(ISNUMBER($D172))),"Horário inválido | ","")&amp;IFERROR(IF(AND(ISNUMBER($C172),ISNUMBER($D172),MOD($D172-$C172,1)*1440&lt;=0),"Duração nula ou negativa | ",""),"")&amp;IF(AND($L172&gt;0,OR($R172&gt;=Turno_Min,$S172&gt;Turno_Min)),"Fora da janela do plantão | ","")&amp;IF(AND($L172&gt;0,SUMPRODUCT((Mapa_Sala=$B172)*(Mapa_Data=$A172)*(Mapa_MinOcup&gt;0)*(Mapa_RelIni&lt;$S172)*(Mapa_RelFim&gt;$R172))&gt;1),"Sobreposição de horário na sala | ","")&amp;IFERROR(IF(AND(ISNUMBER($K172),$K172&gt;0,COUNTIF(Esp_Nome,$E172)&gt;0,$K172&gt;3*INDEX(Esp_Dur,MATCH($E172,Esp_Nome,0))),"Duração atípica (&gt;3x a média) | ",""),""))</f>
        <v/>
      </c>
      <c r="R172" s="15">
        <f>IF(NOT(ISNUMBER($C172)),0,ROUND(MOD($C172-Turno_Ini,1)*1440,0))</f>
        <v/>
      </c>
      <c r="S172" s="15">
        <f>IF($L172&lt;=0,0,$R172+$K172)</f>
        <v/>
      </c>
      <c r="T172" s="15">
        <f>IF($M172="","",$B172&amp;"#"&amp;$M172)</f>
        <v/>
      </c>
      <c r="U172" s="15">
        <f>ROW()</f>
        <v/>
      </c>
    </row>
    <row r="173">
      <c r="A173" s="38" t="n"/>
      <c r="B173" s="29" t="n"/>
      <c r="C173" s="42" t="n"/>
      <c r="D173" s="42" t="n"/>
      <c r="E173" s="30" t="n"/>
      <c r="F173" s="34">
        <f>IF($E173="","",IFERROR(INDEX(Esp_Hab,MATCH($E173,Esp_Nome,0)),"—"))</f>
        <v/>
      </c>
      <c r="G173" s="30" t="n"/>
      <c r="H173" s="30" t="n"/>
      <c r="I173" s="29" t="n"/>
      <c r="J173" s="29" t="n"/>
      <c r="K173" s="37">
        <f>IF(OR($B173="",NOT(ISNUMBER($C173)),NOT(ISNUMBER($D173))),"",ROUND(MOD($D173-$C173,1)*1440,0))</f>
        <v/>
      </c>
      <c r="L173" s="37">
        <f>IF(NOT(ISNUMBER($K173)),0,IF(OR($K173&lt;=0,$J173="Cancelada",$J173="Suspensa"),0,$K173+Limpeza_Min))</f>
        <v/>
      </c>
      <c r="M173" s="37">
        <f>IF($L173&lt;=0,"",SUMPRODUCT((Mapa_Sala=$B173)*(Mapa_Data=$A173)*(Mapa_MinOcup&gt;0)*((Mapa_RelIni&lt;$R173)+((Mapa_RelIni=$R173)*(Mapa_Row&lt;=$U173)))))</f>
        <v/>
      </c>
      <c r="N173" s="43">
        <f>IF($L173&lt;=0,"",MOD(Turno_Ini+($S173+Limpeza_Min)/1440,1))</f>
        <v/>
      </c>
      <c r="O173" s="37">
        <f>IF($L173&lt;=0,"",MAX(0,IFERROR(INDEX(Mapa_RelIni,MATCH($B173&amp;"#"&amp;($M173+1),Mapa_Chave,0)),Turno_Min)-($S173+Limpeza_Min)))</f>
        <v/>
      </c>
      <c r="P173" s="19">
        <f>IF($B173="","",IF($Q173="","OK",LEFT($Q173,LEN($Q173)-3)))</f>
        <v/>
      </c>
      <c r="Q173" s="10">
        <f>IF($B173="","",IF(COUNTIF(Postos_Cod,$B173)=0,"Sala não cadastrada | ","")&amp;IF(AND(COUNTIF(Postos_Cod,$B173)&gt;0,IFERROR(INDEX(Postos_Tipo,MATCH($B173,Postos_Cod,0)),"")&lt;&gt;"Sala cirúrgica"),"Posto não é sala cirúrgica | ","")&amp;IF(AND(COUNTIF(Postos_Cod,$B173)&gt;0,IFERROR(INDEX(Postos_Status,MATCH($B173,Postos_Cod,0)),"")&lt;&gt;"Ativo"),"Sala não ativa | ","")&amp;IF(COUNTIF(Esp_Nome,$E173)=0,"Especialidade não cadastrada | ","")&amp;IF(COUNTIF(Lista_StatusCirurgia,$J173)=0,"Status inválido | ","")&amp;IF(OR(NOT(ISNUMBER($C173)),NOT(ISNUMBER($D173))),"Horário inválido | ","")&amp;IFERROR(IF(AND(ISNUMBER($C173),ISNUMBER($D173),MOD($D173-$C173,1)*1440&lt;=0),"Duração nula ou negativa | ",""),"")&amp;IF(AND($L173&gt;0,OR($R173&gt;=Turno_Min,$S173&gt;Turno_Min)),"Fora da janela do plantão | ","")&amp;IF(AND($L173&gt;0,SUMPRODUCT((Mapa_Sala=$B173)*(Mapa_Data=$A173)*(Mapa_MinOcup&gt;0)*(Mapa_RelIni&lt;$S173)*(Mapa_RelFim&gt;$R173))&gt;1),"Sobreposição de horário na sala | ","")&amp;IFERROR(IF(AND(ISNUMBER($K173),$K173&gt;0,COUNTIF(Esp_Nome,$E173)&gt;0,$K173&gt;3*INDEX(Esp_Dur,MATCH($E173,Esp_Nome,0))),"Duração atípica (&gt;3x a média) | ",""),""))</f>
        <v/>
      </c>
      <c r="R173" s="15">
        <f>IF(NOT(ISNUMBER($C173)),0,ROUND(MOD($C173-Turno_Ini,1)*1440,0))</f>
        <v/>
      </c>
      <c r="S173" s="15">
        <f>IF($L173&lt;=0,0,$R173+$K173)</f>
        <v/>
      </c>
      <c r="T173" s="15">
        <f>IF($M173="","",$B173&amp;"#"&amp;$M173)</f>
        <v/>
      </c>
      <c r="U173" s="15">
        <f>ROW()</f>
        <v/>
      </c>
    </row>
    <row r="174">
      <c r="A174" s="38" t="n"/>
      <c r="B174" s="29" t="n"/>
      <c r="C174" s="42" t="n"/>
      <c r="D174" s="42" t="n"/>
      <c r="E174" s="30" t="n"/>
      <c r="F174" s="34">
        <f>IF($E174="","",IFERROR(INDEX(Esp_Hab,MATCH($E174,Esp_Nome,0)),"—"))</f>
        <v/>
      </c>
      <c r="G174" s="30" t="n"/>
      <c r="H174" s="30" t="n"/>
      <c r="I174" s="29" t="n"/>
      <c r="J174" s="29" t="n"/>
      <c r="K174" s="37">
        <f>IF(OR($B174="",NOT(ISNUMBER($C174)),NOT(ISNUMBER($D174))),"",ROUND(MOD($D174-$C174,1)*1440,0))</f>
        <v/>
      </c>
      <c r="L174" s="37">
        <f>IF(NOT(ISNUMBER($K174)),0,IF(OR($K174&lt;=0,$J174="Cancelada",$J174="Suspensa"),0,$K174+Limpeza_Min))</f>
        <v/>
      </c>
      <c r="M174" s="37">
        <f>IF($L174&lt;=0,"",SUMPRODUCT((Mapa_Sala=$B174)*(Mapa_Data=$A174)*(Mapa_MinOcup&gt;0)*((Mapa_RelIni&lt;$R174)+((Mapa_RelIni=$R174)*(Mapa_Row&lt;=$U174)))))</f>
        <v/>
      </c>
      <c r="N174" s="43">
        <f>IF($L174&lt;=0,"",MOD(Turno_Ini+($S174+Limpeza_Min)/1440,1))</f>
        <v/>
      </c>
      <c r="O174" s="37">
        <f>IF($L174&lt;=0,"",MAX(0,IFERROR(INDEX(Mapa_RelIni,MATCH($B174&amp;"#"&amp;($M174+1),Mapa_Chave,0)),Turno_Min)-($S174+Limpeza_Min)))</f>
        <v/>
      </c>
      <c r="P174" s="19">
        <f>IF($B174="","",IF($Q174="","OK",LEFT($Q174,LEN($Q174)-3)))</f>
        <v/>
      </c>
      <c r="Q174" s="10">
        <f>IF($B174="","",IF(COUNTIF(Postos_Cod,$B174)=0,"Sala não cadastrada | ","")&amp;IF(AND(COUNTIF(Postos_Cod,$B174)&gt;0,IFERROR(INDEX(Postos_Tipo,MATCH($B174,Postos_Cod,0)),"")&lt;&gt;"Sala cirúrgica"),"Posto não é sala cirúrgica | ","")&amp;IF(AND(COUNTIF(Postos_Cod,$B174)&gt;0,IFERROR(INDEX(Postos_Status,MATCH($B174,Postos_Cod,0)),"")&lt;&gt;"Ativo"),"Sala não ativa | ","")&amp;IF(COUNTIF(Esp_Nome,$E174)=0,"Especialidade não cadastrada | ","")&amp;IF(COUNTIF(Lista_StatusCirurgia,$J174)=0,"Status inválido | ","")&amp;IF(OR(NOT(ISNUMBER($C174)),NOT(ISNUMBER($D174))),"Horário inválido | ","")&amp;IFERROR(IF(AND(ISNUMBER($C174),ISNUMBER($D174),MOD($D174-$C174,1)*1440&lt;=0),"Duração nula ou negativa | ",""),"")&amp;IF(AND($L174&gt;0,OR($R174&gt;=Turno_Min,$S174&gt;Turno_Min)),"Fora da janela do plantão | ","")&amp;IF(AND($L174&gt;0,SUMPRODUCT((Mapa_Sala=$B174)*(Mapa_Data=$A174)*(Mapa_MinOcup&gt;0)*(Mapa_RelIni&lt;$S174)*(Mapa_RelFim&gt;$R174))&gt;1),"Sobreposição de horário na sala | ","")&amp;IFERROR(IF(AND(ISNUMBER($K174),$K174&gt;0,COUNTIF(Esp_Nome,$E174)&gt;0,$K174&gt;3*INDEX(Esp_Dur,MATCH($E174,Esp_Nome,0))),"Duração atípica (&gt;3x a média) | ",""),""))</f>
        <v/>
      </c>
      <c r="R174" s="15">
        <f>IF(NOT(ISNUMBER($C174)),0,ROUND(MOD($C174-Turno_Ini,1)*1440,0))</f>
        <v/>
      </c>
      <c r="S174" s="15">
        <f>IF($L174&lt;=0,0,$R174+$K174)</f>
        <v/>
      </c>
      <c r="T174" s="15">
        <f>IF($M174="","",$B174&amp;"#"&amp;$M174)</f>
        <v/>
      </c>
      <c r="U174" s="15">
        <f>ROW()</f>
        <v/>
      </c>
    </row>
    <row r="175">
      <c r="A175" s="38" t="n"/>
      <c r="B175" s="29" t="n"/>
      <c r="C175" s="42" t="n"/>
      <c r="D175" s="42" t="n"/>
      <c r="E175" s="30" t="n"/>
      <c r="F175" s="34">
        <f>IF($E175="","",IFERROR(INDEX(Esp_Hab,MATCH($E175,Esp_Nome,0)),"—"))</f>
        <v/>
      </c>
      <c r="G175" s="30" t="n"/>
      <c r="H175" s="30" t="n"/>
      <c r="I175" s="29" t="n"/>
      <c r="J175" s="29" t="n"/>
      <c r="K175" s="37">
        <f>IF(OR($B175="",NOT(ISNUMBER($C175)),NOT(ISNUMBER($D175))),"",ROUND(MOD($D175-$C175,1)*1440,0))</f>
        <v/>
      </c>
      <c r="L175" s="37">
        <f>IF(NOT(ISNUMBER($K175)),0,IF(OR($K175&lt;=0,$J175="Cancelada",$J175="Suspensa"),0,$K175+Limpeza_Min))</f>
        <v/>
      </c>
      <c r="M175" s="37">
        <f>IF($L175&lt;=0,"",SUMPRODUCT((Mapa_Sala=$B175)*(Mapa_Data=$A175)*(Mapa_MinOcup&gt;0)*((Mapa_RelIni&lt;$R175)+((Mapa_RelIni=$R175)*(Mapa_Row&lt;=$U175)))))</f>
        <v/>
      </c>
      <c r="N175" s="43">
        <f>IF($L175&lt;=0,"",MOD(Turno_Ini+($S175+Limpeza_Min)/1440,1))</f>
        <v/>
      </c>
      <c r="O175" s="37">
        <f>IF($L175&lt;=0,"",MAX(0,IFERROR(INDEX(Mapa_RelIni,MATCH($B175&amp;"#"&amp;($M175+1),Mapa_Chave,0)),Turno_Min)-($S175+Limpeza_Min)))</f>
        <v/>
      </c>
      <c r="P175" s="19">
        <f>IF($B175="","",IF($Q175="","OK",LEFT($Q175,LEN($Q175)-3)))</f>
        <v/>
      </c>
      <c r="Q175" s="10">
        <f>IF($B175="","",IF(COUNTIF(Postos_Cod,$B175)=0,"Sala não cadastrada | ","")&amp;IF(AND(COUNTIF(Postos_Cod,$B175)&gt;0,IFERROR(INDEX(Postos_Tipo,MATCH($B175,Postos_Cod,0)),"")&lt;&gt;"Sala cirúrgica"),"Posto não é sala cirúrgica | ","")&amp;IF(AND(COUNTIF(Postos_Cod,$B175)&gt;0,IFERROR(INDEX(Postos_Status,MATCH($B175,Postos_Cod,0)),"")&lt;&gt;"Ativo"),"Sala não ativa | ","")&amp;IF(COUNTIF(Esp_Nome,$E175)=0,"Especialidade não cadastrada | ","")&amp;IF(COUNTIF(Lista_StatusCirurgia,$J175)=0,"Status inválido | ","")&amp;IF(OR(NOT(ISNUMBER($C175)),NOT(ISNUMBER($D175))),"Horário inválido | ","")&amp;IFERROR(IF(AND(ISNUMBER($C175),ISNUMBER($D175),MOD($D175-$C175,1)*1440&lt;=0),"Duração nula ou negativa | ",""),"")&amp;IF(AND($L175&gt;0,OR($R175&gt;=Turno_Min,$S175&gt;Turno_Min)),"Fora da janela do plantão | ","")&amp;IF(AND($L175&gt;0,SUMPRODUCT((Mapa_Sala=$B175)*(Mapa_Data=$A175)*(Mapa_MinOcup&gt;0)*(Mapa_RelIni&lt;$S175)*(Mapa_RelFim&gt;$R175))&gt;1),"Sobreposição de horário na sala | ","")&amp;IFERROR(IF(AND(ISNUMBER($K175),$K175&gt;0,COUNTIF(Esp_Nome,$E175)&gt;0,$K175&gt;3*INDEX(Esp_Dur,MATCH($E175,Esp_Nome,0))),"Duração atípica (&gt;3x a média) | ",""),""))</f>
        <v/>
      </c>
      <c r="R175" s="15">
        <f>IF(NOT(ISNUMBER($C175)),0,ROUND(MOD($C175-Turno_Ini,1)*1440,0))</f>
        <v/>
      </c>
      <c r="S175" s="15">
        <f>IF($L175&lt;=0,0,$R175+$K175)</f>
        <v/>
      </c>
      <c r="T175" s="15">
        <f>IF($M175="","",$B175&amp;"#"&amp;$M175)</f>
        <v/>
      </c>
      <c r="U175" s="15">
        <f>ROW()</f>
        <v/>
      </c>
    </row>
    <row r="176">
      <c r="A176" s="38" t="n"/>
      <c r="B176" s="29" t="n"/>
      <c r="C176" s="42" t="n"/>
      <c r="D176" s="42" t="n"/>
      <c r="E176" s="30" t="n"/>
      <c r="F176" s="34">
        <f>IF($E176="","",IFERROR(INDEX(Esp_Hab,MATCH($E176,Esp_Nome,0)),"—"))</f>
        <v/>
      </c>
      <c r="G176" s="30" t="n"/>
      <c r="H176" s="30" t="n"/>
      <c r="I176" s="29" t="n"/>
      <c r="J176" s="29" t="n"/>
      <c r="K176" s="37">
        <f>IF(OR($B176="",NOT(ISNUMBER($C176)),NOT(ISNUMBER($D176))),"",ROUND(MOD($D176-$C176,1)*1440,0))</f>
        <v/>
      </c>
      <c r="L176" s="37">
        <f>IF(NOT(ISNUMBER($K176)),0,IF(OR($K176&lt;=0,$J176="Cancelada",$J176="Suspensa"),0,$K176+Limpeza_Min))</f>
        <v/>
      </c>
      <c r="M176" s="37">
        <f>IF($L176&lt;=0,"",SUMPRODUCT((Mapa_Sala=$B176)*(Mapa_Data=$A176)*(Mapa_MinOcup&gt;0)*((Mapa_RelIni&lt;$R176)+((Mapa_RelIni=$R176)*(Mapa_Row&lt;=$U176)))))</f>
        <v/>
      </c>
      <c r="N176" s="43">
        <f>IF($L176&lt;=0,"",MOD(Turno_Ini+($S176+Limpeza_Min)/1440,1))</f>
        <v/>
      </c>
      <c r="O176" s="37">
        <f>IF($L176&lt;=0,"",MAX(0,IFERROR(INDEX(Mapa_RelIni,MATCH($B176&amp;"#"&amp;($M176+1),Mapa_Chave,0)),Turno_Min)-($S176+Limpeza_Min)))</f>
        <v/>
      </c>
      <c r="P176" s="19">
        <f>IF($B176="","",IF($Q176="","OK",LEFT($Q176,LEN($Q176)-3)))</f>
        <v/>
      </c>
      <c r="Q176" s="10">
        <f>IF($B176="","",IF(COUNTIF(Postos_Cod,$B176)=0,"Sala não cadastrada | ","")&amp;IF(AND(COUNTIF(Postos_Cod,$B176)&gt;0,IFERROR(INDEX(Postos_Tipo,MATCH($B176,Postos_Cod,0)),"")&lt;&gt;"Sala cirúrgica"),"Posto não é sala cirúrgica | ","")&amp;IF(AND(COUNTIF(Postos_Cod,$B176)&gt;0,IFERROR(INDEX(Postos_Status,MATCH($B176,Postos_Cod,0)),"")&lt;&gt;"Ativo"),"Sala não ativa | ","")&amp;IF(COUNTIF(Esp_Nome,$E176)=0,"Especialidade não cadastrada | ","")&amp;IF(COUNTIF(Lista_StatusCirurgia,$J176)=0,"Status inválido | ","")&amp;IF(OR(NOT(ISNUMBER($C176)),NOT(ISNUMBER($D176))),"Horário inválido | ","")&amp;IFERROR(IF(AND(ISNUMBER($C176),ISNUMBER($D176),MOD($D176-$C176,1)*1440&lt;=0),"Duração nula ou negativa | ",""),"")&amp;IF(AND($L176&gt;0,OR($R176&gt;=Turno_Min,$S176&gt;Turno_Min)),"Fora da janela do plantão | ","")&amp;IF(AND($L176&gt;0,SUMPRODUCT((Mapa_Sala=$B176)*(Mapa_Data=$A176)*(Mapa_MinOcup&gt;0)*(Mapa_RelIni&lt;$S176)*(Mapa_RelFim&gt;$R176))&gt;1),"Sobreposição de horário na sala | ","")&amp;IFERROR(IF(AND(ISNUMBER($K176),$K176&gt;0,COUNTIF(Esp_Nome,$E176)&gt;0,$K176&gt;3*INDEX(Esp_Dur,MATCH($E176,Esp_Nome,0))),"Duração atípica (&gt;3x a média) | ",""),""))</f>
        <v/>
      </c>
      <c r="R176" s="15">
        <f>IF(NOT(ISNUMBER($C176)),0,ROUND(MOD($C176-Turno_Ini,1)*1440,0))</f>
        <v/>
      </c>
      <c r="S176" s="15">
        <f>IF($L176&lt;=0,0,$R176+$K176)</f>
        <v/>
      </c>
      <c r="T176" s="15">
        <f>IF($M176="","",$B176&amp;"#"&amp;$M176)</f>
        <v/>
      </c>
      <c r="U176" s="15">
        <f>ROW()</f>
        <v/>
      </c>
    </row>
    <row r="177">
      <c r="A177" s="38" t="n"/>
      <c r="B177" s="29" t="n"/>
      <c r="C177" s="42" t="n"/>
      <c r="D177" s="42" t="n"/>
      <c r="E177" s="30" t="n"/>
      <c r="F177" s="34">
        <f>IF($E177="","",IFERROR(INDEX(Esp_Hab,MATCH($E177,Esp_Nome,0)),"—"))</f>
        <v/>
      </c>
      <c r="G177" s="30" t="n"/>
      <c r="H177" s="30" t="n"/>
      <c r="I177" s="29" t="n"/>
      <c r="J177" s="29" t="n"/>
      <c r="K177" s="37">
        <f>IF(OR($B177="",NOT(ISNUMBER($C177)),NOT(ISNUMBER($D177))),"",ROUND(MOD($D177-$C177,1)*1440,0))</f>
        <v/>
      </c>
      <c r="L177" s="37">
        <f>IF(NOT(ISNUMBER($K177)),0,IF(OR($K177&lt;=0,$J177="Cancelada",$J177="Suspensa"),0,$K177+Limpeza_Min))</f>
        <v/>
      </c>
      <c r="M177" s="37">
        <f>IF($L177&lt;=0,"",SUMPRODUCT((Mapa_Sala=$B177)*(Mapa_Data=$A177)*(Mapa_MinOcup&gt;0)*((Mapa_RelIni&lt;$R177)+((Mapa_RelIni=$R177)*(Mapa_Row&lt;=$U177)))))</f>
        <v/>
      </c>
      <c r="N177" s="43">
        <f>IF($L177&lt;=0,"",MOD(Turno_Ini+($S177+Limpeza_Min)/1440,1))</f>
        <v/>
      </c>
      <c r="O177" s="37">
        <f>IF($L177&lt;=0,"",MAX(0,IFERROR(INDEX(Mapa_RelIni,MATCH($B177&amp;"#"&amp;($M177+1),Mapa_Chave,0)),Turno_Min)-($S177+Limpeza_Min)))</f>
        <v/>
      </c>
      <c r="P177" s="19">
        <f>IF($B177="","",IF($Q177="","OK",LEFT($Q177,LEN($Q177)-3)))</f>
        <v/>
      </c>
      <c r="Q177" s="10">
        <f>IF($B177="","",IF(COUNTIF(Postos_Cod,$B177)=0,"Sala não cadastrada | ","")&amp;IF(AND(COUNTIF(Postos_Cod,$B177)&gt;0,IFERROR(INDEX(Postos_Tipo,MATCH($B177,Postos_Cod,0)),"")&lt;&gt;"Sala cirúrgica"),"Posto não é sala cirúrgica | ","")&amp;IF(AND(COUNTIF(Postos_Cod,$B177)&gt;0,IFERROR(INDEX(Postos_Status,MATCH($B177,Postos_Cod,0)),"")&lt;&gt;"Ativo"),"Sala não ativa | ","")&amp;IF(COUNTIF(Esp_Nome,$E177)=0,"Especialidade não cadastrada | ","")&amp;IF(COUNTIF(Lista_StatusCirurgia,$J177)=0,"Status inválido | ","")&amp;IF(OR(NOT(ISNUMBER($C177)),NOT(ISNUMBER($D177))),"Horário inválido | ","")&amp;IFERROR(IF(AND(ISNUMBER($C177),ISNUMBER($D177),MOD($D177-$C177,1)*1440&lt;=0),"Duração nula ou negativa | ",""),"")&amp;IF(AND($L177&gt;0,OR($R177&gt;=Turno_Min,$S177&gt;Turno_Min)),"Fora da janela do plantão | ","")&amp;IF(AND($L177&gt;0,SUMPRODUCT((Mapa_Sala=$B177)*(Mapa_Data=$A177)*(Mapa_MinOcup&gt;0)*(Mapa_RelIni&lt;$S177)*(Mapa_RelFim&gt;$R177))&gt;1),"Sobreposição de horário na sala | ","")&amp;IFERROR(IF(AND(ISNUMBER($K177),$K177&gt;0,COUNTIF(Esp_Nome,$E177)&gt;0,$K177&gt;3*INDEX(Esp_Dur,MATCH($E177,Esp_Nome,0))),"Duração atípica (&gt;3x a média) | ",""),""))</f>
        <v/>
      </c>
      <c r="R177" s="15">
        <f>IF(NOT(ISNUMBER($C177)),0,ROUND(MOD($C177-Turno_Ini,1)*1440,0))</f>
        <v/>
      </c>
      <c r="S177" s="15">
        <f>IF($L177&lt;=0,0,$R177+$K177)</f>
        <v/>
      </c>
      <c r="T177" s="15">
        <f>IF($M177="","",$B177&amp;"#"&amp;$M177)</f>
        <v/>
      </c>
      <c r="U177" s="15">
        <f>ROW()</f>
        <v/>
      </c>
    </row>
    <row r="178">
      <c r="A178" s="38" t="n"/>
      <c r="B178" s="29" t="n"/>
      <c r="C178" s="42" t="n"/>
      <c r="D178" s="42" t="n"/>
      <c r="E178" s="30" t="n"/>
      <c r="F178" s="34">
        <f>IF($E178="","",IFERROR(INDEX(Esp_Hab,MATCH($E178,Esp_Nome,0)),"—"))</f>
        <v/>
      </c>
      <c r="G178" s="30" t="n"/>
      <c r="H178" s="30" t="n"/>
      <c r="I178" s="29" t="n"/>
      <c r="J178" s="29" t="n"/>
      <c r="K178" s="37">
        <f>IF(OR($B178="",NOT(ISNUMBER($C178)),NOT(ISNUMBER($D178))),"",ROUND(MOD($D178-$C178,1)*1440,0))</f>
        <v/>
      </c>
      <c r="L178" s="37">
        <f>IF(NOT(ISNUMBER($K178)),0,IF(OR($K178&lt;=0,$J178="Cancelada",$J178="Suspensa"),0,$K178+Limpeza_Min))</f>
        <v/>
      </c>
      <c r="M178" s="37">
        <f>IF($L178&lt;=0,"",SUMPRODUCT((Mapa_Sala=$B178)*(Mapa_Data=$A178)*(Mapa_MinOcup&gt;0)*((Mapa_RelIni&lt;$R178)+((Mapa_RelIni=$R178)*(Mapa_Row&lt;=$U178)))))</f>
        <v/>
      </c>
      <c r="N178" s="43">
        <f>IF($L178&lt;=0,"",MOD(Turno_Ini+($S178+Limpeza_Min)/1440,1))</f>
        <v/>
      </c>
      <c r="O178" s="37">
        <f>IF($L178&lt;=0,"",MAX(0,IFERROR(INDEX(Mapa_RelIni,MATCH($B178&amp;"#"&amp;($M178+1),Mapa_Chave,0)),Turno_Min)-($S178+Limpeza_Min)))</f>
        <v/>
      </c>
      <c r="P178" s="19">
        <f>IF($B178="","",IF($Q178="","OK",LEFT($Q178,LEN($Q178)-3)))</f>
        <v/>
      </c>
      <c r="Q178" s="10">
        <f>IF($B178="","",IF(COUNTIF(Postos_Cod,$B178)=0,"Sala não cadastrada | ","")&amp;IF(AND(COUNTIF(Postos_Cod,$B178)&gt;0,IFERROR(INDEX(Postos_Tipo,MATCH($B178,Postos_Cod,0)),"")&lt;&gt;"Sala cirúrgica"),"Posto não é sala cirúrgica | ","")&amp;IF(AND(COUNTIF(Postos_Cod,$B178)&gt;0,IFERROR(INDEX(Postos_Status,MATCH($B178,Postos_Cod,0)),"")&lt;&gt;"Ativo"),"Sala não ativa | ","")&amp;IF(COUNTIF(Esp_Nome,$E178)=0,"Especialidade não cadastrada | ","")&amp;IF(COUNTIF(Lista_StatusCirurgia,$J178)=0,"Status inválido | ","")&amp;IF(OR(NOT(ISNUMBER($C178)),NOT(ISNUMBER($D178))),"Horário inválido | ","")&amp;IFERROR(IF(AND(ISNUMBER($C178),ISNUMBER($D178),MOD($D178-$C178,1)*1440&lt;=0),"Duração nula ou negativa | ",""),"")&amp;IF(AND($L178&gt;0,OR($R178&gt;=Turno_Min,$S178&gt;Turno_Min)),"Fora da janela do plantão | ","")&amp;IF(AND($L178&gt;0,SUMPRODUCT((Mapa_Sala=$B178)*(Mapa_Data=$A178)*(Mapa_MinOcup&gt;0)*(Mapa_RelIni&lt;$S178)*(Mapa_RelFim&gt;$R178))&gt;1),"Sobreposição de horário na sala | ","")&amp;IFERROR(IF(AND(ISNUMBER($K178),$K178&gt;0,COUNTIF(Esp_Nome,$E178)&gt;0,$K178&gt;3*INDEX(Esp_Dur,MATCH($E178,Esp_Nome,0))),"Duração atípica (&gt;3x a média) | ",""),""))</f>
        <v/>
      </c>
      <c r="R178" s="15">
        <f>IF(NOT(ISNUMBER($C178)),0,ROUND(MOD($C178-Turno_Ini,1)*1440,0))</f>
        <v/>
      </c>
      <c r="S178" s="15">
        <f>IF($L178&lt;=0,0,$R178+$K178)</f>
        <v/>
      </c>
      <c r="T178" s="15">
        <f>IF($M178="","",$B178&amp;"#"&amp;$M178)</f>
        <v/>
      </c>
      <c r="U178" s="15">
        <f>ROW()</f>
        <v/>
      </c>
    </row>
    <row r="179">
      <c r="A179" s="38" t="n"/>
      <c r="B179" s="29" t="n"/>
      <c r="C179" s="42" t="n"/>
      <c r="D179" s="42" t="n"/>
      <c r="E179" s="30" t="n"/>
      <c r="F179" s="34">
        <f>IF($E179="","",IFERROR(INDEX(Esp_Hab,MATCH($E179,Esp_Nome,0)),"—"))</f>
        <v/>
      </c>
      <c r="G179" s="30" t="n"/>
      <c r="H179" s="30" t="n"/>
      <c r="I179" s="29" t="n"/>
      <c r="J179" s="29" t="n"/>
      <c r="K179" s="37">
        <f>IF(OR($B179="",NOT(ISNUMBER($C179)),NOT(ISNUMBER($D179))),"",ROUND(MOD($D179-$C179,1)*1440,0))</f>
        <v/>
      </c>
      <c r="L179" s="37">
        <f>IF(NOT(ISNUMBER($K179)),0,IF(OR($K179&lt;=0,$J179="Cancelada",$J179="Suspensa"),0,$K179+Limpeza_Min))</f>
        <v/>
      </c>
      <c r="M179" s="37">
        <f>IF($L179&lt;=0,"",SUMPRODUCT((Mapa_Sala=$B179)*(Mapa_Data=$A179)*(Mapa_MinOcup&gt;0)*((Mapa_RelIni&lt;$R179)+((Mapa_RelIni=$R179)*(Mapa_Row&lt;=$U179)))))</f>
        <v/>
      </c>
      <c r="N179" s="43">
        <f>IF($L179&lt;=0,"",MOD(Turno_Ini+($S179+Limpeza_Min)/1440,1))</f>
        <v/>
      </c>
      <c r="O179" s="37">
        <f>IF($L179&lt;=0,"",MAX(0,IFERROR(INDEX(Mapa_RelIni,MATCH($B179&amp;"#"&amp;($M179+1),Mapa_Chave,0)),Turno_Min)-($S179+Limpeza_Min)))</f>
        <v/>
      </c>
      <c r="P179" s="19">
        <f>IF($B179="","",IF($Q179="","OK",LEFT($Q179,LEN($Q179)-3)))</f>
        <v/>
      </c>
      <c r="Q179" s="10">
        <f>IF($B179="","",IF(COUNTIF(Postos_Cod,$B179)=0,"Sala não cadastrada | ","")&amp;IF(AND(COUNTIF(Postos_Cod,$B179)&gt;0,IFERROR(INDEX(Postos_Tipo,MATCH($B179,Postos_Cod,0)),"")&lt;&gt;"Sala cirúrgica"),"Posto não é sala cirúrgica | ","")&amp;IF(AND(COUNTIF(Postos_Cod,$B179)&gt;0,IFERROR(INDEX(Postos_Status,MATCH($B179,Postos_Cod,0)),"")&lt;&gt;"Ativo"),"Sala não ativa | ","")&amp;IF(COUNTIF(Esp_Nome,$E179)=0,"Especialidade não cadastrada | ","")&amp;IF(COUNTIF(Lista_StatusCirurgia,$J179)=0,"Status inválido | ","")&amp;IF(OR(NOT(ISNUMBER($C179)),NOT(ISNUMBER($D179))),"Horário inválido | ","")&amp;IFERROR(IF(AND(ISNUMBER($C179),ISNUMBER($D179),MOD($D179-$C179,1)*1440&lt;=0),"Duração nula ou negativa | ",""),"")&amp;IF(AND($L179&gt;0,OR($R179&gt;=Turno_Min,$S179&gt;Turno_Min)),"Fora da janela do plantão | ","")&amp;IF(AND($L179&gt;0,SUMPRODUCT((Mapa_Sala=$B179)*(Mapa_Data=$A179)*(Mapa_MinOcup&gt;0)*(Mapa_RelIni&lt;$S179)*(Mapa_RelFim&gt;$R179))&gt;1),"Sobreposição de horário na sala | ","")&amp;IFERROR(IF(AND(ISNUMBER($K179),$K179&gt;0,COUNTIF(Esp_Nome,$E179)&gt;0,$K179&gt;3*INDEX(Esp_Dur,MATCH($E179,Esp_Nome,0))),"Duração atípica (&gt;3x a média) | ",""),""))</f>
        <v/>
      </c>
      <c r="R179" s="15">
        <f>IF(NOT(ISNUMBER($C179)),0,ROUND(MOD($C179-Turno_Ini,1)*1440,0))</f>
        <v/>
      </c>
      <c r="S179" s="15">
        <f>IF($L179&lt;=0,0,$R179+$K179)</f>
        <v/>
      </c>
      <c r="T179" s="15">
        <f>IF($M179="","",$B179&amp;"#"&amp;$M179)</f>
        <v/>
      </c>
      <c r="U179" s="15">
        <f>ROW()</f>
        <v/>
      </c>
    </row>
    <row r="180">
      <c r="A180" s="38" t="n"/>
      <c r="B180" s="29" t="n"/>
      <c r="C180" s="42" t="n"/>
      <c r="D180" s="42" t="n"/>
      <c r="E180" s="30" t="n"/>
      <c r="F180" s="34">
        <f>IF($E180="","",IFERROR(INDEX(Esp_Hab,MATCH($E180,Esp_Nome,0)),"—"))</f>
        <v/>
      </c>
      <c r="G180" s="30" t="n"/>
      <c r="H180" s="30" t="n"/>
      <c r="I180" s="29" t="n"/>
      <c r="J180" s="29" t="n"/>
      <c r="K180" s="37">
        <f>IF(OR($B180="",NOT(ISNUMBER($C180)),NOT(ISNUMBER($D180))),"",ROUND(MOD($D180-$C180,1)*1440,0))</f>
        <v/>
      </c>
      <c r="L180" s="37">
        <f>IF(NOT(ISNUMBER($K180)),0,IF(OR($K180&lt;=0,$J180="Cancelada",$J180="Suspensa"),0,$K180+Limpeza_Min))</f>
        <v/>
      </c>
      <c r="M180" s="37">
        <f>IF($L180&lt;=0,"",SUMPRODUCT((Mapa_Sala=$B180)*(Mapa_Data=$A180)*(Mapa_MinOcup&gt;0)*((Mapa_RelIni&lt;$R180)+((Mapa_RelIni=$R180)*(Mapa_Row&lt;=$U180)))))</f>
        <v/>
      </c>
      <c r="N180" s="43">
        <f>IF($L180&lt;=0,"",MOD(Turno_Ini+($S180+Limpeza_Min)/1440,1))</f>
        <v/>
      </c>
      <c r="O180" s="37">
        <f>IF($L180&lt;=0,"",MAX(0,IFERROR(INDEX(Mapa_RelIni,MATCH($B180&amp;"#"&amp;($M180+1),Mapa_Chave,0)),Turno_Min)-($S180+Limpeza_Min)))</f>
        <v/>
      </c>
      <c r="P180" s="19">
        <f>IF($B180="","",IF($Q180="","OK",LEFT($Q180,LEN($Q180)-3)))</f>
        <v/>
      </c>
      <c r="Q180" s="10">
        <f>IF($B180="","",IF(COUNTIF(Postos_Cod,$B180)=0,"Sala não cadastrada | ","")&amp;IF(AND(COUNTIF(Postos_Cod,$B180)&gt;0,IFERROR(INDEX(Postos_Tipo,MATCH($B180,Postos_Cod,0)),"")&lt;&gt;"Sala cirúrgica"),"Posto não é sala cirúrgica | ","")&amp;IF(AND(COUNTIF(Postos_Cod,$B180)&gt;0,IFERROR(INDEX(Postos_Status,MATCH($B180,Postos_Cod,0)),"")&lt;&gt;"Ativo"),"Sala não ativa | ","")&amp;IF(COUNTIF(Esp_Nome,$E180)=0,"Especialidade não cadastrada | ","")&amp;IF(COUNTIF(Lista_StatusCirurgia,$J180)=0,"Status inválido | ","")&amp;IF(OR(NOT(ISNUMBER($C180)),NOT(ISNUMBER($D180))),"Horário inválido | ","")&amp;IFERROR(IF(AND(ISNUMBER($C180),ISNUMBER($D180),MOD($D180-$C180,1)*1440&lt;=0),"Duração nula ou negativa | ",""),"")&amp;IF(AND($L180&gt;0,OR($R180&gt;=Turno_Min,$S180&gt;Turno_Min)),"Fora da janela do plantão | ","")&amp;IF(AND($L180&gt;0,SUMPRODUCT((Mapa_Sala=$B180)*(Mapa_Data=$A180)*(Mapa_MinOcup&gt;0)*(Mapa_RelIni&lt;$S180)*(Mapa_RelFim&gt;$R180))&gt;1),"Sobreposição de horário na sala | ","")&amp;IFERROR(IF(AND(ISNUMBER($K180),$K180&gt;0,COUNTIF(Esp_Nome,$E180)&gt;0,$K180&gt;3*INDEX(Esp_Dur,MATCH($E180,Esp_Nome,0))),"Duração atípica (&gt;3x a média) | ",""),""))</f>
        <v/>
      </c>
      <c r="R180" s="15">
        <f>IF(NOT(ISNUMBER($C180)),0,ROUND(MOD($C180-Turno_Ini,1)*1440,0))</f>
        <v/>
      </c>
      <c r="S180" s="15">
        <f>IF($L180&lt;=0,0,$R180+$K180)</f>
        <v/>
      </c>
      <c r="T180" s="15">
        <f>IF($M180="","",$B180&amp;"#"&amp;$M180)</f>
        <v/>
      </c>
      <c r="U180" s="15">
        <f>ROW()</f>
        <v/>
      </c>
    </row>
    <row r="181">
      <c r="A181" s="38" t="n"/>
      <c r="B181" s="29" t="n"/>
      <c r="C181" s="42" t="n"/>
      <c r="D181" s="42" t="n"/>
      <c r="E181" s="30" t="n"/>
      <c r="F181" s="34">
        <f>IF($E181="","",IFERROR(INDEX(Esp_Hab,MATCH($E181,Esp_Nome,0)),"—"))</f>
        <v/>
      </c>
      <c r="G181" s="30" t="n"/>
      <c r="H181" s="30" t="n"/>
      <c r="I181" s="29" t="n"/>
      <c r="J181" s="29" t="n"/>
      <c r="K181" s="37">
        <f>IF(OR($B181="",NOT(ISNUMBER($C181)),NOT(ISNUMBER($D181))),"",ROUND(MOD($D181-$C181,1)*1440,0))</f>
        <v/>
      </c>
      <c r="L181" s="37">
        <f>IF(NOT(ISNUMBER($K181)),0,IF(OR($K181&lt;=0,$J181="Cancelada",$J181="Suspensa"),0,$K181+Limpeza_Min))</f>
        <v/>
      </c>
      <c r="M181" s="37">
        <f>IF($L181&lt;=0,"",SUMPRODUCT((Mapa_Sala=$B181)*(Mapa_Data=$A181)*(Mapa_MinOcup&gt;0)*((Mapa_RelIni&lt;$R181)+((Mapa_RelIni=$R181)*(Mapa_Row&lt;=$U181)))))</f>
        <v/>
      </c>
      <c r="N181" s="43">
        <f>IF($L181&lt;=0,"",MOD(Turno_Ini+($S181+Limpeza_Min)/1440,1))</f>
        <v/>
      </c>
      <c r="O181" s="37">
        <f>IF($L181&lt;=0,"",MAX(0,IFERROR(INDEX(Mapa_RelIni,MATCH($B181&amp;"#"&amp;($M181+1),Mapa_Chave,0)),Turno_Min)-($S181+Limpeza_Min)))</f>
        <v/>
      </c>
      <c r="P181" s="19">
        <f>IF($B181="","",IF($Q181="","OK",LEFT($Q181,LEN($Q181)-3)))</f>
        <v/>
      </c>
      <c r="Q181" s="10">
        <f>IF($B181="","",IF(COUNTIF(Postos_Cod,$B181)=0,"Sala não cadastrada | ","")&amp;IF(AND(COUNTIF(Postos_Cod,$B181)&gt;0,IFERROR(INDEX(Postos_Tipo,MATCH($B181,Postos_Cod,0)),"")&lt;&gt;"Sala cirúrgica"),"Posto não é sala cirúrgica | ","")&amp;IF(AND(COUNTIF(Postos_Cod,$B181)&gt;0,IFERROR(INDEX(Postos_Status,MATCH($B181,Postos_Cod,0)),"")&lt;&gt;"Ativo"),"Sala não ativa | ","")&amp;IF(COUNTIF(Esp_Nome,$E181)=0,"Especialidade não cadastrada | ","")&amp;IF(COUNTIF(Lista_StatusCirurgia,$J181)=0,"Status inválido | ","")&amp;IF(OR(NOT(ISNUMBER($C181)),NOT(ISNUMBER($D181))),"Horário inválido | ","")&amp;IFERROR(IF(AND(ISNUMBER($C181),ISNUMBER($D181),MOD($D181-$C181,1)*1440&lt;=0),"Duração nula ou negativa | ",""),"")&amp;IF(AND($L181&gt;0,OR($R181&gt;=Turno_Min,$S181&gt;Turno_Min)),"Fora da janela do plantão | ","")&amp;IF(AND($L181&gt;0,SUMPRODUCT((Mapa_Sala=$B181)*(Mapa_Data=$A181)*(Mapa_MinOcup&gt;0)*(Mapa_RelIni&lt;$S181)*(Mapa_RelFim&gt;$R181))&gt;1),"Sobreposição de horário na sala | ","")&amp;IFERROR(IF(AND(ISNUMBER($K181),$K181&gt;0,COUNTIF(Esp_Nome,$E181)&gt;0,$K181&gt;3*INDEX(Esp_Dur,MATCH($E181,Esp_Nome,0))),"Duração atípica (&gt;3x a média) | ",""),""))</f>
        <v/>
      </c>
      <c r="R181" s="15">
        <f>IF(NOT(ISNUMBER($C181)),0,ROUND(MOD($C181-Turno_Ini,1)*1440,0))</f>
        <v/>
      </c>
      <c r="S181" s="15">
        <f>IF($L181&lt;=0,0,$R181+$K181)</f>
        <v/>
      </c>
      <c r="T181" s="15">
        <f>IF($M181="","",$B181&amp;"#"&amp;$M181)</f>
        <v/>
      </c>
      <c r="U181" s="15">
        <f>ROW()</f>
        <v/>
      </c>
    </row>
    <row r="182">
      <c r="A182" s="38" t="n"/>
      <c r="B182" s="29" t="n"/>
      <c r="C182" s="42" t="n"/>
      <c r="D182" s="42" t="n"/>
      <c r="E182" s="30" t="n"/>
      <c r="F182" s="34">
        <f>IF($E182="","",IFERROR(INDEX(Esp_Hab,MATCH($E182,Esp_Nome,0)),"—"))</f>
        <v/>
      </c>
      <c r="G182" s="30" t="n"/>
      <c r="H182" s="30" t="n"/>
      <c r="I182" s="29" t="n"/>
      <c r="J182" s="29" t="n"/>
      <c r="K182" s="37">
        <f>IF(OR($B182="",NOT(ISNUMBER($C182)),NOT(ISNUMBER($D182))),"",ROUND(MOD($D182-$C182,1)*1440,0))</f>
        <v/>
      </c>
      <c r="L182" s="37">
        <f>IF(NOT(ISNUMBER($K182)),0,IF(OR($K182&lt;=0,$J182="Cancelada",$J182="Suspensa"),0,$K182+Limpeza_Min))</f>
        <v/>
      </c>
      <c r="M182" s="37">
        <f>IF($L182&lt;=0,"",SUMPRODUCT((Mapa_Sala=$B182)*(Mapa_Data=$A182)*(Mapa_MinOcup&gt;0)*((Mapa_RelIni&lt;$R182)+((Mapa_RelIni=$R182)*(Mapa_Row&lt;=$U182)))))</f>
        <v/>
      </c>
      <c r="N182" s="43">
        <f>IF($L182&lt;=0,"",MOD(Turno_Ini+($S182+Limpeza_Min)/1440,1))</f>
        <v/>
      </c>
      <c r="O182" s="37">
        <f>IF($L182&lt;=0,"",MAX(0,IFERROR(INDEX(Mapa_RelIni,MATCH($B182&amp;"#"&amp;($M182+1),Mapa_Chave,0)),Turno_Min)-($S182+Limpeza_Min)))</f>
        <v/>
      </c>
      <c r="P182" s="19">
        <f>IF($B182="","",IF($Q182="","OK",LEFT($Q182,LEN($Q182)-3)))</f>
        <v/>
      </c>
      <c r="Q182" s="10">
        <f>IF($B182="","",IF(COUNTIF(Postos_Cod,$B182)=0,"Sala não cadastrada | ","")&amp;IF(AND(COUNTIF(Postos_Cod,$B182)&gt;0,IFERROR(INDEX(Postos_Tipo,MATCH($B182,Postos_Cod,0)),"")&lt;&gt;"Sala cirúrgica"),"Posto não é sala cirúrgica | ","")&amp;IF(AND(COUNTIF(Postos_Cod,$B182)&gt;0,IFERROR(INDEX(Postos_Status,MATCH($B182,Postos_Cod,0)),"")&lt;&gt;"Ativo"),"Sala não ativa | ","")&amp;IF(COUNTIF(Esp_Nome,$E182)=0,"Especialidade não cadastrada | ","")&amp;IF(COUNTIF(Lista_StatusCirurgia,$J182)=0,"Status inválido | ","")&amp;IF(OR(NOT(ISNUMBER($C182)),NOT(ISNUMBER($D182))),"Horário inválido | ","")&amp;IFERROR(IF(AND(ISNUMBER($C182),ISNUMBER($D182),MOD($D182-$C182,1)*1440&lt;=0),"Duração nula ou negativa | ",""),"")&amp;IF(AND($L182&gt;0,OR($R182&gt;=Turno_Min,$S182&gt;Turno_Min)),"Fora da janela do plantão | ","")&amp;IF(AND($L182&gt;0,SUMPRODUCT((Mapa_Sala=$B182)*(Mapa_Data=$A182)*(Mapa_MinOcup&gt;0)*(Mapa_RelIni&lt;$S182)*(Mapa_RelFim&gt;$R182))&gt;1),"Sobreposição de horário na sala | ","")&amp;IFERROR(IF(AND(ISNUMBER($K182),$K182&gt;0,COUNTIF(Esp_Nome,$E182)&gt;0,$K182&gt;3*INDEX(Esp_Dur,MATCH($E182,Esp_Nome,0))),"Duração atípica (&gt;3x a média) | ",""),""))</f>
        <v/>
      </c>
      <c r="R182" s="15">
        <f>IF(NOT(ISNUMBER($C182)),0,ROUND(MOD($C182-Turno_Ini,1)*1440,0))</f>
        <v/>
      </c>
      <c r="S182" s="15">
        <f>IF($L182&lt;=0,0,$R182+$K182)</f>
        <v/>
      </c>
      <c r="T182" s="15">
        <f>IF($M182="","",$B182&amp;"#"&amp;$M182)</f>
        <v/>
      </c>
      <c r="U182" s="15">
        <f>ROW()</f>
        <v/>
      </c>
    </row>
    <row r="183">
      <c r="A183" s="38" t="n"/>
      <c r="B183" s="29" t="n"/>
      <c r="C183" s="42" t="n"/>
      <c r="D183" s="42" t="n"/>
      <c r="E183" s="30" t="n"/>
      <c r="F183" s="34">
        <f>IF($E183="","",IFERROR(INDEX(Esp_Hab,MATCH($E183,Esp_Nome,0)),"—"))</f>
        <v/>
      </c>
      <c r="G183" s="30" t="n"/>
      <c r="H183" s="30" t="n"/>
      <c r="I183" s="29" t="n"/>
      <c r="J183" s="29" t="n"/>
      <c r="K183" s="37">
        <f>IF(OR($B183="",NOT(ISNUMBER($C183)),NOT(ISNUMBER($D183))),"",ROUND(MOD($D183-$C183,1)*1440,0))</f>
        <v/>
      </c>
      <c r="L183" s="37">
        <f>IF(NOT(ISNUMBER($K183)),0,IF(OR($K183&lt;=0,$J183="Cancelada",$J183="Suspensa"),0,$K183+Limpeza_Min))</f>
        <v/>
      </c>
      <c r="M183" s="37">
        <f>IF($L183&lt;=0,"",SUMPRODUCT((Mapa_Sala=$B183)*(Mapa_Data=$A183)*(Mapa_MinOcup&gt;0)*((Mapa_RelIni&lt;$R183)+((Mapa_RelIni=$R183)*(Mapa_Row&lt;=$U183)))))</f>
        <v/>
      </c>
      <c r="N183" s="43">
        <f>IF($L183&lt;=0,"",MOD(Turno_Ini+($S183+Limpeza_Min)/1440,1))</f>
        <v/>
      </c>
      <c r="O183" s="37">
        <f>IF($L183&lt;=0,"",MAX(0,IFERROR(INDEX(Mapa_RelIni,MATCH($B183&amp;"#"&amp;($M183+1),Mapa_Chave,0)),Turno_Min)-($S183+Limpeza_Min)))</f>
        <v/>
      </c>
      <c r="P183" s="19">
        <f>IF($B183="","",IF($Q183="","OK",LEFT($Q183,LEN($Q183)-3)))</f>
        <v/>
      </c>
      <c r="Q183" s="10">
        <f>IF($B183="","",IF(COUNTIF(Postos_Cod,$B183)=0,"Sala não cadastrada | ","")&amp;IF(AND(COUNTIF(Postos_Cod,$B183)&gt;0,IFERROR(INDEX(Postos_Tipo,MATCH($B183,Postos_Cod,0)),"")&lt;&gt;"Sala cirúrgica"),"Posto não é sala cirúrgica | ","")&amp;IF(AND(COUNTIF(Postos_Cod,$B183)&gt;0,IFERROR(INDEX(Postos_Status,MATCH($B183,Postos_Cod,0)),"")&lt;&gt;"Ativo"),"Sala não ativa | ","")&amp;IF(COUNTIF(Esp_Nome,$E183)=0,"Especialidade não cadastrada | ","")&amp;IF(COUNTIF(Lista_StatusCirurgia,$J183)=0,"Status inválido | ","")&amp;IF(OR(NOT(ISNUMBER($C183)),NOT(ISNUMBER($D183))),"Horário inválido | ","")&amp;IFERROR(IF(AND(ISNUMBER($C183),ISNUMBER($D183),MOD($D183-$C183,1)*1440&lt;=0),"Duração nula ou negativa | ",""),"")&amp;IF(AND($L183&gt;0,OR($R183&gt;=Turno_Min,$S183&gt;Turno_Min)),"Fora da janela do plantão | ","")&amp;IF(AND($L183&gt;0,SUMPRODUCT((Mapa_Sala=$B183)*(Mapa_Data=$A183)*(Mapa_MinOcup&gt;0)*(Mapa_RelIni&lt;$S183)*(Mapa_RelFim&gt;$R183))&gt;1),"Sobreposição de horário na sala | ","")&amp;IFERROR(IF(AND(ISNUMBER($K183),$K183&gt;0,COUNTIF(Esp_Nome,$E183)&gt;0,$K183&gt;3*INDEX(Esp_Dur,MATCH($E183,Esp_Nome,0))),"Duração atípica (&gt;3x a média) | ",""),""))</f>
        <v/>
      </c>
      <c r="R183" s="15">
        <f>IF(NOT(ISNUMBER($C183)),0,ROUND(MOD($C183-Turno_Ini,1)*1440,0))</f>
        <v/>
      </c>
      <c r="S183" s="15">
        <f>IF($L183&lt;=0,0,$R183+$K183)</f>
        <v/>
      </c>
      <c r="T183" s="15">
        <f>IF($M183="","",$B183&amp;"#"&amp;$M183)</f>
        <v/>
      </c>
      <c r="U183" s="15">
        <f>ROW()</f>
        <v/>
      </c>
    </row>
    <row r="184">
      <c r="A184" s="38" t="n"/>
      <c r="B184" s="29" t="n"/>
      <c r="C184" s="42" t="n"/>
      <c r="D184" s="42" t="n"/>
      <c r="E184" s="30" t="n"/>
      <c r="F184" s="34">
        <f>IF($E184="","",IFERROR(INDEX(Esp_Hab,MATCH($E184,Esp_Nome,0)),"—"))</f>
        <v/>
      </c>
      <c r="G184" s="30" t="n"/>
      <c r="H184" s="30" t="n"/>
      <c r="I184" s="29" t="n"/>
      <c r="J184" s="29" t="n"/>
      <c r="K184" s="37">
        <f>IF(OR($B184="",NOT(ISNUMBER($C184)),NOT(ISNUMBER($D184))),"",ROUND(MOD($D184-$C184,1)*1440,0))</f>
        <v/>
      </c>
      <c r="L184" s="37">
        <f>IF(NOT(ISNUMBER($K184)),0,IF(OR($K184&lt;=0,$J184="Cancelada",$J184="Suspensa"),0,$K184+Limpeza_Min))</f>
        <v/>
      </c>
      <c r="M184" s="37">
        <f>IF($L184&lt;=0,"",SUMPRODUCT((Mapa_Sala=$B184)*(Mapa_Data=$A184)*(Mapa_MinOcup&gt;0)*((Mapa_RelIni&lt;$R184)+((Mapa_RelIni=$R184)*(Mapa_Row&lt;=$U184)))))</f>
        <v/>
      </c>
      <c r="N184" s="43">
        <f>IF($L184&lt;=0,"",MOD(Turno_Ini+($S184+Limpeza_Min)/1440,1))</f>
        <v/>
      </c>
      <c r="O184" s="37">
        <f>IF($L184&lt;=0,"",MAX(0,IFERROR(INDEX(Mapa_RelIni,MATCH($B184&amp;"#"&amp;($M184+1),Mapa_Chave,0)),Turno_Min)-($S184+Limpeza_Min)))</f>
        <v/>
      </c>
      <c r="P184" s="19">
        <f>IF($B184="","",IF($Q184="","OK",LEFT($Q184,LEN($Q184)-3)))</f>
        <v/>
      </c>
      <c r="Q184" s="10">
        <f>IF($B184="","",IF(COUNTIF(Postos_Cod,$B184)=0,"Sala não cadastrada | ","")&amp;IF(AND(COUNTIF(Postos_Cod,$B184)&gt;0,IFERROR(INDEX(Postos_Tipo,MATCH($B184,Postos_Cod,0)),"")&lt;&gt;"Sala cirúrgica"),"Posto não é sala cirúrgica | ","")&amp;IF(AND(COUNTIF(Postos_Cod,$B184)&gt;0,IFERROR(INDEX(Postos_Status,MATCH($B184,Postos_Cod,0)),"")&lt;&gt;"Ativo"),"Sala não ativa | ","")&amp;IF(COUNTIF(Esp_Nome,$E184)=0,"Especialidade não cadastrada | ","")&amp;IF(COUNTIF(Lista_StatusCirurgia,$J184)=0,"Status inválido | ","")&amp;IF(OR(NOT(ISNUMBER($C184)),NOT(ISNUMBER($D184))),"Horário inválido | ","")&amp;IFERROR(IF(AND(ISNUMBER($C184),ISNUMBER($D184),MOD($D184-$C184,1)*1440&lt;=0),"Duração nula ou negativa | ",""),"")&amp;IF(AND($L184&gt;0,OR($R184&gt;=Turno_Min,$S184&gt;Turno_Min)),"Fora da janela do plantão | ","")&amp;IF(AND($L184&gt;0,SUMPRODUCT((Mapa_Sala=$B184)*(Mapa_Data=$A184)*(Mapa_MinOcup&gt;0)*(Mapa_RelIni&lt;$S184)*(Mapa_RelFim&gt;$R184))&gt;1),"Sobreposição de horário na sala | ","")&amp;IFERROR(IF(AND(ISNUMBER($K184),$K184&gt;0,COUNTIF(Esp_Nome,$E184)&gt;0,$K184&gt;3*INDEX(Esp_Dur,MATCH($E184,Esp_Nome,0))),"Duração atípica (&gt;3x a média) | ",""),""))</f>
        <v/>
      </c>
      <c r="R184" s="15">
        <f>IF(NOT(ISNUMBER($C184)),0,ROUND(MOD($C184-Turno_Ini,1)*1440,0))</f>
        <v/>
      </c>
      <c r="S184" s="15">
        <f>IF($L184&lt;=0,0,$R184+$K184)</f>
        <v/>
      </c>
      <c r="T184" s="15">
        <f>IF($M184="","",$B184&amp;"#"&amp;$M184)</f>
        <v/>
      </c>
      <c r="U184" s="15">
        <f>ROW()</f>
        <v/>
      </c>
    </row>
    <row r="185">
      <c r="A185" s="38" t="n"/>
      <c r="B185" s="29" t="n"/>
      <c r="C185" s="42" t="n"/>
      <c r="D185" s="42" t="n"/>
      <c r="E185" s="30" t="n"/>
      <c r="F185" s="34">
        <f>IF($E185="","",IFERROR(INDEX(Esp_Hab,MATCH($E185,Esp_Nome,0)),"—"))</f>
        <v/>
      </c>
      <c r="G185" s="30" t="n"/>
      <c r="H185" s="30" t="n"/>
      <c r="I185" s="29" t="n"/>
      <c r="J185" s="29" t="n"/>
      <c r="K185" s="37">
        <f>IF(OR($B185="",NOT(ISNUMBER($C185)),NOT(ISNUMBER($D185))),"",ROUND(MOD($D185-$C185,1)*1440,0))</f>
        <v/>
      </c>
      <c r="L185" s="37">
        <f>IF(NOT(ISNUMBER($K185)),0,IF(OR($K185&lt;=0,$J185="Cancelada",$J185="Suspensa"),0,$K185+Limpeza_Min))</f>
        <v/>
      </c>
      <c r="M185" s="37">
        <f>IF($L185&lt;=0,"",SUMPRODUCT((Mapa_Sala=$B185)*(Mapa_Data=$A185)*(Mapa_MinOcup&gt;0)*((Mapa_RelIni&lt;$R185)+((Mapa_RelIni=$R185)*(Mapa_Row&lt;=$U185)))))</f>
        <v/>
      </c>
      <c r="N185" s="43">
        <f>IF($L185&lt;=0,"",MOD(Turno_Ini+($S185+Limpeza_Min)/1440,1))</f>
        <v/>
      </c>
      <c r="O185" s="37">
        <f>IF($L185&lt;=0,"",MAX(0,IFERROR(INDEX(Mapa_RelIni,MATCH($B185&amp;"#"&amp;($M185+1),Mapa_Chave,0)),Turno_Min)-($S185+Limpeza_Min)))</f>
        <v/>
      </c>
      <c r="P185" s="19">
        <f>IF($B185="","",IF($Q185="","OK",LEFT($Q185,LEN($Q185)-3)))</f>
        <v/>
      </c>
      <c r="Q185" s="10">
        <f>IF($B185="","",IF(COUNTIF(Postos_Cod,$B185)=0,"Sala não cadastrada | ","")&amp;IF(AND(COUNTIF(Postos_Cod,$B185)&gt;0,IFERROR(INDEX(Postos_Tipo,MATCH($B185,Postos_Cod,0)),"")&lt;&gt;"Sala cirúrgica"),"Posto não é sala cirúrgica | ","")&amp;IF(AND(COUNTIF(Postos_Cod,$B185)&gt;0,IFERROR(INDEX(Postos_Status,MATCH($B185,Postos_Cod,0)),"")&lt;&gt;"Ativo"),"Sala não ativa | ","")&amp;IF(COUNTIF(Esp_Nome,$E185)=0,"Especialidade não cadastrada | ","")&amp;IF(COUNTIF(Lista_StatusCirurgia,$J185)=0,"Status inválido | ","")&amp;IF(OR(NOT(ISNUMBER($C185)),NOT(ISNUMBER($D185))),"Horário inválido | ","")&amp;IFERROR(IF(AND(ISNUMBER($C185),ISNUMBER($D185),MOD($D185-$C185,1)*1440&lt;=0),"Duração nula ou negativa | ",""),"")&amp;IF(AND($L185&gt;0,OR($R185&gt;=Turno_Min,$S185&gt;Turno_Min)),"Fora da janela do plantão | ","")&amp;IF(AND($L185&gt;0,SUMPRODUCT((Mapa_Sala=$B185)*(Mapa_Data=$A185)*(Mapa_MinOcup&gt;0)*(Mapa_RelIni&lt;$S185)*(Mapa_RelFim&gt;$R185))&gt;1),"Sobreposição de horário na sala | ","")&amp;IFERROR(IF(AND(ISNUMBER($K185),$K185&gt;0,COUNTIF(Esp_Nome,$E185)&gt;0,$K185&gt;3*INDEX(Esp_Dur,MATCH($E185,Esp_Nome,0))),"Duração atípica (&gt;3x a média) | ",""),""))</f>
        <v/>
      </c>
      <c r="R185" s="15">
        <f>IF(NOT(ISNUMBER($C185)),0,ROUND(MOD($C185-Turno_Ini,1)*1440,0))</f>
        <v/>
      </c>
      <c r="S185" s="15">
        <f>IF($L185&lt;=0,0,$R185+$K185)</f>
        <v/>
      </c>
      <c r="T185" s="15">
        <f>IF($M185="","",$B185&amp;"#"&amp;$M185)</f>
        <v/>
      </c>
      <c r="U185" s="15">
        <f>ROW()</f>
        <v/>
      </c>
    </row>
    <row r="186">
      <c r="A186" s="38" t="n"/>
      <c r="B186" s="29" t="n"/>
      <c r="C186" s="42" t="n"/>
      <c r="D186" s="42" t="n"/>
      <c r="E186" s="30" t="n"/>
      <c r="F186" s="34">
        <f>IF($E186="","",IFERROR(INDEX(Esp_Hab,MATCH($E186,Esp_Nome,0)),"—"))</f>
        <v/>
      </c>
      <c r="G186" s="30" t="n"/>
      <c r="H186" s="30" t="n"/>
      <c r="I186" s="29" t="n"/>
      <c r="J186" s="29" t="n"/>
      <c r="K186" s="37">
        <f>IF(OR($B186="",NOT(ISNUMBER($C186)),NOT(ISNUMBER($D186))),"",ROUND(MOD($D186-$C186,1)*1440,0))</f>
        <v/>
      </c>
      <c r="L186" s="37">
        <f>IF(NOT(ISNUMBER($K186)),0,IF(OR($K186&lt;=0,$J186="Cancelada",$J186="Suspensa"),0,$K186+Limpeza_Min))</f>
        <v/>
      </c>
      <c r="M186" s="37">
        <f>IF($L186&lt;=0,"",SUMPRODUCT((Mapa_Sala=$B186)*(Mapa_Data=$A186)*(Mapa_MinOcup&gt;0)*((Mapa_RelIni&lt;$R186)+((Mapa_RelIni=$R186)*(Mapa_Row&lt;=$U186)))))</f>
        <v/>
      </c>
      <c r="N186" s="43">
        <f>IF($L186&lt;=0,"",MOD(Turno_Ini+($S186+Limpeza_Min)/1440,1))</f>
        <v/>
      </c>
      <c r="O186" s="37">
        <f>IF($L186&lt;=0,"",MAX(0,IFERROR(INDEX(Mapa_RelIni,MATCH($B186&amp;"#"&amp;($M186+1),Mapa_Chave,0)),Turno_Min)-($S186+Limpeza_Min)))</f>
        <v/>
      </c>
      <c r="P186" s="19">
        <f>IF($B186="","",IF($Q186="","OK",LEFT($Q186,LEN($Q186)-3)))</f>
        <v/>
      </c>
      <c r="Q186" s="10">
        <f>IF($B186="","",IF(COUNTIF(Postos_Cod,$B186)=0,"Sala não cadastrada | ","")&amp;IF(AND(COUNTIF(Postos_Cod,$B186)&gt;0,IFERROR(INDEX(Postos_Tipo,MATCH($B186,Postos_Cod,0)),"")&lt;&gt;"Sala cirúrgica"),"Posto não é sala cirúrgica | ","")&amp;IF(AND(COUNTIF(Postos_Cod,$B186)&gt;0,IFERROR(INDEX(Postos_Status,MATCH($B186,Postos_Cod,0)),"")&lt;&gt;"Ativo"),"Sala não ativa | ","")&amp;IF(COUNTIF(Esp_Nome,$E186)=0,"Especialidade não cadastrada | ","")&amp;IF(COUNTIF(Lista_StatusCirurgia,$J186)=0,"Status inválido | ","")&amp;IF(OR(NOT(ISNUMBER($C186)),NOT(ISNUMBER($D186))),"Horário inválido | ","")&amp;IFERROR(IF(AND(ISNUMBER($C186),ISNUMBER($D186),MOD($D186-$C186,1)*1440&lt;=0),"Duração nula ou negativa | ",""),"")&amp;IF(AND($L186&gt;0,OR($R186&gt;=Turno_Min,$S186&gt;Turno_Min)),"Fora da janela do plantão | ","")&amp;IF(AND($L186&gt;0,SUMPRODUCT((Mapa_Sala=$B186)*(Mapa_Data=$A186)*(Mapa_MinOcup&gt;0)*(Mapa_RelIni&lt;$S186)*(Mapa_RelFim&gt;$R186))&gt;1),"Sobreposição de horário na sala | ","")&amp;IFERROR(IF(AND(ISNUMBER($K186),$K186&gt;0,COUNTIF(Esp_Nome,$E186)&gt;0,$K186&gt;3*INDEX(Esp_Dur,MATCH($E186,Esp_Nome,0))),"Duração atípica (&gt;3x a média) | ",""),""))</f>
        <v/>
      </c>
      <c r="R186" s="15">
        <f>IF(NOT(ISNUMBER($C186)),0,ROUND(MOD($C186-Turno_Ini,1)*1440,0))</f>
        <v/>
      </c>
      <c r="S186" s="15">
        <f>IF($L186&lt;=0,0,$R186+$K186)</f>
        <v/>
      </c>
      <c r="T186" s="15">
        <f>IF($M186="","",$B186&amp;"#"&amp;$M186)</f>
        <v/>
      </c>
      <c r="U186" s="15">
        <f>ROW()</f>
        <v/>
      </c>
    </row>
    <row r="187">
      <c r="A187" s="38" t="n"/>
      <c r="B187" s="29" t="n"/>
      <c r="C187" s="42" t="n"/>
      <c r="D187" s="42" t="n"/>
      <c r="E187" s="30" t="n"/>
      <c r="F187" s="34">
        <f>IF($E187="","",IFERROR(INDEX(Esp_Hab,MATCH($E187,Esp_Nome,0)),"—"))</f>
        <v/>
      </c>
      <c r="G187" s="30" t="n"/>
      <c r="H187" s="30" t="n"/>
      <c r="I187" s="29" t="n"/>
      <c r="J187" s="29" t="n"/>
      <c r="K187" s="37">
        <f>IF(OR($B187="",NOT(ISNUMBER($C187)),NOT(ISNUMBER($D187))),"",ROUND(MOD($D187-$C187,1)*1440,0))</f>
        <v/>
      </c>
      <c r="L187" s="37">
        <f>IF(NOT(ISNUMBER($K187)),0,IF(OR($K187&lt;=0,$J187="Cancelada",$J187="Suspensa"),0,$K187+Limpeza_Min))</f>
        <v/>
      </c>
      <c r="M187" s="37">
        <f>IF($L187&lt;=0,"",SUMPRODUCT((Mapa_Sala=$B187)*(Mapa_Data=$A187)*(Mapa_MinOcup&gt;0)*((Mapa_RelIni&lt;$R187)+((Mapa_RelIni=$R187)*(Mapa_Row&lt;=$U187)))))</f>
        <v/>
      </c>
      <c r="N187" s="43">
        <f>IF($L187&lt;=0,"",MOD(Turno_Ini+($S187+Limpeza_Min)/1440,1))</f>
        <v/>
      </c>
      <c r="O187" s="37">
        <f>IF($L187&lt;=0,"",MAX(0,IFERROR(INDEX(Mapa_RelIni,MATCH($B187&amp;"#"&amp;($M187+1),Mapa_Chave,0)),Turno_Min)-($S187+Limpeza_Min)))</f>
        <v/>
      </c>
      <c r="P187" s="19">
        <f>IF($B187="","",IF($Q187="","OK",LEFT($Q187,LEN($Q187)-3)))</f>
        <v/>
      </c>
      <c r="Q187" s="10">
        <f>IF($B187="","",IF(COUNTIF(Postos_Cod,$B187)=0,"Sala não cadastrada | ","")&amp;IF(AND(COUNTIF(Postos_Cod,$B187)&gt;0,IFERROR(INDEX(Postos_Tipo,MATCH($B187,Postos_Cod,0)),"")&lt;&gt;"Sala cirúrgica"),"Posto não é sala cirúrgica | ","")&amp;IF(AND(COUNTIF(Postos_Cod,$B187)&gt;0,IFERROR(INDEX(Postos_Status,MATCH($B187,Postos_Cod,0)),"")&lt;&gt;"Ativo"),"Sala não ativa | ","")&amp;IF(COUNTIF(Esp_Nome,$E187)=0,"Especialidade não cadastrada | ","")&amp;IF(COUNTIF(Lista_StatusCirurgia,$J187)=0,"Status inválido | ","")&amp;IF(OR(NOT(ISNUMBER($C187)),NOT(ISNUMBER($D187))),"Horário inválido | ","")&amp;IFERROR(IF(AND(ISNUMBER($C187),ISNUMBER($D187),MOD($D187-$C187,1)*1440&lt;=0),"Duração nula ou negativa | ",""),"")&amp;IF(AND($L187&gt;0,OR($R187&gt;=Turno_Min,$S187&gt;Turno_Min)),"Fora da janela do plantão | ","")&amp;IF(AND($L187&gt;0,SUMPRODUCT((Mapa_Sala=$B187)*(Mapa_Data=$A187)*(Mapa_MinOcup&gt;0)*(Mapa_RelIni&lt;$S187)*(Mapa_RelFim&gt;$R187))&gt;1),"Sobreposição de horário na sala | ","")&amp;IFERROR(IF(AND(ISNUMBER($K187),$K187&gt;0,COUNTIF(Esp_Nome,$E187)&gt;0,$K187&gt;3*INDEX(Esp_Dur,MATCH($E187,Esp_Nome,0))),"Duração atípica (&gt;3x a média) | ",""),""))</f>
        <v/>
      </c>
      <c r="R187" s="15">
        <f>IF(NOT(ISNUMBER($C187)),0,ROUND(MOD($C187-Turno_Ini,1)*1440,0))</f>
        <v/>
      </c>
      <c r="S187" s="15">
        <f>IF($L187&lt;=0,0,$R187+$K187)</f>
        <v/>
      </c>
      <c r="T187" s="15">
        <f>IF($M187="","",$B187&amp;"#"&amp;$M187)</f>
        <v/>
      </c>
      <c r="U187" s="15">
        <f>ROW()</f>
        <v/>
      </c>
    </row>
    <row r="188">
      <c r="A188" s="38" t="n"/>
      <c r="B188" s="29" t="n"/>
      <c r="C188" s="42" t="n"/>
      <c r="D188" s="42" t="n"/>
      <c r="E188" s="30" t="n"/>
      <c r="F188" s="34">
        <f>IF($E188="","",IFERROR(INDEX(Esp_Hab,MATCH($E188,Esp_Nome,0)),"—"))</f>
        <v/>
      </c>
      <c r="G188" s="30" t="n"/>
      <c r="H188" s="30" t="n"/>
      <c r="I188" s="29" t="n"/>
      <c r="J188" s="29" t="n"/>
      <c r="K188" s="37">
        <f>IF(OR($B188="",NOT(ISNUMBER($C188)),NOT(ISNUMBER($D188))),"",ROUND(MOD($D188-$C188,1)*1440,0))</f>
        <v/>
      </c>
      <c r="L188" s="37">
        <f>IF(NOT(ISNUMBER($K188)),0,IF(OR($K188&lt;=0,$J188="Cancelada",$J188="Suspensa"),0,$K188+Limpeza_Min))</f>
        <v/>
      </c>
      <c r="M188" s="37">
        <f>IF($L188&lt;=0,"",SUMPRODUCT((Mapa_Sala=$B188)*(Mapa_Data=$A188)*(Mapa_MinOcup&gt;0)*((Mapa_RelIni&lt;$R188)+((Mapa_RelIni=$R188)*(Mapa_Row&lt;=$U188)))))</f>
        <v/>
      </c>
      <c r="N188" s="43">
        <f>IF($L188&lt;=0,"",MOD(Turno_Ini+($S188+Limpeza_Min)/1440,1))</f>
        <v/>
      </c>
      <c r="O188" s="37">
        <f>IF($L188&lt;=0,"",MAX(0,IFERROR(INDEX(Mapa_RelIni,MATCH($B188&amp;"#"&amp;($M188+1),Mapa_Chave,0)),Turno_Min)-($S188+Limpeza_Min)))</f>
        <v/>
      </c>
      <c r="P188" s="19">
        <f>IF($B188="","",IF($Q188="","OK",LEFT($Q188,LEN($Q188)-3)))</f>
        <v/>
      </c>
      <c r="Q188" s="10">
        <f>IF($B188="","",IF(COUNTIF(Postos_Cod,$B188)=0,"Sala não cadastrada | ","")&amp;IF(AND(COUNTIF(Postos_Cod,$B188)&gt;0,IFERROR(INDEX(Postos_Tipo,MATCH($B188,Postos_Cod,0)),"")&lt;&gt;"Sala cirúrgica"),"Posto não é sala cirúrgica | ","")&amp;IF(AND(COUNTIF(Postos_Cod,$B188)&gt;0,IFERROR(INDEX(Postos_Status,MATCH($B188,Postos_Cod,0)),"")&lt;&gt;"Ativo"),"Sala não ativa | ","")&amp;IF(COUNTIF(Esp_Nome,$E188)=0,"Especialidade não cadastrada | ","")&amp;IF(COUNTIF(Lista_StatusCirurgia,$J188)=0,"Status inválido | ","")&amp;IF(OR(NOT(ISNUMBER($C188)),NOT(ISNUMBER($D188))),"Horário inválido | ","")&amp;IFERROR(IF(AND(ISNUMBER($C188),ISNUMBER($D188),MOD($D188-$C188,1)*1440&lt;=0),"Duração nula ou negativa | ",""),"")&amp;IF(AND($L188&gt;0,OR($R188&gt;=Turno_Min,$S188&gt;Turno_Min)),"Fora da janela do plantão | ","")&amp;IF(AND($L188&gt;0,SUMPRODUCT((Mapa_Sala=$B188)*(Mapa_Data=$A188)*(Mapa_MinOcup&gt;0)*(Mapa_RelIni&lt;$S188)*(Mapa_RelFim&gt;$R188))&gt;1),"Sobreposição de horário na sala | ","")&amp;IFERROR(IF(AND(ISNUMBER($K188),$K188&gt;0,COUNTIF(Esp_Nome,$E188)&gt;0,$K188&gt;3*INDEX(Esp_Dur,MATCH($E188,Esp_Nome,0))),"Duração atípica (&gt;3x a média) | ",""),""))</f>
        <v/>
      </c>
      <c r="R188" s="15">
        <f>IF(NOT(ISNUMBER($C188)),0,ROUND(MOD($C188-Turno_Ini,1)*1440,0))</f>
        <v/>
      </c>
      <c r="S188" s="15">
        <f>IF($L188&lt;=0,0,$R188+$K188)</f>
        <v/>
      </c>
      <c r="T188" s="15">
        <f>IF($M188="","",$B188&amp;"#"&amp;$M188)</f>
        <v/>
      </c>
      <c r="U188" s="15">
        <f>ROW()</f>
        <v/>
      </c>
    </row>
    <row r="189">
      <c r="A189" s="38" t="n"/>
      <c r="B189" s="29" t="n"/>
      <c r="C189" s="42" t="n"/>
      <c r="D189" s="42" t="n"/>
      <c r="E189" s="30" t="n"/>
      <c r="F189" s="34">
        <f>IF($E189="","",IFERROR(INDEX(Esp_Hab,MATCH($E189,Esp_Nome,0)),"—"))</f>
        <v/>
      </c>
      <c r="G189" s="30" t="n"/>
      <c r="H189" s="30" t="n"/>
      <c r="I189" s="29" t="n"/>
      <c r="J189" s="29" t="n"/>
      <c r="K189" s="37">
        <f>IF(OR($B189="",NOT(ISNUMBER($C189)),NOT(ISNUMBER($D189))),"",ROUND(MOD($D189-$C189,1)*1440,0))</f>
        <v/>
      </c>
      <c r="L189" s="37">
        <f>IF(NOT(ISNUMBER($K189)),0,IF(OR($K189&lt;=0,$J189="Cancelada",$J189="Suspensa"),0,$K189+Limpeza_Min))</f>
        <v/>
      </c>
      <c r="M189" s="37">
        <f>IF($L189&lt;=0,"",SUMPRODUCT((Mapa_Sala=$B189)*(Mapa_Data=$A189)*(Mapa_MinOcup&gt;0)*((Mapa_RelIni&lt;$R189)+((Mapa_RelIni=$R189)*(Mapa_Row&lt;=$U189)))))</f>
        <v/>
      </c>
      <c r="N189" s="43">
        <f>IF($L189&lt;=0,"",MOD(Turno_Ini+($S189+Limpeza_Min)/1440,1))</f>
        <v/>
      </c>
      <c r="O189" s="37">
        <f>IF($L189&lt;=0,"",MAX(0,IFERROR(INDEX(Mapa_RelIni,MATCH($B189&amp;"#"&amp;($M189+1),Mapa_Chave,0)),Turno_Min)-($S189+Limpeza_Min)))</f>
        <v/>
      </c>
      <c r="P189" s="19">
        <f>IF($B189="","",IF($Q189="","OK",LEFT($Q189,LEN($Q189)-3)))</f>
        <v/>
      </c>
      <c r="Q189" s="10">
        <f>IF($B189="","",IF(COUNTIF(Postos_Cod,$B189)=0,"Sala não cadastrada | ","")&amp;IF(AND(COUNTIF(Postos_Cod,$B189)&gt;0,IFERROR(INDEX(Postos_Tipo,MATCH($B189,Postos_Cod,0)),"")&lt;&gt;"Sala cirúrgica"),"Posto não é sala cirúrgica | ","")&amp;IF(AND(COUNTIF(Postos_Cod,$B189)&gt;0,IFERROR(INDEX(Postos_Status,MATCH($B189,Postos_Cod,0)),"")&lt;&gt;"Ativo"),"Sala não ativa | ","")&amp;IF(COUNTIF(Esp_Nome,$E189)=0,"Especialidade não cadastrada | ","")&amp;IF(COUNTIF(Lista_StatusCirurgia,$J189)=0,"Status inválido | ","")&amp;IF(OR(NOT(ISNUMBER($C189)),NOT(ISNUMBER($D189))),"Horário inválido | ","")&amp;IFERROR(IF(AND(ISNUMBER($C189),ISNUMBER($D189),MOD($D189-$C189,1)*1440&lt;=0),"Duração nula ou negativa | ",""),"")&amp;IF(AND($L189&gt;0,OR($R189&gt;=Turno_Min,$S189&gt;Turno_Min)),"Fora da janela do plantão | ","")&amp;IF(AND($L189&gt;0,SUMPRODUCT((Mapa_Sala=$B189)*(Mapa_Data=$A189)*(Mapa_MinOcup&gt;0)*(Mapa_RelIni&lt;$S189)*(Mapa_RelFim&gt;$R189))&gt;1),"Sobreposição de horário na sala | ","")&amp;IFERROR(IF(AND(ISNUMBER($K189),$K189&gt;0,COUNTIF(Esp_Nome,$E189)&gt;0,$K189&gt;3*INDEX(Esp_Dur,MATCH($E189,Esp_Nome,0))),"Duração atípica (&gt;3x a média) | ",""),""))</f>
        <v/>
      </c>
      <c r="R189" s="15">
        <f>IF(NOT(ISNUMBER($C189)),0,ROUND(MOD($C189-Turno_Ini,1)*1440,0))</f>
        <v/>
      </c>
      <c r="S189" s="15">
        <f>IF($L189&lt;=0,0,$R189+$K189)</f>
        <v/>
      </c>
      <c r="T189" s="15">
        <f>IF($M189="","",$B189&amp;"#"&amp;$M189)</f>
        <v/>
      </c>
      <c r="U189" s="15">
        <f>ROW()</f>
        <v/>
      </c>
    </row>
    <row r="190">
      <c r="A190" s="38" t="n"/>
      <c r="B190" s="29" t="n"/>
      <c r="C190" s="42" t="n"/>
      <c r="D190" s="42" t="n"/>
      <c r="E190" s="30" t="n"/>
      <c r="F190" s="34">
        <f>IF($E190="","",IFERROR(INDEX(Esp_Hab,MATCH($E190,Esp_Nome,0)),"—"))</f>
        <v/>
      </c>
      <c r="G190" s="30" t="n"/>
      <c r="H190" s="30" t="n"/>
      <c r="I190" s="29" t="n"/>
      <c r="J190" s="29" t="n"/>
      <c r="K190" s="37">
        <f>IF(OR($B190="",NOT(ISNUMBER($C190)),NOT(ISNUMBER($D190))),"",ROUND(MOD($D190-$C190,1)*1440,0))</f>
        <v/>
      </c>
      <c r="L190" s="37">
        <f>IF(NOT(ISNUMBER($K190)),0,IF(OR($K190&lt;=0,$J190="Cancelada",$J190="Suspensa"),0,$K190+Limpeza_Min))</f>
        <v/>
      </c>
      <c r="M190" s="37">
        <f>IF($L190&lt;=0,"",SUMPRODUCT((Mapa_Sala=$B190)*(Mapa_Data=$A190)*(Mapa_MinOcup&gt;0)*((Mapa_RelIni&lt;$R190)+((Mapa_RelIni=$R190)*(Mapa_Row&lt;=$U190)))))</f>
        <v/>
      </c>
      <c r="N190" s="43">
        <f>IF($L190&lt;=0,"",MOD(Turno_Ini+($S190+Limpeza_Min)/1440,1))</f>
        <v/>
      </c>
      <c r="O190" s="37">
        <f>IF($L190&lt;=0,"",MAX(0,IFERROR(INDEX(Mapa_RelIni,MATCH($B190&amp;"#"&amp;($M190+1),Mapa_Chave,0)),Turno_Min)-($S190+Limpeza_Min)))</f>
        <v/>
      </c>
      <c r="P190" s="19">
        <f>IF($B190="","",IF($Q190="","OK",LEFT($Q190,LEN($Q190)-3)))</f>
        <v/>
      </c>
      <c r="Q190" s="10">
        <f>IF($B190="","",IF(COUNTIF(Postos_Cod,$B190)=0,"Sala não cadastrada | ","")&amp;IF(AND(COUNTIF(Postos_Cod,$B190)&gt;0,IFERROR(INDEX(Postos_Tipo,MATCH($B190,Postos_Cod,0)),"")&lt;&gt;"Sala cirúrgica"),"Posto não é sala cirúrgica | ","")&amp;IF(AND(COUNTIF(Postos_Cod,$B190)&gt;0,IFERROR(INDEX(Postos_Status,MATCH($B190,Postos_Cod,0)),"")&lt;&gt;"Ativo"),"Sala não ativa | ","")&amp;IF(COUNTIF(Esp_Nome,$E190)=0,"Especialidade não cadastrada | ","")&amp;IF(COUNTIF(Lista_StatusCirurgia,$J190)=0,"Status inválido | ","")&amp;IF(OR(NOT(ISNUMBER($C190)),NOT(ISNUMBER($D190))),"Horário inválido | ","")&amp;IFERROR(IF(AND(ISNUMBER($C190),ISNUMBER($D190),MOD($D190-$C190,1)*1440&lt;=0),"Duração nula ou negativa | ",""),"")&amp;IF(AND($L190&gt;0,OR($R190&gt;=Turno_Min,$S190&gt;Turno_Min)),"Fora da janela do plantão | ","")&amp;IF(AND($L190&gt;0,SUMPRODUCT((Mapa_Sala=$B190)*(Mapa_Data=$A190)*(Mapa_MinOcup&gt;0)*(Mapa_RelIni&lt;$S190)*(Mapa_RelFim&gt;$R190))&gt;1),"Sobreposição de horário na sala | ","")&amp;IFERROR(IF(AND(ISNUMBER($K190),$K190&gt;0,COUNTIF(Esp_Nome,$E190)&gt;0,$K190&gt;3*INDEX(Esp_Dur,MATCH($E190,Esp_Nome,0))),"Duração atípica (&gt;3x a média) | ",""),""))</f>
        <v/>
      </c>
      <c r="R190" s="15">
        <f>IF(NOT(ISNUMBER($C190)),0,ROUND(MOD($C190-Turno_Ini,1)*1440,0))</f>
        <v/>
      </c>
      <c r="S190" s="15">
        <f>IF($L190&lt;=0,0,$R190+$K190)</f>
        <v/>
      </c>
      <c r="T190" s="15">
        <f>IF($M190="","",$B190&amp;"#"&amp;$M190)</f>
        <v/>
      </c>
      <c r="U190" s="15">
        <f>ROW()</f>
        <v/>
      </c>
    </row>
    <row r="191">
      <c r="A191" s="38" t="n"/>
      <c r="B191" s="29" t="n"/>
      <c r="C191" s="42" t="n"/>
      <c r="D191" s="42" t="n"/>
      <c r="E191" s="30" t="n"/>
      <c r="F191" s="34">
        <f>IF($E191="","",IFERROR(INDEX(Esp_Hab,MATCH($E191,Esp_Nome,0)),"—"))</f>
        <v/>
      </c>
      <c r="G191" s="30" t="n"/>
      <c r="H191" s="30" t="n"/>
      <c r="I191" s="29" t="n"/>
      <c r="J191" s="29" t="n"/>
      <c r="K191" s="37">
        <f>IF(OR($B191="",NOT(ISNUMBER($C191)),NOT(ISNUMBER($D191))),"",ROUND(MOD($D191-$C191,1)*1440,0))</f>
        <v/>
      </c>
      <c r="L191" s="37">
        <f>IF(NOT(ISNUMBER($K191)),0,IF(OR($K191&lt;=0,$J191="Cancelada",$J191="Suspensa"),0,$K191+Limpeza_Min))</f>
        <v/>
      </c>
      <c r="M191" s="37">
        <f>IF($L191&lt;=0,"",SUMPRODUCT((Mapa_Sala=$B191)*(Mapa_Data=$A191)*(Mapa_MinOcup&gt;0)*((Mapa_RelIni&lt;$R191)+((Mapa_RelIni=$R191)*(Mapa_Row&lt;=$U191)))))</f>
        <v/>
      </c>
      <c r="N191" s="43">
        <f>IF($L191&lt;=0,"",MOD(Turno_Ini+($S191+Limpeza_Min)/1440,1))</f>
        <v/>
      </c>
      <c r="O191" s="37">
        <f>IF($L191&lt;=0,"",MAX(0,IFERROR(INDEX(Mapa_RelIni,MATCH($B191&amp;"#"&amp;($M191+1),Mapa_Chave,0)),Turno_Min)-($S191+Limpeza_Min)))</f>
        <v/>
      </c>
      <c r="P191" s="19">
        <f>IF($B191="","",IF($Q191="","OK",LEFT($Q191,LEN($Q191)-3)))</f>
        <v/>
      </c>
      <c r="Q191" s="10">
        <f>IF($B191="","",IF(COUNTIF(Postos_Cod,$B191)=0,"Sala não cadastrada | ","")&amp;IF(AND(COUNTIF(Postos_Cod,$B191)&gt;0,IFERROR(INDEX(Postos_Tipo,MATCH($B191,Postos_Cod,0)),"")&lt;&gt;"Sala cirúrgica"),"Posto não é sala cirúrgica | ","")&amp;IF(AND(COUNTIF(Postos_Cod,$B191)&gt;0,IFERROR(INDEX(Postos_Status,MATCH($B191,Postos_Cod,0)),"")&lt;&gt;"Ativo"),"Sala não ativa | ","")&amp;IF(COUNTIF(Esp_Nome,$E191)=0,"Especialidade não cadastrada | ","")&amp;IF(COUNTIF(Lista_StatusCirurgia,$J191)=0,"Status inválido | ","")&amp;IF(OR(NOT(ISNUMBER($C191)),NOT(ISNUMBER($D191))),"Horário inválido | ","")&amp;IFERROR(IF(AND(ISNUMBER($C191),ISNUMBER($D191),MOD($D191-$C191,1)*1440&lt;=0),"Duração nula ou negativa | ",""),"")&amp;IF(AND($L191&gt;0,OR($R191&gt;=Turno_Min,$S191&gt;Turno_Min)),"Fora da janela do plantão | ","")&amp;IF(AND($L191&gt;0,SUMPRODUCT((Mapa_Sala=$B191)*(Mapa_Data=$A191)*(Mapa_MinOcup&gt;0)*(Mapa_RelIni&lt;$S191)*(Mapa_RelFim&gt;$R191))&gt;1),"Sobreposição de horário na sala | ","")&amp;IFERROR(IF(AND(ISNUMBER($K191),$K191&gt;0,COUNTIF(Esp_Nome,$E191)&gt;0,$K191&gt;3*INDEX(Esp_Dur,MATCH($E191,Esp_Nome,0))),"Duração atípica (&gt;3x a média) | ",""),""))</f>
        <v/>
      </c>
      <c r="R191" s="15">
        <f>IF(NOT(ISNUMBER($C191)),0,ROUND(MOD($C191-Turno_Ini,1)*1440,0))</f>
        <v/>
      </c>
      <c r="S191" s="15">
        <f>IF($L191&lt;=0,0,$R191+$K191)</f>
        <v/>
      </c>
      <c r="T191" s="15">
        <f>IF($M191="","",$B191&amp;"#"&amp;$M191)</f>
        <v/>
      </c>
      <c r="U191" s="15">
        <f>ROW()</f>
        <v/>
      </c>
    </row>
    <row r="192">
      <c r="A192" s="38" t="n"/>
      <c r="B192" s="29" t="n"/>
      <c r="C192" s="42" t="n"/>
      <c r="D192" s="42" t="n"/>
      <c r="E192" s="30" t="n"/>
      <c r="F192" s="34">
        <f>IF($E192="","",IFERROR(INDEX(Esp_Hab,MATCH($E192,Esp_Nome,0)),"—"))</f>
        <v/>
      </c>
      <c r="G192" s="30" t="n"/>
      <c r="H192" s="30" t="n"/>
      <c r="I192" s="29" t="n"/>
      <c r="J192" s="29" t="n"/>
      <c r="K192" s="37">
        <f>IF(OR($B192="",NOT(ISNUMBER($C192)),NOT(ISNUMBER($D192))),"",ROUND(MOD($D192-$C192,1)*1440,0))</f>
        <v/>
      </c>
      <c r="L192" s="37">
        <f>IF(NOT(ISNUMBER($K192)),0,IF(OR($K192&lt;=0,$J192="Cancelada",$J192="Suspensa"),0,$K192+Limpeza_Min))</f>
        <v/>
      </c>
      <c r="M192" s="37">
        <f>IF($L192&lt;=0,"",SUMPRODUCT((Mapa_Sala=$B192)*(Mapa_Data=$A192)*(Mapa_MinOcup&gt;0)*((Mapa_RelIni&lt;$R192)+((Mapa_RelIni=$R192)*(Mapa_Row&lt;=$U192)))))</f>
        <v/>
      </c>
      <c r="N192" s="43">
        <f>IF($L192&lt;=0,"",MOD(Turno_Ini+($S192+Limpeza_Min)/1440,1))</f>
        <v/>
      </c>
      <c r="O192" s="37">
        <f>IF($L192&lt;=0,"",MAX(0,IFERROR(INDEX(Mapa_RelIni,MATCH($B192&amp;"#"&amp;($M192+1),Mapa_Chave,0)),Turno_Min)-($S192+Limpeza_Min)))</f>
        <v/>
      </c>
      <c r="P192" s="19">
        <f>IF($B192="","",IF($Q192="","OK",LEFT($Q192,LEN($Q192)-3)))</f>
        <v/>
      </c>
      <c r="Q192" s="10">
        <f>IF($B192="","",IF(COUNTIF(Postos_Cod,$B192)=0,"Sala não cadastrada | ","")&amp;IF(AND(COUNTIF(Postos_Cod,$B192)&gt;0,IFERROR(INDEX(Postos_Tipo,MATCH($B192,Postos_Cod,0)),"")&lt;&gt;"Sala cirúrgica"),"Posto não é sala cirúrgica | ","")&amp;IF(AND(COUNTIF(Postos_Cod,$B192)&gt;0,IFERROR(INDEX(Postos_Status,MATCH($B192,Postos_Cod,0)),"")&lt;&gt;"Ativo"),"Sala não ativa | ","")&amp;IF(COUNTIF(Esp_Nome,$E192)=0,"Especialidade não cadastrada | ","")&amp;IF(COUNTIF(Lista_StatusCirurgia,$J192)=0,"Status inválido | ","")&amp;IF(OR(NOT(ISNUMBER($C192)),NOT(ISNUMBER($D192))),"Horário inválido | ","")&amp;IFERROR(IF(AND(ISNUMBER($C192),ISNUMBER($D192),MOD($D192-$C192,1)*1440&lt;=0),"Duração nula ou negativa | ",""),"")&amp;IF(AND($L192&gt;0,OR($R192&gt;=Turno_Min,$S192&gt;Turno_Min)),"Fora da janela do plantão | ","")&amp;IF(AND($L192&gt;0,SUMPRODUCT((Mapa_Sala=$B192)*(Mapa_Data=$A192)*(Mapa_MinOcup&gt;0)*(Mapa_RelIni&lt;$S192)*(Mapa_RelFim&gt;$R192))&gt;1),"Sobreposição de horário na sala | ","")&amp;IFERROR(IF(AND(ISNUMBER($K192),$K192&gt;0,COUNTIF(Esp_Nome,$E192)&gt;0,$K192&gt;3*INDEX(Esp_Dur,MATCH($E192,Esp_Nome,0))),"Duração atípica (&gt;3x a média) | ",""),""))</f>
        <v/>
      </c>
      <c r="R192" s="15">
        <f>IF(NOT(ISNUMBER($C192)),0,ROUND(MOD($C192-Turno_Ini,1)*1440,0))</f>
        <v/>
      </c>
      <c r="S192" s="15">
        <f>IF($L192&lt;=0,0,$R192+$K192)</f>
        <v/>
      </c>
      <c r="T192" s="15">
        <f>IF($M192="","",$B192&amp;"#"&amp;$M192)</f>
        <v/>
      </c>
      <c r="U192" s="15">
        <f>ROW()</f>
        <v/>
      </c>
    </row>
    <row r="193">
      <c r="A193" s="38" t="n"/>
      <c r="B193" s="29" t="n"/>
      <c r="C193" s="42" t="n"/>
      <c r="D193" s="42" t="n"/>
      <c r="E193" s="30" t="n"/>
      <c r="F193" s="34">
        <f>IF($E193="","",IFERROR(INDEX(Esp_Hab,MATCH($E193,Esp_Nome,0)),"—"))</f>
        <v/>
      </c>
      <c r="G193" s="30" t="n"/>
      <c r="H193" s="30" t="n"/>
      <c r="I193" s="29" t="n"/>
      <c r="J193" s="29" t="n"/>
      <c r="K193" s="37">
        <f>IF(OR($B193="",NOT(ISNUMBER($C193)),NOT(ISNUMBER($D193))),"",ROUND(MOD($D193-$C193,1)*1440,0))</f>
        <v/>
      </c>
      <c r="L193" s="37">
        <f>IF(NOT(ISNUMBER($K193)),0,IF(OR($K193&lt;=0,$J193="Cancelada",$J193="Suspensa"),0,$K193+Limpeza_Min))</f>
        <v/>
      </c>
      <c r="M193" s="37">
        <f>IF($L193&lt;=0,"",SUMPRODUCT((Mapa_Sala=$B193)*(Mapa_Data=$A193)*(Mapa_MinOcup&gt;0)*((Mapa_RelIni&lt;$R193)+((Mapa_RelIni=$R193)*(Mapa_Row&lt;=$U193)))))</f>
        <v/>
      </c>
      <c r="N193" s="43">
        <f>IF($L193&lt;=0,"",MOD(Turno_Ini+($S193+Limpeza_Min)/1440,1))</f>
        <v/>
      </c>
      <c r="O193" s="37">
        <f>IF($L193&lt;=0,"",MAX(0,IFERROR(INDEX(Mapa_RelIni,MATCH($B193&amp;"#"&amp;($M193+1),Mapa_Chave,0)),Turno_Min)-($S193+Limpeza_Min)))</f>
        <v/>
      </c>
      <c r="P193" s="19">
        <f>IF($B193="","",IF($Q193="","OK",LEFT($Q193,LEN($Q193)-3)))</f>
        <v/>
      </c>
      <c r="Q193" s="10">
        <f>IF($B193="","",IF(COUNTIF(Postos_Cod,$B193)=0,"Sala não cadastrada | ","")&amp;IF(AND(COUNTIF(Postos_Cod,$B193)&gt;0,IFERROR(INDEX(Postos_Tipo,MATCH($B193,Postos_Cod,0)),"")&lt;&gt;"Sala cirúrgica"),"Posto não é sala cirúrgica | ","")&amp;IF(AND(COUNTIF(Postos_Cod,$B193)&gt;0,IFERROR(INDEX(Postos_Status,MATCH($B193,Postos_Cod,0)),"")&lt;&gt;"Ativo"),"Sala não ativa | ","")&amp;IF(COUNTIF(Esp_Nome,$E193)=0,"Especialidade não cadastrada | ","")&amp;IF(COUNTIF(Lista_StatusCirurgia,$J193)=0,"Status inválido | ","")&amp;IF(OR(NOT(ISNUMBER($C193)),NOT(ISNUMBER($D193))),"Horário inválido | ","")&amp;IFERROR(IF(AND(ISNUMBER($C193),ISNUMBER($D193),MOD($D193-$C193,1)*1440&lt;=0),"Duração nula ou negativa | ",""),"")&amp;IF(AND($L193&gt;0,OR($R193&gt;=Turno_Min,$S193&gt;Turno_Min)),"Fora da janela do plantão | ","")&amp;IF(AND($L193&gt;0,SUMPRODUCT((Mapa_Sala=$B193)*(Mapa_Data=$A193)*(Mapa_MinOcup&gt;0)*(Mapa_RelIni&lt;$S193)*(Mapa_RelFim&gt;$R193))&gt;1),"Sobreposição de horário na sala | ","")&amp;IFERROR(IF(AND(ISNUMBER($K193),$K193&gt;0,COUNTIF(Esp_Nome,$E193)&gt;0,$K193&gt;3*INDEX(Esp_Dur,MATCH($E193,Esp_Nome,0))),"Duração atípica (&gt;3x a média) | ",""),""))</f>
        <v/>
      </c>
      <c r="R193" s="15">
        <f>IF(NOT(ISNUMBER($C193)),0,ROUND(MOD($C193-Turno_Ini,1)*1440,0))</f>
        <v/>
      </c>
      <c r="S193" s="15">
        <f>IF($L193&lt;=0,0,$R193+$K193)</f>
        <v/>
      </c>
      <c r="T193" s="15">
        <f>IF($M193="","",$B193&amp;"#"&amp;$M193)</f>
        <v/>
      </c>
      <c r="U193" s="15">
        <f>ROW()</f>
        <v/>
      </c>
    </row>
    <row r="194">
      <c r="A194" s="38" t="n"/>
      <c r="B194" s="29" t="n"/>
      <c r="C194" s="42" t="n"/>
      <c r="D194" s="42" t="n"/>
      <c r="E194" s="30" t="n"/>
      <c r="F194" s="34">
        <f>IF($E194="","",IFERROR(INDEX(Esp_Hab,MATCH($E194,Esp_Nome,0)),"—"))</f>
        <v/>
      </c>
      <c r="G194" s="30" t="n"/>
      <c r="H194" s="30" t="n"/>
      <c r="I194" s="29" t="n"/>
      <c r="J194" s="29" t="n"/>
      <c r="K194" s="37">
        <f>IF(OR($B194="",NOT(ISNUMBER($C194)),NOT(ISNUMBER($D194))),"",ROUND(MOD($D194-$C194,1)*1440,0))</f>
        <v/>
      </c>
      <c r="L194" s="37">
        <f>IF(NOT(ISNUMBER($K194)),0,IF(OR($K194&lt;=0,$J194="Cancelada",$J194="Suspensa"),0,$K194+Limpeza_Min))</f>
        <v/>
      </c>
      <c r="M194" s="37">
        <f>IF($L194&lt;=0,"",SUMPRODUCT((Mapa_Sala=$B194)*(Mapa_Data=$A194)*(Mapa_MinOcup&gt;0)*((Mapa_RelIni&lt;$R194)+((Mapa_RelIni=$R194)*(Mapa_Row&lt;=$U194)))))</f>
        <v/>
      </c>
      <c r="N194" s="43">
        <f>IF($L194&lt;=0,"",MOD(Turno_Ini+($S194+Limpeza_Min)/1440,1))</f>
        <v/>
      </c>
      <c r="O194" s="37">
        <f>IF($L194&lt;=0,"",MAX(0,IFERROR(INDEX(Mapa_RelIni,MATCH($B194&amp;"#"&amp;($M194+1),Mapa_Chave,0)),Turno_Min)-($S194+Limpeza_Min)))</f>
        <v/>
      </c>
      <c r="P194" s="19">
        <f>IF($B194="","",IF($Q194="","OK",LEFT($Q194,LEN($Q194)-3)))</f>
        <v/>
      </c>
      <c r="Q194" s="10">
        <f>IF($B194="","",IF(COUNTIF(Postos_Cod,$B194)=0,"Sala não cadastrada | ","")&amp;IF(AND(COUNTIF(Postos_Cod,$B194)&gt;0,IFERROR(INDEX(Postos_Tipo,MATCH($B194,Postos_Cod,0)),"")&lt;&gt;"Sala cirúrgica"),"Posto não é sala cirúrgica | ","")&amp;IF(AND(COUNTIF(Postos_Cod,$B194)&gt;0,IFERROR(INDEX(Postos_Status,MATCH($B194,Postos_Cod,0)),"")&lt;&gt;"Ativo"),"Sala não ativa | ","")&amp;IF(COUNTIF(Esp_Nome,$E194)=0,"Especialidade não cadastrada | ","")&amp;IF(COUNTIF(Lista_StatusCirurgia,$J194)=0,"Status inválido | ","")&amp;IF(OR(NOT(ISNUMBER($C194)),NOT(ISNUMBER($D194))),"Horário inválido | ","")&amp;IFERROR(IF(AND(ISNUMBER($C194),ISNUMBER($D194),MOD($D194-$C194,1)*1440&lt;=0),"Duração nula ou negativa | ",""),"")&amp;IF(AND($L194&gt;0,OR($R194&gt;=Turno_Min,$S194&gt;Turno_Min)),"Fora da janela do plantão | ","")&amp;IF(AND($L194&gt;0,SUMPRODUCT((Mapa_Sala=$B194)*(Mapa_Data=$A194)*(Mapa_MinOcup&gt;0)*(Mapa_RelIni&lt;$S194)*(Mapa_RelFim&gt;$R194))&gt;1),"Sobreposição de horário na sala | ","")&amp;IFERROR(IF(AND(ISNUMBER($K194),$K194&gt;0,COUNTIF(Esp_Nome,$E194)&gt;0,$K194&gt;3*INDEX(Esp_Dur,MATCH($E194,Esp_Nome,0))),"Duração atípica (&gt;3x a média) | ",""),""))</f>
        <v/>
      </c>
      <c r="R194" s="15">
        <f>IF(NOT(ISNUMBER($C194)),0,ROUND(MOD($C194-Turno_Ini,1)*1440,0))</f>
        <v/>
      </c>
      <c r="S194" s="15">
        <f>IF($L194&lt;=0,0,$R194+$K194)</f>
        <v/>
      </c>
      <c r="T194" s="15">
        <f>IF($M194="","",$B194&amp;"#"&amp;$M194)</f>
        <v/>
      </c>
      <c r="U194" s="15">
        <f>ROW()</f>
        <v/>
      </c>
    </row>
    <row r="195">
      <c r="A195" s="38" t="n"/>
      <c r="B195" s="29" t="n"/>
      <c r="C195" s="42" t="n"/>
      <c r="D195" s="42" t="n"/>
      <c r="E195" s="30" t="n"/>
      <c r="F195" s="34">
        <f>IF($E195="","",IFERROR(INDEX(Esp_Hab,MATCH($E195,Esp_Nome,0)),"—"))</f>
        <v/>
      </c>
      <c r="G195" s="30" t="n"/>
      <c r="H195" s="30" t="n"/>
      <c r="I195" s="29" t="n"/>
      <c r="J195" s="29" t="n"/>
      <c r="K195" s="37">
        <f>IF(OR($B195="",NOT(ISNUMBER($C195)),NOT(ISNUMBER($D195))),"",ROUND(MOD($D195-$C195,1)*1440,0))</f>
        <v/>
      </c>
      <c r="L195" s="37">
        <f>IF(NOT(ISNUMBER($K195)),0,IF(OR($K195&lt;=0,$J195="Cancelada",$J195="Suspensa"),0,$K195+Limpeza_Min))</f>
        <v/>
      </c>
      <c r="M195" s="37">
        <f>IF($L195&lt;=0,"",SUMPRODUCT((Mapa_Sala=$B195)*(Mapa_Data=$A195)*(Mapa_MinOcup&gt;0)*((Mapa_RelIni&lt;$R195)+((Mapa_RelIni=$R195)*(Mapa_Row&lt;=$U195)))))</f>
        <v/>
      </c>
      <c r="N195" s="43">
        <f>IF($L195&lt;=0,"",MOD(Turno_Ini+($S195+Limpeza_Min)/1440,1))</f>
        <v/>
      </c>
      <c r="O195" s="37">
        <f>IF($L195&lt;=0,"",MAX(0,IFERROR(INDEX(Mapa_RelIni,MATCH($B195&amp;"#"&amp;($M195+1),Mapa_Chave,0)),Turno_Min)-($S195+Limpeza_Min)))</f>
        <v/>
      </c>
      <c r="P195" s="19">
        <f>IF($B195="","",IF($Q195="","OK",LEFT($Q195,LEN($Q195)-3)))</f>
        <v/>
      </c>
      <c r="Q195" s="10">
        <f>IF($B195="","",IF(COUNTIF(Postos_Cod,$B195)=0,"Sala não cadastrada | ","")&amp;IF(AND(COUNTIF(Postos_Cod,$B195)&gt;0,IFERROR(INDEX(Postos_Tipo,MATCH($B195,Postos_Cod,0)),"")&lt;&gt;"Sala cirúrgica"),"Posto não é sala cirúrgica | ","")&amp;IF(AND(COUNTIF(Postos_Cod,$B195)&gt;0,IFERROR(INDEX(Postos_Status,MATCH($B195,Postos_Cod,0)),"")&lt;&gt;"Ativo"),"Sala não ativa | ","")&amp;IF(COUNTIF(Esp_Nome,$E195)=0,"Especialidade não cadastrada | ","")&amp;IF(COUNTIF(Lista_StatusCirurgia,$J195)=0,"Status inválido | ","")&amp;IF(OR(NOT(ISNUMBER($C195)),NOT(ISNUMBER($D195))),"Horário inválido | ","")&amp;IFERROR(IF(AND(ISNUMBER($C195),ISNUMBER($D195),MOD($D195-$C195,1)*1440&lt;=0),"Duração nula ou negativa | ",""),"")&amp;IF(AND($L195&gt;0,OR($R195&gt;=Turno_Min,$S195&gt;Turno_Min)),"Fora da janela do plantão | ","")&amp;IF(AND($L195&gt;0,SUMPRODUCT((Mapa_Sala=$B195)*(Mapa_Data=$A195)*(Mapa_MinOcup&gt;0)*(Mapa_RelIni&lt;$S195)*(Mapa_RelFim&gt;$R195))&gt;1),"Sobreposição de horário na sala | ","")&amp;IFERROR(IF(AND(ISNUMBER($K195),$K195&gt;0,COUNTIF(Esp_Nome,$E195)&gt;0,$K195&gt;3*INDEX(Esp_Dur,MATCH($E195,Esp_Nome,0))),"Duração atípica (&gt;3x a média) | ",""),""))</f>
        <v/>
      </c>
      <c r="R195" s="15">
        <f>IF(NOT(ISNUMBER($C195)),0,ROUND(MOD($C195-Turno_Ini,1)*1440,0))</f>
        <v/>
      </c>
      <c r="S195" s="15">
        <f>IF($L195&lt;=0,0,$R195+$K195)</f>
        <v/>
      </c>
      <c r="T195" s="15">
        <f>IF($M195="","",$B195&amp;"#"&amp;$M195)</f>
        <v/>
      </c>
      <c r="U195" s="15">
        <f>ROW()</f>
        <v/>
      </c>
    </row>
    <row r="196">
      <c r="A196" s="38" t="n"/>
      <c r="B196" s="29" t="n"/>
      <c r="C196" s="42" t="n"/>
      <c r="D196" s="42" t="n"/>
      <c r="E196" s="30" t="n"/>
      <c r="F196" s="34">
        <f>IF($E196="","",IFERROR(INDEX(Esp_Hab,MATCH($E196,Esp_Nome,0)),"—"))</f>
        <v/>
      </c>
      <c r="G196" s="30" t="n"/>
      <c r="H196" s="30" t="n"/>
      <c r="I196" s="29" t="n"/>
      <c r="J196" s="29" t="n"/>
      <c r="K196" s="37">
        <f>IF(OR($B196="",NOT(ISNUMBER($C196)),NOT(ISNUMBER($D196))),"",ROUND(MOD($D196-$C196,1)*1440,0))</f>
        <v/>
      </c>
      <c r="L196" s="37">
        <f>IF(NOT(ISNUMBER($K196)),0,IF(OR($K196&lt;=0,$J196="Cancelada",$J196="Suspensa"),0,$K196+Limpeza_Min))</f>
        <v/>
      </c>
      <c r="M196" s="37">
        <f>IF($L196&lt;=0,"",SUMPRODUCT((Mapa_Sala=$B196)*(Mapa_Data=$A196)*(Mapa_MinOcup&gt;0)*((Mapa_RelIni&lt;$R196)+((Mapa_RelIni=$R196)*(Mapa_Row&lt;=$U196)))))</f>
        <v/>
      </c>
      <c r="N196" s="43">
        <f>IF($L196&lt;=0,"",MOD(Turno_Ini+($S196+Limpeza_Min)/1440,1))</f>
        <v/>
      </c>
      <c r="O196" s="37">
        <f>IF($L196&lt;=0,"",MAX(0,IFERROR(INDEX(Mapa_RelIni,MATCH($B196&amp;"#"&amp;($M196+1),Mapa_Chave,0)),Turno_Min)-($S196+Limpeza_Min)))</f>
        <v/>
      </c>
      <c r="P196" s="19">
        <f>IF($B196="","",IF($Q196="","OK",LEFT($Q196,LEN($Q196)-3)))</f>
        <v/>
      </c>
      <c r="Q196" s="10">
        <f>IF($B196="","",IF(COUNTIF(Postos_Cod,$B196)=0,"Sala não cadastrada | ","")&amp;IF(AND(COUNTIF(Postos_Cod,$B196)&gt;0,IFERROR(INDEX(Postos_Tipo,MATCH($B196,Postos_Cod,0)),"")&lt;&gt;"Sala cirúrgica"),"Posto não é sala cirúrgica | ","")&amp;IF(AND(COUNTIF(Postos_Cod,$B196)&gt;0,IFERROR(INDEX(Postos_Status,MATCH($B196,Postos_Cod,0)),"")&lt;&gt;"Ativo"),"Sala não ativa | ","")&amp;IF(COUNTIF(Esp_Nome,$E196)=0,"Especialidade não cadastrada | ","")&amp;IF(COUNTIF(Lista_StatusCirurgia,$J196)=0,"Status inválido | ","")&amp;IF(OR(NOT(ISNUMBER($C196)),NOT(ISNUMBER($D196))),"Horário inválido | ","")&amp;IFERROR(IF(AND(ISNUMBER($C196),ISNUMBER($D196),MOD($D196-$C196,1)*1440&lt;=0),"Duração nula ou negativa | ",""),"")&amp;IF(AND($L196&gt;0,OR($R196&gt;=Turno_Min,$S196&gt;Turno_Min)),"Fora da janela do plantão | ","")&amp;IF(AND($L196&gt;0,SUMPRODUCT((Mapa_Sala=$B196)*(Mapa_Data=$A196)*(Mapa_MinOcup&gt;0)*(Mapa_RelIni&lt;$S196)*(Mapa_RelFim&gt;$R196))&gt;1),"Sobreposição de horário na sala | ","")&amp;IFERROR(IF(AND(ISNUMBER($K196),$K196&gt;0,COUNTIF(Esp_Nome,$E196)&gt;0,$K196&gt;3*INDEX(Esp_Dur,MATCH($E196,Esp_Nome,0))),"Duração atípica (&gt;3x a média) | ",""),""))</f>
        <v/>
      </c>
      <c r="R196" s="15">
        <f>IF(NOT(ISNUMBER($C196)),0,ROUND(MOD($C196-Turno_Ini,1)*1440,0))</f>
        <v/>
      </c>
      <c r="S196" s="15">
        <f>IF($L196&lt;=0,0,$R196+$K196)</f>
        <v/>
      </c>
      <c r="T196" s="15">
        <f>IF($M196="","",$B196&amp;"#"&amp;$M196)</f>
        <v/>
      </c>
      <c r="U196" s="15">
        <f>ROW()</f>
        <v/>
      </c>
    </row>
    <row r="197">
      <c r="A197" s="38" t="n"/>
      <c r="B197" s="29" t="n"/>
      <c r="C197" s="42" t="n"/>
      <c r="D197" s="42" t="n"/>
      <c r="E197" s="30" t="n"/>
      <c r="F197" s="34">
        <f>IF($E197="","",IFERROR(INDEX(Esp_Hab,MATCH($E197,Esp_Nome,0)),"—"))</f>
        <v/>
      </c>
      <c r="G197" s="30" t="n"/>
      <c r="H197" s="30" t="n"/>
      <c r="I197" s="29" t="n"/>
      <c r="J197" s="29" t="n"/>
      <c r="K197" s="37">
        <f>IF(OR($B197="",NOT(ISNUMBER($C197)),NOT(ISNUMBER($D197))),"",ROUND(MOD($D197-$C197,1)*1440,0))</f>
        <v/>
      </c>
      <c r="L197" s="37">
        <f>IF(NOT(ISNUMBER($K197)),0,IF(OR($K197&lt;=0,$J197="Cancelada",$J197="Suspensa"),0,$K197+Limpeza_Min))</f>
        <v/>
      </c>
      <c r="M197" s="37">
        <f>IF($L197&lt;=0,"",SUMPRODUCT((Mapa_Sala=$B197)*(Mapa_Data=$A197)*(Mapa_MinOcup&gt;0)*((Mapa_RelIni&lt;$R197)+((Mapa_RelIni=$R197)*(Mapa_Row&lt;=$U197)))))</f>
        <v/>
      </c>
      <c r="N197" s="43">
        <f>IF($L197&lt;=0,"",MOD(Turno_Ini+($S197+Limpeza_Min)/1440,1))</f>
        <v/>
      </c>
      <c r="O197" s="37">
        <f>IF($L197&lt;=0,"",MAX(0,IFERROR(INDEX(Mapa_RelIni,MATCH($B197&amp;"#"&amp;($M197+1),Mapa_Chave,0)),Turno_Min)-($S197+Limpeza_Min)))</f>
        <v/>
      </c>
      <c r="P197" s="19">
        <f>IF($B197="","",IF($Q197="","OK",LEFT($Q197,LEN($Q197)-3)))</f>
        <v/>
      </c>
      <c r="Q197" s="10">
        <f>IF($B197="","",IF(COUNTIF(Postos_Cod,$B197)=0,"Sala não cadastrada | ","")&amp;IF(AND(COUNTIF(Postos_Cod,$B197)&gt;0,IFERROR(INDEX(Postos_Tipo,MATCH($B197,Postos_Cod,0)),"")&lt;&gt;"Sala cirúrgica"),"Posto não é sala cirúrgica | ","")&amp;IF(AND(COUNTIF(Postos_Cod,$B197)&gt;0,IFERROR(INDEX(Postos_Status,MATCH($B197,Postos_Cod,0)),"")&lt;&gt;"Ativo"),"Sala não ativa | ","")&amp;IF(COUNTIF(Esp_Nome,$E197)=0,"Especialidade não cadastrada | ","")&amp;IF(COUNTIF(Lista_StatusCirurgia,$J197)=0,"Status inválido | ","")&amp;IF(OR(NOT(ISNUMBER($C197)),NOT(ISNUMBER($D197))),"Horário inválido | ","")&amp;IFERROR(IF(AND(ISNUMBER($C197),ISNUMBER($D197),MOD($D197-$C197,1)*1440&lt;=0),"Duração nula ou negativa | ",""),"")&amp;IF(AND($L197&gt;0,OR($R197&gt;=Turno_Min,$S197&gt;Turno_Min)),"Fora da janela do plantão | ","")&amp;IF(AND($L197&gt;0,SUMPRODUCT((Mapa_Sala=$B197)*(Mapa_Data=$A197)*(Mapa_MinOcup&gt;0)*(Mapa_RelIni&lt;$S197)*(Mapa_RelFim&gt;$R197))&gt;1),"Sobreposição de horário na sala | ","")&amp;IFERROR(IF(AND(ISNUMBER($K197),$K197&gt;0,COUNTIF(Esp_Nome,$E197)&gt;0,$K197&gt;3*INDEX(Esp_Dur,MATCH($E197,Esp_Nome,0))),"Duração atípica (&gt;3x a média) | ",""),""))</f>
        <v/>
      </c>
      <c r="R197" s="15">
        <f>IF(NOT(ISNUMBER($C197)),0,ROUND(MOD($C197-Turno_Ini,1)*1440,0))</f>
        <v/>
      </c>
      <c r="S197" s="15">
        <f>IF($L197&lt;=0,0,$R197+$K197)</f>
        <v/>
      </c>
      <c r="T197" s="15">
        <f>IF($M197="","",$B197&amp;"#"&amp;$M197)</f>
        <v/>
      </c>
      <c r="U197" s="15">
        <f>ROW()</f>
        <v/>
      </c>
    </row>
    <row r="198">
      <c r="A198" s="38" t="n"/>
      <c r="B198" s="29" t="n"/>
      <c r="C198" s="42" t="n"/>
      <c r="D198" s="42" t="n"/>
      <c r="E198" s="30" t="n"/>
      <c r="F198" s="34">
        <f>IF($E198="","",IFERROR(INDEX(Esp_Hab,MATCH($E198,Esp_Nome,0)),"—"))</f>
        <v/>
      </c>
      <c r="G198" s="30" t="n"/>
      <c r="H198" s="30" t="n"/>
      <c r="I198" s="29" t="n"/>
      <c r="J198" s="29" t="n"/>
      <c r="K198" s="37">
        <f>IF(OR($B198="",NOT(ISNUMBER($C198)),NOT(ISNUMBER($D198))),"",ROUND(MOD($D198-$C198,1)*1440,0))</f>
        <v/>
      </c>
      <c r="L198" s="37">
        <f>IF(NOT(ISNUMBER($K198)),0,IF(OR($K198&lt;=0,$J198="Cancelada",$J198="Suspensa"),0,$K198+Limpeza_Min))</f>
        <v/>
      </c>
      <c r="M198" s="37">
        <f>IF($L198&lt;=0,"",SUMPRODUCT((Mapa_Sala=$B198)*(Mapa_Data=$A198)*(Mapa_MinOcup&gt;0)*((Mapa_RelIni&lt;$R198)+((Mapa_RelIni=$R198)*(Mapa_Row&lt;=$U198)))))</f>
        <v/>
      </c>
      <c r="N198" s="43">
        <f>IF($L198&lt;=0,"",MOD(Turno_Ini+($S198+Limpeza_Min)/1440,1))</f>
        <v/>
      </c>
      <c r="O198" s="37">
        <f>IF($L198&lt;=0,"",MAX(0,IFERROR(INDEX(Mapa_RelIni,MATCH($B198&amp;"#"&amp;($M198+1),Mapa_Chave,0)),Turno_Min)-($S198+Limpeza_Min)))</f>
        <v/>
      </c>
      <c r="P198" s="19">
        <f>IF($B198="","",IF($Q198="","OK",LEFT($Q198,LEN($Q198)-3)))</f>
        <v/>
      </c>
      <c r="Q198" s="10">
        <f>IF($B198="","",IF(COUNTIF(Postos_Cod,$B198)=0,"Sala não cadastrada | ","")&amp;IF(AND(COUNTIF(Postos_Cod,$B198)&gt;0,IFERROR(INDEX(Postos_Tipo,MATCH($B198,Postos_Cod,0)),"")&lt;&gt;"Sala cirúrgica"),"Posto não é sala cirúrgica | ","")&amp;IF(AND(COUNTIF(Postos_Cod,$B198)&gt;0,IFERROR(INDEX(Postos_Status,MATCH($B198,Postos_Cod,0)),"")&lt;&gt;"Ativo"),"Sala não ativa | ","")&amp;IF(COUNTIF(Esp_Nome,$E198)=0,"Especialidade não cadastrada | ","")&amp;IF(COUNTIF(Lista_StatusCirurgia,$J198)=0,"Status inválido | ","")&amp;IF(OR(NOT(ISNUMBER($C198)),NOT(ISNUMBER($D198))),"Horário inválido | ","")&amp;IFERROR(IF(AND(ISNUMBER($C198),ISNUMBER($D198),MOD($D198-$C198,1)*1440&lt;=0),"Duração nula ou negativa | ",""),"")&amp;IF(AND($L198&gt;0,OR($R198&gt;=Turno_Min,$S198&gt;Turno_Min)),"Fora da janela do plantão | ","")&amp;IF(AND($L198&gt;0,SUMPRODUCT((Mapa_Sala=$B198)*(Mapa_Data=$A198)*(Mapa_MinOcup&gt;0)*(Mapa_RelIni&lt;$S198)*(Mapa_RelFim&gt;$R198))&gt;1),"Sobreposição de horário na sala | ","")&amp;IFERROR(IF(AND(ISNUMBER($K198),$K198&gt;0,COUNTIF(Esp_Nome,$E198)&gt;0,$K198&gt;3*INDEX(Esp_Dur,MATCH($E198,Esp_Nome,0))),"Duração atípica (&gt;3x a média) | ",""),""))</f>
        <v/>
      </c>
      <c r="R198" s="15">
        <f>IF(NOT(ISNUMBER($C198)),0,ROUND(MOD($C198-Turno_Ini,1)*1440,0))</f>
        <v/>
      </c>
      <c r="S198" s="15">
        <f>IF($L198&lt;=0,0,$R198+$K198)</f>
        <v/>
      </c>
      <c r="T198" s="15">
        <f>IF($M198="","",$B198&amp;"#"&amp;$M198)</f>
        <v/>
      </c>
      <c r="U198" s="15">
        <f>ROW()</f>
        <v/>
      </c>
    </row>
    <row r="199">
      <c r="A199" s="38" t="n"/>
      <c r="B199" s="29" t="n"/>
      <c r="C199" s="42" t="n"/>
      <c r="D199" s="42" t="n"/>
      <c r="E199" s="30" t="n"/>
      <c r="F199" s="34">
        <f>IF($E199="","",IFERROR(INDEX(Esp_Hab,MATCH($E199,Esp_Nome,0)),"—"))</f>
        <v/>
      </c>
      <c r="G199" s="30" t="n"/>
      <c r="H199" s="30" t="n"/>
      <c r="I199" s="29" t="n"/>
      <c r="J199" s="29" t="n"/>
      <c r="K199" s="37">
        <f>IF(OR($B199="",NOT(ISNUMBER($C199)),NOT(ISNUMBER($D199))),"",ROUND(MOD($D199-$C199,1)*1440,0))</f>
        <v/>
      </c>
      <c r="L199" s="37">
        <f>IF(NOT(ISNUMBER($K199)),0,IF(OR($K199&lt;=0,$J199="Cancelada",$J199="Suspensa"),0,$K199+Limpeza_Min))</f>
        <v/>
      </c>
      <c r="M199" s="37">
        <f>IF($L199&lt;=0,"",SUMPRODUCT((Mapa_Sala=$B199)*(Mapa_Data=$A199)*(Mapa_MinOcup&gt;0)*((Mapa_RelIni&lt;$R199)+((Mapa_RelIni=$R199)*(Mapa_Row&lt;=$U199)))))</f>
        <v/>
      </c>
      <c r="N199" s="43">
        <f>IF($L199&lt;=0,"",MOD(Turno_Ini+($S199+Limpeza_Min)/1440,1))</f>
        <v/>
      </c>
      <c r="O199" s="37">
        <f>IF($L199&lt;=0,"",MAX(0,IFERROR(INDEX(Mapa_RelIni,MATCH($B199&amp;"#"&amp;($M199+1),Mapa_Chave,0)),Turno_Min)-($S199+Limpeza_Min)))</f>
        <v/>
      </c>
      <c r="P199" s="19">
        <f>IF($B199="","",IF($Q199="","OK",LEFT($Q199,LEN($Q199)-3)))</f>
        <v/>
      </c>
      <c r="Q199" s="10">
        <f>IF($B199="","",IF(COUNTIF(Postos_Cod,$B199)=0,"Sala não cadastrada | ","")&amp;IF(AND(COUNTIF(Postos_Cod,$B199)&gt;0,IFERROR(INDEX(Postos_Tipo,MATCH($B199,Postos_Cod,0)),"")&lt;&gt;"Sala cirúrgica"),"Posto não é sala cirúrgica | ","")&amp;IF(AND(COUNTIF(Postos_Cod,$B199)&gt;0,IFERROR(INDEX(Postos_Status,MATCH($B199,Postos_Cod,0)),"")&lt;&gt;"Ativo"),"Sala não ativa | ","")&amp;IF(COUNTIF(Esp_Nome,$E199)=0,"Especialidade não cadastrada | ","")&amp;IF(COUNTIF(Lista_StatusCirurgia,$J199)=0,"Status inválido | ","")&amp;IF(OR(NOT(ISNUMBER($C199)),NOT(ISNUMBER($D199))),"Horário inválido | ","")&amp;IFERROR(IF(AND(ISNUMBER($C199),ISNUMBER($D199),MOD($D199-$C199,1)*1440&lt;=0),"Duração nula ou negativa | ",""),"")&amp;IF(AND($L199&gt;0,OR($R199&gt;=Turno_Min,$S199&gt;Turno_Min)),"Fora da janela do plantão | ","")&amp;IF(AND($L199&gt;0,SUMPRODUCT((Mapa_Sala=$B199)*(Mapa_Data=$A199)*(Mapa_MinOcup&gt;0)*(Mapa_RelIni&lt;$S199)*(Mapa_RelFim&gt;$R199))&gt;1),"Sobreposição de horário na sala | ","")&amp;IFERROR(IF(AND(ISNUMBER($K199),$K199&gt;0,COUNTIF(Esp_Nome,$E199)&gt;0,$K199&gt;3*INDEX(Esp_Dur,MATCH($E199,Esp_Nome,0))),"Duração atípica (&gt;3x a média) | ",""),""))</f>
        <v/>
      </c>
      <c r="R199" s="15">
        <f>IF(NOT(ISNUMBER($C199)),0,ROUND(MOD($C199-Turno_Ini,1)*1440,0))</f>
        <v/>
      </c>
      <c r="S199" s="15">
        <f>IF($L199&lt;=0,0,$R199+$K199)</f>
        <v/>
      </c>
      <c r="T199" s="15">
        <f>IF($M199="","",$B199&amp;"#"&amp;$M199)</f>
        <v/>
      </c>
      <c r="U199" s="15">
        <f>ROW()</f>
        <v/>
      </c>
    </row>
    <row r="200">
      <c r="A200" s="38" t="n"/>
      <c r="B200" s="29" t="n"/>
      <c r="C200" s="42" t="n"/>
      <c r="D200" s="42" t="n"/>
      <c r="E200" s="30" t="n"/>
      <c r="F200" s="34">
        <f>IF($E200="","",IFERROR(INDEX(Esp_Hab,MATCH($E200,Esp_Nome,0)),"—"))</f>
        <v/>
      </c>
      <c r="G200" s="30" t="n"/>
      <c r="H200" s="30" t="n"/>
      <c r="I200" s="29" t="n"/>
      <c r="J200" s="29" t="n"/>
      <c r="K200" s="37">
        <f>IF(OR($B200="",NOT(ISNUMBER($C200)),NOT(ISNUMBER($D200))),"",ROUND(MOD($D200-$C200,1)*1440,0))</f>
        <v/>
      </c>
      <c r="L200" s="37">
        <f>IF(NOT(ISNUMBER($K200)),0,IF(OR($K200&lt;=0,$J200="Cancelada",$J200="Suspensa"),0,$K200+Limpeza_Min))</f>
        <v/>
      </c>
      <c r="M200" s="37">
        <f>IF($L200&lt;=0,"",SUMPRODUCT((Mapa_Sala=$B200)*(Mapa_Data=$A200)*(Mapa_MinOcup&gt;0)*((Mapa_RelIni&lt;$R200)+((Mapa_RelIni=$R200)*(Mapa_Row&lt;=$U200)))))</f>
        <v/>
      </c>
      <c r="N200" s="43">
        <f>IF($L200&lt;=0,"",MOD(Turno_Ini+($S200+Limpeza_Min)/1440,1))</f>
        <v/>
      </c>
      <c r="O200" s="37">
        <f>IF($L200&lt;=0,"",MAX(0,IFERROR(INDEX(Mapa_RelIni,MATCH($B200&amp;"#"&amp;($M200+1),Mapa_Chave,0)),Turno_Min)-($S200+Limpeza_Min)))</f>
        <v/>
      </c>
      <c r="P200" s="19">
        <f>IF($B200="","",IF($Q200="","OK",LEFT($Q200,LEN($Q200)-3)))</f>
        <v/>
      </c>
      <c r="Q200" s="10">
        <f>IF($B200="","",IF(COUNTIF(Postos_Cod,$B200)=0,"Sala não cadastrada | ","")&amp;IF(AND(COUNTIF(Postos_Cod,$B200)&gt;0,IFERROR(INDEX(Postos_Tipo,MATCH($B200,Postos_Cod,0)),"")&lt;&gt;"Sala cirúrgica"),"Posto não é sala cirúrgica | ","")&amp;IF(AND(COUNTIF(Postos_Cod,$B200)&gt;0,IFERROR(INDEX(Postos_Status,MATCH($B200,Postos_Cod,0)),"")&lt;&gt;"Ativo"),"Sala não ativa | ","")&amp;IF(COUNTIF(Esp_Nome,$E200)=0,"Especialidade não cadastrada | ","")&amp;IF(COUNTIF(Lista_StatusCirurgia,$J200)=0,"Status inválido | ","")&amp;IF(OR(NOT(ISNUMBER($C200)),NOT(ISNUMBER($D200))),"Horário inválido | ","")&amp;IFERROR(IF(AND(ISNUMBER($C200),ISNUMBER($D200),MOD($D200-$C200,1)*1440&lt;=0),"Duração nula ou negativa | ",""),"")&amp;IF(AND($L200&gt;0,OR($R200&gt;=Turno_Min,$S200&gt;Turno_Min)),"Fora da janela do plantão | ","")&amp;IF(AND($L200&gt;0,SUMPRODUCT((Mapa_Sala=$B200)*(Mapa_Data=$A200)*(Mapa_MinOcup&gt;0)*(Mapa_RelIni&lt;$S200)*(Mapa_RelFim&gt;$R200))&gt;1),"Sobreposição de horário na sala | ","")&amp;IFERROR(IF(AND(ISNUMBER($K200),$K200&gt;0,COUNTIF(Esp_Nome,$E200)&gt;0,$K200&gt;3*INDEX(Esp_Dur,MATCH($E200,Esp_Nome,0))),"Duração atípica (&gt;3x a média) | ",""),""))</f>
        <v/>
      </c>
      <c r="R200" s="15">
        <f>IF(NOT(ISNUMBER($C200)),0,ROUND(MOD($C200-Turno_Ini,1)*1440,0))</f>
        <v/>
      </c>
      <c r="S200" s="15">
        <f>IF($L200&lt;=0,0,$R200+$K200)</f>
        <v/>
      </c>
      <c r="T200" s="15">
        <f>IF($M200="","",$B200&amp;"#"&amp;$M200)</f>
        <v/>
      </c>
      <c r="U200" s="15">
        <f>ROW()</f>
        <v/>
      </c>
    </row>
    <row r="201">
      <c r="A201" s="38" t="n"/>
      <c r="B201" s="29" t="n"/>
      <c r="C201" s="42" t="n"/>
      <c r="D201" s="42" t="n"/>
      <c r="E201" s="30" t="n"/>
      <c r="F201" s="34">
        <f>IF($E201="","",IFERROR(INDEX(Esp_Hab,MATCH($E201,Esp_Nome,0)),"—"))</f>
        <v/>
      </c>
      <c r="G201" s="30" t="n"/>
      <c r="H201" s="30" t="n"/>
      <c r="I201" s="29" t="n"/>
      <c r="J201" s="29" t="n"/>
      <c r="K201" s="37">
        <f>IF(OR($B201="",NOT(ISNUMBER($C201)),NOT(ISNUMBER($D201))),"",ROUND(MOD($D201-$C201,1)*1440,0))</f>
        <v/>
      </c>
      <c r="L201" s="37">
        <f>IF(NOT(ISNUMBER($K201)),0,IF(OR($K201&lt;=0,$J201="Cancelada",$J201="Suspensa"),0,$K201+Limpeza_Min))</f>
        <v/>
      </c>
      <c r="M201" s="37">
        <f>IF($L201&lt;=0,"",SUMPRODUCT((Mapa_Sala=$B201)*(Mapa_Data=$A201)*(Mapa_MinOcup&gt;0)*((Mapa_RelIni&lt;$R201)+((Mapa_RelIni=$R201)*(Mapa_Row&lt;=$U201)))))</f>
        <v/>
      </c>
      <c r="N201" s="43">
        <f>IF($L201&lt;=0,"",MOD(Turno_Ini+($S201+Limpeza_Min)/1440,1))</f>
        <v/>
      </c>
      <c r="O201" s="37">
        <f>IF($L201&lt;=0,"",MAX(0,IFERROR(INDEX(Mapa_RelIni,MATCH($B201&amp;"#"&amp;($M201+1),Mapa_Chave,0)),Turno_Min)-($S201+Limpeza_Min)))</f>
        <v/>
      </c>
      <c r="P201" s="19">
        <f>IF($B201="","",IF($Q201="","OK",LEFT($Q201,LEN($Q201)-3)))</f>
        <v/>
      </c>
      <c r="Q201" s="10">
        <f>IF($B201="","",IF(COUNTIF(Postos_Cod,$B201)=0,"Sala não cadastrada | ","")&amp;IF(AND(COUNTIF(Postos_Cod,$B201)&gt;0,IFERROR(INDEX(Postos_Tipo,MATCH($B201,Postos_Cod,0)),"")&lt;&gt;"Sala cirúrgica"),"Posto não é sala cirúrgica | ","")&amp;IF(AND(COUNTIF(Postos_Cod,$B201)&gt;0,IFERROR(INDEX(Postos_Status,MATCH($B201,Postos_Cod,0)),"")&lt;&gt;"Ativo"),"Sala não ativa | ","")&amp;IF(COUNTIF(Esp_Nome,$E201)=0,"Especialidade não cadastrada | ","")&amp;IF(COUNTIF(Lista_StatusCirurgia,$J201)=0,"Status inválido | ","")&amp;IF(OR(NOT(ISNUMBER($C201)),NOT(ISNUMBER($D201))),"Horário inválido | ","")&amp;IFERROR(IF(AND(ISNUMBER($C201),ISNUMBER($D201),MOD($D201-$C201,1)*1440&lt;=0),"Duração nula ou negativa | ",""),"")&amp;IF(AND($L201&gt;0,OR($R201&gt;=Turno_Min,$S201&gt;Turno_Min)),"Fora da janela do plantão | ","")&amp;IF(AND($L201&gt;0,SUMPRODUCT((Mapa_Sala=$B201)*(Mapa_Data=$A201)*(Mapa_MinOcup&gt;0)*(Mapa_RelIni&lt;$S201)*(Mapa_RelFim&gt;$R201))&gt;1),"Sobreposição de horário na sala | ","")&amp;IFERROR(IF(AND(ISNUMBER($K201),$K201&gt;0,COUNTIF(Esp_Nome,$E201)&gt;0,$K201&gt;3*INDEX(Esp_Dur,MATCH($E201,Esp_Nome,0))),"Duração atípica (&gt;3x a média) | ",""),""))</f>
        <v/>
      </c>
      <c r="R201" s="15">
        <f>IF(NOT(ISNUMBER($C201)),0,ROUND(MOD($C201-Turno_Ini,1)*1440,0))</f>
        <v/>
      </c>
      <c r="S201" s="15">
        <f>IF($L201&lt;=0,0,$R201+$K201)</f>
        <v/>
      </c>
      <c r="T201" s="15">
        <f>IF($M201="","",$B201&amp;"#"&amp;$M201)</f>
        <v/>
      </c>
      <c r="U201" s="15">
        <f>ROW()</f>
        <v/>
      </c>
    </row>
  </sheetData>
  <autoFilter ref="A1:P201"/>
  <conditionalFormatting sqref="P2:P201">
    <cfRule type="expression" priority="1" dxfId="0">
      <formula>AND($P2&lt;&gt;"",$P2&lt;&gt;"OK")</formula>
    </cfRule>
  </conditionalFormatting>
  <conditionalFormatting sqref="J2:J201">
    <cfRule type="expression" priority="2" dxfId="9">
      <formula>OR($J2="Cancelada",$J2="Suspensa")</formula>
    </cfRule>
  </conditionalFormatting>
  <conditionalFormatting sqref="O2:O201">
    <cfRule type="expression" priority="3" dxfId="1">
      <formula>AND($O2&lt;&gt;"",$O2&gt;=Janela_Min)</formula>
    </cfRule>
  </conditionalFormatting>
  <dataValidations count="5">
    <dataValidation sqref="B2:B201" showDropDown="0" showInputMessage="0" showErrorMessage="1" allowBlank="1" type="list">
      <formula1>=Lista_Postos</formula1>
    </dataValidation>
    <dataValidation sqref="E2:E201" showDropDown="0" showInputMessage="0" showErrorMessage="1" allowBlank="1" type="list">
      <formula1>=Lista_Especialidades</formula1>
    </dataValidation>
    <dataValidation sqref="I2:I201" showDropDown="0" showInputMessage="0" showErrorMessage="1" allowBlank="1" type="list">
      <formula1>=Lista_Porte</formula1>
    </dataValidation>
    <dataValidation sqref="J2:J201" showDropDown="0" showInputMessage="0" showErrorMessage="1" allowBlank="1" type="list">
      <formula1>=Lista_StatusCirurgia</formula1>
    </dataValidation>
    <dataValidation sqref="C2:D201" showDropDown="0" showInputMessage="0" showErrorMessage="1" allowBlank="1" errorTitle="Horário inválido" error="Informe um horário no formato HH:MM." type="time" operator="between">
      <formula1>TIME(0,0,0)</formula1>
      <formula2>TIME(23,59,0)</formula2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7"/>
  <sheetViews>
    <sheetView showGridLines="0"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5" customWidth="1" min="3" max="3"/>
    <col width="32" customWidth="1" min="4" max="4"/>
    <col width="12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5.5" customWidth="1" min="14" max="14"/>
    <col width="5.5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11" customWidth="1" min="20" max="20"/>
    <col width="12" customWidth="1" min="21" max="21"/>
    <col width="11" customWidth="1" min="22" max="22"/>
  </cols>
  <sheetData>
    <row r="1" ht="176" customHeight="1">
      <c r="A1" s="14" t="inlineStr">
        <is>
          <t>Chave</t>
        </is>
      </c>
      <c r="B1" s="14" t="inlineStr">
        <is>
          <t>Posto</t>
        </is>
      </c>
      <c r="C1" s="14" t="inlineStr">
        <is>
          <t>Tipo</t>
        </is>
      </c>
      <c r="D1" s="14" t="inlineStr">
        <is>
          <t>Habilidade de referência</t>
        </is>
      </c>
      <c r="E1" s="14" t="inlineStr">
        <is>
          <t>Min. agendados</t>
        </is>
      </c>
      <c r="F1" s="32">
        <f>IF('Habilidades'!$B$2="","",'Habilidades'!$B$2)</f>
        <v/>
      </c>
      <c r="G1" s="32">
        <f>IF('Habilidades'!$B$3="","",'Habilidades'!$B$3)</f>
        <v/>
      </c>
      <c r="H1" s="32">
        <f>IF('Habilidades'!$B$4="","",'Habilidades'!$B$4)</f>
        <v/>
      </c>
      <c r="I1" s="32">
        <f>IF('Habilidades'!$B$5="","",'Habilidades'!$B$5)</f>
        <v/>
      </c>
      <c r="J1" s="32">
        <f>IF('Habilidades'!$B$6="","",'Habilidades'!$B$6)</f>
        <v/>
      </c>
      <c r="K1" s="32">
        <f>IF('Habilidades'!$B$7="","",'Habilidades'!$B$7)</f>
        <v/>
      </c>
      <c r="L1" s="32">
        <f>IF('Habilidades'!$B$8="","",'Habilidades'!$B$8)</f>
        <v/>
      </c>
      <c r="M1" s="32">
        <f>IF('Habilidades'!$B$9="","",'Habilidades'!$B$9)</f>
        <v/>
      </c>
      <c r="N1" s="32">
        <f>IF('Habilidades'!$B$10="","",'Habilidades'!$B$10)</f>
        <v/>
      </c>
      <c r="O1" s="32">
        <f>IF('Habilidades'!$B$11="","",'Habilidades'!$B$11)</f>
        <v/>
      </c>
      <c r="P1" s="32">
        <f>IF('Habilidades'!$B$12="","",'Habilidades'!$B$12)</f>
        <v/>
      </c>
      <c r="Q1" s="32">
        <f>IF('Habilidades'!$B$13="","",'Habilidades'!$B$13)</f>
        <v/>
      </c>
      <c r="R1" s="32">
        <f>IF('Habilidades'!$B$14="","",'Habilidades'!$B$14)</f>
        <v/>
      </c>
      <c r="S1" s="32">
        <f>IF('Habilidades'!$B$15="","",'Habilidades'!$B$15)</f>
        <v/>
      </c>
      <c r="T1" s="14" t="inlineStr">
        <is>
          <t>Total do mix</t>
        </is>
      </c>
      <c r="U1" s="14" t="inlineStr">
        <is>
          <t>Min. do plantão</t>
        </is>
      </c>
      <c r="V1" s="14" t="inlineStr">
        <is>
          <t>Ocupação %</t>
        </is>
      </c>
    </row>
    <row r="2">
      <c r="A2" s="33">
        <f>IF($B2="","",$B2)</f>
        <v/>
      </c>
      <c r="B2" s="33">
        <f>IF('Postos'!$A$2="","",'Postos'!$A$2)</f>
        <v/>
      </c>
      <c r="C2" s="33">
        <f>IF($B2="","",IFERROR(INDEX(Postos_Tipo,MATCH($B2,Postos_Cod,0)),""))</f>
        <v/>
      </c>
      <c r="D2" s="34">
        <f>IF($B2="","",IFERROR(INDEX(Postos_Hab,MATCH($B2,Postos_Cod,0)),""))</f>
        <v/>
      </c>
      <c r="E2" s="37">
        <f>IF(OR($B2="",$C2&lt;&gt;"Sala cirúrgica"),0,SUMIFS(Mapa_MinOcup,Mapa_Sala,$B2,Mapa_Data,Data_Mapa))</f>
        <v/>
      </c>
      <c r="F2" s="37">
        <f>IF($B2="",0,IF(OR($C2&lt;&gt;"Sala cirúrgica",$E2=0),IF(AND(F$1&lt;&gt;"",F$1=$D2),Turno_Min,0),IF(F$1="",0,SUMIFS(Mapa_MinOcup,Mapa_Sala,$B2,Mapa_Data,Data_Mapa,Mapa_Hab,F$1))))</f>
        <v/>
      </c>
      <c r="G2" s="37">
        <f>IF($B2="",0,IF(OR($C2&lt;&gt;"Sala cirúrgica",$E2=0),IF(AND(G$1&lt;&gt;"",G$1=$D2),Turno_Min,0),IF(G$1="",0,SUMIFS(Mapa_MinOcup,Mapa_Sala,$B2,Mapa_Data,Data_Mapa,Mapa_Hab,G$1))))</f>
        <v/>
      </c>
      <c r="H2" s="37">
        <f>IF($B2="",0,IF(OR($C2&lt;&gt;"Sala cirúrgica",$E2=0),IF(AND(H$1&lt;&gt;"",H$1=$D2),Turno_Min,0),IF(H$1="",0,SUMIFS(Mapa_MinOcup,Mapa_Sala,$B2,Mapa_Data,Data_Mapa,Mapa_Hab,H$1))))</f>
        <v/>
      </c>
      <c r="I2" s="37">
        <f>IF($B2="",0,IF(OR($C2&lt;&gt;"Sala cirúrgica",$E2=0),IF(AND(I$1&lt;&gt;"",I$1=$D2),Turno_Min,0),IF(I$1="",0,SUMIFS(Mapa_MinOcup,Mapa_Sala,$B2,Mapa_Data,Data_Mapa,Mapa_Hab,I$1))))</f>
        <v/>
      </c>
      <c r="J2" s="37">
        <f>IF($B2="",0,IF(OR($C2&lt;&gt;"Sala cirúrgica",$E2=0),IF(AND(J$1&lt;&gt;"",J$1=$D2),Turno_Min,0),IF(J$1="",0,SUMIFS(Mapa_MinOcup,Mapa_Sala,$B2,Mapa_Data,Data_Mapa,Mapa_Hab,J$1))))</f>
        <v/>
      </c>
      <c r="K2" s="37">
        <f>IF($B2="",0,IF(OR($C2&lt;&gt;"Sala cirúrgica",$E2=0),IF(AND(K$1&lt;&gt;"",K$1=$D2),Turno_Min,0),IF(K$1="",0,SUMIFS(Mapa_MinOcup,Mapa_Sala,$B2,Mapa_Data,Data_Mapa,Mapa_Hab,K$1))))</f>
        <v/>
      </c>
      <c r="L2" s="37">
        <f>IF($B2="",0,IF(OR($C2&lt;&gt;"Sala cirúrgica",$E2=0),IF(AND(L$1&lt;&gt;"",L$1=$D2),Turno_Min,0),IF(L$1="",0,SUMIFS(Mapa_MinOcup,Mapa_Sala,$B2,Mapa_Data,Data_Mapa,Mapa_Hab,L$1))))</f>
        <v/>
      </c>
      <c r="M2" s="37">
        <f>IF($B2="",0,IF(OR($C2&lt;&gt;"Sala cirúrgica",$E2=0),IF(AND(M$1&lt;&gt;"",M$1=$D2),Turno_Min,0),IF(M$1="",0,SUMIFS(Mapa_MinOcup,Mapa_Sala,$B2,Mapa_Data,Data_Mapa,Mapa_Hab,M$1))))</f>
        <v/>
      </c>
      <c r="N2" s="37">
        <f>IF($B2="",0,IF(OR($C2&lt;&gt;"Sala cirúrgica",$E2=0),IF(AND(N$1&lt;&gt;"",N$1=$D2),Turno_Min,0),IF(N$1="",0,SUMIFS(Mapa_MinOcup,Mapa_Sala,$B2,Mapa_Data,Data_Mapa,Mapa_Hab,N$1))))</f>
        <v/>
      </c>
      <c r="O2" s="37">
        <f>IF($B2="",0,IF(OR($C2&lt;&gt;"Sala cirúrgica",$E2=0),IF(AND(O$1&lt;&gt;"",O$1=$D2),Turno_Min,0),IF(O$1="",0,SUMIFS(Mapa_MinOcup,Mapa_Sala,$B2,Mapa_Data,Data_Mapa,Mapa_Hab,O$1))))</f>
        <v/>
      </c>
      <c r="P2" s="37">
        <f>IF($B2="",0,IF(OR($C2&lt;&gt;"Sala cirúrgica",$E2=0),IF(AND(P$1&lt;&gt;"",P$1=$D2),Turno_Min,0),IF(P$1="",0,SUMIFS(Mapa_MinOcup,Mapa_Sala,$B2,Mapa_Data,Data_Mapa,Mapa_Hab,P$1))))</f>
        <v/>
      </c>
      <c r="Q2" s="37">
        <f>IF($B2="",0,IF(OR($C2&lt;&gt;"Sala cirúrgica",$E2=0),IF(AND(Q$1&lt;&gt;"",Q$1=$D2),Turno_Min,0),IF(Q$1="",0,SUMIFS(Mapa_MinOcup,Mapa_Sala,$B2,Mapa_Data,Data_Mapa,Mapa_Hab,Q$1))))</f>
        <v/>
      </c>
      <c r="R2" s="37">
        <f>IF($B2="",0,IF(OR($C2&lt;&gt;"Sala cirúrgica",$E2=0),IF(AND(R$1&lt;&gt;"",R$1=$D2),Turno_Min,0),IF(R$1="",0,SUMIFS(Mapa_MinOcup,Mapa_Sala,$B2,Mapa_Data,Data_Mapa,Mapa_Hab,R$1))))</f>
        <v/>
      </c>
      <c r="S2" s="37">
        <f>IF($B2="",0,IF(OR($C2&lt;&gt;"Sala cirúrgica",$E2=0),IF(AND(S$1&lt;&gt;"",S$1=$D2),Turno_Min,0),IF(S$1="",0,SUMIFS(Mapa_MinOcup,Mapa_Sala,$B2,Mapa_Data,Data_Mapa,Mapa_Hab,S$1))))</f>
        <v/>
      </c>
      <c r="T2" s="37">
        <f>IF($B2="",0,SUM(F2:S2))</f>
        <v/>
      </c>
      <c r="U2" s="37">
        <f>IF($B2="",0,Turno_Min)</f>
        <v/>
      </c>
      <c r="V2" s="44">
        <f>IF(OR($B2="",$C2&lt;&gt;"Sala cirúrgica"),"",$E2/Turno_Min)</f>
        <v/>
      </c>
    </row>
    <row r="3">
      <c r="A3" s="33">
        <f>IF($B3="","",$B3)</f>
        <v/>
      </c>
      <c r="B3" s="33">
        <f>IF('Postos'!$A$3="","",'Postos'!$A$3)</f>
        <v/>
      </c>
      <c r="C3" s="33">
        <f>IF($B3="","",IFERROR(INDEX(Postos_Tipo,MATCH($B3,Postos_Cod,0)),""))</f>
        <v/>
      </c>
      <c r="D3" s="34">
        <f>IF($B3="","",IFERROR(INDEX(Postos_Hab,MATCH($B3,Postos_Cod,0)),""))</f>
        <v/>
      </c>
      <c r="E3" s="37">
        <f>IF(OR($B3="",$C3&lt;&gt;"Sala cirúrgica"),0,SUMIFS(Mapa_MinOcup,Mapa_Sala,$B3,Mapa_Data,Data_Mapa))</f>
        <v/>
      </c>
      <c r="F3" s="37">
        <f>IF($B3="",0,IF(OR($C3&lt;&gt;"Sala cirúrgica",$E3=0),IF(AND(F$1&lt;&gt;"",F$1=$D3),Turno_Min,0),IF(F$1="",0,SUMIFS(Mapa_MinOcup,Mapa_Sala,$B3,Mapa_Data,Data_Mapa,Mapa_Hab,F$1))))</f>
        <v/>
      </c>
      <c r="G3" s="37">
        <f>IF($B3="",0,IF(OR($C3&lt;&gt;"Sala cirúrgica",$E3=0),IF(AND(G$1&lt;&gt;"",G$1=$D3),Turno_Min,0),IF(G$1="",0,SUMIFS(Mapa_MinOcup,Mapa_Sala,$B3,Mapa_Data,Data_Mapa,Mapa_Hab,G$1))))</f>
        <v/>
      </c>
      <c r="H3" s="37">
        <f>IF($B3="",0,IF(OR($C3&lt;&gt;"Sala cirúrgica",$E3=0),IF(AND(H$1&lt;&gt;"",H$1=$D3),Turno_Min,0),IF(H$1="",0,SUMIFS(Mapa_MinOcup,Mapa_Sala,$B3,Mapa_Data,Data_Mapa,Mapa_Hab,H$1))))</f>
        <v/>
      </c>
      <c r="I3" s="37">
        <f>IF($B3="",0,IF(OR($C3&lt;&gt;"Sala cirúrgica",$E3=0),IF(AND(I$1&lt;&gt;"",I$1=$D3),Turno_Min,0),IF(I$1="",0,SUMIFS(Mapa_MinOcup,Mapa_Sala,$B3,Mapa_Data,Data_Mapa,Mapa_Hab,I$1))))</f>
        <v/>
      </c>
      <c r="J3" s="37">
        <f>IF($B3="",0,IF(OR($C3&lt;&gt;"Sala cirúrgica",$E3=0),IF(AND(J$1&lt;&gt;"",J$1=$D3),Turno_Min,0),IF(J$1="",0,SUMIFS(Mapa_MinOcup,Mapa_Sala,$B3,Mapa_Data,Data_Mapa,Mapa_Hab,J$1))))</f>
        <v/>
      </c>
      <c r="K3" s="37">
        <f>IF($B3="",0,IF(OR($C3&lt;&gt;"Sala cirúrgica",$E3=0),IF(AND(K$1&lt;&gt;"",K$1=$D3),Turno_Min,0),IF(K$1="",0,SUMIFS(Mapa_MinOcup,Mapa_Sala,$B3,Mapa_Data,Data_Mapa,Mapa_Hab,K$1))))</f>
        <v/>
      </c>
      <c r="L3" s="37">
        <f>IF($B3="",0,IF(OR($C3&lt;&gt;"Sala cirúrgica",$E3=0),IF(AND(L$1&lt;&gt;"",L$1=$D3),Turno_Min,0),IF(L$1="",0,SUMIFS(Mapa_MinOcup,Mapa_Sala,$B3,Mapa_Data,Data_Mapa,Mapa_Hab,L$1))))</f>
        <v/>
      </c>
      <c r="M3" s="37">
        <f>IF($B3="",0,IF(OR($C3&lt;&gt;"Sala cirúrgica",$E3=0),IF(AND(M$1&lt;&gt;"",M$1=$D3),Turno_Min,0),IF(M$1="",0,SUMIFS(Mapa_MinOcup,Mapa_Sala,$B3,Mapa_Data,Data_Mapa,Mapa_Hab,M$1))))</f>
        <v/>
      </c>
      <c r="N3" s="37">
        <f>IF($B3="",0,IF(OR($C3&lt;&gt;"Sala cirúrgica",$E3=0),IF(AND(N$1&lt;&gt;"",N$1=$D3),Turno_Min,0),IF(N$1="",0,SUMIFS(Mapa_MinOcup,Mapa_Sala,$B3,Mapa_Data,Data_Mapa,Mapa_Hab,N$1))))</f>
        <v/>
      </c>
      <c r="O3" s="37">
        <f>IF($B3="",0,IF(OR($C3&lt;&gt;"Sala cirúrgica",$E3=0),IF(AND(O$1&lt;&gt;"",O$1=$D3),Turno_Min,0),IF(O$1="",0,SUMIFS(Mapa_MinOcup,Mapa_Sala,$B3,Mapa_Data,Data_Mapa,Mapa_Hab,O$1))))</f>
        <v/>
      </c>
      <c r="P3" s="37">
        <f>IF($B3="",0,IF(OR($C3&lt;&gt;"Sala cirúrgica",$E3=0),IF(AND(P$1&lt;&gt;"",P$1=$D3),Turno_Min,0),IF(P$1="",0,SUMIFS(Mapa_MinOcup,Mapa_Sala,$B3,Mapa_Data,Data_Mapa,Mapa_Hab,P$1))))</f>
        <v/>
      </c>
      <c r="Q3" s="37">
        <f>IF($B3="",0,IF(OR($C3&lt;&gt;"Sala cirúrgica",$E3=0),IF(AND(Q$1&lt;&gt;"",Q$1=$D3),Turno_Min,0),IF(Q$1="",0,SUMIFS(Mapa_MinOcup,Mapa_Sala,$B3,Mapa_Data,Data_Mapa,Mapa_Hab,Q$1))))</f>
        <v/>
      </c>
      <c r="R3" s="37">
        <f>IF($B3="",0,IF(OR($C3&lt;&gt;"Sala cirúrgica",$E3=0),IF(AND(R$1&lt;&gt;"",R$1=$D3),Turno_Min,0),IF(R$1="",0,SUMIFS(Mapa_MinOcup,Mapa_Sala,$B3,Mapa_Data,Data_Mapa,Mapa_Hab,R$1))))</f>
        <v/>
      </c>
      <c r="S3" s="37">
        <f>IF($B3="",0,IF(OR($C3&lt;&gt;"Sala cirúrgica",$E3=0),IF(AND(S$1&lt;&gt;"",S$1=$D3),Turno_Min,0),IF(S$1="",0,SUMIFS(Mapa_MinOcup,Mapa_Sala,$B3,Mapa_Data,Data_Mapa,Mapa_Hab,S$1))))</f>
        <v/>
      </c>
      <c r="T3" s="37">
        <f>IF($B3="",0,SUM(F3:S3))</f>
        <v/>
      </c>
      <c r="U3" s="37">
        <f>IF($B3="",0,Turno_Min)</f>
        <v/>
      </c>
      <c r="V3" s="44">
        <f>IF(OR($B3="",$C3&lt;&gt;"Sala cirúrgica"),"",$E3/Turno_Min)</f>
        <v/>
      </c>
    </row>
    <row r="4">
      <c r="A4" s="33">
        <f>IF($B4="","",$B4)</f>
        <v/>
      </c>
      <c r="B4" s="33">
        <f>IF('Postos'!$A$4="","",'Postos'!$A$4)</f>
        <v/>
      </c>
      <c r="C4" s="33">
        <f>IF($B4="","",IFERROR(INDEX(Postos_Tipo,MATCH($B4,Postos_Cod,0)),""))</f>
        <v/>
      </c>
      <c r="D4" s="34">
        <f>IF($B4="","",IFERROR(INDEX(Postos_Hab,MATCH($B4,Postos_Cod,0)),""))</f>
        <v/>
      </c>
      <c r="E4" s="37">
        <f>IF(OR($B4="",$C4&lt;&gt;"Sala cirúrgica"),0,SUMIFS(Mapa_MinOcup,Mapa_Sala,$B4,Mapa_Data,Data_Mapa))</f>
        <v/>
      </c>
      <c r="F4" s="37">
        <f>IF($B4="",0,IF(OR($C4&lt;&gt;"Sala cirúrgica",$E4=0),IF(AND(F$1&lt;&gt;"",F$1=$D4),Turno_Min,0),IF(F$1="",0,SUMIFS(Mapa_MinOcup,Mapa_Sala,$B4,Mapa_Data,Data_Mapa,Mapa_Hab,F$1))))</f>
        <v/>
      </c>
      <c r="G4" s="37">
        <f>IF($B4="",0,IF(OR($C4&lt;&gt;"Sala cirúrgica",$E4=0),IF(AND(G$1&lt;&gt;"",G$1=$D4),Turno_Min,0),IF(G$1="",0,SUMIFS(Mapa_MinOcup,Mapa_Sala,$B4,Mapa_Data,Data_Mapa,Mapa_Hab,G$1))))</f>
        <v/>
      </c>
      <c r="H4" s="37">
        <f>IF($B4="",0,IF(OR($C4&lt;&gt;"Sala cirúrgica",$E4=0),IF(AND(H$1&lt;&gt;"",H$1=$D4),Turno_Min,0),IF(H$1="",0,SUMIFS(Mapa_MinOcup,Mapa_Sala,$B4,Mapa_Data,Data_Mapa,Mapa_Hab,H$1))))</f>
        <v/>
      </c>
      <c r="I4" s="37">
        <f>IF($B4="",0,IF(OR($C4&lt;&gt;"Sala cirúrgica",$E4=0),IF(AND(I$1&lt;&gt;"",I$1=$D4),Turno_Min,0),IF(I$1="",0,SUMIFS(Mapa_MinOcup,Mapa_Sala,$B4,Mapa_Data,Data_Mapa,Mapa_Hab,I$1))))</f>
        <v/>
      </c>
      <c r="J4" s="37">
        <f>IF($B4="",0,IF(OR($C4&lt;&gt;"Sala cirúrgica",$E4=0),IF(AND(J$1&lt;&gt;"",J$1=$D4),Turno_Min,0),IF(J$1="",0,SUMIFS(Mapa_MinOcup,Mapa_Sala,$B4,Mapa_Data,Data_Mapa,Mapa_Hab,J$1))))</f>
        <v/>
      </c>
      <c r="K4" s="37">
        <f>IF($B4="",0,IF(OR($C4&lt;&gt;"Sala cirúrgica",$E4=0),IF(AND(K$1&lt;&gt;"",K$1=$D4),Turno_Min,0),IF(K$1="",0,SUMIFS(Mapa_MinOcup,Mapa_Sala,$B4,Mapa_Data,Data_Mapa,Mapa_Hab,K$1))))</f>
        <v/>
      </c>
      <c r="L4" s="37">
        <f>IF($B4="",0,IF(OR($C4&lt;&gt;"Sala cirúrgica",$E4=0),IF(AND(L$1&lt;&gt;"",L$1=$D4),Turno_Min,0),IF(L$1="",0,SUMIFS(Mapa_MinOcup,Mapa_Sala,$B4,Mapa_Data,Data_Mapa,Mapa_Hab,L$1))))</f>
        <v/>
      </c>
      <c r="M4" s="37">
        <f>IF($B4="",0,IF(OR($C4&lt;&gt;"Sala cirúrgica",$E4=0),IF(AND(M$1&lt;&gt;"",M$1=$D4),Turno_Min,0),IF(M$1="",0,SUMIFS(Mapa_MinOcup,Mapa_Sala,$B4,Mapa_Data,Data_Mapa,Mapa_Hab,M$1))))</f>
        <v/>
      </c>
      <c r="N4" s="37">
        <f>IF($B4="",0,IF(OR($C4&lt;&gt;"Sala cirúrgica",$E4=0),IF(AND(N$1&lt;&gt;"",N$1=$D4),Turno_Min,0),IF(N$1="",0,SUMIFS(Mapa_MinOcup,Mapa_Sala,$B4,Mapa_Data,Data_Mapa,Mapa_Hab,N$1))))</f>
        <v/>
      </c>
      <c r="O4" s="37">
        <f>IF($B4="",0,IF(OR($C4&lt;&gt;"Sala cirúrgica",$E4=0),IF(AND(O$1&lt;&gt;"",O$1=$D4),Turno_Min,0),IF(O$1="",0,SUMIFS(Mapa_MinOcup,Mapa_Sala,$B4,Mapa_Data,Data_Mapa,Mapa_Hab,O$1))))</f>
        <v/>
      </c>
      <c r="P4" s="37">
        <f>IF($B4="",0,IF(OR($C4&lt;&gt;"Sala cirúrgica",$E4=0),IF(AND(P$1&lt;&gt;"",P$1=$D4),Turno_Min,0),IF(P$1="",0,SUMIFS(Mapa_MinOcup,Mapa_Sala,$B4,Mapa_Data,Data_Mapa,Mapa_Hab,P$1))))</f>
        <v/>
      </c>
      <c r="Q4" s="37">
        <f>IF($B4="",0,IF(OR($C4&lt;&gt;"Sala cirúrgica",$E4=0),IF(AND(Q$1&lt;&gt;"",Q$1=$D4),Turno_Min,0),IF(Q$1="",0,SUMIFS(Mapa_MinOcup,Mapa_Sala,$B4,Mapa_Data,Data_Mapa,Mapa_Hab,Q$1))))</f>
        <v/>
      </c>
      <c r="R4" s="37">
        <f>IF($B4="",0,IF(OR($C4&lt;&gt;"Sala cirúrgica",$E4=0),IF(AND(R$1&lt;&gt;"",R$1=$D4),Turno_Min,0),IF(R$1="",0,SUMIFS(Mapa_MinOcup,Mapa_Sala,$B4,Mapa_Data,Data_Mapa,Mapa_Hab,R$1))))</f>
        <v/>
      </c>
      <c r="S4" s="37">
        <f>IF($B4="",0,IF(OR($C4&lt;&gt;"Sala cirúrgica",$E4=0),IF(AND(S$1&lt;&gt;"",S$1=$D4),Turno_Min,0),IF(S$1="",0,SUMIFS(Mapa_MinOcup,Mapa_Sala,$B4,Mapa_Data,Data_Mapa,Mapa_Hab,S$1))))</f>
        <v/>
      </c>
      <c r="T4" s="37">
        <f>IF($B4="",0,SUM(F4:S4))</f>
        <v/>
      </c>
      <c r="U4" s="37">
        <f>IF($B4="",0,Turno_Min)</f>
        <v/>
      </c>
      <c r="V4" s="44">
        <f>IF(OR($B4="",$C4&lt;&gt;"Sala cirúrgica"),"",$E4/Turno_Min)</f>
        <v/>
      </c>
    </row>
    <row r="5">
      <c r="A5" s="33">
        <f>IF($B5="","",$B5)</f>
        <v/>
      </c>
      <c r="B5" s="33">
        <f>IF('Postos'!$A$5="","",'Postos'!$A$5)</f>
        <v/>
      </c>
      <c r="C5" s="33">
        <f>IF($B5="","",IFERROR(INDEX(Postos_Tipo,MATCH($B5,Postos_Cod,0)),""))</f>
        <v/>
      </c>
      <c r="D5" s="34">
        <f>IF($B5="","",IFERROR(INDEX(Postos_Hab,MATCH($B5,Postos_Cod,0)),""))</f>
        <v/>
      </c>
      <c r="E5" s="37">
        <f>IF(OR($B5="",$C5&lt;&gt;"Sala cirúrgica"),0,SUMIFS(Mapa_MinOcup,Mapa_Sala,$B5,Mapa_Data,Data_Mapa))</f>
        <v/>
      </c>
      <c r="F5" s="37">
        <f>IF($B5="",0,IF(OR($C5&lt;&gt;"Sala cirúrgica",$E5=0),IF(AND(F$1&lt;&gt;"",F$1=$D5),Turno_Min,0),IF(F$1="",0,SUMIFS(Mapa_MinOcup,Mapa_Sala,$B5,Mapa_Data,Data_Mapa,Mapa_Hab,F$1))))</f>
        <v/>
      </c>
      <c r="G5" s="37">
        <f>IF($B5="",0,IF(OR($C5&lt;&gt;"Sala cirúrgica",$E5=0),IF(AND(G$1&lt;&gt;"",G$1=$D5),Turno_Min,0),IF(G$1="",0,SUMIFS(Mapa_MinOcup,Mapa_Sala,$B5,Mapa_Data,Data_Mapa,Mapa_Hab,G$1))))</f>
        <v/>
      </c>
      <c r="H5" s="37">
        <f>IF($B5="",0,IF(OR($C5&lt;&gt;"Sala cirúrgica",$E5=0),IF(AND(H$1&lt;&gt;"",H$1=$D5),Turno_Min,0),IF(H$1="",0,SUMIFS(Mapa_MinOcup,Mapa_Sala,$B5,Mapa_Data,Data_Mapa,Mapa_Hab,H$1))))</f>
        <v/>
      </c>
      <c r="I5" s="37">
        <f>IF($B5="",0,IF(OR($C5&lt;&gt;"Sala cirúrgica",$E5=0),IF(AND(I$1&lt;&gt;"",I$1=$D5),Turno_Min,0),IF(I$1="",0,SUMIFS(Mapa_MinOcup,Mapa_Sala,$B5,Mapa_Data,Data_Mapa,Mapa_Hab,I$1))))</f>
        <v/>
      </c>
      <c r="J5" s="37">
        <f>IF($B5="",0,IF(OR($C5&lt;&gt;"Sala cirúrgica",$E5=0),IF(AND(J$1&lt;&gt;"",J$1=$D5),Turno_Min,0),IF(J$1="",0,SUMIFS(Mapa_MinOcup,Mapa_Sala,$B5,Mapa_Data,Data_Mapa,Mapa_Hab,J$1))))</f>
        <v/>
      </c>
      <c r="K5" s="37">
        <f>IF($B5="",0,IF(OR($C5&lt;&gt;"Sala cirúrgica",$E5=0),IF(AND(K$1&lt;&gt;"",K$1=$D5),Turno_Min,0),IF(K$1="",0,SUMIFS(Mapa_MinOcup,Mapa_Sala,$B5,Mapa_Data,Data_Mapa,Mapa_Hab,K$1))))</f>
        <v/>
      </c>
      <c r="L5" s="37">
        <f>IF($B5="",0,IF(OR($C5&lt;&gt;"Sala cirúrgica",$E5=0),IF(AND(L$1&lt;&gt;"",L$1=$D5),Turno_Min,0),IF(L$1="",0,SUMIFS(Mapa_MinOcup,Mapa_Sala,$B5,Mapa_Data,Data_Mapa,Mapa_Hab,L$1))))</f>
        <v/>
      </c>
      <c r="M5" s="37">
        <f>IF($B5="",0,IF(OR($C5&lt;&gt;"Sala cirúrgica",$E5=0),IF(AND(M$1&lt;&gt;"",M$1=$D5),Turno_Min,0),IF(M$1="",0,SUMIFS(Mapa_MinOcup,Mapa_Sala,$B5,Mapa_Data,Data_Mapa,Mapa_Hab,M$1))))</f>
        <v/>
      </c>
      <c r="N5" s="37">
        <f>IF($B5="",0,IF(OR($C5&lt;&gt;"Sala cirúrgica",$E5=0),IF(AND(N$1&lt;&gt;"",N$1=$D5),Turno_Min,0),IF(N$1="",0,SUMIFS(Mapa_MinOcup,Mapa_Sala,$B5,Mapa_Data,Data_Mapa,Mapa_Hab,N$1))))</f>
        <v/>
      </c>
      <c r="O5" s="37">
        <f>IF($B5="",0,IF(OR($C5&lt;&gt;"Sala cirúrgica",$E5=0),IF(AND(O$1&lt;&gt;"",O$1=$D5),Turno_Min,0),IF(O$1="",0,SUMIFS(Mapa_MinOcup,Mapa_Sala,$B5,Mapa_Data,Data_Mapa,Mapa_Hab,O$1))))</f>
        <v/>
      </c>
      <c r="P5" s="37">
        <f>IF($B5="",0,IF(OR($C5&lt;&gt;"Sala cirúrgica",$E5=0),IF(AND(P$1&lt;&gt;"",P$1=$D5),Turno_Min,0),IF(P$1="",0,SUMIFS(Mapa_MinOcup,Mapa_Sala,$B5,Mapa_Data,Data_Mapa,Mapa_Hab,P$1))))</f>
        <v/>
      </c>
      <c r="Q5" s="37">
        <f>IF($B5="",0,IF(OR($C5&lt;&gt;"Sala cirúrgica",$E5=0),IF(AND(Q$1&lt;&gt;"",Q$1=$D5),Turno_Min,0),IF(Q$1="",0,SUMIFS(Mapa_MinOcup,Mapa_Sala,$B5,Mapa_Data,Data_Mapa,Mapa_Hab,Q$1))))</f>
        <v/>
      </c>
      <c r="R5" s="37">
        <f>IF($B5="",0,IF(OR($C5&lt;&gt;"Sala cirúrgica",$E5=0),IF(AND(R$1&lt;&gt;"",R$1=$D5),Turno_Min,0),IF(R$1="",0,SUMIFS(Mapa_MinOcup,Mapa_Sala,$B5,Mapa_Data,Data_Mapa,Mapa_Hab,R$1))))</f>
        <v/>
      </c>
      <c r="S5" s="37">
        <f>IF($B5="",0,IF(OR($C5&lt;&gt;"Sala cirúrgica",$E5=0),IF(AND(S$1&lt;&gt;"",S$1=$D5),Turno_Min,0),IF(S$1="",0,SUMIFS(Mapa_MinOcup,Mapa_Sala,$B5,Mapa_Data,Data_Mapa,Mapa_Hab,S$1))))</f>
        <v/>
      </c>
      <c r="T5" s="37">
        <f>IF($B5="",0,SUM(F5:S5))</f>
        <v/>
      </c>
      <c r="U5" s="37">
        <f>IF($B5="",0,Turno_Min)</f>
        <v/>
      </c>
      <c r="V5" s="44">
        <f>IF(OR($B5="",$C5&lt;&gt;"Sala cirúrgica"),"",$E5/Turno_Min)</f>
        <v/>
      </c>
    </row>
    <row r="6">
      <c r="A6" s="33">
        <f>IF($B6="","",$B6)</f>
        <v/>
      </c>
      <c r="B6" s="33">
        <f>IF('Postos'!$A$6="","",'Postos'!$A$6)</f>
        <v/>
      </c>
      <c r="C6" s="33">
        <f>IF($B6="","",IFERROR(INDEX(Postos_Tipo,MATCH($B6,Postos_Cod,0)),""))</f>
        <v/>
      </c>
      <c r="D6" s="34">
        <f>IF($B6="","",IFERROR(INDEX(Postos_Hab,MATCH($B6,Postos_Cod,0)),""))</f>
        <v/>
      </c>
      <c r="E6" s="37">
        <f>IF(OR($B6="",$C6&lt;&gt;"Sala cirúrgica"),0,SUMIFS(Mapa_MinOcup,Mapa_Sala,$B6,Mapa_Data,Data_Mapa))</f>
        <v/>
      </c>
      <c r="F6" s="37">
        <f>IF($B6="",0,IF(OR($C6&lt;&gt;"Sala cirúrgica",$E6=0),IF(AND(F$1&lt;&gt;"",F$1=$D6),Turno_Min,0),IF(F$1="",0,SUMIFS(Mapa_MinOcup,Mapa_Sala,$B6,Mapa_Data,Data_Mapa,Mapa_Hab,F$1))))</f>
        <v/>
      </c>
      <c r="G6" s="37">
        <f>IF($B6="",0,IF(OR($C6&lt;&gt;"Sala cirúrgica",$E6=0),IF(AND(G$1&lt;&gt;"",G$1=$D6),Turno_Min,0),IF(G$1="",0,SUMIFS(Mapa_MinOcup,Mapa_Sala,$B6,Mapa_Data,Data_Mapa,Mapa_Hab,G$1))))</f>
        <v/>
      </c>
      <c r="H6" s="37">
        <f>IF($B6="",0,IF(OR($C6&lt;&gt;"Sala cirúrgica",$E6=0),IF(AND(H$1&lt;&gt;"",H$1=$D6),Turno_Min,0),IF(H$1="",0,SUMIFS(Mapa_MinOcup,Mapa_Sala,$B6,Mapa_Data,Data_Mapa,Mapa_Hab,H$1))))</f>
        <v/>
      </c>
      <c r="I6" s="37">
        <f>IF($B6="",0,IF(OR($C6&lt;&gt;"Sala cirúrgica",$E6=0),IF(AND(I$1&lt;&gt;"",I$1=$D6),Turno_Min,0),IF(I$1="",0,SUMIFS(Mapa_MinOcup,Mapa_Sala,$B6,Mapa_Data,Data_Mapa,Mapa_Hab,I$1))))</f>
        <v/>
      </c>
      <c r="J6" s="37">
        <f>IF($B6="",0,IF(OR($C6&lt;&gt;"Sala cirúrgica",$E6=0),IF(AND(J$1&lt;&gt;"",J$1=$D6),Turno_Min,0),IF(J$1="",0,SUMIFS(Mapa_MinOcup,Mapa_Sala,$B6,Mapa_Data,Data_Mapa,Mapa_Hab,J$1))))</f>
        <v/>
      </c>
      <c r="K6" s="37">
        <f>IF($B6="",0,IF(OR($C6&lt;&gt;"Sala cirúrgica",$E6=0),IF(AND(K$1&lt;&gt;"",K$1=$D6),Turno_Min,0),IF(K$1="",0,SUMIFS(Mapa_MinOcup,Mapa_Sala,$B6,Mapa_Data,Data_Mapa,Mapa_Hab,K$1))))</f>
        <v/>
      </c>
      <c r="L6" s="37">
        <f>IF($B6="",0,IF(OR($C6&lt;&gt;"Sala cirúrgica",$E6=0),IF(AND(L$1&lt;&gt;"",L$1=$D6),Turno_Min,0),IF(L$1="",0,SUMIFS(Mapa_MinOcup,Mapa_Sala,$B6,Mapa_Data,Data_Mapa,Mapa_Hab,L$1))))</f>
        <v/>
      </c>
      <c r="M6" s="37">
        <f>IF($B6="",0,IF(OR($C6&lt;&gt;"Sala cirúrgica",$E6=0),IF(AND(M$1&lt;&gt;"",M$1=$D6),Turno_Min,0),IF(M$1="",0,SUMIFS(Mapa_MinOcup,Mapa_Sala,$B6,Mapa_Data,Data_Mapa,Mapa_Hab,M$1))))</f>
        <v/>
      </c>
      <c r="N6" s="37">
        <f>IF($B6="",0,IF(OR($C6&lt;&gt;"Sala cirúrgica",$E6=0),IF(AND(N$1&lt;&gt;"",N$1=$D6),Turno_Min,0),IF(N$1="",0,SUMIFS(Mapa_MinOcup,Mapa_Sala,$B6,Mapa_Data,Data_Mapa,Mapa_Hab,N$1))))</f>
        <v/>
      </c>
      <c r="O6" s="37">
        <f>IF($B6="",0,IF(OR($C6&lt;&gt;"Sala cirúrgica",$E6=0),IF(AND(O$1&lt;&gt;"",O$1=$D6),Turno_Min,0),IF(O$1="",0,SUMIFS(Mapa_MinOcup,Mapa_Sala,$B6,Mapa_Data,Data_Mapa,Mapa_Hab,O$1))))</f>
        <v/>
      </c>
      <c r="P6" s="37">
        <f>IF($B6="",0,IF(OR($C6&lt;&gt;"Sala cirúrgica",$E6=0),IF(AND(P$1&lt;&gt;"",P$1=$D6),Turno_Min,0),IF(P$1="",0,SUMIFS(Mapa_MinOcup,Mapa_Sala,$B6,Mapa_Data,Data_Mapa,Mapa_Hab,P$1))))</f>
        <v/>
      </c>
      <c r="Q6" s="37">
        <f>IF($B6="",0,IF(OR($C6&lt;&gt;"Sala cirúrgica",$E6=0),IF(AND(Q$1&lt;&gt;"",Q$1=$D6),Turno_Min,0),IF(Q$1="",0,SUMIFS(Mapa_MinOcup,Mapa_Sala,$B6,Mapa_Data,Data_Mapa,Mapa_Hab,Q$1))))</f>
        <v/>
      </c>
      <c r="R6" s="37">
        <f>IF($B6="",0,IF(OR($C6&lt;&gt;"Sala cirúrgica",$E6=0),IF(AND(R$1&lt;&gt;"",R$1=$D6),Turno_Min,0),IF(R$1="",0,SUMIFS(Mapa_MinOcup,Mapa_Sala,$B6,Mapa_Data,Data_Mapa,Mapa_Hab,R$1))))</f>
        <v/>
      </c>
      <c r="S6" s="37">
        <f>IF($B6="",0,IF(OR($C6&lt;&gt;"Sala cirúrgica",$E6=0),IF(AND(S$1&lt;&gt;"",S$1=$D6),Turno_Min,0),IF(S$1="",0,SUMIFS(Mapa_MinOcup,Mapa_Sala,$B6,Mapa_Data,Data_Mapa,Mapa_Hab,S$1))))</f>
        <v/>
      </c>
      <c r="T6" s="37">
        <f>IF($B6="",0,SUM(F6:S6))</f>
        <v/>
      </c>
      <c r="U6" s="37">
        <f>IF($B6="",0,Turno_Min)</f>
        <v/>
      </c>
      <c r="V6" s="44">
        <f>IF(OR($B6="",$C6&lt;&gt;"Sala cirúrgica"),"",$E6/Turno_Min)</f>
        <v/>
      </c>
    </row>
    <row r="7">
      <c r="A7" s="33">
        <f>IF($B7="","",$B7)</f>
        <v/>
      </c>
      <c r="B7" s="33">
        <f>IF('Postos'!$A$7="","",'Postos'!$A$7)</f>
        <v/>
      </c>
      <c r="C7" s="33">
        <f>IF($B7="","",IFERROR(INDEX(Postos_Tipo,MATCH($B7,Postos_Cod,0)),""))</f>
        <v/>
      </c>
      <c r="D7" s="34">
        <f>IF($B7="","",IFERROR(INDEX(Postos_Hab,MATCH($B7,Postos_Cod,0)),""))</f>
        <v/>
      </c>
      <c r="E7" s="37">
        <f>IF(OR($B7="",$C7&lt;&gt;"Sala cirúrgica"),0,SUMIFS(Mapa_MinOcup,Mapa_Sala,$B7,Mapa_Data,Data_Mapa))</f>
        <v/>
      </c>
      <c r="F7" s="37">
        <f>IF($B7="",0,IF(OR($C7&lt;&gt;"Sala cirúrgica",$E7=0),IF(AND(F$1&lt;&gt;"",F$1=$D7),Turno_Min,0),IF(F$1="",0,SUMIFS(Mapa_MinOcup,Mapa_Sala,$B7,Mapa_Data,Data_Mapa,Mapa_Hab,F$1))))</f>
        <v/>
      </c>
      <c r="G7" s="37">
        <f>IF($B7="",0,IF(OR($C7&lt;&gt;"Sala cirúrgica",$E7=0),IF(AND(G$1&lt;&gt;"",G$1=$D7),Turno_Min,0),IF(G$1="",0,SUMIFS(Mapa_MinOcup,Mapa_Sala,$B7,Mapa_Data,Data_Mapa,Mapa_Hab,G$1))))</f>
        <v/>
      </c>
      <c r="H7" s="37">
        <f>IF($B7="",0,IF(OR($C7&lt;&gt;"Sala cirúrgica",$E7=0),IF(AND(H$1&lt;&gt;"",H$1=$D7),Turno_Min,0),IF(H$1="",0,SUMIFS(Mapa_MinOcup,Mapa_Sala,$B7,Mapa_Data,Data_Mapa,Mapa_Hab,H$1))))</f>
        <v/>
      </c>
      <c r="I7" s="37">
        <f>IF($B7="",0,IF(OR($C7&lt;&gt;"Sala cirúrgica",$E7=0),IF(AND(I$1&lt;&gt;"",I$1=$D7),Turno_Min,0),IF(I$1="",0,SUMIFS(Mapa_MinOcup,Mapa_Sala,$B7,Mapa_Data,Data_Mapa,Mapa_Hab,I$1))))</f>
        <v/>
      </c>
      <c r="J7" s="37">
        <f>IF($B7="",0,IF(OR($C7&lt;&gt;"Sala cirúrgica",$E7=0),IF(AND(J$1&lt;&gt;"",J$1=$D7),Turno_Min,0),IF(J$1="",0,SUMIFS(Mapa_MinOcup,Mapa_Sala,$B7,Mapa_Data,Data_Mapa,Mapa_Hab,J$1))))</f>
        <v/>
      </c>
      <c r="K7" s="37">
        <f>IF($B7="",0,IF(OR($C7&lt;&gt;"Sala cirúrgica",$E7=0),IF(AND(K$1&lt;&gt;"",K$1=$D7),Turno_Min,0),IF(K$1="",0,SUMIFS(Mapa_MinOcup,Mapa_Sala,$B7,Mapa_Data,Data_Mapa,Mapa_Hab,K$1))))</f>
        <v/>
      </c>
      <c r="L7" s="37">
        <f>IF($B7="",0,IF(OR($C7&lt;&gt;"Sala cirúrgica",$E7=0),IF(AND(L$1&lt;&gt;"",L$1=$D7),Turno_Min,0),IF(L$1="",0,SUMIFS(Mapa_MinOcup,Mapa_Sala,$B7,Mapa_Data,Data_Mapa,Mapa_Hab,L$1))))</f>
        <v/>
      </c>
      <c r="M7" s="37">
        <f>IF($B7="",0,IF(OR($C7&lt;&gt;"Sala cirúrgica",$E7=0),IF(AND(M$1&lt;&gt;"",M$1=$D7),Turno_Min,0),IF(M$1="",0,SUMIFS(Mapa_MinOcup,Mapa_Sala,$B7,Mapa_Data,Data_Mapa,Mapa_Hab,M$1))))</f>
        <v/>
      </c>
      <c r="N7" s="37">
        <f>IF($B7="",0,IF(OR($C7&lt;&gt;"Sala cirúrgica",$E7=0),IF(AND(N$1&lt;&gt;"",N$1=$D7),Turno_Min,0),IF(N$1="",0,SUMIFS(Mapa_MinOcup,Mapa_Sala,$B7,Mapa_Data,Data_Mapa,Mapa_Hab,N$1))))</f>
        <v/>
      </c>
      <c r="O7" s="37">
        <f>IF($B7="",0,IF(OR($C7&lt;&gt;"Sala cirúrgica",$E7=0),IF(AND(O$1&lt;&gt;"",O$1=$D7),Turno_Min,0),IF(O$1="",0,SUMIFS(Mapa_MinOcup,Mapa_Sala,$B7,Mapa_Data,Data_Mapa,Mapa_Hab,O$1))))</f>
        <v/>
      </c>
      <c r="P7" s="37">
        <f>IF($B7="",0,IF(OR($C7&lt;&gt;"Sala cirúrgica",$E7=0),IF(AND(P$1&lt;&gt;"",P$1=$D7),Turno_Min,0),IF(P$1="",0,SUMIFS(Mapa_MinOcup,Mapa_Sala,$B7,Mapa_Data,Data_Mapa,Mapa_Hab,P$1))))</f>
        <v/>
      </c>
      <c r="Q7" s="37">
        <f>IF($B7="",0,IF(OR($C7&lt;&gt;"Sala cirúrgica",$E7=0),IF(AND(Q$1&lt;&gt;"",Q$1=$D7),Turno_Min,0),IF(Q$1="",0,SUMIFS(Mapa_MinOcup,Mapa_Sala,$B7,Mapa_Data,Data_Mapa,Mapa_Hab,Q$1))))</f>
        <v/>
      </c>
      <c r="R7" s="37">
        <f>IF($B7="",0,IF(OR($C7&lt;&gt;"Sala cirúrgica",$E7=0),IF(AND(R$1&lt;&gt;"",R$1=$D7),Turno_Min,0),IF(R$1="",0,SUMIFS(Mapa_MinOcup,Mapa_Sala,$B7,Mapa_Data,Data_Mapa,Mapa_Hab,R$1))))</f>
        <v/>
      </c>
      <c r="S7" s="37">
        <f>IF($B7="",0,IF(OR($C7&lt;&gt;"Sala cirúrgica",$E7=0),IF(AND(S$1&lt;&gt;"",S$1=$D7),Turno_Min,0),IF(S$1="",0,SUMIFS(Mapa_MinOcup,Mapa_Sala,$B7,Mapa_Data,Data_Mapa,Mapa_Hab,S$1))))</f>
        <v/>
      </c>
      <c r="T7" s="37">
        <f>IF($B7="",0,SUM(F7:S7))</f>
        <v/>
      </c>
      <c r="U7" s="37">
        <f>IF($B7="",0,Turno_Min)</f>
        <v/>
      </c>
      <c r="V7" s="44">
        <f>IF(OR($B7="",$C7&lt;&gt;"Sala cirúrgica"),"",$E7/Turno_Min)</f>
        <v/>
      </c>
    </row>
    <row r="8">
      <c r="A8" s="33">
        <f>IF($B8="","",$B8)</f>
        <v/>
      </c>
      <c r="B8" s="33">
        <f>IF('Postos'!$A$8="","",'Postos'!$A$8)</f>
        <v/>
      </c>
      <c r="C8" s="33">
        <f>IF($B8="","",IFERROR(INDEX(Postos_Tipo,MATCH($B8,Postos_Cod,0)),""))</f>
        <v/>
      </c>
      <c r="D8" s="34">
        <f>IF($B8="","",IFERROR(INDEX(Postos_Hab,MATCH($B8,Postos_Cod,0)),""))</f>
        <v/>
      </c>
      <c r="E8" s="37">
        <f>IF(OR($B8="",$C8&lt;&gt;"Sala cirúrgica"),0,SUMIFS(Mapa_MinOcup,Mapa_Sala,$B8,Mapa_Data,Data_Mapa))</f>
        <v/>
      </c>
      <c r="F8" s="37">
        <f>IF($B8="",0,IF(OR($C8&lt;&gt;"Sala cirúrgica",$E8=0),IF(AND(F$1&lt;&gt;"",F$1=$D8),Turno_Min,0),IF(F$1="",0,SUMIFS(Mapa_MinOcup,Mapa_Sala,$B8,Mapa_Data,Data_Mapa,Mapa_Hab,F$1))))</f>
        <v/>
      </c>
      <c r="G8" s="37">
        <f>IF($B8="",0,IF(OR($C8&lt;&gt;"Sala cirúrgica",$E8=0),IF(AND(G$1&lt;&gt;"",G$1=$D8),Turno_Min,0),IF(G$1="",0,SUMIFS(Mapa_MinOcup,Mapa_Sala,$B8,Mapa_Data,Data_Mapa,Mapa_Hab,G$1))))</f>
        <v/>
      </c>
      <c r="H8" s="37">
        <f>IF($B8="",0,IF(OR($C8&lt;&gt;"Sala cirúrgica",$E8=0),IF(AND(H$1&lt;&gt;"",H$1=$D8),Turno_Min,0),IF(H$1="",0,SUMIFS(Mapa_MinOcup,Mapa_Sala,$B8,Mapa_Data,Data_Mapa,Mapa_Hab,H$1))))</f>
        <v/>
      </c>
      <c r="I8" s="37">
        <f>IF($B8="",0,IF(OR($C8&lt;&gt;"Sala cirúrgica",$E8=0),IF(AND(I$1&lt;&gt;"",I$1=$D8),Turno_Min,0),IF(I$1="",0,SUMIFS(Mapa_MinOcup,Mapa_Sala,$B8,Mapa_Data,Data_Mapa,Mapa_Hab,I$1))))</f>
        <v/>
      </c>
      <c r="J8" s="37">
        <f>IF($B8="",0,IF(OR($C8&lt;&gt;"Sala cirúrgica",$E8=0),IF(AND(J$1&lt;&gt;"",J$1=$D8),Turno_Min,0),IF(J$1="",0,SUMIFS(Mapa_MinOcup,Mapa_Sala,$B8,Mapa_Data,Data_Mapa,Mapa_Hab,J$1))))</f>
        <v/>
      </c>
      <c r="K8" s="37">
        <f>IF($B8="",0,IF(OR($C8&lt;&gt;"Sala cirúrgica",$E8=0),IF(AND(K$1&lt;&gt;"",K$1=$D8),Turno_Min,0),IF(K$1="",0,SUMIFS(Mapa_MinOcup,Mapa_Sala,$B8,Mapa_Data,Data_Mapa,Mapa_Hab,K$1))))</f>
        <v/>
      </c>
      <c r="L8" s="37">
        <f>IF($B8="",0,IF(OR($C8&lt;&gt;"Sala cirúrgica",$E8=0),IF(AND(L$1&lt;&gt;"",L$1=$D8),Turno_Min,0),IF(L$1="",0,SUMIFS(Mapa_MinOcup,Mapa_Sala,$B8,Mapa_Data,Data_Mapa,Mapa_Hab,L$1))))</f>
        <v/>
      </c>
      <c r="M8" s="37">
        <f>IF($B8="",0,IF(OR($C8&lt;&gt;"Sala cirúrgica",$E8=0),IF(AND(M$1&lt;&gt;"",M$1=$D8),Turno_Min,0),IF(M$1="",0,SUMIFS(Mapa_MinOcup,Mapa_Sala,$B8,Mapa_Data,Data_Mapa,Mapa_Hab,M$1))))</f>
        <v/>
      </c>
      <c r="N8" s="37">
        <f>IF($B8="",0,IF(OR($C8&lt;&gt;"Sala cirúrgica",$E8=0),IF(AND(N$1&lt;&gt;"",N$1=$D8),Turno_Min,0),IF(N$1="",0,SUMIFS(Mapa_MinOcup,Mapa_Sala,$B8,Mapa_Data,Data_Mapa,Mapa_Hab,N$1))))</f>
        <v/>
      </c>
      <c r="O8" s="37">
        <f>IF($B8="",0,IF(OR($C8&lt;&gt;"Sala cirúrgica",$E8=0),IF(AND(O$1&lt;&gt;"",O$1=$D8),Turno_Min,0),IF(O$1="",0,SUMIFS(Mapa_MinOcup,Mapa_Sala,$B8,Mapa_Data,Data_Mapa,Mapa_Hab,O$1))))</f>
        <v/>
      </c>
      <c r="P8" s="37">
        <f>IF($B8="",0,IF(OR($C8&lt;&gt;"Sala cirúrgica",$E8=0),IF(AND(P$1&lt;&gt;"",P$1=$D8),Turno_Min,0),IF(P$1="",0,SUMIFS(Mapa_MinOcup,Mapa_Sala,$B8,Mapa_Data,Data_Mapa,Mapa_Hab,P$1))))</f>
        <v/>
      </c>
      <c r="Q8" s="37">
        <f>IF($B8="",0,IF(OR($C8&lt;&gt;"Sala cirúrgica",$E8=0),IF(AND(Q$1&lt;&gt;"",Q$1=$D8),Turno_Min,0),IF(Q$1="",0,SUMIFS(Mapa_MinOcup,Mapa_Sala,$B8,Mapa_Data,Data_Mapa,Mapa_Hab,Q$1))))</f>
        <v/>
      </c>
      <c r="R8" s="37">
        <f>IF($B8="",0,IF(OR($C8&lt;&gt;"Sala cirúrgica",$E8=0),IF(AND(R$1&lt;&gt;"",R$1=$D8),Turno_Min,0),IF(R$1="",0,SUMIFS(Mapa_MinOcup,Mapa_Sala,$B8,Mapa_Data,Data_Mapa,Mapa_Hab,R$1))))</f>
        <v/>
      </c>
      <c r="S8" s="37">
        <f>IF($B8="",0,IF(OR($C8&lt;&gt;"Sala cirúrgica",$E8=0),IF(AND(S$1&lt;&gt;"",S$1=$D8),Turno_Min,0),IF(S$1="",0,SUMIFS(Mapa_MinOcup,Mapa_Sala,$B8,Mapa_Data,Data_Mapa,Mapa_Hab,S$1))))</f>
        <v/>
      </c>
      <c r="T8" s="37">
        <f>IF($B8="",0,SUM(F8:S8))</f>
        <v/>
      </c>
      <c r="U8" s="37">
        <f>IF($B8="",0,Turno_Min)</f>
        <v/>
      </c>
      <c r="V8" s="44">
        <f>IF(OR($B8="",$C8&lt;&gt;"Sala cirúrgica"),"",$E8/Turno_Min)</f>
        <v/>
      </c>
    </row>
    <row r="9">
      <c r="A9" s="33">
        <f>IF($B9="","",$B9)</f>
        <v/>
      </c>
      <c r="B9" s="33">
        <f>IF('Postos'!$A$9="","",'Postos'!$A$9)</f>
        <v/>
      </c>
      <c r="C9" s="33">
        <f>IF($B9="","",IFERROR(INDEX(Postos_Tipo,MATCH($B9,Postos_Cod,0)),""))</f>
        <v/>
      </c>
      <c r="D9" s="34">
        <f>IF($B9="","",IFERROR(INDEX(Postos_Hab,MATCH($B9,Postos_Cod,0)),""))</f>
        <v/>
      </c>
      <c r="E9" s="37">
        <f>IF(OR($B9="",$C9&lt;&gt;"Sala cirúrgica"),0,SUMIFS(Mapa_MinOcup,Mapa_Sala,$B9,Mapa_Data,Data_Mapa))</f>
        <v/>
      </c>
      <c r="F9" s="37">
        <f>IF($B9="",0,IF(OR($C9&lt;&gt;"Sala cirúrgica",$E9=0),IF(AND(F$1&lt;&gt;"",F$1=$D9),Turno_Min,0),IF(F$1="",0,SUMIFS(Mapa_MinOcup,Mapa_Sala,$B9,Mapa_Data,Data_Mapa,Mapa_Hab,F$1))))</f>
        <v/>
      </c>
      <c r="G9" s="37">
        <f>IF($B9="",0,IF(OR($C9&lt;&gt;"Sala cirúrgica",$E9=0),IF(AND(G$1&lt;&gt;"",G$1=$D9),Turno_Min,0),IF(G$1="",0,SUMIFS(Mapa_MinOcup,Mapa_Sala,$B9,Mapa_Data,Data_Mapa,Mapa_Hab,G$1))))</f>
        <v/>
      </c>
      <c r="H9" s="37">
        <f>IF($B9="",0,IF(OR($C9&lt;&gt;"Sala cirúrgica",$E9=0),IF(AND(H$1&lt;&gt;"",H$1=$D9),Turno_Min,0),IF(H$1="",0,SUMIFS(Mapa_MinOcup,Mapa_Sala,$B9,Mapa_Data,Data_Mapa,Mapa_Hab,H$1))))</f>
        <v/>
      </c>
      <c r="I9" s="37">
        <f>IF($B9="",0,IF(OR($C9&lt;&gt;"Sala cirúrgica",$E9=0),IF(AND(I$1&lt;&gt;"",I$1=$D9),Turno_Min,0),IF(I$1="",0,SUMIFS(Mapa_MinOcup,Mapa_Sala,$B9,Mapa_Data,Data_Mapa,Mapa_Hab,I$1))))</f>
        <v/>
      </c>
      <c r="J9" s="37">
        <f>IF($B9="",0,IF(OR($C9&lt;&gt;"Sala cirúrgica",$E9=0),IF(AND(J$1&lt;&gt;"",J$1=$D9),Turno_Min,0),IF(J$1="",0,SUMIFS(Mapa_MinOcup,Mapa_Sala,$B9,Mapa_Data,Data_Mapa,Mapa_Hab,J$1))))</f>
        <v/>
      </c>
      <c r="K9" s="37">
        <f>IF($B9="",0,IF(OR($C9&lt;&gt;"Sala cirúrgica",$E9=0),IF(AND(K$1&lt;&gt;"",K$1=$D9),Turno_Min,0),IF(K$1="",0,SUMIFS(Mapa_MinOcup,Mapa_Sala,$B9,Mapa_Data,Data_Mapa,Mapa_Hab,K$1))))</f>
        <v/>
      </c>
      <c r="L9" s="37">
        <f>IF($B9="",0,IF(OR($C9&lt;&gt;"Sala cirúrgica",$E9=0),IF(AND(L$1&lt;&gt;"",L$1=$D9),Turno_Min,0),IF(L$1="",0,SUMIFS(Mapa_MinOcup,Mapa_Sala,$B9,Mapa_Data,Data_Mapa,Mapa_Hab,L$1))))</f>
        <v/>
      </c>
      <c r="M9" s="37">
        <f>IF($B9="",0,IF(OR($C9&lt;&gt;"Sala cirúrgica",$E9=0),IF(AND(M$1&lt;&gt;"",M$1=$D9),Turno_Min,0),IF(M$1="",0,SUMIFS(Mapa_MinOcup,Mapa_Sala,$B9,Mapa_Data,Data_Mapa,Mapa_Hab,M$1))))</f>
        <v/>
      </c>
      <c r="N9" s="37">
        <f>IF($B9="",0,IF(OR($C9&lt;&gt;"Sala cirúrgica",$E9=0),IF(AND(N$1&lt;&gt;"",N$1=$D9),Turno_Min,0),IF(N$1="",0,SUMIFS(Mapa_MinOcup,Mapa_Sala,$B9,Mapa_Data,Data_Mapa,Mapa_Hab,N$1))))</f>
        <v/>
      </c>
      <c r="O9" s="37">
        <f>IF($B9="",0,IF(OR($C9&lt;&gt;"Sala cirúrgica",$E9=0),IF(AND(O$1&lt;&gt;"",O$1=$D9),Turno_Min,0),IF(O$1="",0,SUMIFS(Mapa_MinOcup,Mapa_Sala,$B9,Mapa_Data,Data_Mapa,Mapa_Hab,O$1))))</f>
        <v/>
      </c>
      <c r="P9" s="37">
        <f>IF($B9="",0,IF(OR($C9&lt;&gt;"Sala cirúrgica",$E9=0),IF(AND(P$1&lt;&gt;"",P$1=$D9),Turno_Min,0),IF(P$1="",0,SUMIFS(Mapa_MinOcup,Mapa_Sala,$B9,Mapa_Data,Data_Mapa,Mapa_Hab,P$1))))</f>
        <v/>
      </c>
      <c r="Q9" s="37">
        <f>IF($B9="",0,IF(OR($C9&lt;&gt;"Sala cirúrgica",$E9=0),IF(AND(Q$1&lt;&gt;"",Q$1=$D9),Turno_Min,0),IF(Q$1="",0,SUMIFS(Mapa_MinOcup,Mapa_Sala,$B9,Mapa_Data,Data_Mapa,Mapa_Hab,Q$1))))</f>
        <v/>
      </c>
      <c r="R9" s="37">
        <f>IF($B9="",0,IF(OR($C9&lt;&gt;"Sala cirúrgica",$E9=0),IF(AND(R$1&lt;&gt;"",R$1=$D9),Turno_Min,0),IF(R$1="",0,SUMIFS(Mapa_MinOcup,Mapa_Sala,$B9,Mapa_Data,Data_Mapa,Mapa_Hab,R$1))))</f>
        <v/>
      </c>
      <c r="S9" s="37">
        <f>IF($B9="",0,IF(OR($C9&lt;&gt;"Sala cirúrgica",$E9=0),IF(AND(S$1&lt;&gt;"",S$1=$D9),Turno_Min,0),IF(S$1="",0,SUMIFS(Mapa_MinOcup,Mapa_Sala,$B9,Mapa_Data,Data_Mapa,Mapa_Hab,S$1))))</f>
        <v/>
      </c>
      <c r="T9" s="37">
        <f>IF($B9="",0,SUM(F9:S9))</f>
        <v/>
      </c>
      <c r="U9" s="37">
        <f>IF($B9="",0,Turno_Min)</f>
        <v/>
      </c>
      <c r="V9" s="44">
        <f>IF(OR($B9="",$C9&lt;&gt;"Sala cirúrgica"),"",$E9/Turno_Min)</f>
        <v/>
      </c>
    </row>
    <row r="10">
      <c r="A10" s="33">
        <f>IF($B10="","",$B10)</f>
        <v/>
      </c>
      <c r="B10" s="33">
        <f>IF('Postos'!$A$10="","",'Postos'!$A$10)</f>
        <v/>
      </c>
      <c r="C10" s="33">
        <f>IF($B10="","",IFERROR(INDEX(Postos_Tipo,MATCH($B10,Postos_Cod,0)),""))</f>
        <v/>
      </c>
      <c r="D10" s="34">
        <f>IF($B10="","",IFERROR(INDEX(Postos_Hab,MATCH($B10,Postos_Cod,0)),""))</f>
        <v/>
      </c>
      <c r="E10" s="37">
        <f>IF(OR($B10="",$C10&lt;&gt;"Sala cirúrgica"),0,SUMIFS(Mapa_MinOcup,Mapa_Sala,$B10,Mapa_Data,Data_Mapa))</f>
        <v/>
      </c>
      <c r="F10" s="37">
        <f>IF($B10="",0,IF(OR($C10&lt;&gt;"Sala cirúrgica",$E10=0),IF(AND(F$1&lt;&gt;"",F$1=$D10),Turno_Min,0),IF(F$1="",0,SUMIFS(Mapa_MinOcup,Mapa_Sala,$B10,Mapa_Data,Data_Mapa,Mapa_Hab,F$1))))</f>
        <v/>
      </c>
      <c r="G10" s="37">
        <f>IF($B10="",0,IF(OR($C10&lt;&gt;"Sala cirúrgica",$E10=0),IF(AND(G$1&lt;&gt;"",G$1=$D10),Turno_Min,0),IF(G$1="",0,SUMIFS(Mapa_MinOcup,Mapa_Sala,$B10,Mapa_Data,Data_Mapa,Mapa_Hab,G$1))))</f>
        <v/>
      </c>
      <c r="H10" s="37">
        <f>IF($B10="",0,IF(OR($C10&lt;&gt;"Sala cirúrgica",$E10=0),IF(AND(H$1&lt;&gt;"",H$1=$D10),Turno_Min,0),IF(H$1="",0,SUMIFS(Mapa_MinOcup,Mapa_Sala,$B10,Mapa_Data,Data_Mapa,Mapa_Hab,H$1))))</f>
        <v/>
      </c>
      <c r="I10" s="37">
        <f>IF($B10="",0,IF(OR($C10&lt;&gt;"Sala cirúrgica",$E10=0),IF(AND(I$1&lt;&gt;"",I$1=$D10),Turno_Min,0),IF(I$1="",0,SUMIFS(Mapa_MinOcup,Mapa_Sala,$B10,Mapa_Data,Data_Mapa,Mapa_Hab,I$1))))</f>
        <v/>
      </c>
      <c r="J10" s="37">
        <f>IF($B10="",0,IF(OR($C10&lt;&gt;"Sala cirúrgica",$E10=0),IF(AND(J$1&lt;&gt;"",J$1=$D10),Turno_Min,0),IF(J$1="",0,SUMIFS(Mapa_MinOcup,Mapa_Sala,$B10,Mapa_Data,Data_Mapa,Mapa_Hab,J$1))))</f>
        <v/>
      </c>
      <c r="K10" s="37">
        <f>IF($B10="",0,IF(OR($C10&lt;&gt;"Sala cirúrgica",$E10=0),IF(AND(K$1&lt;&gt;"",K$1=$D10),Turno_Min,0),IF(K$1="",0,SUMIFS(Mapa_MinOcup,Mapa_Sala,$B10,Mapa_Data,Data_Mapa,Mapa_Hab,K$1))))</f>
        <v/>
      </c>
      <c r="L10" s="37">
        <f>IF($B10="",0,IF(OR($C10&lt;&gt;"Sala cirúrgica",$E10=0),IF(AND(L$1&lt;&gt;"",L$1=$D10),Turno_Min,0),IF(L$1="",0,SUMIFS(Mapa_MinOcup,Mapa_Sala,$B10,Mapa_Data,Data_Mapa,Mapa_Hab,L$1))))</f>
        <v/>
      </c>
      <c r="M10" s="37">
        <f>IF($B10="",0,IF(OR($C10&lt;&gt;"Sala cirúrgica",$E10=0),IF(AND(M$1&lt;&gt;"",M$1=$D10),Turno_Min,0),IF(M$1="",0,SUMIFS(Mapa_MinOcup,Mapa_Sala,$B10,Mapa_Data,Data_Mapa,Mapa_Hab,M$1))))</f>
        <v/>
      </c>
      <c r="N10" s="37">
        <f>IF($B10="",0,IF(OR($C10&lt;&gt;"Sala cirúrgica",$E10=0),IF(AND(N$1&lt;&gt;"",N$1=$D10),Turno_Min,0),IF(N$1="",0,SUMIFS(Mapa_MinOcup,Mapa_Sala,$B10,Mapa_Data,Data_Mapa,Mapa_Hab,N$1))))</f>
        <v/>
      </c>
      <c r="O10" s="37">
        <f>IF($B10="",0,IF(OR($C10&lt;&gt;"Sala cirúrgica",$E10=0),IF(AND(O$1&lt;&gt;"",O$1=$D10),Turno_Min,0),IF(O$1="",0,SUMIFS(Mapa_MinOcup,Mapa_Sala,$B10,Mapa_Data,Data_Mapa,Mapa_Hab,O$1))))</f>
        <v/>
      </c>
      <c r="P10" s="37">
        <f>IF($B10="",0,IF(OR($C10&lt;&gt;"Sala cirúrgica",$E10=0),IF(AND(P$1&lt;&gt;"",P$1=$D10),Turno_Min,0),IF(P$1="",0,SUMIFS(Mapa_MinOcup,Mapa_Sala,$B10,Mapa_Data,Data_Mapa,Mapa_Hab,P$1))))</f>
        <v/>
      </c>
      <c r="Q10" s="37">
        <f>IF($B10="",0,IF(OR($C10&lt;&gt;"Sala cirúrgica",$E10=0),IF(AND(Q$1&lt;&gt;"",Q$1=$D10),Turno_Min,0),IF(Q$1="",0,SUMIFS(Mapa_MinOcup,Mapa_Sala,$B10,Mapa_Data,Data_Mapa,Mapa_Hab,Q$1))))</f>
        <v/>
      </c>
      <c r="R10" s="37">
        <f>IF($B10="",0,IF(OR($C10&lt;&gt;"Sala cirúrgica",$E10=0),IF(AND(R$1&lt;&gt;"",R$1=$D10),Turno_Min,0),IF(R$1="",0,SUMIFS(Mapa_MinOcup,Mapa_Sala,$B10,Mapa_Data,Data_Mapa,Mapa_Hab,R$1))))</f>
        <v/>
      </c>
      <c r="S10" s="37">
        <f>IF($B10="",0,IF(OR($C10&lt;&gt;"Sala cirúrgica",$E10=0),IF(AND(S$1&lt;&gt;"",S$1=$D10),Turno_Min,0),IF(S$1="",0,SUMIFS(Mapa_MinOcup,Mapa_Sala,$B10,Mapa_Data,Data_Mapa,Mapa_Hab,S$1))))</f>
        <v/>
      </c>
      <c r="T10" s="37">
        <f>IF($B10="",0,SUM(F10:S10))</f>
        <v/>
      </c>
      <c r="U10" s="37">
        <f>IF($B10="",0,Turno_Min)</f>
        <v/>
      </c>
      <c r="V10" s="44">
        <f>IF(OR($B10="",$C10&lt;&gt;"Sala cirúrgica"),"",$E10/Turno_Min)</f>
        <v/>
      </c>
    </row>
    <row r="11">
      <c r="A11" s="33">
        <f>IF($B11="","",$B11)</f>
        <v/>
      </c>
      <c r="B11" s="33">
        <f>IF('Postos'!$A$11="","",'Postos'!$A$11)</f>
        <v/>
      </c>
      <c r="C11" s="33">
        <f>IF($B11="","",IFERROR(INDEX(Postos_Tipo,MATCH($B11,Postos_Cod,0)),""))</f>
        <v/>
      </c>
      <c r="D11" s="34">
        <f>IF($B11="","",IFERROR(INDEX(Postos_Hab,MATCH($B11,Postos_Cod,0)),""))</f>
        <v/>
      </c>
      <c r="E11" s="37">
        <f>IF(OR($B11="",$C11&lt;&gt;"Sala cirúrgica"),0,SUMIFS(Mapa_MinOcup,Mapa_Sala,$B11,Mapa_Data,Data_Mapa))</f>
        <v/>
      </c>
      <c r="F11" s="37">
        <f>IF($B11="",0,IF(OR($C11&lt;&gt;"Sala cirúrgica",$E11=0),IF(AND(F$1&lt;&gt;"",F$1=$D11),Turno_Min,0),IF(F$1="",0,SUMIFS(Mapa_MinOcup,Mapa_Sala,$B11,Mapa_Data,Data_Mapa,Mapa_Hab,F$1))))</f>
        <v/>
      </c>
      <c r="G11" s="37">
        <f>IF($B11="",0,IF(OR($C11&lt;&gt;"Sala cirúrgica",$E11=0),IF(AND(G$1&lt;&gt;"",G$1=$D11),Turno_Min,0),IF(G$1="",0,SUMIFS(Mapa_MinOcup,Mapa_Sala,$B11,Mapa_Data,Data_Mapa,Mapa_Hab,G$1))))</f>
        <v/>
      </c>
      <c r="H11" s="37">
        <f>IF($B11="",0,IF(OR($C11&lt;&gt;"Sala cirúrgica",$E11=0),IF(AND(H$1&lt;&gt;"",H$1=$D11),Turno_Min,0),IF(H$1="",0,SUMIFS(Mapa_MinOcup,Mapa_Sala,$B11,Mapa_Data,Data_Mapa,Mapa_Hab,H$1))))</f>
        <v/>
      </c>
      <c r="I11" s="37">
        <f>IF($B11="",0,IF(OR($C11&lt;&gt;"Sala cirúrgica",$E11=0),IF(AND(I$1&lt;&gt;"",I$1=$D11),Turno_Min,0),IF(I$1="",0,SUMIFS(Mapa_MinOcup,Mapa_Sala,$B11,Mapa_Data,Data_Mapa,Mapa_Hab,I$1))))</f>
        <v/>
      </c>
      <c r="J11" s="37">
        <f>IF($B11="",0,IF(OR($C11&lt;&gt;"Sala cirúrgica",$E11=0),IF(AND(J$1&lt;&gt;"",J$1=$D11),Turno_Min,0),IF(J$1="",0,SUMIFS(Mapa_MinOcup,Mapa_Sala,$B11,Mapa_Data,Data_Mapa,Mapa_Hab,J$1))))</f>
        <v/>
      </c>
      <c r="K11" s="37">
        <f>IF($B11="",0,IF(OR($C11&lt;&gt;"Sala cirúrgica",$E11=0),IF(AND(K$1&lt;&gt;"",K$1=$D11),Turno_Min,0),IF(K$1="",0,SUMIFS(Mapa_MinOcup,Mapa_Sala,$B11,Mapa_Data,Data_Mapa,Mapa_Hab,K$1))))</f>
        <v/>
      </c>
      <c r="L11" s="37">
        <f>IF($B11="",0,IF(OR($C11&lt;&gt;"Sala cirúrgica",$E11=0),IF(AND(L$1&lt;&gt;"",L$1=$D11),Turno_Min,0),IF(L$1="",0,SUMIFS(Mapa_MinOcup,Mapa_Sala,$B11,Mapa_Data,Data_Mapa,Mapa_Hab,L$1))))</f>
        <v/>
      </c>
      <c r="M11" s="37">
        <f>IF($B11="",0,IF(OR($C11&lt;&gt;"Sala cirúrgica",$E11=0),IF(AND(M$1&lt;&gt;"",M$1=$D11),Turno_Min,0),IF(M$1="",0,SUMIFS(Mapa_MinOcup,Mapa_Sala,$B11,Mapa_Data,Data_Mapa,Mapa_Hab,M$1))))</f>
        <v/>
      </c>
      <c r="N11" s="37">
        <f>IF($B11="",0,IF(OR($C11&lt;&gt;"Sala cirúrgica",$E11=0),IF(AND(N$1&lt;&gt;"",N$1=$D11),Turno_Min,0),IF(N$1="",0,SUMIFS(Mapa_MinOcup,Mapa_Sala,$B11,Mapa_Data,Data_Mapa,Mapa_Hab,N$1))))</f>
        <v/>
      </c>
      <c r="O11" s="37">
        <f>IF($B11="",0,IF(OR($C11&lt;&gt;"Sala cirúrgica",$E11=0),IF(AND(O$1&lt;&gt;"",O$1=$D11),Turno_Min,0),IF(O$1="",0,SUMIFS(Mapa_MinOcup,Mapa_Sala,$B11,Mapa_Data,Data_Mapa,Mapa_Hab,O$1))))</f>
        <v/>
      </c>
      <c r="P11" s="37">
        <f>IF($B11="",0,IF(OR($C11&lt;&gt;"Sala cirúrgica",$E11=0),IF(AND(P$1&lt;&gt;"",P$1=$D11),Turno_Min,0),IF(P$1="",0,SUMIFS(Mapa_MinOcup,Mapa_Sala,$B11,Mapa_Data,Data_Mapa,Mapa_Hab,P$1))))</f>
        <v/>
      </c>
      <c r="Q11" s="37">
        <f>IF($B11="",0,IF(OR($C11&lt;&gt;"Sala cirúrgica",$E11=0),IF(AND(Q$1&lt;&gt;"",Q$1=$D11),Turno_Min,0),IF(Q$1="",0,SUMIFS(Mapa_MinOcup,Mapa_Sala,$B11,Mapa_Data,Data_Mapa,Mapa_Hab,Q$1))))</f>
        <v/>
      </c>
      <c r="R11" s="37">
        <f>IF($B11="",0,IF(OR($C11&lt;&gt;"Sala cirúrgica",$E11=0),IF(AND(R$1&lt;&gt;"",R$1=$D11),Turno_Min,0),IF(R$1="",0,SUMIFS(Mapa_MinOcup,Mapa_Sala,$B11,Mapa_Data,Data_Mapa,Mapa_Hab,R$1))))</f>
        <v/>
      </c>
      <c r="S11" s="37">
        <f>IF($B11="",0,IF(OR($C11&lt;&gt;"Sala cirúrgica",$E11=0),IF(AND(S$1&lt;&gt;"",S$1=$D11),Turno_Min,0),IF(S$1="",0,SUMIFS(Mapa_MinOcup,Mapa_Sala,$B11,Mapa_Data,Data_Mapa,Mapa_Hab,S$1))))</f>
        <v/>
      </c>
      <c r="T11" s="37">
        <f>IF($B11="",0,SUM(F11:S11))</f>
        <v/>
      </c>
      <c r="U11" s="37">
        <f>IF($B11="",0,Turno_Min)</f>
        <v/>
      </c>
      <c r="V11" s="44">
        <f>IF(OR($B11="",$C11&lt;&gt;"Sala cirúrgica"),"",$E11/Turno_Min)</f>
        <v/>
      </c>
    </row>
    <row r="12">
      <c r="A12" s="33">
        <f>IF($B12="","",$B12)</f>
        <v/>
      </c>
      <c r="B12" s="33">
        <f>IF('Postos'!$A$12="","",'Postos'!$A$12)</f>
        <v/>
      </c>
      <c r="C12" s="33">
        <f>IF($B12="","",IFERROR(INDEX(Postos_Tipo,MATCH($B12,Postos_Cod,0)),""))</f>
        <v/>
      </c>
      <c r="D12" s="34">
        <f>IF($B12="","",IFERROR(INDEX(Postos_Hab,MATCH($B12,Postos_Cod,0)),""))</f>
        <v/>
      </c>
      <c r="E12" s="37">
        <f>IF(OR($B12="",$C12&lt;&gt;"Sala cirúrgica"),0,SUMIFS(Mapa_MinOcup,Mapa_Sala,$B12,Mapa_Data,Data_Mapa))</f>
        <v/>
      </c>
      <c r="F12" s="37">
        <f>IF($B12="",0,IF(OR($C12&lt;&gt;"Sala cirúrgica",$E12=0),IF(AND(F$1&lt;&gt;"",F$1=$D12),Turno_Min,0),IF(F$1="",0,SUMIFS(Mapa_MinOcup,Mapa_Sala,$B12,Mapa_Data,Data_Mapa,Mapa_Hab,F$1))))</f>
        <v/>
      </c>
      <c r="G12" s="37">
        <f>IF($B12="",0,IF(OR($C12&lt;&gt;"Sala cirúrgica",$E12=0),IF(AND(G$1&lt;&gt;"",G$1=$D12),Turno_Min,0),IF(G$1="",0,SUMIFS(Mapa_MinOcup,Mapa_Sala,$B12,Mapa_Data,Data_Mapa,Mapa_Hab,G$1))))</f>
        <v/>
      </c>
      <c r="H12" s="37">
        <f>IF($B12="",0,IF(OR($C12&lt;&gt;"Sala cirúrgica",$E12=0),IF(AND(H$1&lt;&gt;"",H$1=$D12),Turno_Min,0),IF(H$1="",0,SUMIFS(Mapa_MinOcup,Mapa_Sala,$B12,Mapa_Data,Data_Mapa,Mapa_Hab,H$1))))</f>
        <v/>
      </c>
      <c r="I12" s="37">
        <f>IF($B12="",0,IF(OR($C12&lt;&gt;"Sala cirúrgica",$E12=0),IF(AND(I$1&lt;&gt;"",I$1=$D12),Turno_Min,0),IF(I$1="",0,SUMIFS(Mapa_MinOcup,Mapa_Sala,$B12,Mapa_Data,Data_Mapa,Mapa_Hab,I$1))))</f>
        <v/>
      </c>
      <c r="J12" s="37">
        <f>IF($B12="",0,IF(OR($C12&lt;&gt;"Sala cirúrgica",$E12=0),IF(AND(J$1&lt;&gt;"",J$1=$D12),Turno_Min,0),IF(J$1="",0,SUMIFS(Mapa_MinOcup,Mapa_Sala,$B12,Mapa_Data,Data_Mapa,Mapa_Hab,J$1))))</f>
        <v/>
      </c>
      <c r="K12" s="37">
        <f>IF($B12="",0,IF(OR($C12&lt;&gt;"Sala cirúrgica",$E12=0),IF(AND(K$1&lt;&gt;"",K$1=$D12),Turno_Min,0),IF(K$1="",0,SUMIFS(Mapa_MinOcup,Mapa_Sala,$B12,Mapa_Data,Data_Mapa,Mapa_Hab,K$1))))</f>
        <v/>
      </c>
      <c r="L12" s="37">
        <f>IF($B12="",0,IF(OR($C12&lt;&gt;"Sala cirúrgica",$E12=0),IF(AND(L$1&lt;&gt;"",L$1=$D12),Turno_Min,0),IF(L$1="",0,SUMIFS(Mapa_MinOcup,Mapa_Sala,$B12,Mapa_Data,Data_Mapa,Mapa_Hab,L$1))))</f>
        <v/>
      </c>
      <c r="M12" s="37">
        <f>IF($B12="",0,IF(OR($C12&lt;&gt;"Sala cirúrgica",$E12=0),IF(AND(M$1&lt;&gt;"",M$1=$D12),Turno_Min,0),IF(M$1="",0,SUMIFS(Mapa_MinOcup,Mapa_Sala,$B12,Mapa_Data,Data_Mapa,Mapa_Hab,M$1))))</f>
        <v/>
      </c>
      <c r="N12" s="37">
        <f>IF($B12="",0,IF(OR($C12&lt;&gt;"Sala cirúrgica",$E12=0),IF(AND(N$1&lt;&gt;"",N$1=$D12),Turno_Min,0),IF(N$1="",0,SUMIFS(Mapa_MinOcup,Mapa_Sala,$B12,Mapa_Data,Data_Mapa,Mapa_Hab,N$1))))</f>
        <v/>
      </c>
      <c r="O12" s="37">
        <f>IF($B12="",0,IF(OR($C12&lt;&gt;"Sala cirúrgica",$E12=0),IF(AND(O$1&lt;&gt;"",O$1=$D12),Turno_Min,0),IF(O$1="",0,SUMIFS(Mapa_MinOcup,Mapa_Sala,$B12,Mapa_Data,Data_Mapa,Mapa_Hab,O$1))))</f>
        <v/>
      </c>
      <c r="P12" s="37">
        <f>IF($B12="",0,IF(OR($C12&lt;&gt;"Sala cirúrgica",$E12=0),IF(AND(P$1&lt;&gt;"",P$1=$D12),Turno_Min,0),IF(P$1="",0,SUMIFS(Mapa_MinOcup,Mapa_Sala,$B12,Mapa_Data,Data_Mapa,Mapa_Hab,P$1))))</f>
        <v/>
      </c>
      <c r="Q12" s="37">
        <f>IF($B12="",0,IF(OR($C12&lt;&gt;"Sala cirúrgica",$E12=0),IF(AND(Q$1&lt;&gt;"",Q$1=$D12),Turno_Min,0),IF(Q$1="",0,SUMIFS(Mapa_MinOcup,Mapa_Sala,$B12,Mapa_Data,Data_Mapa,Mapa_Hab,Q$1))))</f>
        <v/>
      </c>
      <c r="R12" s="37">
        <f>IF($B12="",0,IF(OR($C12&lt;&gt;"Sala cirúrgica",$E12=0),IF(AND(R$1&lt;&gt;"",R$1=$D12),Turno_Min,0),IF(R$1="",0,SUMIFS(Mapa_MinOcup,Mapa_Sala,$B12,Mapa_Data,Data_Mapa,Mapa_Hab,R$1))))</f>
        <v/>
      </c>
      <c r="S12" s="37">
        <f>IF($B12="",0,IF(OR($C12&lt;&gt;"Sala cirúrgica",$E12=0),IF(AND(S$1&lt;&gt;"",S$1=$D12),Turno_Min,0),IF(S$1="",0,SUMIFS(Mapa_MinOcup,Mapa_Sala,$B12,Mapa_Data,Data_Mapa,Mapa_Hab,S$1))))</f>
        <v/>
      </c>
      <c r="T12" s="37">
        <f>IF($B12="",0,SUM(F12:S12))</f>
        <v/>
      </c>
      <c r="U12" s="37">
        <f>IF($B12="",0,Turno_Min)</f>
        <v/>
      </c>
      <c r="V12" s="44">
        <f>IF(OR($B12="",$C12&lt;&gt;"Sala cirúrgica"),"",$E12/Turno_Min)</f>
        <v/>
      </c>
    </row>
    <row r="13">
      <c r="A13" s="33">
        <f>IF($B13="","",$B13)</f>
        <v/>
      </c>
      <c r="B13" s="33">
        <f>IF('Postos'!$A$13="","",'Postos'!$A$13)</f>
        <v/>
      </c>
      <c r="C13" s="33">
        <f>IF($B13="","",IFERROR(INDEX(Postos_Tipo,MATCH($B13,Postos_Cod,0)),""))</f>
        <v/>
      </c>
      <c r="D13" s="34">
        <f>IF($B13="","",IFERROR(INDEX(Postos_Hab,MATCH($B13,Postos_Cod,0)),""))</f>
        <v/>
      </c>
      <c r="E13" s="37">
        <f>IF(OR($B13="",$C13&lt;&gt;"Sala cirúrgica"),0,SUMIFS(Mapa_MinOcup,Mapa_Sala,$B13,Mapa_Data,Data_Mapa))</f>
        <v/>
      </c>
      <c r="F13" s="37">
        <f>IF($B13="",0,IF(OR($C13&lt;&gt;"Sala cirúrgica",$E13=0),IF(AND(F$1&lt;&gt;"",F$1=$D13),Turno_Min,0),IF(F$1="",0,SUMIFS(Mapa_MinOcup,Mapa_Sala,$B13,Mapa_Data,Data_Mapa,Mapa_Hab,F$1))))</f>
        <v/>
      </c>
      <c r="G13" s="37">
        <f>IF($B13="",0,IF(OR($C13&lt;&gt;"Sala cirúrgica",$E13=0),IF(AND(G$1&lt;&gt;"",G$1=$D13),Turno_Min,0),IF(G$1="",0,SUMIFS(Mapa_MinOcup,Mapa_Sala,$B13,Mapa_Data,Data_Mapa,Mapa_Hab,G$1))))</f>
        <v/>
      </c>
      <c r="H13" s="37">
        <f>IF($B13="",0,IF(OR($C13&lt;&gt;"Sala cirúrgica",$E13=0),IF(AND(H$1&lt;&gt;"",H$1=$D13),Turno_Min,0),IF(H$1="",0,SUMIFS(Mapa_MinOcup,Mapa_Sala,$B13,Mapa_Data,Data_Mapa,Mapa_Hab,H$1))))</f>
        <v/>
      </c>
      <c r="I13" s="37">
        <f>IF($B13="",0,IF(OR($C13&lt;&gt;"Sala cirúrgica",$E13=0),IF(AND(I$1&lt;&gt;"",I$1=$D13),Turno_Min,0),IF(I$1="",0,SUMIFS(Mapa_MinOcup,Mapa_Sala,$B13,Mapa_Data,Data_Mapa,Mapa_Hab,I$1))))</f>
        <v/>
      </c>
      <c r="J13" s="37">
        <f>IF($B13="",0,IF(OR($C13&lt;&gt;"Sala cirúrgica",$E13=0),IF(AND(J$1&lt;&gt;"",J$1=$D13),Turno_Min,0),IF(J$1="",0,SUMIFS(Mapa_MinOcup,Mapa_Sala,$B13,Mapa_Data,Data_Mapa,Mapa_Hab,J$1))))</f>
        <v/>
      </c>
      <c r="K13" s="37">
        <f>IF($B13="",0,IF(OR($C13&lt;&gt;"Sala cirúrgica",$E13=0),IF(AND(K$1&lt;&gt;"",K$1=$D13),Turno_Min,0),IF(K$1="",0,SUMIFS(Mapa_MinOcup,Mapa_Sala,$B13,Mapa_Data,Data_Mapa,Mapa_Hab,K$1))))</f>
        <v/>
      </c>
      <c r="L13" s="37">
        <f>IF($B13="",0,IF(OR($C13&lt;&gt;"Sala cirúrgica",$E13=0),IF(AND(L$1&lt;&gt;"",L$1=$D13),Turno_Min,0),IF(L$1="",0,SUMIFS(Mapa_MinOcup,Mapa_Sala,$B13,Mapa_Data,Data_Mapa,Mapa_Hab,L$1))))</f>
        <v/>
      </c>
      <c r="M13" s="37">
        <f>IF($B13="",0,IF(OR($C13&lt;&gt;"Sala cirúrgica",$E13=0),IF(AND(M$1&lt;&gt;"",M$1=$D13),Turno_Min,0),IF(M$1="",0,SUMIFS(Mapa_MinOcup,Mapa_Sala,$B13,Mapa_Data,Data_Mapa,Mapa_Hab,M$1))))</f>
        <v/>
      </c>
      <c r="N13" s="37">
        <f>IF($B13="",0,IF(OR($C13&lt;&gt;"Sala cirúrgica",$E13=0),IF(AND(N$1&lt;&gt;"",N$1=$D13),Turno_Min,0),IF(N$1="",0,SUMIFS(Mapa_MinOcup,Mapa_Sala,$B13,Mapa_Data,Data_Mapa,Mapa_Hab,N$1))))</f>
        <v/>
      </c>
      <c r="O13" s="37">
        <f>IF($B13="",0,IF(OR($C13&lt;&gt;"Sala cirúrgica",$E13=0),IF(AND(O$1&lt;&gt;"",O$1=$D13),Turno_Min,0),IF(O$1="",0,SUMIFS(Mapa_MinOcup,Mapa_Sala,$B13,Mapa_Data,Data_Mapa,Mapa_Hab,O$1))))</f>
        <v/>
      </c>
      <c r="P13" s="37">
        <f>IF($B13="",0,IF(OR($C13&lt;&gt;"Sala cirúrgica",$E13=0),IF(AND(P$1&lt;&gt;"",P$1=$D13),Turno_Min,0),IF(P$1="",0,SUMIFS(Mapa_MinOcup,Mapa_Sala,$B13,Mapa_Data,Data_Mapa,Mapa_Hab,P$1))))</f>
        <v/>
      </c>
      <c r="Q13" s="37">
        <f>IF($B13="",0,IF(OR($C13&lt;&gt;"Sala cirúrgica",$E13=0),IF(AND(Q$1&lt;&gt;"",Q$1=$D13),Turno_Min,0),IF(Q$1="",0,SUMIFS(Mapa_MinOcup,Mapa_Sala,$B13,Mapa_Data,Data_Mapa,Mapa_Hab,Q$1))))</f>
        <v/>
      </c>
      <c r="R13" s="37">
        <f>IF($B13="",0,IF(OR($C13&lt;&gt;"Sala cirúrgica",$E13=0),IF(AND(R$1&lt;&gt;"",R$1=$D13),Turno_Min,0),IF(R$1="",0,SUMIFS(Mapa_MinOcup,Mapa_Sala,$B13,Mapa_Data,Data_Mapa,Mapa_Hab,R$1))))</f>
        <v/>
      </c>
      <c r="S13" s="37">
        <f>IF($B13="",0,IF(OR($C13&lt;&gt;"Sala cirúrgica",$E13=0),IF(AND(S$1&lt;&gt;"",S$1=$D13),Turno_Min,0),IF(S$1="",0,SUMIFS(Mapa_MinOcup,Mapa_Sala,$B13,Mapa_Data,Data_Mapa,Mapa_Hab,S$1))))</f>
        <v/>
      </c>
      <c r="T13" s="37">
        <f>IF($B13="",0,SUM(F13:S13))</f>
        <v/>
      </c>
      <c r="U13" s="37">
        <f>IF($B13="",0,Turno_Min)</f>
        <v/>
      </c>
      <c r="V13" s="44">
        <f>IF(OR($B13="",$C13&lt;&gt;"Sala cirúrgica"),"",$E13/Turno_Min)</f>
        <v/>
      </c>
    </row>
    <row r="14">
      <c r="A14" s="33">
        <f>IF($B14="","",$B14)</f>
        <v/>
      </c>
      <c r="B14" s="33">
        <f>IF('Postos'!$A$14="","",'Postos'!$A$14)</f>
        <v/>
      </c>
      <c r="C14" s="33">
        <f>IF($B14="","",IFERROR(INDEX(Postos_Tipo,MATCH($B14,Postos_Cod,0)),""))</f>
        <v/>
      </c>
      <c r="D14" s="34">
        <f>IF($B14="","",IFERROR(INDEX(Postos_Hab,MATCH($B14,Postos_Cod,0)),""))</f>
        <v/>
      </c>
      <c r="E14" s="37">
        <f>IF(OR($B14="",$C14&lt;&gt;"Sala cirúrgica"),0,SUMIFS(Mapa_MinOcup,Mapa_Sala,$B14,Mapa_Data,Data_Mapa))</f>
        <v/>
      </c>
      <c r="F14" s="37">
        <f>IF($B14="",0,IF(OR($C14&lt;&gt;"Sala cirúrgica",$E14=0),IF(AND(F$1&lt;&gt;"",F$1=$D14),Turno_Min,0),IF(F$1="",0,SUMIFS(Mapa_MinOcup,Mapa_Sala,$B14,Mapa_Data,Data_Mapa,Mapa_Hab,F$1))))</f>
        <v/>
      </c>
      <c r="G14" s="37">
        <f>IF($B14="",0,IF(OR($C14&lt;&gt;"Sala cirúrgica",$E14=0),IF(AND(G$1&lt;&gt;"",G$1=$D14),Turno_Min,0),IF(G$1="",0,SUMIFS(Mapa_MinOcup,Mapa_Sala,$B14,Mapa_Data,Data_Mapa,Mapa_Hab,G$1))))</f>
        <v/>
      </c>
      <c r="H14" s="37">
        <f>IF($B14="",0,IF(OR($C14&lt;&gt;"Sala cirúrgica",$E14=0),IF(AND(H$1&lt;&gt;"",H$1=$D14),Turno_Min,0),IF(H$1="",0,SUMIFS(Mapa_MinOcup,Mapa_Sala,$B14,Mapa_Data,Data_Mapa,Mapa_Hab,H$1))))</f>
        <v/>
      </c>
      <c r="I14" s="37">
        <f>IF($B14="",0,IF(OR($C14&lt;&gt;"Sala cirúrgica",$E14=0),IF(AND(I$1&lt;&gt;"",I$1=$D14),Turno_Min,0),IF(I$1="",0,SUMIFS(Mapa_MinOcup,Mapa_Sala,$B14,Mapa_Data,Data_Mapa,Mapa_Hab,I$1))))</f>
        <v/>
      </c>
      <c r="J14" s="37">
        <f>IF($B14="",0,IF(OR($C14&lt;&gt;"Sala cirúrgica",$E14=0),IF(AND(J$1&lt;&gt;"",J$1=$D14),Turno_Min,0),IF(J$1="",0,SUMIFS(Mapa_MinOcup,Mapa_Sala,$B14,Mapa_Data,Data_Mapa,Mapa_Hab,J$1))))</f>
        <v/>
      </c>
      <c r="K14" s="37">
        <f>IF($B14="",0,IF(OR($C14&lt;&gt;"Sala cirúrgica",$E14=0),IF(AND(K$1&lt;&gt;"",K$1=$D14),Turno_Min,0),IF(K$1="",0,SUMIFS(Mapa_MinOcup,Mapa_Sala,$B14,Mapa_Data,Data_Mapa,Mapa_Hab,K$1))))</f>
        <v/>
      </c>
      <c r="L14" s="37">
        <f>IF($B14="",0,IF(OR($C14&lt;&gt;"Sala cirúrgica",$E14=0),IF(AND(L$1&lt;&gt;"",L$1=$D14),Turno_Min,0),IF(L$1="",0,SUMIFS(Mapa_MinOcup,Mapa_Sala,$B14,Mapa_Data,Data_Mapa,Mapa_Hab,L$1))))</f>
        <v/>
      </c>
      <c r="M14" s="37">
        <f>IF($B14="",0,IF(OR($C14&lt;&gt;"Sala cirúrgica",$E14=0),IF(AND(M$1&lt;&gt;"",M$1=$D14),Turno_Min,0),IF(M$1="",0,SUMIFS(Mapa_MinOcup,Mapa_Sala,$B14,Mapa_Data,Data_Mapa,Mapa_Hab,M$1))))</f>
        <v/>
      </c>
      <c r="N14" s="37">
        <f>IF($B14="",0,IF(OR($C14&lt;&gt;"Sala cirúrgica",$E14=0),IF(AND(N$1&lt;&gt;"",N$1=$D14),Turno_Min,0),IF(N$1="",0,SUMIFS(Mapa_MinOcup,Mapa_Sala,$B14,Mapa_Data,Data_Mapa,Mapa_Hab,N$1))))</f>
        <v/>
      </c>
      <c r="O14" s="37">
        <f>IF($B14="",0,IF(OR($C14&lt;&gt;"Sala cirúrgica",$E14=0),IF(AND(O$1&lt;&gt;"",O$1=$D14),Turno_Min,0),IF(O$1="",0,SUMIFS(Mapa_MinOcup,Mapa_Sala,$B14,Mapa_Data,Data_Mapa,Mapa_Hab,O$1))))</f>
        <v/>
      </c>
      <c r="P14" s="37">
        <f>IF($B14="",0,IF(OR($C14&lt;&gt;"Sala cirúrgica",$E14=0),IF(AND(P$1&lt;&gt;"",P$1=$D14),Turno_Min,0),IF(P$1="",0,SUMIFS(Mapa_MinOcup,Mapa_Sala,$B14,Mapa_Data,Data_Mapa,Mapa_Hab,P$1))))</f>
        <v/>
      </c>
      <c r="Q14" s="37">
        <f>IF($B14="",0,IF(OR($C14&lt;&gt;"Sala cirúrgica",$E14=0),IF(AND(Q$1&lt;&gt;"",Q$1=$D14),Turno_Min,0),IF(Q$1="",0,SUMIFS(Mapa_MinOcup,Mapa_Sala,$B14,Mapa_Data,Data_Mapa,Mapa_Hab,Q$1))))</f>
        <v/>
      </c>
      <c r="R14" s="37">
        <f>IF($B14="",0,IF(OR($C14&lt;&gt;"Sala cirúrgica",$E14=0),IF(AND(R$1&lt;&gt;"",R$1=$D14),Turno_Min,0),IF(R$1="",0,SUMIFS(Mapa_MinOcup,Mapa_Sala,$B14,Mapa_Data,Data_Mapa,Mapa_Hab,R$1))))</f>
        <v/>
      </c>
      <c r="S14" s="37">
        <f>IF($B14="",0,IF(OR($C14&lt;&gt;"Sala cirúrgica",$E14=0),IF(AND(S$1&lt;&gt;"",S$1=$D14),Turno_Min,0),IF(S$1="",0,SUMIFS(Mapa_MinOcup,Mapa_Sala,$B14,Mapa_Data,Data_Mapa,Mapa_Hab,S$1))))</f>
        <v/>
      </c>
      <c r="T14" s="37">
        <f>IF($B14="",0,SUM(F14:S14))</f>
        <v/>
      </c>
      <c r="U14" s="37">
        <f>IF($B14="",0,Turno_Min)</f>
        <v/>
      </c>
      <c r="V14" s="44">
        <f>IF(OR($B14="",$C14&lt;&gt;"Sala cirúrgica"),"",$E14/Turno_Min)</f>
        <v/>
      </c>
    </row>
    <row r="15">
      <c r="A15" s="33">
        <f>IF($B15="","",$B15)</f>
        <v/>
      </c>
      <c r="B15" s="33">
        <f>IF('Postos'!$A$15="","",'Postos'!$A$15)</f>
        <v/>
      </c>
      <c r="C15" s="33">
        <f>IF($B15="","",IFERROR(INDEX(Postos_Tipo,MATCH($B15,Postos_Cod,0)),""))</f>
        <v/>
      </c>
      <c r="D15" s="34">
        <f>IF($B15="","",IFERROR(INDEX(Postos_Hab,MATCH($B15,Postos_Cod,0)),""))</f>
        <v/>
      </c>
      <c r="E15" s="37">
        <f>IF(OR($B15="",$C15&lt;&gt;"Sala cirúrgica"),0,SUMIFS(Mapa_MinOcup,Mapa_Sala,$B15,Mapa_Data,Data_Mapa))</f>
        <v/>
      </c>
      <c r="F15" s="37">
        <f>IF($B15="",0,IF(OR($C15&lt;&gt;"Sala cirúrgica",$E15=0),IF(AND(F$1&lt;&gt;"",F$1=$D15),Turno_Min,0),IF(F$1="",0,SUMIFS(Mapa_MinOcup,Mapa_Sala,$B15,Mapa_Data,Data_Mapa,Mapa_Hab,F$1))))</f>
        <v/>
      </c>
      <c r="G15" s="37">
        <f>IF($B15="",0,IF(OR($C15&lt;&gt;"Sala cirúrgica",$E15=0),IF(AND(G$1&lt;&gt;"",G$1=$D15),Turno_Min,0),IF(G$1="",0,SUMIFS(Mapa_MinOcup,Mapa_Sala,$B15,Mapa_Data,Data_Mapa,Mapa_Hab,G$1))))</f>
        <v/>
      </c>
      <c r="H15" s="37">
        <f>IF($B15="",0,IF(OR($C15&lt;&gt;"Sala cirúrgica",$E15=0),IF(AND(H$1&lt;&gt;"",H$1=$D15),Turno_Min,0),IF(H$1="",0,SUMIFS(Mapa_MinOcup,Mapa_Sala,$B15,Mapa_Data,Data_Mapa,Mapa_Hab,H$1))))</f>
        <v/>
      </c>
      <c r="I15" s="37">
        <f>IF($B15="",0,IF(OR($C15&lt;&gt;"Sala cirúrgica",$E15=0),IF(AND(I$1&lt;&gt;"",I$1=$D15),Turno_Min,0),IF(I$1="",0,SUMIFS(Mapa_MinOcup,Mapa_Sala,$B15,Mapa_Data,Data_Mapa,Mapa_Hab,I$1))))</f>
        <v/>
      </c>
      <c r="J15" s="37">
        <f>IF($B15="",0,IF(OR($C15&lt;&gt;"Sala cirúrgica",$E15=0),IF(AND(J$1&lt;&gt;"",J$1=$D15),Turno_Min,0),IF(J$1="",0,SUMIFS(Mapa_MinOcup,Mapa_Sala,$B15,Mapa_Data,Data_Mapa,Mapa_Hab,J$1))))</f>
        <v/>
      </c>
      <c r="K15" s="37">
        <f>IF($B15="",0,IF(OR($C15&lt;&gt;"Sala cirúrgica",$E15=0),IF(AND(K$1&lt;&gt;"",K$1=$D15),Turno_Min,0),IF(K$1="",0,SUMIFS(Mapa_MinOcup,Mapa_Sala,$B15,Mapa_Data,Data_Mapa,Mapa_Hab,K$1))))</f>
        <v/>
      </c>
      <c r="L15" s="37">
        <f>IF($B15="",0,IF(OR($C15&lt;&gt;"Sala cirúrgica",$E15=0),IF(AND(L$1&lt;&gt;"",L$1=$D15),Turno_Min,0),IF(L$1="",0,SUMIFS(Mapa_MinOcup,Mapa_Sala,$B15,Mapa_Data,Data_Mapa,Mapa_Hab,L$1))))</f>
        <v/>
      </c>
      <c r="M15" s="37">
        <f>IF($B15="",0,IF(OR($C15&lt;&gt;"Sala cirúrgica",$E15=0),IF(AND(M$1&lt;&gt;"",M$1=$D15),Turno_Min,0),IF(M$1="",0,SUMIFS(Mapa_MinOcup,Mapa_Sala,$B15,Mapa_Data,Data_Mapa,Mapa_Hab,M$1))))</f>
        <v/>
      </c>
      <c r="N15" s="37">
        <f>IF($B15="",0,IF(OR($C15&lt;&gt;"Sala cirúrgica",$E15=0),IF(AND(N$1&lt;&gt;"",N$1=$D15),Turno_Min,0),IF(N$1="",0,SUMIFS(Mapa_MinOcup,Mapa_Sala,$B15,Mapa_Data,Data_Mapa,Mapa_Hab,N$1))))</f>
        <v/>
      </c>
      <c r="O15" s="37">
        <f>IF($B15="",0,IF(OR($C15&lt;&gt;"Sala cirúrgica",$E15=0),IF(AND(O$1&lt;&gt;"",O$1=$D15),Turno_Min,0),IF(O$1="",0,SUMIFS(Mapa_MinOcup,Mapa_Sala,$B15,Mapa_Data,Data_Mapa,Mapa_Hab,O$1))))</f>
        <v/>
      </c>
      <c r="P15" s="37">
        <f>IF($B15="",0,IF(OR($C15&lt;&gt;"Sala cirúrgica",$E15=0),IF(AND(P$1&lt;&gt;"",P$1=$D15),Turno_Min,0),IF(P$1="",0,SUMIFS(Mapa_MinOcup,Mapa_Sala,$B15,Mapa_Data,Data_Mapa,Mapa_Hab,P$1))))</f>
        <v/>
      </c>
      <c r="Q15" s="37">
        <f>IF($B15="",0,IF(OR($C15&lt;&gt;"Sala cirúrgica",$E15=0),IF(AND(Q$1&lt;&gt;"",Q$1=$D15),Turno_Min,0),IF(Q$1="",0,SUMIFS(Mapa_MinOcup,Mapa_Sala,$B15,Mapa_Data,Data_Mapa,Mapa_Hab,Q$1))))</f>
        <v/>
      </c>
      <c r="R15" s="37">
        <f>IF($B15="",0,IF(OR($C15&lt;&gt;"Sala cirúrgica",$E15=0),IF(AND(R$1&lt;&gt;"",R$1=$D15),Turno_Min,0),IF(R$1="",0,SUMIFS(Mapa_MinOcup,Mapa_Sala,$B15,Mapa_Data,Data_Mapa,Mapa_Hab,R$1))))</f>
        <v/>
      </c>
      <c r="S15" s="37">
        <f>IF($B15="",0,IF(OR($C15&lt;&gt;"Sala cirúrgica",$E15=0),IF(AND(S$1&lt;&gt;"",S$1=$D15),Turno_Min,0),IF(S$1="",0,SUMIFS(Mapa_MinOcup,Mapa_Sala,$B15,Mapa_Data,Data_Mapa,Mapa_Hab,S$1))))</f>
        <v/>
      </c>
      <c r="T15" s="37">
        <f>IF($B15="",0,SUM(F15:S15))</f>
        <v/>
      </c>
      <c r="U15" s="37">
        <f>IF($B15="",0,Turno_Min)</f>
        <v/>
      </c>
      <c r="V15" s="44">
        <f>IF(OR($B15="",$C15&lt;&gt;"Sala cirúrgica"),"",$E15/Turno_Min)</f>
        <v/>
      </c>
    </row>
    <row r="16">
      <c r="A16" s="33">
        <f>IF($B16="","",$B16)</f>
        <v/>
      </c>
      <c r="B16" s="33">
        <f>IF('Postos'!$A$16="","",'Postos'!$A$16)</f>
        <v/>
      </c>
      <c r="C16" s="33">
        <f>IF($B16="","",IFERROR(INDEX(Postos_Tipo,MATCH($B16,Postos_Cod,0)),""))</f>
        <v/>
      </c>
      <c r="D16" s="34">
        <f>IF($B16="","",IFERROR(INDEX(Postos_Hab,MATCH($B16,Postos_Cod,0)),""))</f>
        <v/>
      </c>
      <c r="E16" s="37">
        <f>IF(OR($B16="",$C16&lt;&gt;"Sala cirúrgica"),0,SUMIFS(Mapa_MinOcup,Mapa_Sala,$B16,Mapa_Data,Data_Mapa))</f>
        <v/>
      </c>
      <c r="F16" s="37">
        <f>IF($B16="",0,IF(OR($C16&lt;&gt;"Sala cirúrgica",$E16=0),IF(AND(F$1&lt;&gt;"",F$1=$D16),Turno_Min,0),IF(F$1="",0,SUMIFS(Mapa_MinOcup,Mapa_Sala,$B16,Mapa_Data,Data_Mapa,Mapa_Hab,F$1))))</f>
        <v/>
      </c>
      <c r="G16" s="37">
        <f>IF($B16="",0,IF(OR($C16&lt;&gt;"Sala cirúrgica",$E16=0),IF(AND(G$1&lt;&gt;"",G$1=$D16),Turno_Min,0),IF(G$1="",0,SUMIFS(Mapa_MinOcup,Mapa_Sala,$B16,Mapa_Data,Data_Mapa,Mapa_Hab,G$1))))</f>
        <v/>
      </c>
      <c r="H16" s="37">
        <f>IF($B16="",0,IF(OR($C16&lt;&gt;"Sala cirúrgica",$E16=0),IF(AND(H$1&lt;&gt;"",H$1=$D16),Turno_Min,0),IF(H$1="",0,SUMIFS(Mapa_MinOcup,Mapa_Sala,$B16,Mapa_Data,Data_Mapa,Mapa_Hab,H$1))))</f>
        <v/>
      </c>
      <c r="I16" s="37">
        <f>IF($B16="",0,IF(OR($C16&lt;&gt;"Sala cirúrgica",$E16=0),IF(AND(I$1&lt;&gt;"",I$1=$D16),Turno_Min,0),IF(I$1="",0,SUMIFS(Mapa_MinOcup,Mapa_Sala,$B16,Mapa_Data,Data_Mapa,Mapa_Hab,I$1))))</f>
        <v/>
      </c>
      <c r="J16" s="37">
        <f>IF($B16="",0,IF(OR($C16&lt;&gt;"Sala cirúrgica",$E16=0),IF(AND(J$1&lt;&gt;"",J$1=$D16),Turno_Min,0),IF(J$1="",0,SUMIFS(Mapa_MinOcup,Mapa_Sala,$B16,Mapa_Data,Data_Mapa,Mapa_Hab,J$1))))</f>
        <v/>
      </c>
      <c r="K16" s="37">
        <f>IF($B16="",0,IF(OR($C16&lt;&gt;"Sala cirúrgica",$E16=0),IF(AND(K$1&lt;&gt;"",K$1=$D16),Turno_Min,0),IF(K$1="",0,SUMIFS(Mapa_MinOcup,Mapa_Sala,$B16,Mapa_Data,Data_Mapa,Mapa_Hab,K$1))))</f>
        <v/>
      </c>
      <c r="L16" s="37">
        <f>IF($B16="",0,IF(OR($C16&lt;&gt;"Sala cirúrgica",$E16=0),IF(AND(L$1&lt;&gt;"",L$1=$D16),Turno_Min,0),IF(L$1="",0,SUMIFS(Mapa_MinOcup,Mapa_Sala,$B16,Mapa_Data,Data_Mapa,Mapa_Hab,L$1))))</f>
        <v/>
      </c>
      <c r="M16" s="37">
        <f>IF($B16="",0,IF(OR($C16&lt;&gt;"Sala cirúrgica",$E16=0),IF(AND(M$1&lt;&gt;"",M$1=$D16),Turno_Min,0),IF(M$1="",0,SUMIFS(Mapa_MinOcup,Mapa_Sala,$B16,Mapa_Data,Data_Mapa,Mapa_Hab,M$1))))</f>
        <v/>
      </c>
      <c r="N16" s="37">
        <f>IF($B16="",0,IF(OR($C16&lt;&gt;"Sala cirúrgica",$E16=0),IF(AND(N$1&lt;&gt;"",N$1=$D16),Turno_Min,0),IF(N$1="",0,SUMIFS(Mapa_MinOcup,Mapa_Sala,$B16,Mapa_Data,Data_Mapa,Mapa_Hab,N$1))))</f>
        <v/>
      </c>
      <c r="O16" s="37">
        <f>IF($B16="",0,IF(OR($C16&lt;&gt;"Sala cirúrgica",$E16=0),IF(AND(O$1&lt;&gt;"",O$1=$D16),Turno_Min,0),IF(O$1="",0,SUMIFS(Mapa_MinOcup,Mapa_Sala,$B16,Mapa_Data,Data_Mapa,Mapa_Hab,O$1))))</f>
        <v/>
      </c>
      <c r="P16" s="37">
        <f>IF($B16="",0,IF(OR($C16&lt;&gt;"Sala cirúrgica",$E16=0),IF(AND(P$1&lt;&gt;"",P$1=$D16),Turno_Min,0),IF(P$1="",0,SUMIFS(Mapa_MinOcup,Mapa_Sala,$B16,Mapa_Data,Data_Mapa,Mapa_Hab,P$1))))</f>
        <v/>
      </c>
      <c r="Q16" s="37">
        <f>IF($B16="",0,IF(OR($C16&lt;&gt;"Sala cirúrgica",$E16=0),IF(AND(Q$1&lt;&gt;"",Q$1=$D16),Turno_Min,0),IF(Q$1="",0,SUMIFS(Mapa_MinOcup,Mapa_Sala,$B16,Mapa_Data,Data_Mapa,Mapa_Hab,Q$1))))</f>
        <v/>
      </c>
      <c r="R16" s="37">
        <f>IF($B16="",0,IF(OR($C16&lt;&gt;"Sala cirúrgica",$E16=0),IF(AND(R$1&lt;&gt;"",R$1=$D16),Turno_Min,0),IF(R$1="",0,SUMIFS(Mapa_MinOcup,Mapa_Sala,$B16,Mapa_Data,Data_Mapa,Mapa_Hab,R$1))))</f>
        <v/>
      </c>
      <c r="S16" s="37">
        <f>IF($B16="",0,IF(OR($C16&lt;&gt;"Sala cirúrgica",$E16=0),IF(AND(S$1&lt;&gt;"",S$1=$D16),Turno_Min,0),IF(S$1="",0,SUMIFS(Mapa_MinOcup,Mapa_Sala,$B16,Mapa_Data,Data_Mapa,Mapa_Hab,S$1))))</f>
        <v/>
      </c>
      <c r="T16" s="37">
        <f>IF($B16="",0,SUM(F16:S16))</f>
        <v/>
      </c>
      <c r="U16" s="37">
        <f>IF($B16="",0,Turno_Min)</f>
        <v/>
      </c>
      <c r="V16" s="44">
        <f>IF(OR($B16="",$C16&lt;&gt;"Sala cirúrgica"),"",$E16/Turno_Min)</f>
        <v/>
      </c>
    </row>
    <row r="17">
      <c r="A17" s="33">
        <f>IF($B17="","",$B17)</f>
        <v/>
      </c>
      <c r="B17" s="33">
        <f>IF('Postos'!$A$17="","",'Postos'!$A$17)</f>
        <v/>
      </c>
      <c r="C17" s="33">
        <f>IF($B17="","",IFERROR(INDEX(Postos_Tipo,MATCH($B17,Postos_Cod,0)),""))</f>
        <v/>
      </c>
      <c r="D17" s="34">
        <f>IF($B17="","",IFERROR(INDEX(Postos_Hab,MATCH($B17,Postos_Cod,0)),""))</f>
        <v/>
      </c>
      <c r="E17" s="37">
        <f>IF(OR($B17="",$C17&lt;&gt;"Sala cirúrgica"),0,SUMIFS(Mapa_MinOcup,Mapa_Sala,$B17,Mapa_Data,Data_Mapa))</f>
        <v/>
      </c>
      <c r="F17" s="37">
        <f>IF($B17="",0,IF(OR($C17&lt;&gt;"Sala cirúrgica",$E17=0),IF(AND(F$1&lt;&gt;"",F$1=$D17),Turno_Min,0),IF(F$1="",0,SUMIFS(Mapa_MinOcup,Mapa_Sala,$B17,Mapa_Data,Data_Mapa,Mapa_Hab,F$1))))</f>
        <v/>
      </c>
      <c r="G17" s="37">
        <f>IF($B17="",0,IF(OR($C17&lt;&gt;"Sala cirúrgica",$E17=0),IF(AND(G$1&lt;&gt;"",G$1=$D17),Turno_Min,0),IF(G$1="",0,SUMIFS(Mapa_MinOcup,Mapa_Sala,$B17,Mapa_Data,Data_Mapa,Mapa_Hab,G$1))))</f>
        <v/>
      </c>
      <c r="H17" s="37">
        <f>IF($B17="",0,IF(OR($C17&lt;&gt;"Sala cirúrgica",$E17=0),IF(AND(H$1&lt;&gt;"",H$1=$D17),Turno_Min,0),IF(H$1="",0,SUMIFS(Mapa_MinOcup,Mapa_Sala,$B17,Mapa_Data,Data_Mapa,Mapa_Hab,H$1))))</f>
        <v/>
      </c>
      <c r="I17" s="37">
        <f>IF($B17="",0,IF(OR($C17&lt;&gt;"Sala cirúrgica",$E17=0),IF(AND(I$1&lt;&gt;"",I$1=$D17),Turno_Min,0),IF(I$1="",0,SUMIFS(Mapa_MinOcup,Mapa_Sala,$B17,Mapa_Data,Data_Mapa,Mapa_Hab,I$1))))</f>
        <v/>
      </c>
      <c r="J17" s="37">
        <f>IF($B17="",0,IF(OR($C17&lt;&gt;"Sala cirúrgica",$E17=0),IF(AND(J$1&lt;&gt;"",J$1=$D17),Turno_Min,0),IF(J$1="",0,SUMIFS(Mapa_MinOcup,Mapa_Sala,$B17,Mapa_Data,Data_Mapa,Mapa_Hab,J$1))))</f>
        <v/>
      </c>
      <c r="K17" s="37">
        <f>IF($B17="",0,IF(OR($C17&lt;&gt;"Sala cirúrgica",$E17=0),IF(AND(K$1&lt;&gt;"",K$1=$D17),Turno_Min,0),IF(K$1="",0,SUMIFS(Mapa_MinOcup,Mapa_Sala,$B17,Mapa_Data,Data_Mapa,Mapa_Hab,K$1))))</f>
        <v/>
      </c>
      <c r="L17" s="37">
        <f>IF($B17="",0,IF(OR($C17&lt;&gt;"Sala cirúrgica",$E17=0),IF(AND(L$1&lt;&gt;"",L$1=$D17),Turno_Min,0),IF(L$1="",0,SUMIFS(Mapa_MinOcup,Mapa_Sala,$B17,Mapa_Data,Data_Mapa,Mapa_Hab,L$1))))</f>
        <v/>
      </c>
      <c r="M17" s="37">
        <f>IF($B17="",0,IF(OR($C17&lt;&gt;"Sala cirúrgica",$E17=0),IF(AND(M$1&lt;&gt;"",M$1=$D17),Turno_Min,0),IF(M$1="",0,SUMIFS(Mapa_MinOcup,Mapa_Sala,$B17,Mapa_Data,Data_Mapa,Mapa_Hab,M$1))))</f>
        <v/>
      </c>
      <c r="N17" s="37">
        <f>IF($B17="",0,IF(OR($C17&lt;&gt;"Sala cirúrgica",$E17=0),IF(AND(N$1&lt;&gt;"",N$1=$D17),Turno_Min,0),IF(N$1="",0,SUMIFS(Mapa_MinOcup,Mapa_Sala,$B17,Mapa_Data,Data_Mapa,Mapa_Hab,N$1))))</f>
        <v/>
      </c>
      <c r="O17" s="37">
        <f>IF($B17="",0,IF(OR($C17&lt;&gt;"Sala cirúrgica",$E17=0),IF(AND(O$1&lt;&gt;"",O$1=$D17),Turno_Min,0),IF(O$1="",0,SUMIFS(Mapa_MinOcup,Mapa_Sala,$B17,Mapa_Data,Data_Mapa,Mapa_Hab,O$1))))</f>
        <v/>
      </c>
      <c r="P17" s="37">
        <f>IF($B17="",0,IF(OR($C17&lt;&gt;"Sala cirúrgica",$E17=0),IF(AND(P$1&lt;&gt;"",P$1=$D17),Turno_Min,0),IF(P$1="",0,SUMIFS(Mapa_MinOcup,Mapa_Sala,$B17,Mapa_Data,Data_Mapa,Mapa_Hab,P$1))))</f>
        <v/>
      </c>
      <c r="Q17" s="37">
        <f>IF($B17="",0,IF(OR($C17&lt;&gt;"Sala cirúrgica",$E17=0),IF(AND(Q$1&lt;&gt;"",Q$1=$D17),Turno_Min,0),IF(Q$1="",0,SUMIFS(Mapa_MinOcup,Mapa_Sala,$B17,Mapa_Data,Data_Mapa,Mapa_Hab,Q$1))))</f>
        <v/>
      </c>
      <c r="R17" s="37">
        <f>IF($B17="",0,IF(OR($C17&lt;&gt;"Sala cirúrgica",$E17=0),IF(AND(R$1&lt;&gt;"",R$1=$D17),Turno_Min,0),IF(R$1="",0,SUMIFS(Mapa_MinOcup,Mapa_Sala,$B17,Mapa_Data,Data_Mapa,Mapa_Hab,R$1))))</f>
        <v/>
      </c>
      <c r="S17" s="37">
        <f>IF($B17="",0,IF(OR($C17&lt;&gt;"Sala cirúrgica",$E17=0),IF(AND(S$1&lt;&gt;"",S$1=$D17),Turno_Min,0),IF(S$1="",0,SUMIFS(Mapa_MinOcup,Mapa_Sala,$B17,Mapa_Data,Data_Mapa,Mapa_Hab,S$1))))</f>
        <v/>
      </c>
      <c r="T17" s="37">
        <f>IF($B17="",0,SUM(F17:S17))</f>
        <v/>
      </c>
      <c r="U17" s="37">
        <f>IF($B17="",0,Turno_Min)</f>
        <v/>
      </c>
      <c r="V17" s="44">
        <f>IF(OR($B17="",$C17&lt;&gt;"Sala cirúrgica"),"",$E17/Turno_Min)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1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6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</cols>
  <sheetData>
    <row r="1" ht="96" customHeight="1">
      <c r="A1" s="14" t="inlineStr">
        <is>
          <t>Matrícula</t>
        </is>
      </c>
      <c r="B1" s="14" t="inlineStr">
        <is>
          <t>Nome do técnico</t>
        </is>
      </c>
      <c r="C1" s="14" t="inlineStr">
        <is>
          <t>Situação na data</t>
        </is>
      </c>
      <c r="D1" s="32">
        <f>IF('Calc_Mix'!$B$2="","",'Calc_Mix'!$B$2)</f>
        <v/>
      </c>
      <c r="E1" s="32">
        <f>IF('Calc_Mix'!$B$3="","",'Calc_Mix'!$B$3)</f>
        <v/>
      </c>
      <c r="F1" s="32">
        <f>IF('Calc_Mix'!$B$4="","",'Calc_Mix'!$B$4)</f>
        <v/>
      </c>
      <c r="G1" s="32">
        <f>IF('Calc_Mix'!$B$5="","",'Calc_Mix'!$B$5)</f>
        <v/>
      </c>
      <c r="H1" s="32">
        <f>IF('Calc_Mix'!$B$6="","",'Calc_Mix'!$B$6)</f>
        <v/>
      </c>
      <c r="I1" s="32">
        <f>IF('Calc_Mix'!$B$7="","",'Calc_Mix'!$B$7)</f>
        <v/>
      </c>
      <c r="J1" s="32">
        <f>IF('Calc_Mix'!$B$8="","",'Calc_Mix'!$B$8)</f>
        <v/>
      </c>
      <c r="K1" s="32">
        <f>IF('Calc_Mix'!$B$9="","",'Calc_Mix'!$B$9)</f>
        <v/>
      </c>
      <c r="L1" s="32">
        <f>IF('Calc_Mix'!$B$10="","",'Calc_Mix'!$B$10)</f>
        <v/>
      </c>
      <c r="M1" s="32">
        <f>IF('Calc_Mix'!$B$11="","",'Calc_Mix'!$B$11)</f>
        <v/>
      </c>
      <c r="N1" s="32">
        <f>IF('Calc_Mix'!$B$12="","",'Calc_Mix'!$B$12)</f>
        <v/>
      </c>
      <c r="O1" s="32">
        <f>IF('Calc_Mix'!$B$13="","",'Calc_Mix'!$B$13)</f>
        <v/>
      </c>
      <c r="P1" s="32">
        <f>IF('Calc_Mix'!$B$14="","",'Calc_Mix'!$B$14)</f>
        <v/>
      </c>
      <c r="Q1" s="32">
        <f>IF('Calc_Mix'!$B$15="","",'Calc_Mix'!$B$15)</f>
        <v/>
      </c>
      <c r="R1" s="32">
        <f>IF('Calc_Mix'!$B$16="","",'Calc_Mix'!$B$16)</f>
        <v/>
      </c>
      <c r="S1" s="32">
        <f>IF('Calc_Mix'!$B$17="","",'Calc_Mix'!$B$17)</f>
        <v/>
      </c>
    </row>
    <row r="2">
      <c r="A2" s="33">
        <f>IF('Matriz_Habilidades'!A2="","",'Matriz_Habilidades'!A2)</f>
        <v/>
      </c>
      <c r="B2" s="34">
        <f>IF('Matriz_Habilidades'!B2="","",'Matriz_Habilidades'!B2)</f>
        <v/>
      </c>
      <c r="C2" s="33">
        <f>IF($A2="","",IFERROR(INDEX(Equipe_Situacao,MATCH($B2,Equipe_Nome,0)),"?"))</f>
        <v/>
      </c>
      <c r="D2" s="36">
        <f>IF(OR($B2="",$C2&lt;&gt;"Disponível",'Calc_Mix'!$T$2=0,COUNTIF(Esc_Tec1,$B2)+COUNTIF(Esc_Tec2,$B2)&gt;0,SUMPRODUCT('Calc_Mix'!$F$2:$S$2,'Matriz_Habilidades'!$D2:$Q2)=0),"",SUMPRODUCT('Calc_Mix'!$F$2:$S$2,'Matriz_Habilidades'!$D2:$Q2)/'Calc_Mix'!$T$2+ROW()*0.000001)</f>
        <v/>
      </c>
      <c r="E2" s="36">
        <f>IF(OR($B2="",$C2&lt;&gt;"Disponível",'Calc_Mix'!$T$3=0,COUNTIF(Esc_Tec1,$B2)+COUNTIF(Esc_Tec2,$B2)&gt;0,SUMPRODUCT('Calc_Mix'!$F$3:$S$3,'Matriz_Habilidades'!$D2:$Q2)=0),"",SUMPRODUCT('Calc_Mix'!$F$3:$S$3,'Matriz_Habilidades'!$D2:$Q2)/'Calc_Mix'!$T$3+ROW()*0.000001)</f>
        <v/>
      </c>
      <c r="F2" s="36">
        <f>IF(OR($B2="",$C2&lt;&gt;"Disponível",'Calc_Mix'!$T$4=0,COUNTIF(Esc_Tec1,$B2)+COUNTIF(Esc_Tec2,$B2)&gt;0,SUMPRODUCT('Calc_Mix'!$F$4:$S$4,'Matriz_Habilidades'!$D2:$Q2)=0),"",SUMPRODUCT('Calc_Mix'!$F$4:$S$4,'Matriz_Habilidades'!$D2:$Q2)/'Calc_Mix'!$T$4+ROW()*0.000001)</f>
        <v/>
      </c>
      <c r="G2" s="36">
        <f>IF(OR($B2="",$C2&lt;&gt;"Disponível",'Calc_Mix'!$T$5=0,COUNTIF(Esc_Tec1,$B2)+COUNTIF(Esc_Tec2,$B2)&gt;0,SUMPRODUCT('Calc_Mix'!$F$5:$S$5,'Matriz_Habilidades'!$D2:$Q2)=0),"",SUMPRODUCT('Calc_Mix'!$F$5:$S$5,'Matriz_Habilidades'!$D2:$Q2)/'Calc_Mix'!$T$5+ROW()*0.000001)</f>
        <v/>
      </c>
      <c r="H2" s="36">
        <f>IF(OR($B2="",$C2&lt;&gt;"Disponível",'Calc_Mix'!$T$6=0,COUNTIF(Esc_Tec1,$B2)+COUNTIF(Esc_Tec2,$B2)&gt;0,SUMPRODUCT('Calc_Mix'!$F$6:$S$6,'Matriz_Habilidades'!$D2:$Q2)=0),"",SUMPRODUCT('Calc_Mix'!$F$6:$S$6,'Matriz_Habilidades'!$D2:$Q2)/'Calc_Mix'!$T$6+ROW()*0.000001)</f>
        <v/>
      </c>
      <c r="I2" s="36">
        <f>IF(OR($B2="",$C2&lt;&gt;"Disponível",'Calc_Mix'!$T$7=0,COUNTIF(Esc_Tec1,$B2)+COUNTIF(Esc_Tec2,$B2)&gt;0,SUMPRODUCT('Calc_Mix'!$F$7:$S$7,'Matriz_Habilidades'!$D2:$Q2)=0),"",SUMPRODUCT('Calc_Mix'!$F$7:$S$7,'Matriz_Habilidades'!$D2:$Q2)/'Calc_Mix'!$T$7+ROW()*0.000001)</f>
        <v/>
      </c>
      <c r="J2" s="36">
        <f>IF(OR($B2="",$C2&lt;&gt;"Disponível",'Calc_Mix'!$T$8=0,COUNTIF(Esc_Tec1,$B2)+COUNTIF(Esc_Tec2,$B2)&gt;0,SUMPRODUCT('Calc_Mix'!$F$8:$S$8,'Matriz_Habilidades'!$D2:$Q2)=0),"",SUMPRODUCT('Calc_Mix'!$F$8:$S$8,'Matriz_Habilidades'!$D2:$Q2)/'Calc_Mix'!$T$8+ROW()*0.000001)</f>
        <v/>
      </c>
      <c r="K2" s="36">
        <f>IF(OR($B2="",$C2&lt;&gt;"Disponível",'Calc_Mix'!$T$9=0,COUNTIF(Esc_Tec1,$B2)+COUNTIF(Esc_Tec2,$B2)&gt;0,SUMPRODUCT('Calc_Mix'!$F$9:$S$9,'Matriz_Habilidades'!$D2:$Q2)=0),"",SUMPRODUCT('Calc_Mix'!$F$9:$S$9,'Matriz_Habilidades'!$D2:$Q2)/'Calc_Mix'!$T$9+ROW()*0.000001)</f>
        <v/>
      </c>
      <c r="L2" s="36">
        <f>IF(OR($B2="",$C2&lt;&gt;"Disponível",'Calc_Mix'!$T$10=0,COUNTIF(Esc_Tec1,$B2)+COUNTIF(Esc_Tec2,$B2)&gt;0,SUMPRODUCT('Calc_Mix'!$F$10:$S$10,'Matriz_Habilidades'!$D2:$Q2)=0),"",SUMPRODUCT('Calc_Mix'!$F$10:$S$10,'Matriz_Habilidades'!$D2:$Q2)/'Calc_Mix'!$T$10+ROW()*0.000001)</f>
        <v/>
      </c>
      <c r="M2" s="36">
        <f>IF(OR($B2="",$C2&lt;&gt;"Disponível",'Calc_Mix'!$T$11=0,COUNTIF(Esc_Tec1,$B2)+COUNTIF(Esc_Tec2,$B2)&gt;0,SUMPRODUCT('Calc_Mix'!$F$11:$S$11,'Matriz_Habilidades'!$D2:$Q2)=0),"",SUMPRODUCT('Calc_Mix'!$F$11:$S$11,'Matriz_Habilidades'!$D2:$Q2)/'Calc_Mix'!$T$11+ROW()*0.000001)</f>
        <v/>
      </c>
      <c r="N2" s="36">
        <f>IF(OR($B2="",$C2&lt;&gt;"Disponível",'Calc_Mix'!$T$12=0,COUNTIF(Esc_Tec1,$B2)+COUNTIF(Esc_Tec2,$B2)&gt;0,SUMPRODUCT('Calc_Mix'!$F$12:$S$12,'Matriz_Habilidades'!$D2:$Q2)=0),"",SUMPRODUCT('Calc_Mix'!$F$12:$S$12,'Matriz_Habilidades'!$D2:$Q2)/'Calc_Mix'!$T$12+ROW()*0.000001)</f>
        <v/>
      </c>
      <c r="O2" s="36">
        <f>IF(OR($B2="",$C2&lt;&gt;"Disponível",'Calc_Mix'!$T$13=0,COUNTIF(Esc_Tec1,$B2)+COUNTIF(Esc_Tec2,$B2)&gt;0,SUMPRODUCT('Calc_Mix'!$F$13:$S$13,'Matriz_Habilidades'!$D2:$Q2)=0),"",SUMPRODUCT('Calc_Mix'!$F$13:$S$13,'Matriz_Habilidades'!$D2:$Q2)/'Calc_Mix'!$T$13+ROW()*0.000001)</f>
        <v/>
      </c>
      <c r="P2" s="36">
        <f>IF(OR($B2="",$C2&lt;&gt;"Disponível",'Calc_Mix'!$T$14=0,COUNTIF(Esc_Tec1,$B2)+COUNTIF(Esc_Tec2,$B2)&gt;0,SUMPRODUCT('Calc_Mix'!$F$14:$S$14,'Matriz_Habilidades'!$D2:$Q2)=0),"",SUMPRODUCT('Calc_Mix'!$F$14:$S$14,'Matriz_Habilidades'!$D2:$Q2)/'Calc_Mix'!$T$14+ROW()*0.000001)</f>
        <v/>
      </c>
      <c r="Q2" s="36">
        <f>IF(OR($B2="",$C2&lt;&gt;"Disponível",'Calc_Mix'!$T$15=0,COUNTIF(Esc_Tec1,$B2)+COUNTIF(Esc_Tec2,$B2)&gt;0,SUMPRODUCT('Calc_Mix'!$F$15:$S$15,'Matriz_Habilidades'!$D2:$Q2)=0),"",SUMPRODUCT('Calc_Mix'!$F$15:$S$15,'Matriz_Habilidades'!$D2:$Q2)/'Calc_Mix'!$T$15+ROW()*0.000001)</f>
        <v/>
      </c>
      <c r="R2" s="36">
        <f>IF(OR($B2="",$C2&lt;&gt;"Disponível",'Calc_Mix'!$T$16=0,COUNTIF(Esc_Tec1,$B2)+COUNTIF(Esc_Tec2,$B2)&gt;0,SUMPRODUCT('Calc_Mix'!$F$16:$S$16,'Matriz_Habilidades'!$D2:$Q2)=0),"",SUMPRODUCT('Calc_Mix'!$F$16:$S$16,'Matriz_Habilidades'!$D2:$Q2)/'Calc_Mix'!$T$16+ROW()*0.000001)</f>
        <v/>
      </c>
      <c r="S2" s="36">
        <f>IF(OR($B2="",$C2&lt;&gt;"Disponível",'Calc_Mix'!$T$17=0,COUNTIF(Esc_Tec1,$B2)+COUNTIF(Esc_Tec2,$B2)&gt;0,SUMPRODUCT('Calc_Mix'!$F$17:$S$17,'Matriz_Habilidades'!$D2:$Q2)=0),"",SUMPRODUCT('Calc_Mix'!$F$17:$S$17,'Matriz_Habilidades'!$D2:$Q2)/'Calc_Mix'!$T$17+ROW()*0.000001)</f>
        <v/>
      </c>
    </row>
    <row r="3">
      <c r="A3" s="33">
        <f>IF('Matriz_Habilidades'!A3="","",'Matriz_Habilidades'!A3)</f>
        <v/>
      </c>
      <c r="B3" s="34">
        <f>IF('Matriz_Habilidades'!B3="","",'Matriz_Habilidades'!B3)</f>
        <v/>
      </c>
      <c r="C3" s="33">
        <f>IF($A3="","",IFERROR(INDEX(Equipe_Situacao,MATCH($B3,Equipe_Nome,0)),"?"))</f>
        <v/>
      </c>
      <c r="D3" s="36">
        <f>IF(OR($B3="",$C3&lt;&gt;"Disponível",'Calc_Mix'!$T$2=0,COUNTIF(Esc_Tec1,$B3)+COUNTIF(Esc_Tec2,$B3)&gt;0,SUMPRODUCT('Calc_Mix'!$F$2:$S$2,'Matriz_Habilidades'!$D3:$Q3)=0),"",SUMPRODUCT('Calc_Mix'!$F$2:$S$2,'Matriz_Habilidades'!$D3:$Q3)/'Calc_Mix'!$T$2+ROW()*0.000001)</f>
        <v/>
      </c>
      <c r="E3" s="36">
        <f>IF(OR($B3="",$C3&lt;&gt;"Disponível",'Calc_Mix'!$T$3=0,COUNTIF(Esc_Tec1,$B3)+COUNTIF(Esc_Tec2,$B3)&gt;0,SUMPRODUCT('Calc_Mix'!$F$3:$S$3,'Matriz_Habilidades'!$D3:$Q3)=0),"",SUMPRODUCT('Calc_Mix'!$F$3:$S$3,'Matriz_Habilidades'!$D3:$Q3)/'Calc_Mix'!$T$3+ROW()*0.000001)</f>
        <v/>
      </c>
      <c r="F3" s="36">
        <f>IF(OR($B3="",$C3&lt;&gt;"Disponível",'Calc_Mix'!$T$4=0,COUNTIF(Esc_Tec1,$B3)+COUNTIF(Esc_Tec2,$B3)&gt;0,SUMPRODUCT('Calc_Mix'!$F$4:$S$4,'Matriz_Habilidades'!$D3:$Q3)=0),"",SUMPRODUCT('Calc_Mix'!$F$4:$S$4,'Matriz_Habilidades'!$D3:$Q3)/'Calc_Mix'!$T$4+ROW()*0.000001)</f>
        <v/>
      </c>
      <c r="G3" s="36">
        <f>IF(OR($B3="",$C3&lt;&gt;"Disponível",'Calc_Mix'!$T$5=0,COUNTIF(Esc_Tec1,$B3)+COUNTIF(Esc_Tec2,$B3)&gt;0,SUMPRODUCT('Calc_Mix'!$F$5:$S$5,'Matriz_Habilidades'!$D3:$Q3)=0),"",SUMPRODUCT('Calc_Mix'!$F$5:$S$5,'Matriz_Habilidades'!$D3:$Q3)/'Calc_Mix'!$T$5+ROW()*0.000001)</f>
        <v/>
      </c>
      <c r="H3" s="36">
        <f>IF(OR($B3="",$C3&lt;&gt;"Disponível",'Calc_Mix'!$T$6=0,COUNTIF(Esc_Tec1,$B3)+COUNTIF(Esc_Tec2,$B3)&gt;0,SUMPRODUCT('Calc_Mix'!$F$6:$S$6,'Matriz_Habilidades'!$D3:$Q3)=0),"",SUMPRODUCT('Calc_Mix'!$F$6:$S$6,'Matriz_Habilidades'!$D3:$Q3)/'Calc_Mix'!$T$6+ROW()*0.000001)</f>
        <v/>
      </c>
      <c r="I3" s="36">
        <f>IF(OR($B3="",$C3&lt;&gt;"Disponível",'Calc_Mix'!$T$7=0,COUNTIF(Esc_Tec1,$B3)+COUNTIF(Esc_Tec2,$B3)&gt;0,SUMPRODUCT('Calc_Mix'!$F$7:$S$7,'Matriz_Habilidades'!$D3:$Q3)=0),"",SUMPRODUCT('Calc_Mix'!$F$7:$S$7,'Matriz_Habilidades'!$D3:$Q3)/'Calc_Mix'!$T$7+ROW()*0.000001)</f>
        <v/>
      </c>
      <c r="J3" s="36">
        <f>IF(OR($B3="",$C3&lt;&gt;"Disponível",'Calc_Mix'!$T$8=0,COUNTIF(Esc_Tec1,$B3)+COUNTIF(Esc_Tec2,$B3)&gt;0,SUMPRODUCT('Calc_Mix'!$F$8:$S$8,'Matriz_Habilidades'!$D3:$Q3)=0),"",SUMPRODUCT('Calc_Mix'!$F$8:$S$8,'Matriz_Habilidades'!$D3:$Q3)/'Calc_Mix'!$T$8+ROW()*0.000001)</f>
        <v/>
      </c>
      <c r="K3" s="36">
        <f>IF(OR($B3="",$C3&lt;&gt;"Disponível",'Calc_Mix'!$T$9=0,COUNTIF(Esc_Tec1,$B3)+COUNTIF(Esc_Tec2,$B3)&gt;0,SUMPRODUCT('Calc_Mix'!$F$9:$S$9,'Matriz_Habilidades'!$D3:$Q3)=0),"",SUMPRODUCT('Calc_Mix'!$F$9:$S$9,'Matriz_Habilidades'!$D3:$Q3)/'Calc_Mix'!$T$9+ROW()*0.000001)</f>
        <v/>
      </c>
      <c r="L3" s="36">
        <f>IF(OR($B3="",$C3&lt;&gt;"Disponível",'Calc_Mix'!$T$10=0,COUNTIF(Esc_Tec1,$B3)+COUNTIF(Esc_Tec2,$B3)&gt;0,SUMPRODUCT('Calc_Mix'!$F$10:$S$10,'Matriz_Habilidades'!$D3:$Q3)=0),"",SUMPRODUCT('Calc_Mix'!$F$10:$S$10,'Matriz_Habilidades'!$D3:$Q3)/'Calc_Mix'!$T$10+ROW()*0.000001)</f>
        <v/>
      </c>
      <c r="M3" s="36">
        <f>IF(OR($B3="",$C3&lt;&gt;"Disponível",'Calc_Mix'!$T$11=0,COUNTIF(Esc_Tec1,$B3)+COUNTIF(Esc_Tec2,$B3)&gt;0,SUMPRODUCT('Calc_Mix'!$F$11:$S$11,'Matriz_Habilidades'!$D3:$Q3)=0),"",SUMPRODUCT('Calc_Mix'!$F$11:$S$11,'Matriz_Habilidades'!$D3:$Q3)/'Calc_Mix'!$T$11+ROW()*0.000001)</f>
        <v/>
      </c>
      <c r="N3" s="36">
        <f>IF(OR($B3="",$C3&lt;&gt;"Disponível",'Calc_Mix'!$T$12=0,COUNTIF(Esc_Tec1,$B3)+COUNTIF(Esc_Tec2,$B3)&gt;0,SUMPRODUCT('Calc_Mix'!$F$12:$S$12,'Matriz_Habilidades'!$D3:$Q3)=0),"",SUMPRODUCT('Calc_Mix'!$F$12:$S$12,'Matriz_Habilidades'!$D3:$Q3)/'Calc_Mix'!$T$12+ROW()*0.000001)</f>
        <v/>
      </c>
      <c r="O3" s="36">
        <f>IF(OR($B3="",$C3&lt;&gt;"Disponível",'Calc_Mix'!$T$13=0,COUNTIF(Esc_Tec1,$B3)+COUNTIF(Esc_Tec2,$B3)&gt;0,SUMPRODUCT('Calc_Mix'!$F$13:$S$13,'Matriz_Habilidades'!$D3:$Q3)=0),"",SUMPRODUCT('Calc_Mix'!$F$13:$S$13,'Matriz_Habilidades'!$D3:$Q3)/'Calc_Mix'!$T$13+ROW()*0.000001)</f>
        <v/>
      </c>
      <c r="P3" s="36">
        <f>IF(OR($B3="",$C3&lt;&gt;"Disponível",'Calc_Mix'!$T$14=0,COUNTIF(Esc_Tec1,$B3)+COUNTIF(Esc_Tec2,$B3)&gt;0,SUMPRODUCT('Calc_Mix'!$F$14:$S$14,'Matriz_Habilidades'!$D3:$Q3)=0),"",SUMPRODUCT('Calc_Mix'!$F$14:$S$14,'Matriz_Habilidades'!$D3:$Q3)/'Calc_Mix'!$T$14+ROW()*0.000001)</f>
        <v/>
      </c>
      <c r="Q3" s="36">
        <f>IF(OR($B3="",$C3&lt;&gt;"Disponível",'Calc_Mix'!$T$15=0,COUNTIF(Esc_Tec1,$B3)+COUNTIF(Esc_Tec2,$B3)&gt;0,SUMPRODUCT('Calc_Mix'!$F$15:$S$15,'Matriz_Habilidades'!$D3:$Q3)=0),"",SUMPRODUCT('Calc_Mix'!$F$15:$S$15,'Matriz_Habilidades'!$D3:$Q3)/'Calc_Mix'!$T$15+ROW()*0.000001)</f>
        <v/>
      </c>
      <c r="R3" s="36">
        <f>IF(OR($B3="",$C3&lt;&gt;"Disponível",'Calc_Mix'!$T$16=0,COUNTIF(Esc_Tec1,$B3)+COUNTIF(Esc_Tec2,$B3)&gt;0,SUMPRODUCT('Calc_Mix'!$F$16:$S$16,'Matriz_Habilidades'!$D3:$Q3)=0),"",SUMPRODUCT('Calc_Mix'!$F$16:$S$16,'Matriz_Habilidades'!$D3:$Q3)/'Calc_Mix'!$T$16+ROW()*0.000001)</f>
        <v/>
      </c>
      <c r="S3" s="36">
        <f>IF(OR($B3="",$C3&lt;&gt;"Disponível",'Calc_Mix'!$T$17=0,COUNTIF(Esc_Tec1,$B3)+COUNTIF(Esc_Tec2,$B3)&gt;0,SUMPRODUCT('Calc_Mix'!$F$17:$S$17,'Matriz_Habilidades'!$D3:$Q3)=0),"",SUMPRODUCT('Calc_Mix'!$F$17:$S$17,'Matriz_Habilidades'!$D3:$Q3)/'Calc_Mix'!$T$17+ROW()*0.000001)</f>
        <v/>
      </c>
    </row>
    <row r="4">
      <c r="A4" s="33">
        <f>IF('Matriz_Habilidades'!A4="","",'Matriz_Habilidades'!A4)</f>
        <v/>
      </c>
      <c r="B4" s="34">
        <f>IF('Matriz_Habilidades'!B4="","",'Matriz_Habilidades'!B4)</f>
        <v/>
      </c>
      <c r="C4" s="33">
        <f>IF($A4="","",IFERROR(INDEX(Equipe_Situacao,MATCH($B4,Equipe_Nome,0)),"?"))</f>
        <v/>
      </c>
      <c r="D4" s="36">
        <f>IF(OR($B4="",$C4&lt;&gt;"Disponível",'Calc_Mix'!$T$2=0,COUNTIF(Esc_Tec1,$B4)+COUNTIF(Esc_Tec2,$B4)&gt;0,SUMPRODUCT('Calc_Mix'!$F$2:$S$2,'Matriz_Habilidades'!$D4:$Q4)=0),"",SUMPRODUCT('Calc_Mix'!$F$2:$S$2,'Matriz_Habilidades'!$D4:$Q4)/'Calc_Mix'!$T$2+ROW()*0.000001)</f>
        <v/>
      </c>
      <c r="E4" s="36">
        <f>IF(OR($B4="",$C4&lt;&gt;"Disponível",'Calc_Mix'!$T$3=0,COUNTIF(Esc_Tec1,$B4)+COUNTIF(Esc_Tec2,$B4)&gt;0,SUMPRODUCT('Calc_Mix'!$F$3:$S$3,'Matriz_Habilidades'!$D4:$Q4)=0),"",SUMPRODUCT('Calc_Mix'!$F$3:$S$3,'Matriz_Habilidades'!$D4:$Q4)/'Calc_Mix'!$T$3+ROW()*0.000001)</f>
        <v/>
      </c>
      <c r="F4" s="36">
        <f>IF(OR($B4="",$C4&lt;&gt;"Disponível",'Calc_Mix'!$T$4=0,COUNTIF(Esc_Tec1,$B4)+COUNTIF(Esc_Tec2,$B4)&gt;0,SUMPRODUCT('Calc_Mix'!$F$4:$S$4,'Matriz_Habilidades'!$D4:$Q4)=0),"",SUMPRODUCT('Calc_Mix'!$F$4:$S$4,'Matriz_Habilidades'!$D4:$Q4)/'Calc_Mix'!$T$4+ROW()*0.000001)</f>
        <v/>
      </c>
      <c r="G4" s="36">
        <f>IF(OR($B4="",$C4&lt;&gt;"Disponível",'Calc_Mix'!$T$5=0,COUNTIF(Esc_Tec1,$B4)+COUNTIF(Esc_Tec2,$B4)&gt;0,SUMPRODUCT('Calc_Mix'!$F$5:$S$5,'Matriz_Habilidades'!$D4:$Q4)=0),"",SUMPRODUCT('Calc_Mix'!$F$5:$S$5,'Matriz_Habilidades'!$D4:$Q4)/'Calc_Mix'!$T$5+ROW()*0.000001)</f>
        <v/>
      </c>
      <c r="H4" s="36">
        <f>IF(OR($B4="",$C4&lt;&gt;"Disponível",'Calc_Mix'!$T$6=0,COUNTIF(Esc_Tec1,$B4)+COUNTIF(Esc_Tec2,$B4)&gt;0,SUMPRODUCT('Calc_Mix'!$F$6:$S$6,'Matriz_Habilidades'!$D4:$Q4)=0),"",SUMPRODUCT('Calc_Mix'!$F$6:$S$6,'Matriz_Habilidades'!$D4:$Q4)/'Calc_Mix'!$T$6+ROW()*0.000001)</f>
        <v/>
      </c>
      <c r="I4" s="36">
        <f>IF(OR($B4="",$C4&lt;&gt;"Disponível",'Calc_Mix'!$T$7=0,COUNTIF(Esc_Tec1,$B4)+COUNTIF(Esc_Tec2,$B4)&gt;0,SUMPRODUCT('Calc_Mix'!$F$7:$S$7,'Matriz_Habilidades'!$D4:$Q4)=0),"",SUMPRODUCT('Calc_Mix'!$F$7:$S$7,'Matriz_Habilidades'!$D4:$Q4)/'Calc_Mix'!$T$7+ROW()*0.000001)</f>
        <v/>
      </c>
      <c r="J4" s="36">
        <f>IF(OR($B4="",$C4&lt;&gt;"Disponível",'Calc_Mix'!$T$8=0,COUNTIF(Esc_Tec1,$B4)+COUNTIF(Esc_Tec2,$B4)&gt;0,SUMPRODUCT('Calc_Mix'!$F$8:$S$8,'Matriz_Habilidades'!$D4:$Q4)=0),"",SUMPRODUCT('Calc_Mix'!$F$8:$S$8,'Matriz_Habilidades'!$D4:$Q4)/'Calc_Mix'!$T$8+ROW()*0.000001)</f>
        <v/>
      </c>
      <c r="K4" s="36">
        <f>IF(OR($B4="",$C4&lt;&gt;"Disponível",'Calc_Mix'!$T$9=0,COUNTIF(Esc_Tec1,$B4)+COUNTIF(Esc_Tec2,$B4)&gt;0,SUMPRODUCT('Calc_Mix'!$F$9:$S$9,'Matriz_Habilidades'!$D4:$Q4)=0),"",SUMPRODUCT('Calc_Mix'!$F$9:$S$9,'Matriz_Habilidades'!$D4:$Q4)/'Calc_Mix'!$T$9+ROW()*0.000001)</f>
        <v/>
      </c>
      <c r="L4" s="36">
        <f>IF(OR($B4="",$C4&lt;&gt;"Disponível",'Calc_Mix'!$T$10=0,COUNTIF(Esc_Tec1,$B4)+COUNTIF(Esc_Tec2,$B4)&gt;0,SUMPRODUCT('Calc_Mix'!$F$10:$S$10,'Matriz_Habilidades'!$D4:$Q4)=0),"",SUMPRODUCT('Calc_Mix'!$F$10:$S$10,'Matriz_Habilidades'!$D4:$Q4)/'Calc_Mix'!$T$10+ROW()*0.000001)</f>
        <v/>
      </c>
      <c r="M4" s="36">
        <f>IF(OR($B4="",$C4&lt;&gt;"Disponível",'Calc_Mix'!$T$11=0,COUNTIF(Esc_Tec1,$B4)+COUNTIF(Esc_Tec2,$B4)&gt;0,SUMPRODUCT('Calc_Mix'!$F$11:$S$11,'Matriz_Habilidades'!$D4:$Q4)=0),"",SUMPRODUCT('Calc_Mix'!$F$11:$S$11,'Matriz_Habilidades'!$D4:$Q4)/'Calc_Mix'!$T$11+ROW()*0.000001)</f>
        <v/>
      </c>
      <c r="N4" s="36">
        <f>IF(OR($B4="",$C4&lt;&gt;"Disponível",'Calc_Mix'!$T$12=0,COUNTIF(Esc_Tec1,$B4)+COUNTIF(Esc_Tec2,$B4)&gt;0,SUMPRODUCT('Calc_Mix'!$F$12:$S$12,'Matriz_Habilidades'!$D4:$Q4)=0),"",SUMPRODUCT('Calc_Mix'!$F$12:$S$12,'Matriz_Habilidades'!$D4:$Q4)/'Calc_Mix'!$T$12+ROW()*0.000001)</f>
        <v/>
      </c>
      <c r="O4" s="36">
        <f>IF(OR($B4="",$C4&lt;&gt;"Disponível",'Calc_Mix'!$T$13=0,COUNTIF(Esc_Tec1,$B4)+COUNTIF(Esc_Tec2,$B4)&gt;0,SUMPRODUCT('Calc_Mix'!$F$13:$S$13,'Matriz_Habilidades'!$D4:$Q4)=0),"",SUMPRODUCT('Calc_Mix'!$F$13:$S$13,'Matriz_Habilidades'!$D4:$Q4)/'Calc_Mix'!$T$13+ROW()*0.000001)</f>
        <v/>
      </c>
      <c r="P4" s="36">
        <f>IF(OR($B4="",$C4&lt;&gt;"Disponível",'Calc_Mix'!$T$14=0,COUNTIF(Esc_Tec1,$B4)+COUNTIF(Esc_Tec2,$B4)&gt;0,SUMPRODUCT('Calc_Mix'!$F$14:$S$14,'Matriz_Habilidades'!$D4:$Q4)=0),"",SUMPRODUCT('Calc_Mix'!$F$14:$S$14,'Matriz_Habilidades'!$D4:$Q4)/'Calc_Mix'!$T$14+ROW()*0.000001)</f>
        <v/>
      </c>
      <c r="Q4" s="36">
        <f>IF(OR($B4="",$C4&lt;&gt;"Disponível",'Calc_Mix'!$T$15=0,COUNTIF(Esc_Tec1,$B4)+COUNTIF(Esc_Tec2,$B4)&gt;0,SUMPRODUCT('Calc_Mix'!$F$15:$S$15,'Matriz_Habilidades'!$D4:$Q4)=0),"",SUMPRODUCT('Calc_Mix'!$F$15:$S$15,'Matriz_Habilidades'!$D4:$Q4)/'Calc_Mix'!$T$15+ROW()*0.000001)</f>
        <v/>
      </c>
      <c r="R4" s="36">
        <f>IF(OR($B4="",$C4&lt;&gt;"Disponível",'Calc_Mix'!$T$16=0,COUNTIF(Esc_Tec1,$B4)+COUNTIF(Esc_Tec2,$B4)&gt;0,SUMPRODUCT('Calc_Mix'!$F$16:$S$16,'Matriz_Habilidades'!$D4:$Q4)=0),"",SUMPRODUCT('Calc_Mix'!$F$16:$S$16,'Matriz_Habilidades'!$D4:$Q4)/'Calc_Mix'!$T$16+ROW()*0.000001)</f>
        <v/>
      </c>
      <c r="S4" s="36">
        <f>IF(OR($B4="",$C4&lt;&gt;"Disponível",'Calc_Mix'!$T$17=0,COUNTIF(Esc_Tec1,$B4)+COUNTIF(Esc_Tec2,$B4)&gt;0,SUMPRODUCT('Calc_Mix'!$F$17:$S$17,'Matriz_Habilidades'!$D4:$Q4)=0),"",SUMPRODUCT('Calc_Mix'!$F$17:$S$17,'Matriz_Habilidades'!$D4:$Q4)/'Calc_Mix'!$T$17+ROW()*0.000001)</f>
        <v/>
      </c>
    </row>
    <row r="5">
      <c r="A5" s="33">
        <f>IF('Matriz_Habilidades'!A5="","",'Matriz_Habilidades'!A5)</f>
        <v/>
      </c>
      <c r="B5" s="34">
        <f>IF('Matriz_Habilidades'!B5="","",'Matriz_Habilidades'!B5)</f>
        <v/>
      </c>
      <c r="C5" s="33">
        <f>IF($A5="","",IFERROR(INDEX(Equipe_Situacao,MATCH($B5,Equipe_Nome,0)),"?"))</f>
        <v/>
      </c>
      <c r="D5" s="36">
        <f>IF(OR($B5="",$C5&lt;&gt;"Disponível",'Calc_Mix'!$T$2=0,COUNTIF(Esc_Tec1,$B5)+COUNTIF(Esc_Tec2,$B5)&gt;0,SUMPRODUCT('Calc_Mix'!$F$2:$S$2,'Matriz_Habilidades'!$D5:$Q5)=0),"",SUMPRODUCT('Calc_Mix'!$F$2:$S$2,'Matriz_Habilidades'!$D5:$Q5)/'Calc_Mix'!$T$2+ROW()*0.000001)</f>
        <v/>
      </c>
      <c r="E5" s="36">
        <f>IF(OR($B5="",$C5&lt;&gt;"Disponível",'Calc_Mix'!$T$3=0,COUNTIF(Esc_Tec1,$B5)+COUNTIF(Esc_Tec2,$B5)&gt;0,SUMPRODUCT('Calc_Mix'!$F$3:$S$3,'Matriz_Habilidades'!$D5:$Q5)=0),"",SUMPRODUCT('Calc_Mix'!$F$3:$S$3,'Matriz_Habilidades'!$D5:$Q5)/'Calc_Mix'!$T$3+ROW()*0.000001)</f>
        <v/>
      </c>
      <c r="F5" s="36">
        <f>IF(OR($B5="",$C5&lt;&gt;"Disponível",'Calc_Mix'!$T$4=0,COUNTIF(Esc_Tec1,$B5)+COUNTIF(Esc_Tec2,$B5)&gt;0,SUMPRODUCT('Calc_Mix'!$F$4:$S$4,'Matriz_Habilidades'!$D5:$Q5)=0),"",SUMPRODUCT('Calc_Mix'!$F$4:$S$4,'Matriz_Habilidades'!$D5:$Q5)/'Calc_Mix'!$T$4+ROW()*0.000001)</f>
        <v/>
      </c>
      <c r="G5" s="36">
        <f>IF(OR($B5="",$C5&lt;&gt;"Disponível",'Calc_Mix'!$T$5=0,COUNTIF(Esc_Tec1,$B5)+COUNTIF(Esc_Tec2,$B5)&gt;0,SUMPRODUCT('Calc_Mix'!$F$5:$S$5,'Matriz_Habilidades'!$D5:$Q5)=0),"",SUMPRODUCT('Calc_Mix'!$F$5:$S$5,'Matriz_Habilidades'!$D5:$Q5)/'Calc_Mix'!$T$5+ROW()*0.000001)</f>
        <v/>
      </c>
      <c r="H5" s="36">
        <f>IF(OR($B5="",$C5&lt;&gt;"Disponível",'Calc_Mix'!$T$6=0,COUNTIF(Esc_Tec1,$B5)+COUNTIF(Esc_Tec2,$B5)&gt;0,SUMPRODUCT('Calc_Mix'!$F$6:$S$6,'Matriz_Habilidades'!$D5:$Q5)=0),"",SUMPRODUCT('Calc_Mix'!$F$6:$S$6,'Matriz_Habilidades'!$D5:$Q5)/'Calc_Mix'!$T$6+ROW()*0.000001)</f>
        <v/>
      </c>
      <c r="I5" s="36">
        <f>IF(OR($B5="",$C5&lt;&gt;"Disponível",'Calc_Mix'!$T$7=0,COUNTIF(Esc_Tec1,$B5)+COUNTIF(Esc_Tec2,$B5)&gt;0,SUMPRODUCT('Calc_Mix'!$F$7:$S$7,'Matriz_Habilidades'!$D5:$Q5)=0),"",SUMPRODUCT('Calc_Mix'!$F$7:$S$7,'Matriz_Habilidades'!$D5:$Q5)/'Calc_Mix'!$T$7+ROW()*0.000001)</f>
        <v/>
      </c>
      <c r="J5" s="36">
        <f>IF(OR($B5="",$C5&lt;&gt;"Disponível",'Calc_Mix'!$T$8=0,COUNTIF(Esc_Tec1,$B5)+COUNTIF(Esc_Tec2,$B5)&gt;0,SUMPRODUCT('Calc_Mix'!$F$8:$S$8,'Matriz_Habilidades'!$D5:$Q5)=0),"",SUMPRODUCT('Calc_Mix'!$F$8:$S$8,'Matriz_Habilidades'!$D5:$Q5)/'Calc_Mix'!$T$8+ROW()*0.000001)</f>
        <v/>
      </c>
      <c r="K5" s="36">
        <f>IF(OR($B5="",$C5&lt;&gt;"Disponível",'Calc_Mix'!$T$9=0,COUNTIF(Esc_Tec1,$B5)+COUNTIF(Esc_Tec2,$B5)&gt;0,SUMPRODUCT('Calc_Mix'!$F$9:$S$9,'Matriz_Habilidades'!$D5:$Q5)=0),"",SUMPRODUCT('Calc_Mix'!$F$9:$S$9,'Matriz_Habilidades'!$D5:$Q5)/'Calc_Mix'!$T$9+ROW()*0.000001)</f>
        <v/>
      </c>
      <c r="L5" s="36">
        <f>IF(OR($B5="",$C5&lt;&gt;"Disponível",'Calc_Mix'!$T$10=0,COUNTIF(Esc_Tec1,$B5)+COUNTIF(Esc_Tec2,$B5)&gt;0,SUMPRODUCT('Calc_Mix'!$F$10:$S$10,'Matriz_Habilidades'!$D5:$Q5)=0),"",SUMPRODUCT('Calc_Mix'!$F$10:$S$10,'Matriz_Habilidades'!$D5:$Q5)/'Calc_Mix'!$T$10+ROW()*0.000001)</f>
        <v/>
      </c>
      <c r="M5" s="36">
        <f>IF(OR($B5="",$C5&lt;&gt;"Disponível",'Calc_Mix'!$T$11=0,COUNTIF(Esc_Tec1,$B5)+COUNTIF(Esc_Tec2,$B5)&gt;0,SUMPRODUCT('Calc_Mix'!$F$11:$S$11,'Matriz_Habilidades'!$D5:$Q5)=0),"",SUMPRODUCT('Calc_Mix'!$F$11:$S$11,'Matriz_Habilidades'!$D5:$Q5)/'Calc_Mix'!$T$11+ROW()*0.000001)</f>
        <v/>
      </c>
      <c r="N5" s="36">
        <f>IF(OR($B5="",$C5&lt;&gt;"Disponível",'Calc_Mix'!$T$12=0,COUNTIF(Esc_Tec1,$B5)+COUNTIF(Esc_Tec2,$B5)&gt;0,SUMPRODUCT('Calc_Mix'!$F$12:$S$12,'Matriz_Habilidades'!$D5:$Q5)=0),"",SUMPRODUCT('Calc_Mix'!$F$12:$S$12,'Matriz_Habilidades'!$D5:$Q5)/'Calc_Mix'!$T$12+ROW()*0.000001)</f>
        <v/>
      </c>
      <c r="O5" s="36">
        <f>IF(OR($B5="",$C5&lt;&gt;"Disponível",'Calc_Mix'!$T$13=0,COUNTIF(Esc_Tec1,$B5)+COUNTIF(Esc_Tec2,$B5)&gt;0,SUMPRODUCT('Calc_Mix'!$F$13:$S$13,'Matriz_Habilidades'!$D5:$Q5)=0),"",SUMPRODUCT('Calc_Mix'!$F$13:$S$13,'Matriz_Habilidades'!$D5:$Q5)/'Calc_Mix'!$T$13+ROW()*0.000001)</f>
        <v/>
      </c>
      <c r="P5" s="36">
        <f>IF(OR($B5="",$C5&lt;&gt;"Disponível",'Calc_Mix'!$T$14=0,COUNTIF(Esc_Tec1,$B5)+COUNTIF(Esc_Tec2,$B5)&gt;0,SUMPRODUCT('Calc_Mix'!$F$14:$S$14,'Matriz_Habilidades'!$D5:$Q5)=0),"",SUMPRODUCT('Calc_Mix'!$F$14:$S$14,'Matriz_Habilidades'!$D5:$Q5)/'Calc_Mix'!$T$14+ROW()*0.000001)</f>
        <v/>
      </c>
      <c r="Q5" s="36">
        <f>IF(OR($B5="",$C5&lt;&gt;"Disponível",'Calc_Mix'!$T$15=0,COUNTIF(Esc_Tec1,$B5)+COUNTIF(Esc_Tec2,$B5)&gt;0,SUMPRODUCT('Calc_Mix'!$F$15:$S$15,'Matriz_Habilidades'!$D5:$Q5)=0),"",SUMPRODUCT('Calc_Mix'!$F$15:$S$15,'Matriz_Habilidades'!$D5:$Q5)/'Calc_Mix'!$T$15+ROW()*0.000001)</f>
        <v/>
      </c>
      <c r="R5" s="36">
        <f>IF(OR($B5="",$C5&lt;&gt;"Disponível",'Calc_Mix'!$T$16=0,COUNTIF(Esc_Tec1,$B5)+COUNTIF(Esc_Tec2,$B5)&gt;0,SUMPRODUCT('Calc_Mix'!$F$16:$S$16,'Matriz_Habilidades'!$D5:$Q5)=0),"",SUMPRODUCT('Calc_Mix'!$F$16:$S$16,'Matriz_Habilidades'!$D5:$Q5)/'Calc_Mix'!$T$16+ROW()*0.000001)</f>
        <v/>
      </c>
      <c r="S5" s="36">
        <f>IF(OR($B5="",$C5&lt;&gt;"Disponível",'Calc_Mix'!$T$17=0,COUNTIF(Esc_Tec1,$B5)+COUNTIF(Esc_Tec2,$B5)&gt;0,SUMPRODUCT('Calc_Mix'!$F$17:$S$17,'Matriz_Habilidades'!$D5:$Q5)=0),"",SUMPRODUCT('Calc_Mix'!$F$17:$S$17,'Matriz_Habilidades'!$D5:$Q5)/'Calc_Mix'!$T$17+ROW()*0.000001)</f>
        <v/>
      </c>
    </row>
    <row r="6">
      <c r="A6" s="33">
        <f>IF('Matriz_Habilidades'!A6="","",'Matriz_Habilidades'!A6)</f>
        <v/>
      </c>
      <c r="B6" s="34">
        <f>IF('Matriz_Habilidades'!B6="","",'Matriz_Habilidades'!B6)</f>
        <v/>
      </c>
      <c r="C6" s="33">
        <f>IF($A6="","",IFERROR(INDEX(Equipe_Situacao,MATCH($B6,Equipe_Nome,0)),"?"))</f>
        <v/>
      </c>
      <c r="D6" s="36">
        <f>IF(OR($B6="",$C6&lt;&gt;"Disponível",'Calc_Mix'!$T$2=0,COUNTIF(Esc_Tec1,$B6)+COUNTIF(Esc_Tec2,$B6)&gt;0,SUMPRODUCT('Calc_Mix'!$F$2:$S$2,'Matriz_Habilidades'!$D6:$Q6)=0),"",SUMPRODUCT('Calc_Mix'!$F$2:$S$2,'Matriz_Habilidades'!$D6:$Q6)/'Calc_Mix'!$T$2+ROW()*0.000001)</f>
        <v/>
      </c>
      <c r="E6" s="36">
        <f>IF(OR($B6="",$C6&lt;&gt;"Disponível",'Calc_Mix'!$T$3=0,COUNTIF(Esc_Tec1,$B6)+COUNTIF(Esc_Tec2,$B6)&gt;0,SUMPRODUCT('Calc_Mix'!$F$3:$S$3,'Matriz_Habilidades'!$D6:$Q6)=0),"",SUMPRODUCT('Calc_Mix'!$F$3:$S$3,'Matriz_Habilidades'!$D6:$Q6)/'Calc_Mix'!$T$3+ROW()*0.000001)</f>
        <v/>
      </c>
      <c r="F6" s="36">
        <f>IF(OR($B6="",$C6&lt;&gt;"Disponível",'Calc_Mix'!$T$4=0,COUNTIF(Esc_Tec1,$B6)+COUNTIF(Esc_Tec2,$B6)&gt;0,SUMPRODUCT('Calc_Mix'!$F$4:$S$4,'Matriz_Habilidades'!$D6:$Q6)=0),"",SUMPRODUCT('Calc_Mix'!$F$4:$S$4,'Matriz_Habilidades'!$D6:$Q6)/'Calc_Mix'!$T$4+ROW()*0.000001)</f>
        <v/>
      </c>
      <c r="G6" s="36">
        <f>IF(OR($B6="",$C6&lt;&gt;"Disponível",'Calc_Mix'!$T$5=0,COUNTIF(Esc_Tec1,$B6)+COUNTIF(Esc_Tec2,$B6)&gt;0,SUMPRODUCT('Calc_Mix'!$F$5:$S$5,'Matriz_Habilidades'!$D6:$Q6)=0),"",SUMPRODUCT('Calc_Mix'!$F$5:$S$5,'Matriz_Habilidades'!$D6:$Q6)/'Calc_Mix'!$T$5+ROW()*0.000001)</f>
        <v/>
      </c>
      <c r="H6" s="36">
        <f>IF(OR($B6="",$C6&lt;&gt;"Disponível",'Calc_Mix'!$T$6=0,COUNTIF(Esc_Tec1,$B6)+COUNTIF(Esc_Tec2,$B6)&gt;0,SUMPRODUCT('Calc_Mix'!$F$6:$S$6,'Matriz_Habilidades'!$D6:$Q6)=0),"",SUMPRODUCT('Calc_Mix'!$F$6:$S$6,'Matriz_Habilidades'!$D6:$Q6)/'Calc_Mix'!$T$6+ROW()*0.000001)</f>
        <v/>
      </c>
      <c r="I6" s="36">
        <f>IF(OR($B6="",$C6&lt;&gt;"Disponível",'Calc_Mix'!$T$7=0,COUNTIF(Esc_Tec1,$B6)+COUNTIF(Esc_Tec2,$B6)&gt;0,SUMPRODUCT('Calc_Mix'!$F$7:$S$7,'Matriz_Habilidades'!$D6:$Q6)=0),"",SUMPRODUCT('Calc_Mix'!$F$7:$S$7,'Matriz_Habilidades'!$D6:$Q6)/'Calc_Mix'!$T$7+ROW()*0.000001)</f>
        <v/>
      </c>
      <c r="J6" s="36">
        <f>IF(OR($B6="",$C6&lt;&gt;"Disponível",'Calc_Mix'!$T$8=0,COUNTIF(Esc_Tec1,$B6)+COUNTIF(Esc_Tec2,$B6)&gt;0,SUMPRODUCT('Calc_Mix'!$F$8:$S$8,'Matriz_Habilidades'!$D6:$Q6)=0),"",SUMPRODUCT('Calc_Mix'!$F$8:$S$8,'Matriz_Habilidades'!$D6:$Q6)/'Calc_Mix'!$T$8+ROW()*0.000001)</f>
        <v/>
      </c>
      <c r="K6" s="36">
        <f>IF(OR($B6="",$C6&lt;&gt;"Disponível",'Calc_Mix'!$T$9=0,COUNTIF(Esc_Tec1,$B6)+COUNTIF(Esc_Tec2,$B6)&gt;0,SUMPRODUCT('Calc_Mix'!$F$9:$S$9,'Matriz_Habilidades'!$D6:$Q6)=0),"",SUMPRODUCT('Calc_Mix'!$F$9:$S$9,'Matriz_Habilidades'!$D6:$Q6)/'Calc_Mix'!$T$9+ROW()*0.000001)</f>
        <v/>
      </c>
      <c r="L6" s="36">
        <f>IF(OR($B6="",$C6&lt;&gt;"Disponível",'Calc_Mix'!$T$10=0,COUNTIF(Esc_Tec1,$B6)+COUNTIF(Esc_Tec2,$B6)&gt;0,SUMPRODUCT('Calc_Mix'!$F$10:$S$10,'Matriz_Habilidades'!$D6:$Q6)=0),"",SUMPRODUCT('Calc_Mix'!$F$10:$S$10,'Matriz_Habilidades'!$D6:$Q6)/'Calc_Mix'!$T$10+ROW()*0.000001)</f>
        <v/>
      </c>
      <c r="M6" s="36">
        <f>IF(OR($B6="",$C6&lt;&gt;"Disponível",'Calc_Mix'!$T$11=0,COUNTIF(Esc_Tec1,$B6)+COUNTIF(Esc_Tec2,$B6)&gt;0,SUMPRODUCT('Calc_Mix'!$F$11:$S$11,'Matriz_Habilidades'!$D6:$Q6)=0),"",SUMPRODUCT('Calc_Mix'!$F$11:$S$11,'Matriz_Habilidades'!$D6:$Q6)/'Calc_Mix'!$T$11+ROW()*0.000001)</f>
        <v/>
      </c>
      <c r="N6" s="36">
        <f>IF(OR($B6="",$C6&lt;&gt;"Disponível",'Calc_Mix'!$T$12=0,COUNTIF(Esc_Tec1,$B6)+COUNTIF(Esc_Tec2,$B6)&gt;0,SUMPRODUCT('Calc_Mix'!$F$12:$S$12,'Matriz_Habilidades'!$D6:$Q6)=0),"",SUMPRODUCT('Calc_Mix'!$F$12:$S$12,'Matriz_Habilidades'!$D6:$Q6)/'Calc_Mix'!$T$12+ROW()*0.000001)</f>
        <v/>
      </c>
      <c r="O6" s="36">
        <f>IF(OR($B6="",$C6&lt;&gt;"Disponível",'Calc_Mix'!$T$13=0,COUNTIF(Esc_Tec1,$B6)+COUNTIF(Esc_Tec2,$B6)&gt;0,SUMPRODUCT('Calc_Mix'!$F$13:$S$13,'Matriz_Habilidades'!$D6:$Q6)=0),"",SUMPRODUCT('Calc_Mix'!$F$13:$S$13,'Matriz_Habilidades'!$D6:$Q6)/'Calc_Mix'!$T$13+ROW()*0.000001)</f>
        <v/>
      </c>
      <c r="P6" s="36">
        <f>IF(OR($B6="",$C6&lt;&gt;"Disponível",'Calc_Mix'!$T$14=0,COUNTIF(Esc_Tec1,$B6)+COUNTIF(Esc_Tec2,$B6)&gt;0,SUMPRODUCT('Calc_Mix'!$F$14:$S$14,'Matriz_Habilidades'!$D6:$Q6)=0),"",SUMPRODUCT('Calc_Mix'!$F$14:$S$14,'Matriz_Habilidades'!$D6:$Q6)/'Calc_Mix'!$T$14+ROW()*0.000001)</f>
        <v/>
      </c>
      <c r="Q6" s="36">
        <f>IF(OR($B6="",$C6&lt;&gt;"Disponível",'Calc_Mix'!$T$15=0,COUNTIF(Esc_Tec1,$B6)+COUNTIF(Esc_Tec2,$B6)&gt;0,SUMPRODUCT('Calc_Mix'!$F$15:$S$15,'Matriz_Habilidades'!$D6:$Q6)=0),"",SUMPRODUCT('Calc_Mix'!$F$15:$S$15,'Matriz_Habilidades'!$D6:$Q6)/'Calc_Mix'!$T$15+ROW()*0.000001)</f>
        <v/>
      </c>
      <c r="R6" s="36">
        <f>IF(OR($B6="",$C6&lt;&gt;"Disponível",'Calc_Mix'!$T$16=0,COUNTIF(Esc_Tec1,$B6)+COUNTIF(Esc_Tec2,$B6)&gt;0,SUMPRODUCT('Calc_Mix'!$F$16:$S$16,'Matriz_Habilidades'!$D6:$Q6)=0),"",SUMPRODUCT('Calc_Mix'!$F$16:$S$16,'Matriz_Habilidades'!$D6:$Q6)/'Calc_Mix'!$T$16+ROW()*0.000001)</f>
        <v/>
      </c>
      <c r="S6" s="36">
        <f>IF(OR($B6="",$C6&lt;&gt;"Disponível",'Calc_Mix'!$T$17=0,COUNTIF(Esc_Tec1,$B6)+COUNTIF(Esc_Tec2,$B6)&gt;0,SUMPRODUCT('Calc_Mix'!$F$17:$S$17,'Matriz_Habilidades'!$D6:$Q6)=0),"",SUMPRODUCT('Calc_Mix'!$F$17:$S$17,'Matriz_Habilidades'!$D6:$Q6)/'Calc_Mix'!$T$17+ROW()*0.000001)</f>
        <v/>
      </c>
    </row>
    <row r="7">
      <c r="A7" s="33">
        <f>IF('Matriz_Habilidades'!A7="","",'Matriz_Habilidades'!A7)</f>
        <v/>
      </c>
      <c r="B7" s="34">
        <f>IF('Matriz_Habilidades'!B7="","",'Matriz_Habilidades'!B7)</f>
        <v/>
      </c>
      <c r="C7" s="33">
        <f>IF($A7="","",IFERROR(INDEX(Equipe_Situacao,MATCH($B7,Equipe_Nome,0)),"?"))</f>
        <v/>
      </c>
      <c r="D7" s="36">
        <f>IF(OR($B7="",$C7&lt;&gt;"Disponível",'Calc_Mix'!$T$2=0,COUNTIF(Esc_Tec1,$B7)+COUNTIF(Esc_Tec2,$B7)&gt;0,SUMPRODUCT('Calc_Mix'!$F$2:$S$2,'Matriz_Habilidades'!$D7:$Q7)=0),"",SUMPRODUCT('Calc_Mix'!$F$2:$S$2,'Matriz_Habilidades'!$D7:$Q7)/'Calc_Mix'!$T$2+ROW()*0.000001)</f>
        <v/>
      </c>
      <c r="E7" s="36">
        <f>IF(OR($B7="",$C7&lt;&gt;"Disponível",'Calc_Mix'!$T$3=0,COUNTIF(Esc_Tec1,$B7)+COUNTIF(Esc_Tec2,$B7)&gt;0,SUMPRODUCT('Calc_Mix'!$F$3:$S$3,'Matriz_Habilidades'!$D7:$Q7)=0),"",SUMPRODUCT('Calc_Mix'!$F$3:$S$3,'Matriz_Habilidades'!$D7:$Q7)/'Calc_Mix'!$T$3+ROW()*0.000001)</f>
        <v/>
      </c>
      <c r="F7" s="36">
        <f>IF(OR($B7="",$C7&lt;&gt;"Disponível",'Calc_Mix'!$T$4=0,COUNTIF(Esc_Tec1,$B7)+COUNTIF(Esc_Tec2,$B7)&gt;0,SUMPRODUCT('Calc_Mix'!$F$4:$S$4,'Matriz_Habilidades'!$D7:$Q7)=0),"",SUMPRODUCT('Calc_Mix'!$F$4:$S$4,'Matriz_Habilidades'!$D7:$Q7)/'Calc_Mix'!$T$4+ROW()*0.000001)</f>
        <v/>
      </c>
      <c r="G7" s="36">
        <f>IF(OR($B7="",$C7&lt;&gt;"Disponível",'Calc_Mix'!$T$5=0,COUNTIF(Esc_Tec1,$B7)+COUNTIF(Esc_Tec2,$B7)&gt;0,SUMPRODUCT('Calc_Mix'!$F$5:$S$5,'Matriz_Habilidades'!$D7:$Q7)=0),"",SUMPRODUCT('Calc_Mix'!$F$5:$S$5,'Matriz_Habilidades'!$D7:$Q7)/'Calc_Mix'!$T$5+ROW()*0.000001)</f>
        <v/>
      </c>
      <c r="H7" s="36">
        <f>IF(OR($B7="",$C7&lt;&gt;"Disponível",'Calc_Mix'!$T$6=0,COUNTIF(Esc_Tec1,$B7)+COUNTIF(Esc_Tec2,$B7)&gt;0,SUMPRODUCT('Calc_Mix'!$F$6:$S$6,'Matriz_Habilidades'!$D7:$Q7)=0),"",SUMPRODUCT('Calc_Mix'!$F$6:$S$6,'Matriz_Habilidades'!$D7:$Q7)/'Calc_Mix'!$T$6+ROW()*0.000001)</f>
        <v/>
      </c>
      <c r="I7" s="36">
        <f>IF(OR($B7="",$C7&lt;&gt;"Disponível",'Calc_Mix'!$T$7=0,COUNTIF(Esc_Tec1,$B7)+COUNTIF(Esc_Tec2,$B7)&gt;0,SUMPRODUCT('Calc_Mix'!$F$7:$S$7,'Matriz_Habilidades'!$D7:$Q7)=0),"",SUMPRODUCT('Calc_Mix'!$F$7:$S$7,'Matriz_Habilidades'!$D7:$Q7)/'Calc_Mix'!$T$7+ROW()*0.000001)</f>
        <v/>
      </c>
      <c r="J7" s="36">
        <f>IF(OR($B7="",$C7&lt;&gt;"Disponível",'Calc_Mix'!$T$8=0,COUNTIF(Esc_Tec1,$B7)+COUNTIF(Esc_Tec2,$B7)&gt;0,SUMPRODUCT('Calc_Mix'!$F$8:$S$8,'Matriz_Habilidades'!$D7:$Q7)=0),"",SUMPRODUCT('Calc_Mix'!$F$8:$S$8,'Matriz_Habilidades'!$D7:$Q7)/'Calc_Mix'!$T$8+ROW()*0.000001)</f>
        <v/>
      </c>
      <c r="K7" s="36">
        <f>IF(OR($B7="",$C7&lt;&gt;"Disponível",'Calc_Mix'!$T$9=0,COUNTIF(Esc_Tec1,$B7)+COUNTIF(Esc_Tec2,$B7)&gt;0,SUMPRODUCT('Calc_Mix'!$F$9:$S$9,'Matriz_Habilidades'!$D7:$Q7)=0),"",SUMPRODUCT('Calc_Mix'!$F$9:$S$9,'Matriz_Habilidades'!$D7:$Q7)/'Calc_Mix'!$T$9+ROW()*0.000001)</f>
        <v/>
      </c>
      <c r="L7" s="36">
        <f>IF(OR($B7="",$C7&lt;&gt;"Disponível",'Calc_Mix'!$T$10=0,COUNTIF(Esc_Tec1,$B7)+COUNTIF(Esc_Tec2,$B7)&gt;0,SUMPRODUCT('Calc_Mix'!$F$10:$S$10,'Matriz_Habilidades'!$D7:$Q7)=0),"",SUMPRODUCT('Calc_Mix'!$F$10:$S$10,'Matriz_Habilidades'!$D7:$Q7)/'Calc_Mix'!$T$10+ROW()*0.000001)</f>
        <v/>
      </c>
      <c r="M7" s="36">
        <f>IF(OR($B7="",$C7&lt;&gt;"Disponível",'Calc_Mix'!$T$11=0,COUNTIF(Esc_Tec1,$B7)+COUNTIF(Esc_Tec2,$B7)&gt;0,SUMPRODUCT('Calc_Mix'!$F$11:$S$11,'Matriz_Habilidades'!$D7:$Q7)=0),"",SUMPRODUCT('Calc_Mix'!$F$11:$S$11,'Matriz_Habilidades'!$D7:$Q7)/'Calc_Mix'!$T$11+ROW()*0.000001)</f>
        <v/>
      </c>
      <c r="N7" s="36">
        <f>IF(OR($B7="",$C7&lt;&gt;"Disponível",'Calc_Mix'!$T$12=0,COUNTIF(Esc_Tec1,$B7)+COUNTIF(Esc_Tec2,$B7)&gt;0,SUMPRODUCT('Calc_Mix'!$F$12:$S$12,'Matriz_Habilidades'!$D7:$Q7)=0),"",SUMPRODUCT('Calc_Mix'!$F$12:$S$12,'Matriz_Habilidades'!$D7:$Q7)/'Calc_Mix'!$T$12+ROW()*0.000001)</f>
        <v/>
      </c>
      <c r="O7" s="36">
        <f>IF(OR($B7="",$C7&lt;&gt;"Disponível",'Calc_Mix'!$T$13=0,COUNTIF(Esc_Tec1,$B7)+COUNTIF(Esc_Tec2,$B7)&gt;0,SUMPRODUCT('Calc_Mix'!$F$13:$S$13,'Matriz_Habilidades'!$D7:$Q7)=0),"",SUMPRODUCT('Calc_Mix'!$F$13:$S$13,'Matriz_Habilidades'!$D7:$Q7)/'Calc_Mix'!$T$13+ROW()*0.000001)</f>
        <v/>
      </c>
      <c r="P7" s="36">
        <f>IF(OR($B7="",$C7&lt;&gt;"Disponível",'Calc_Mix'!$T$14=0,COUNTIF(Esc_Tec1,$B7)+COUNTIF(Esc_Tec2,$B7)&gt;0,SUMPRODUCT('Calc_Mix'!$F$14:$S$14,'Matriz_Habilidades'!$D7:$Q7)=0),"",SUMPRODUCT('Calc_Mix'!$F$14:$S$14,'Matriz_Habilidades'!$D7:$Q7)/'Calc_Mix'!$T$14+ROW()*0.000001)</f>
        <v/>
      </c>
      <c r="Q7" s="36">
        <f>IF(OR($B7="",$C7&lt;&gt;"Disponível",'Calc_Mix'!$T$15=0,COUNTIF(Esc_Tec1,$B7)+COUNTIF(Esc_Tec2,$B7)&gt;0,SUMPRODUCT('Calc_Mix'!$F$15:$S$15,'Matriz_Habilidades'!$D7:$Q7)=0),"",SUMPRODUCT('Calc_Mix'!$F$15:$S$15,'Matriz_Habilidades'!$D7:$Q7)/'Calc_Mix'!$T$15+ROW()*0.000001)</f>
        <v/>
      </c>
      <c r="R7" s="36">
        <f>IF(OR($B7="",$C7&lt;&gt;"Disponível",'Calc_Mix'!$T$16=0,COUNTIF(Esc_Tec1,$B7)+COUNTIF(Esc_Tec2,$B7)&gt;0,SUMPRODUCT('Calc_Mix'!$F$16:$S$16,'Matriz_Habilidades'!$D7:$Q7)=0),"",SUMPRODUCT('Calc_Mix'!$F$16:$S$16,'Matriz_Habilidades'!$D7:$Q7)/'Calc_Mix'!$T$16+ROW()*0.000001)</f>
        <v/>
      </c>
      <c r="S7" s="36">
        <f>IF(OR($B7="",$C7&lt;&gt;"Disponível",'Calc_Mix'!$T$17=0,COUNTIF(Esc_Tec1,$B7)+COUNTIF(Esc_Tec2,$B7)&gt;0,SUMPRODUCT('Calc_Mix'!$F$17:$S$17,'Matriz_Habilidades'!$D7:$Q7)=0),"",SUMPRODUCT('Calc_Mix'!$F$17:$S$17,'Matriz_Habilidades'!$D7:$Q7)/'Calc_Mix'!$T$17+ROW()*0.000001)</f>
        <v/>
      </c>
    </row>
    <row r="8">
      <c r="A8" s="33">
        <f>IF('Matriz_Habilidades'!A8="","",'Matriz_Habilidades'!A8)</f>
        <v/>
      </c>
      <c r="B8" s="34">
        <f>IF('Matriz_Habilidades'!B8="","",'Matriz_Habilidades'!B8)</f>
        <v/>
      </c>
      <c r="C8" s="33">
        <f>IF($A8="","",IFERROR(INDEX(Equipe_Situacao,MATCH($B8,Equipe_Nome,0)),"?"))</f>
        <v/>
      </c>
      <c r="D8" s="36">
        <f>IF(OR($B8="",$C8&lt;&gt;"Disponível",'Calc_Mix'!$T$2=0,COUNTIF(Esc_Tec1,$B8)+COUNTIF(Esc_Tec2,$B8)&gt;0,SUMPRODUCT('Calc_Mix'!$F$2:$S$2,'Matriz_Habilidades'!$D8:$Q8)=0),"",SUMPRODUCT('Calc_Mix'!$F$2:$S$2,'Matriz_Habilidades'!$D8:$Q8)/'Calc_Mix'!$T$2+ROW()*0.000001)</f>
        <v/>
      </c>
      <c r="E8" s="36">
        <f>IF(OR($B8="",$C8&lt;&gt;"Disponível",'Calc_Mix'!$T$3=0,COUNTIF(Esc_Tec1,$B8)+COUNTIF(Esc_Tec2,$B8)&gt;0,SUMPRODUCT('Calc_Mix'!$F$3:$S$3,'Matriz_Habilidades'!$D8:$Q8)=0),"",SUMPRODUCT('Calc_Mix'!$F$3:$S$3,'Matriz_Habilidades'!$D8:$Q8)/'Calc_Mix'!$T$3+ROW()*0.000001)</f>
        <v/>
      </c>
      <c r="F8" s="36">
        <f>IF(OR($B8="",$C8&lt;&gt;"Disponível",'Calc_Mix'!$T$4=0,COUNTIF(Esc_Tec1,$B8)+COUNTIF(Esc_Tec2,$B8)&gt;0,SUMPRODUCT('Calc_Mix'!$F$4:$S$4,'Matriz_Habilidades'!$D8:$Q8)=0),"",SUMPRODUCT('Calc_Mix'!$F$4:$S$4,'Matriz_Habilidades'!$D8:$Q8)/'Calc_Mix'!$T$4+ROW()*0.000001)</f>
        <v/>
      </c>
      <c r="G8" s="36">
        <f>IF(OR($B8="",$C8&lt;&gt;"Disponível",'Calc_Mix'!$T$5=0,COUNTIF(Esc_Tec1,$B8)+COUNTIF(Esc_Tec2,$B8)&gt;0,SUMPRODUCT('Calc_Mix'!$F$5:$S$5,'Matriz_Habilidades'!$D8:$Q8)=0),"",SUMPRODUCT('Calc_Mix'!$F$5:$S$5,'Matriz_Habilidades'!$D8:$Q8)/'Calc_Mix'!$T$5+ROW()*0.000001)</f>
        <v/>
      </c>
      <c r="H8" s="36">
        <f>IF(OR($B8="",$C8&lt;&gt;"Disponível",'Calc_Mix'!$T$6=0,COUNTIF(Esc_Tec1,$B8)+COUNTIF(Esc_Tec2,$B8)&gt;0,SUMPRODUCT('Calc_Mix'!$F$6:$S$6,'Matriz_Habilidades'!$D8:$Q8)=0),"",SUMPRODUCT('Calc_Mix'!$F$6:$S$6,'Matriz_Habilidades'!$D8:$Q8)/'Calc_Mix'!$T$6+ROW()*0.000001)</f>
        <v/>
      </c>
      <c r="I8" s="36">
        <f>IF(OR($B8="",$C8&lt;&gt;"Disponível",'Calc_Mix'!$T$7=0,COUNTIF(Esc_Tec1,$B8)+COUNTIF(Esc_Tec2,$B8)&gt;0,SUMPRODUCT('Calc_Mix'!$F$7:$S$7,'Matriz_Habilidades'!$D8:$Q8)=0),"",SUMPRODUCT('Calc_Mix'!$F$7:$S$7,'Matriz_Habilidades'!$D8:$Q8)/'Calc_Mix'!$T$7+ROW()*0.000001)</f>
        <v/>
      </c>
      <c r="J8" s="36">
        <f>IF(OR($B8="",$C8&lt;&gt;"Disponível",'Calc_Mix'!$T$8=0,COUNTIF(Esc_Tec1,$B8)+COUNTIF(Esc_Tec2,$B8)&gt;0,SUMPRODUCT('Calc_Mix'!$F$8:$S$8,'Matriz_Habilidades'!$D8:$Q8)=0),"",SUMPRODUCT('Calc_Mix'!$F$8:$S$8,'Matriz_Habilidades'!$D8:$Q8)/'Calc_Mix'!$T$8+ROW()*0.000001)</f>
        <v/>
      </c>
      <c r="K8" s="36">
        <f>IF(OR($B8="",$C8&lt;&gt;"Disponível",'Calc_Mix'!$T$9=0,COUNTIF(Esc_Tec1,$B8)+COUNTIF(Esc_Tec2,$B8)&gt;0,SUMPRODUCT('Calc_Mix'!$F$9:$S$9,'Matriz_Habilidades'!$D8:$Q8)=0),"",SUMPRODUCT('Calc_Mix'!$F$9:$S$9,'Matriz_Habilidades'!$D8:$Q8)/'Calc_Mix'!$T$9+ROW()*0.000001)</f>
        <v/>
      </c>
      <c r="L8" s="36">
        <f>IF(OR($B8="",$C8&lt;&gt;"Disponível",'Calc_Mix'!$T$10=0,COUNTIF(Esc_Tec1,$B8)+COUNTIF(Esc_Tec2,$B8)&gt;0,SUMPRODUCT('Calc_Mix'!$F$10:$S$10,'Matriz_Habilidades'!$D8:$Q8)=0),"",SUMPRODUCT('Calc_Mix'!$F$10:$S$10,'Matriz_Habilidades'!$D8:$Q8)/'Calc_Mix'!$T$10+ROW()*0.000001)</f>
        <v/>
      </c>
      <c r="M8" s="36">
        <f>IF(OR($B8="",$C8&lt;&gt;"Disponível",'Calc_Mix'!$T$11=0,COUNTIF(Esc_Tec1,$B8)+COUNTIF(Esc_Tec2,$B8)&gt;0,SUMPRODUCT('Calc_Mix'!$F$11:$S$11,'Matriz_Habilidades'!$D8:$Q8)=0),"",SUMPRODUCT('Calc_Mix'!$F$11:$S$11,'Matriz_Habilidades'!$D8:$Q8)/'Calc_Mix'!$T$11+ROW()*0.000001)</f>
        <v/>
      </c>
      <c r="N8" s="36">
        <f>IF(OR($B8="",$C8&lt;&gt;"Disponível",'Calc_Mix'!$T$12=0,COUNTIF(Esc_Tec1,$B8)+COUNTIF(Esc_Tec2,$B8)&gt;0,SUMPRODUCT('Calc_Mix'!$F$12:$S$12,'Matriz_Habilidades'!$D8:$Q8)=0),"",SUMPRODUCT('Calc_Mix'!$F$12:$S$12,'Matriz_Habilidades'!$D8:$Q8)/'Calc_Mix'!$T$12+ROW()*0.000001)</f>
        <v/>
      </c>
      <c r="O8" s="36">
        <f>IF(OR($B8="",$C8&lt;&gt;"Disponível",'Calc_Mix'!$T$13=0,COUNTIF(Esc_Tec1,$B8)+COUNTIF(Esc_Tec2,$B8)&gt;0,SUMPRODUCT('Calc_Mix'!$F$13:$S$13,'Matriz_Habilidades'!$D8:$Q8)=0),"",SUMPRODUCT('Calc_Mix'!$F$13:$S$13,'Matriz_Habilidades'!$D8:$Q8)/'Calc_Mix'!$T$13+ROW()*0.000001)</f>
        <v/>
      </c>
      <c r="P8" s="36">
        <f>IF(OR($B8="",$C8&lt;&gt;"Disponível",'Calc_Mix'!$T$14=0,COUNTIF(Esc_Tec1,$B8)+COUNTIF(Esc_Tec2,$B8)&gt;0,SUMPRODUCT('Calc_Mix'!$F$14:$S$14,'Matriz_Habilidades'!$D8:$Q8)=0),"",SUMPRODUCT('Calc_Mix'!$F$14:$S$14,'Matriz_Habilidades'!$D8:$Q8)/'Calc_Mix'!$T$14+ROW()*0.000001)</f>
        <v/>
      </c>
      <c r="Q8" s="36">
        <f>IF(OR($B8="",$C8&lt;&gt;"Disponível",'Calc_Mix'!$T$15=0,COUNTIF(Esc_Tec1,$B8)+COUNTIF(Esc_Tec2,$B8)&gt;0,SUMPRODUCT('Calc_Mix'!$F$15:$S$15,'Matriz_Habilidades'!$D8:$Q8)=0),"",SUMPRODUCT('Calc_Mix'!$F$15:$S$15,'Matriz_Habilidades'!$D8:$Q8)/'Calc_Mix'!$T$15+ROW()*0.000001)</f>
        <v/>
      </c>
      <c r="R8" s="36">
        <f>IF(OR($B8="",$C8&lt;&gt;"Disponível",'Calc_Mix'!$T$16=0,COUNTIF(Esc_Tec1,$B8)+COUNTIF(Esc_Tec2,$B8)&gt;0,SUMPRODUCT('Calc_Mix'!$F$16:$S$16,'Matriz_Habilidades'!$D8:$Q8)=0),"",SUMPRODUCT('Calc_Mix'!$F$16:$S$16,'Matriz_Habilidades'!$D8:$Q8)/'Calc_Mix'!$T$16+ROW()*0.000001)</f>
        <v/>
      </c>
      <c r="S8" s="36">
        <f>IF(OR($B8="",$C8&lt;&gt;"Disponível",'Calc_Mix'!$T$17=0,COUNTIF(Esc_Tec1,$B8)+COUNTIF(Esc_Tec2,$B8)&gt;0,SUMPRODUCT('Calc_Mix'!$F$17:$S$17,'Matriz_Habilidades'!$D8:$Q8)=0),"",SUMPRODUCT('Calc_Mix'!$F$17:$S$17,'Matriz_Habilidades'!$D8:$Q8)/'Calc_Mix'!$T$17+ROW()*0.000001)</f>
        <v/>
      </c>
    </row>
    <row r="9">
      <c r="A9" s="33">
        <f>IF('Matriz_Habilidades'!A9="","",'Matriz_Habilidades'!A9)</f>
        <v/>
      </c>
      <c r="B9" s="34">
        <f>IF('Matriz_Habilidades'!B9="","",'Matriz_Habilidades'!B9)</f>
        <v/>
      </c>
      <c r="C9" s="33">
        <f>IF($A9="","",IFERROR(INDEX(Equipe_Situacao,MATCH($B9,Equipe_Nome,0)),"?"))</f>
        <v/>
      </c>
      <c r="D9" s="36">
        <f>IF(OR($B9="",$C9&lt;&gt;"Disponível",'Calc_Mix'!$T$2=0,COUNTIF(Esc_Tec1,$B9)+COUNTIF(Esc_Tec2,$B9)&gt;0,SUMPRODUCT('Calc_Mix'!$F$2:$S$2,'Matriz_Habilidades'!$D9:$Q9)=0),"",SUMPRODUCT('Calc_Mix'!$F$2:$S$2,'Matriz_Habilidades'!$D9:$Q9)/'Calc_Mix'!$T$2+ROW()*0.000001)</f>
        <v/>
      </c>
      <c r="E9" s="36">
        <f>IF(OR($B9="",$C9&lt;&gt;"Disponível",'Calc_Mix'!$T$3=0,COUNTIF(Esc_Tec1,$B9)+COUNTIF(Esc_Tec2,$B9)&gt;0,SUMPRODUCT('Calc_Mix'!$F$3:$S$3,'Matriz_Habilidades'!$D9:$Q9)=0),"",SUMPRODUCT('Calc_Mix'!$F$3:$S$3,'Matriz_Habilidades'!$D9:$Q9)/'Calc_Mix'!$T$3+ROW()*0.000001)</f>
        <v/>
      </c>
      <c r="F9" s="36">
        <f>IF(OR($B9="",$C9&lt;&gt;"Disponível",'Calc_Mix'!$T$4=0,COUNTIF(Esc_Tec1,$B9)+COUNTIF(Esc_Tec2,$B9)&gt;0,SUMPRODUCT('Calc_Mix'!$F$4:$S$4,'Matriz_Habilidades'!$D9:$Q9)=0),"",SUMPRODUCT('Calc_Mix'!$F$4:$S$4,'Matriz_Habilidades'!$D9:$Q9)/'Calc_Mix'!$T$4+ROW()*0.000001)</f>
        <v/>
      </c>
      <c r="G9" s="36">
        <f>IF(OR($B9="",$C9&lt;&gt;"Disponível",'Calc_Mix'!$T$5=0,COUNTIF(Esc_Tec1,$B9)+COUNTIF(Esc_Tec2,$B9)&gt;0,SUMPRODUCT('Calc_Mix'!$F$5:$S$5,'Matriz_Habilidades'!$D9:$Q9)=0),"",SUMPRODUCT('Calc_Mix'!$F$5:$S$5,'Matriz_Habilidades'!$D9:$Q9)/'Calc_Mix'!$T$5+ROW()*0.000001)</f>
        <v/>
      </c>
      <c r="H9" s="36">
        <f>IF(OR($B9="",$C9&lt;&gt;"Disponível",'Calc_Mix'!$T$6=0,COUNTIF(Esc_Tec1,$B9)+COUNTIF(Esc_Tec2,$B9)&gt;0,SUMPRODUCT('Calc_Mix'!$F$6:$S$6,'Matriz_Habilidades'!$D9:$Q9)=0),"",SUMPRODUCT('Calc_Mix'!$F$6:$S$6,'Matriz_Habilidades'!$D9:$Q9)/'Calc_Mix'!$T$6+ROW()*0.000001)</f>
        <v/>
      </c>
      <c r="I9" s="36">
        <f>IF(OR($B9="",$C9&lt;&gt;"Disponível",'Calc_Mix'!$T$7=0,COUNTIF(Esc_Tec1,$B9)+COUNTIF(Esc_Tec2,$B9)&gt;0,SUMPRODUCT('Calc_Mix'!$F$7:$S$7,'Matriz_Habilidades'!$D9:$Q9)=0),"",SUMPRODUCT('Calc_Mix'!$F$7:$S$7,'Matriz_Habilidades'!$D9:$Q9)/'Calc_Mix'!$T$7+ROW()*0.000001)</f>
        <v/>
      </c>
      <c r="J9" s="36">
        <f>IF(OR($B9="",$C9&lt;&gt;"Disponível",'Calc_Mix'!$T$8=0,COUNTIF(Esc_Tec1,$B9)+COUNTIF(Esc_Tec2,$B9)&gt;0,SUMPRODUCT('Calc_Mix'!$F$8:$S$8,'Matriz_Habilidades'!$D9:$Q9)=0),"",SUMPRODUCT('Calc_Mix'!$F$8:$S$8,'Matriz_Habilidades'!$D9:$Q9)/'Calc_Mix'!$T$8+ROW()*0.000001)</f>
        <v/>
      </c>
      <c r="K9" s="36">
        <f>IF(OR($B9="",$C9&lt;&gt;"Disponível",'Calc_Mix'!$T$9=0,COUNTIF(Esc_Tec1,$B9)+COUNTIF(Esc_Tec2,$B9)&gt;0,SUMPRODUCT('Calc_Mix'!$F$9:$S$9,'Matriz_Habilidades'!$D9:$Q9)=0),"",SUMPRODUCT('Calc_Mix'!$F$9:$S$9,'Matriz_Habilidades'!$D9:$Q9)/'Calc_Mix'!$T$9+ROW()*0.000001)</f>
        <v/>
      </c>
      <c r="L9" s="36">
        <f>IF(OR($B9="",$C9&lt;&gt;"Disponível",'Calc_Mix'!$T$10=0,COUNTIF(Esc_Tec1,$B9)+COUNTIF(Esc_Tec2,$B9)&gt;0,SUMPRODUCT('Calc_Mix'!$F$10:$S$10,'Matriz_Habilidades'!$D9:$Q9)=0),"",SUMPRODUCT('Calc_Mix'!$F$10:$S$10,'Matriz_Habilidades'!$D9:$Q9)/'Calc_Mix'!$T$10+ROW()*0.000001)</f>
        <v/>
      </c>
      <c r="M9" s="36">
        <f>IF(OR($B9="",$C9&lt;&gt;"Disponível",'Calc_Mix'!$T$11=0,COUNTIF(Esc_Tec1,$B9)+COUNTIF(Esc_Tec2,$B9)&gt;0,SUMPRODUCT('Calc_Mix'!$F$11:$S$11,'Matriz_Habilidades'!$D9:$Q9)=0),"",SUMPRODUCT('Calc_Mix'!$F$11:$S$11,'Matriz_Habilidades'!$D9:$Q9)/'Calc_Mix'!$T$11+ROW()*0.000001)</f>
        <v/>
      </c>
      <c r="N9" s="36">
        <f>IF(OR($B9="",$C9&lt;&gt;"Disponível",'Calc_Mix'!$T$12=0,COUNTIF(Esc_Tec1,$B9)+COUNTIF(Esc_Tec2,$B9)&gt;0,SUMPRODUCT('Calc_Mix'!$F$12:$S$12,'Matriz_Habilidades'!$D9:$Q9)=0),"",SUMPRODUCT('Calc_Mix'!$F$12:$S$12,'Matriz_Habilidades'!$D9:$Q9)/'Calc_Mix'!$T$12+ROW()*0.000001)</f>
        <v/>
      </c>
      <c r="O9" s="36">
        <f>IF(OR($B9="",$C9&lt;&gt;"Disponível",'Calc_Mix'!$T$13=0,COUNTIF(Esc_Tec1,$B9)+COUNTIF(Esc_Tec2,$B9)&gt;0,SUMPRODUCT('Calc_Mix'!$F$13:$S$13,'Matriz_Habilidades'!$D9:$Q9)=0),"",SUMPRODUCT('Calc_Mix'!$F$13:$S$13,'Matriz_Habilidades'!$D9:$Q9)/'Calc_Mix'!$T$13+ROW()*0.000001)</f>
        <v/>
      </c>
      <c r="P9" s="36">
        <f>IF(OR($B9="",$C9&lt;&gt;"Disponível",'Calc_Mix'!$T$14=0,COUNTIF(Esc_Tec1,$B9)+COUNTIF(Esc_Tec2,$B9)&gt;0,SUMPRODUCT('Calc_Mix'!$F$14:$S$14,'Matriz_Habilidades'!$D9:$Q9)=0),"",SUMPRODUCT('Calc_Mix'!$F$14:$S$14,'Matriz_Habilidades'!$D9:$Q9)/'Calc_Mix'!$T$14+ROW()*0.000001)</f>
        <v/>
      </c>
      <c r="Q9" s="36">
        <f>IF(OR($B9="",$C9&lt;&gt;"Disponível",'Calc_Mix'!$T$15=0,COUNTIF(Esc_Tec1,$B9)+COUNTIF(Esc_Tec2,$B9)&gt;0,SUMPRODUCT('Calc_Mix'!$F$15:$S$15,'Matriz_Habilidades'!$D9:$Q9)=0),"",SUMPRODUCT('Calc_Mix'!$F$15:$S$15,'Matriz_Habilidades'!$D9:$Q9)/'Calc_Mix'!$T$15+ROW()*0.000001)</f>
        <v/>
      </c>
      <c r="R9" s="36">
        <f>IF(OR($B9="",$C9&lt;&gt;"Disponível",'Calc_Mix'!$T$16=0,COUNTIF(Esc_Tec1,$B9)+COUNTIF(Esc_Tec2,$B9)&gt;0,SUMPRODUCT('Calc_Mix'!$F$16:$S$16,'Matriz_Habilidades'!$D9:$Q9)=0),"",SUMPRODUCT('Calc_Mix'!$F$16:$S$16,'Matriz_Habilidades'!$D9:$Q9)/'Calc_Mix'!$T$16+ROW()*0.000001)</f>
        <v/>
      </c>
      <c r="S9" s="36">
        <f>IF(OR($B9="",$C9&lt;&gt;"Disponível",'Calc_Mix'!$T$17=0,COUNTIF(Esc_Tec1,$B9)+COUNTIF(Esc_Tec2,$B9)&gt;0,SUMPRODUCT('Calc_Mix'!$F$17:$S$17,'Matriz_Habilidades'!$D9:$Q9)=0),"",SUMPRODUCT('Calc_Mix'!$F$17:$S$17,'Matriz_Habilidades'!$D9:$Q9)/'Calc_Mix'!$T$17+ROW()*0.000001)</f>
        <v/>
      </c>
    </row>
    <row r="10">
      <c r="A10" s="33">
        <f>IF('Matriz_Habilidades'!A10="","",'Matriz_Habilidades'!A10)</f>
        <v/>
      </c>
      <c r="B10" s="34">
        <f>IF('Matriz_Habilidades'!B10="","",'Matriz_Habilidades'!B10)</f>
        <v/>
      </c>
      <c r="C10" s="33">
        <f>IF($A10="","",IFERROR(INDEX(Equipe_Situacao,MATCH($B10,Equipe_Nome,0)),"?"))</f>
        <v/>
      </c>
      <c r="D10" s="36">
        <f>IF(OR($B10="",$C10&lt;&gt;"Disponível",'Calc_Mix'!$T$2=0,COUNTIF(Esc_Tec1,$B10)+COUNTIF(Esc_Tec2,$B10)&gt;0,SUMPRODUCT('Calc_Mix'!$F$2:$S$2,'Matriz_Habilidades'!$D10:$Q10)=0),"",SUMPRODUCT('Calc_Mix'!$F$2:$S$2,'Matriz_Habilidades'!$D10:$Q10)/'Calc_Mix'!$T$2+ROW()*0.000001)</f>
        <v/>
      </c>
      <c r="E10" s="36">
        <f>IF(OR($B10="",$C10&lt;&gt;"Disponível",'Calc_Mix'!$T$3=0,COUNTIF(Esc_Tec1,$B10)+COUNTIF(Esc_Tec2,$B10)&gt;0,SUMPRODUCT('Calc_Mix'!$F$3:$S$3,'Matriz_Habilidades'!$D10:$Q10)=0),"",SUMPRODUCT('Calc_Mix'!$F$3:$S$3,'Matriz_Habilidades'!$D10:$Q10)/'Calc_Mix'!$T$3+ROW()*0.000001)</f>
        <v/>
      </c>
      <c r="F10" s="36">
        <f>IF(OR($B10="",$C10&lt;&gt;"Disponível",'Calc_Mix'!$T$4=0,COUNTIF(Esc_Tec1,$B10)+COUNTIF(Esc_Tec2,$B10)&gt;0,SUMPRODUCT('Calc_Mix'!$F$4:$S$4,'Matriz_Habilidades'!$D10:$Q10)=0),"",SUMPRODUCT('Calc_Mix'!$F$4:$S$4,'Matriz_Habilidades'!$D10:$Q10)/'Calc_Mix'!$T$4+ROW()*0.000001)</f>
        <v/>
      </c>
      <c r="G10" s="36">
        <f>IF(OR($B10="",$C10&lt;&gt;"Disponível",'Calc_Mix'!$T$5=0,COUNTIF(Esc_Tec1,$B10)+COUNTIF(Esc_Tec2,$B10)&gt;0,SUMPRODUCT('Calc_Mix'!$F$5:$S$5,'Matriz_Habilidades'!$D10:$Q10)=0),"",SUMPRODUCT('Calc_Mix'!$F$5:$S$5,'Matriz_Habilidades'!$D10:$Q10)/'Calc_Mix'!$T$5+ROW()*0.000001)</f>
        <v/>
      </c>
      <c r="H10" s="36">
        <f>IF(OR($B10="",$C10&lt;&gt;"Disponível",'Calc_Mix'!$T$6=0,COUNTIF(Esc_Tec1,$B10)+COUNTIF(Esc_Tec2,$B10)&gt;0,SUMPRODUCT('Calc_Mix'!$F$6:$S$6,'Matriz_Habilidades'!$D10:$Q10)=0),"",SUMPRODUCT('Calc_Mix'!$F$6:$S$6,'Matriz_Habilidades'!$D10:$Q10)/'Calc_Mix'!$T$6+ROW()*0.000001)</f>
        <v/>
      </c>
      <c r="I10" s="36">
        <f>IF(OR($B10="",$C10&lt;&gt;"Disponível",'Calc_Mix'!$T$7=0,COUNTIF(Esc_Tec1,$B10)+COUNTIF(Esc_Tec2,$B10)&gt;0,SUMPRODUCT('Calc_Mix'!$F$7:$S$7,'Matriz_Habilidades'!$D10:$Q10)=0),"",SUMPRODUCT('Calc_Mix'!$F$7:$S$7,'Matriz_Habilidades'!$D10:$Q10)/'Calc_Mix'!$T$7+ROW()*0.000001)</f>
        <v/>
      </c>
      <c r="J10" s="36">
        <f>IF(OR($B10="",$C10&lt;&gt;"Disponível",'Calc_Mix'!$T$8=0,COUNTIF(Esc_Tec1,$B10)+COUNTIF(Esc_Tec2,$B10)&gt;0,SUMPRODUCT('Calc_Mix'!$F$8:$S$8,'Matriz_Habilidades'!$D10:$Q10)=0),"",SUMPRODUCT('Calc_Mix'!$F$8:$S$8,'Matriz_Habilidades'!$D10:$Q10)/'Calc_Mix'!$T$8+ROW()*0.000001)</f>
        <v/>
      </c>
      <c r="K10" s="36">
        <f>IF(OR($B10="",$C10&lt;&gt;"Disponível",'Calc_Mix'!$T$9=0,COUNTIF(Esc_Tec1,$B10)+COUNTIF(Esc_Tec2,$B10)&gt;0,SUMPRODUCT('Calc_Mix'!$F$9:$S$9,'Matriz_Habilidades'!$D10:$Q10)=0),"",SUMPRODUCT('Calc_Mix'!$F$9:$S$9,'Matriz_Habilidades'!$D10:$Q10)/'Calc_Mix'!$T$9+ROW()*0.000001)</f>
        <v/>
      </c>
      <c r="L10" s="36">
        <f>IF(OR($B10="",$C10&lt;&gt;"Disponível",'Calc_Mix'!$T$10=0,COUNTIF(Esc_Tec1,$B10)+COUNTIF(Esc_Tec2,$B10)&gt;0,SUMPRODUCT('Calc_Mix'!$F$10:$S$10,'Matriz_Habilidades'!$D10:$Q10)=0),"",SUMPRODUCT('Calc_Mix'!$F$10:$S$10,'Matriz_Habilidades'!$D10:$Q10)/'Calc_Mix'!$T$10+ROW()*0.000001)</f>
        <v/>
      </c>
      <c r="M10" s="36">
        <f>IF(OR($B10="",$C10&lt;&gt;"Disponível",'Calc_Mix'!$T$11=0,COUNTIF(Esc_Tec1,$B10)+COUNTIF(Esc_Tec2,$B10)&gt;0,SUMPRODUCT('Calc_Mix'!$F$11:$S$11,'Matriz_Habilidades'!$D10:$Q10)=0),"",SUMPRODUCT('Calc_Mix'!$F$11:$S$11,'Matriz_Habilidades'!$D10:$Q10)/'Calc_Mix'!$T$11+ROW()*0.000001)</f>
        <v/>
      </c>
      <c r="N10" s="36">
        <f>IF(OR($B10="",$C10&lt;&gt;"Disponível",'Calc_Mix'!$T$12=0,COUNTIF(Esc_Tec1,$B10)+COUNTIF(Esc_Tec2,$B10)&gt;0,SUMPRODUCT('Calc_Mix'!$F$12:$S$12,'Matriz_Habilidades'!$D10:$Q10)=0),"",SUMPRODUCT('Calc_Mix'!$F$12:$S$12,'Matriz_Habilidades'!$D10:$Q10)/'Calc_Mix'!$T$12+ROW()*0.000001)</f>
        <v/>
      </c>
      <c r="O10" s="36">
        <f>IF(OR($B10="",$C10&lt;&gt;"Disponível",'Calc_Mix'!$T$13=0,COUNTIF(Esc_Tec1,$B10)+COUNTIF(Esc_Tec2,$B10)&gt;0,SUMPRODUCT('Calc_Mix'!$F$13:$S$13,'Matriz_Habilidades'!$D10:$Q10)=0),"",SUMPRODUCT('Calc_Mix'!$F$13:$S$13,'Matriz_Habilidades'!$D10:$Q10)/'Calc_Mix'!$T$13+ROW()*0.000001)</f>
        <v/>
      </c>
      <c r="P10" s="36">
        <f>IF(OR($B10="",$C10&lt;&gt;"Disponível",'Calc_Mix'!$T$14=0,COUNTIF(Esc_Tec1,$B10)+COUNTIF(Esc_Tec2,$B10)&gt;0,SUMPRODUCT('Calc_Mix'!$F$14:$S$14,'Matriz_Habilidades'!$D10:$Q10)=0),"",SUMPRODUCT('Calc_Mix'!$F$14:$S$14,'Matriz_Habilidades'!$D10:$Q10)/'Calc_Mix'!$T$14+ROW()*0.000001)</f>
        <v/>
      </c>
      <c r="Q10" s="36">
        <f>IF(OR($B10="",$C10&lt;&gt;"Disponível",'Calc_Mix'!$T$15=0,COUNTIF(Esc_Tec1,$B10)+COUNTIF(Esc_Tec2,$B10)&gt;0,SUMPRODUCT('Calc_Mix'!$F$15:$S$15,'Matriz_Habilidades'!$D10:$Q10)=0),"",SUMPRODUCT('Calc_Mix'!$F$15:$S$15,'Matriz_Habilidades'!$D10:$Q10)/'Calc_Mix'!$T$15+ROW()*0.000001)</f>
        <v/>
      </c>
      <c r="R10" s="36">
        <f>IF(OR($B10="",$C10&lt;&gt;"Disponível",'Calc_Mix'!$T$16=0,COUNTIF(Esc_Tec1,$B10)+COUNTIF(Esc_Tec2,$B10)&gt;0,SUMPRODUCT('Calc_Mix'!$F$16:$S$16,'Matriz_Habilidades'!$D10:$Q10)=0),"",SUMPRODUCT('Calc_Mix'!$F$16:$S$16,'Matriz_Habilidades'!$D10:$Q10)/'Calc_Mix'!$T$16+ROW()*0.000001)</f>
        <v/>
      </c>
      <c r="S10" s="36">
        <f>IF(OR($B10="",$C10&lt;&gt;"Disponível",'Calc_Mix'!$T$17=0,COUNTIF(Esc_Tec1,$B10)+COUNTIF(Esc_Tec2,$B10)&gt;0,SUMPRODUCT('Calc_Mix'!$F$17:$S$17,'Matriz_Habilidades'!$D10:$Q10)=0),"",SUMPRODUCT('Calc_Mix'!$F$17:$S$17,'Matriz_Habilidades'!$D10:$Q10)/'Calc_Mix'!$T$17+ROW()*0.000001)</f>
        <v/>
      </c>
    </row>
    <row r="11">
      <c r="A11" s="33">
        <f>IF('Matriz_Habilidades'!A11="","",'Matriz_Habilidades'!A11)</f>
        <v/>
      </c>
      <c r="B11" s="34">
        <f>IF('Matriz_Habilidades'!B11="","",'Matriz_Habilidades'!B11)</f>
        <v/>
      </c>
      <c r="C11" s="33">
        <f>IF($A11="","",IFERROR(INDEX(Equipe_Situacao,MATCH($B11,Equipe_Nome,0)),"?"))</f>
        <v/>
      </c>
      <c r="D11" s="36">
        <f>IF(OR($B11="",$C11&lt;&gt;"Disponível",'Calc_Mix'!$T$2=0,COUNTIF(Esc_Tec1,$B11)+COUNTIF(Esc_Tec2,$B11)&gt;0,SUMPRODUCT('Calc_Mix'!$F$2:$S$2,'Matriz_Habilidades'!$D11:$Q11)=0),"",SUMPRODUCT('Calc_Mix'!$F$2:$S$2,'Matriz_Habilidades'!$D11:$Q11)/'Calc_Mix'!$T$2+ROW()*0.000001)</f>
        <v/>
      </c>
      <c r="E11" s="36">
        <f>IF(OR($B11="",$C11&lt;&gt;"Disponível",'Calc_Mix'!$T$3=0,COUNTIF(Esc_Tec1,$B11)+COUNTIF(Esc_Tec2,$B11)&gt;0,SUMPRODUCT('Calc_Mix'!$F$3:$S$3,'Matriz_Habilidades'!$D11:$Q11)=0),"",SUMPRODUCT('Calc_Mix'!$F$3:$S$3,'Matriz_Habilidades'!$D11:$Q11)/'Calc_Mix'!$T$3+ROW()*0.000001)</f>
        <v/>
      </c>
      <c r="F11" s="36">
        <f>IF(OR($B11="",$C11&lt;&gt;"Disponível",'Calc_Mix'!$T$4=0,COUNTIF(Esc_Tec1,$B11)+COUNTIF(Esc_Tec2,$B11)&gt;0,SUMPRODUCT('Calc_Mix'!$F$4:$S$4,'Matriz_Habilidades'!$D11:$Q11)=0),"",SUMPRODUCT('Calc_Mix'!$F$4:$S$4,'Matriz_Habilidades'!$D11:$Q11)/'Calc_Mix'!$T$4+ROW()*0.000001)</f>
        <v/>
      </c>
      <c r="G11" s="36">
        <f>IF(OR($B11="",$C11&lt;&gt;"Disponível",'Calc_Mix'!$T$5=0,COUNTIF(Esc_Tec1,$B11)+COUNTIF(Esc_Tec2,$B11)&gt;0,SUMPRODUCT('Calc_Mix'!$F$5:$S$5,'Matriz_Habilidades'!$D11:$Q11)=0),"",SUMPRODUCT('Calc_Mix'!$F$5:$S$5,'Matriz_Habilidades'!$D11:$Q11)/'Calc_Mix'!$T$5+ROW()*0.000001)</f>
        <v/>
      </c>
      <c r="H11" s="36">
        <f>IF(OR($B11="",$C11&lt;&gt;"Disponível",'Calc_Mix'!$T$6=0,COUNTIF(Esc_Tec1,$B11)+COUNTIF(Esc_Tec2,$B11)&gt;0,SUMPRODUCT('Calc_Mix'!$F$6:$S$6,'Matriz_Habilidades'!$D11:$Q11)=0),"",SUMPRODUCT('Calc_Mix'!$F$6:$S$6,'Matriz_Habilidades'!$D11:$Q11)/'Calc_Mix'!$T$6+ROW()*0.000001)</f>
        <v/>
      </c>
      <c r="I11" s="36">
        <f>IF(OR($B11="",$C11&lt;&gt;"Disponível",'Calc_Mix'!$T$7=0,COUNTIF(Esc_Tec1,$B11)+COUNTIF(Esc_Tec2,$B11)&gt;0,SUMPRODUCT('Calc_Mix'!$F$7:$S$7,'Matriz_Habilidades'!$D11:$Q11)=0),"",SUMPRODUCT('Calc_Mix'!$F$7:$S$7,'Matriz_Habilidades'!$D11:$Q11)/'Calc_Mix'!$T$7+ROW()*0.000001)</f>
        <v/>
      </c>
      <c r="J11" s="36">
        <f>IF(OR($B11="",$C11&lt;&gt;"Disponível",'Calc_Mix'!$T$8=0,COUNTIF(Esc_Tec1,$B11)+COUNTIF(Esc_Tec2,$B11)&gt;0,SUMPRODUCT('Calc_Mix'!$F$8:$S$8,'Matriz_Habilidades'!$D11:$Q11)=0),"",SUMPRODUCT('Calc_Mix'!$F$8:$S$8,'Matriz_Habilidades'!$D11:$Q11)/'Calc_Mix'!$T$8+ROW()*0.000001)</f>
        <v/>
      </c>
      <c r="K11" s="36">
        <f>IF(OR($B11="",$C11&lt;&gt;"Disponível",'Calc_Mix'!$T$9=0,COUNTIF(Esc_Tec1,$B11)+COUNTIF(Esc_Tec2,$B11)&gt;0,SUMPRODUCT('Calc_Mix'!$F$9:$S$9,'Matriz_Habilidades'!$D11:$Q11)=0),"",SUMPRODUCT('Calc_Mix'!$F$9:$S$9,'Matriz_Habilidades'!$D11:$Q11)/'Calc_Mix'!$T$9+ROW()*0.000001)</f>
        <v/>
      </c>
      <c r="L11" s="36">
        <f>IF(OR($B11="",$C11&lt;&gt;"Disponível",'Calc_Mix'!$T$10=0,COUNTIF(Esc_Tec1,$B11)+COUNTIF(Esc_Tec2,$B11)&gt;0,SUMPRODUCT('Calc_Mix'!$F$10:$S$10,'Matriz_Habilidades'!$D11:$Q11)=0),"",SUMPRODUCT('Calc_Mix'!$F$10:$S$10,'Matriz_Habilidades'!$D11:$Q11)/'Calc_Mix'!$T$10+ROW()*0.000001)</f>
        <v/>
      </c>
      <c r="M11" s="36">
        <f>IF(OR($B11="",$C11&lt;&gt;"Disponível",'Calc_Mix'!$T$11=0,COUNTIF(Esc_Tec1,$B11)+COUNTIF(Esc_Tec2,$B11)&gt;0,SUMPRODUCT('Calc_Mix'!$F$11:$S$11,'Matriz_Habilidades'!$D11:$Q11)=0),"",SUMPRODUCT('Calc_Mix'!$F$11:$S$11,'Matriz_Habilidades'!$D11:$Q11)/'Calc_Mix'!$T$11+ROW()*0.000001)</f>
        <v/>
      </c>
      <c r="N11" s="36">
        <f>IF(OR($B11="",$C11&lt;&gt;"Disponível",'Calc_Mix'!$T$12=0,COUNTIF(Esc_Tec1,$B11)+COUNTIF(Esc_Tec2,$B11)&gt;0,SUMPRODUCT('Calc_Mix'!$F$12:$S$12,'Matriz_Habilidades'!$D11:$Q11)=0),"",SUMPRODUCT('Calc_Mix'!$F$12:$S$12,'Matriz_Habilidades'!$D11:$Q11)/'Calc_Mix'!$T$12+ROW()*0.000001)</f>
        <v/>
      </c>
      <c r="O11" s="36">
        <f>IF(OR($B11="",$C11&lt;&gt;"Disponível",'Calc_Mix'!$T$13=0,COUNTIF(Esc_Tec1,$B11)+COUNTIF(Esc_Tec2,$B11)&gt;0,SUMPRODUCT('Calc_Mix'!$F$13:$S$13,'Matriz_Habilidades'!$D11:$Q11)=0),"",SUMPRODUCT('Calc_Mix'!$F$13:$S$13,'Matriz_Habilidades'!$D11:$Q11)/'Calc_Mix'!$T$13+ROW()*0.000001)</f>
        <v/>
      </c>
      <c r="P11" s="36">
        <f>IF(OR($B11="",$C11&lt;&gt;"Disponível",'Calc_Mix'!$T$14=0,COUNTIF(Esc_Tec1,$B11)+COUNTIF(Esc_Tec2,$B11)&gt;0,SUMPRODUCT('Calc_Mix'!$F$14:$S$14,'Matriz_Habilidades'!$D11:$Q11)=0),"",SUMPRODUCT('Calc_Mix'!$F$14:$S$14,'Matriz_Habilidades'!$D11:$Q11)/'Calc_Mix'!$T$14+ROW()*0.000001)</f>
        <v/>
      </c>
      <c r="Q11" s="36">
        <f>IF(OR($B11="",$C11&lt;&gt;"Disponível",'Calc_Mix'!$T$15=0,COUNTIF(Esc_Tec1,$B11)+COUNTIF(Esc_Tec2,$B11)&gt;0,SUMPRODUCT('Calc_Mix'!$F$15:$S$15,'Matriz_Habilidades'!$D11:$Q11)=0),"",SUMPRODUCT('Calc_Mix'!$F$15:$S$15,'Matriz_Habilidades'!$D11:$Q11)/'Calc_Mix'!$T$15+ROW()*0.000001)</f>
        <v/>
      </c>
      <c r="R11" s="36">
        <f>IF(OR($B11="",$C11&lt;&gt;"Disponível",'Calc_Mix'!$T$16=0,COUNTIF(Esc_Tec1,$B11)+COUNTIF(Esc_Tec2,$B11)&gt;0,SUMPRODUCT('Calc_Mix'!$F$16:$S$16,'Matriz_Habilidades'!$D11:$Q11)=0),"",SUMPRODUCT('Calc_Mix'!$F$16:$S$16,'Matriz_Habilidades'!$D11:$Q11)/'Calc_Mix'!$T$16+ROW()*0.000001)</f>
        <v/>
      </c>
      <c r="S11" s="36">
        <f>IF(OR($B11="",$C11&lt;&gt;"Disponível",'Calc_Mix'!$T$17=0,COUNTIF(Esc_Tec1,$B11)+COUNTIF(Esc_Tec2,$B11)&gt;0,SUMPRODUCT('Calc_Mix'!$F$17:$S$17,'Matriz_Habilidades'!$D11:$Q11)=0),"",SUMPRODUCT('Calc_Mix'!$F$17:$S$17,'Matriz_Habilidades'!$D11:$Q11)/'Calc_Mix'!$T$17+ROW()*0.000001)</f>
        <v/>
      </c>
    </row>
    <row r="12">
      <c r="A12" s="33">
        <f>IF('Matriz_Habilidades'!A12="","",'Matriz_Habilidades'!A12)</f>
        <v/>
      </c>
      <c r="B12" s="34">
        <f>IF('Matriz_Habilidades'!B12="","",'Matriz_Habilidades'!B12)</f>
        <v/>
      </c>
      <c r="C12" s="33">
        <f>IF($A12="","",IFERROR(INDEX(Equipe_Situacao,MATCH($B12,Equipe_Nome,0)),"?"))</f>
        <v/>
      </c>
      <c r="D12" s="36">
        <f>IF(OR($B12="",$C12&lt;&gt;"Disponível",'Calc_Mix'!$T$2=0,COUNTIF(Esc_Tec1,$B12)+COUNTIF(Esc_Tec2,$B12)&gt;0,SUMPRODUCT('Calc_Mix'!$F$2:$S$2,'Matriz_Habilidades'!$D12:$Q12)=0),"",SUMPRODUCT('Calc_Mix'!$F$2:$S$2,'Matriz_Habilidades'!$D12:$Q12)/'Calc_Mix'!$T$2+ROW()*0.000001)</f>
        <v/>
      </c>
      <c r="E12" s="36">
        <f>IF(OR($B12="",$C12&lt;&gt;"Disponível",'Calc_Mix'!$T$3=0,COUNTIF(Esc_Tec1,$B12)+COUNTIF(Esc_Tec2,$B12)&gt;0,SUMPRODUCT('Calc_Mix'!$F$3:$S$3,'Matriz_Habilidades'!$D12:$Q12)=0),"",SUMPRODUCT('Calc_Mix'!$F$3:$S$3,'Matriz_Habilidades'!$D12:$Q12)/'Calc_Mix'!$T$3+ROW()*0.000001)</f>
        <v/>
      </c>
      <c r="F12" s="36">
        <f>IF(OR($B12="",$C12&lt;&gt;"Disponível",'Calc_Mix'!$T$4=0,COUNTIF(Esc_Tec1,$B12)+COUNTIF(Esc_Tec2,$B12)&gt;0,SUMPRODUCT('Calc_Mix'!$F$4:$S$4,'Matriz_Habilidades'!$D12:$Q12)=0),"",SUMPRODUCT('Calc_Mix'!$F$4:$S$4,'Matriz_Habilidades'!$D12:$Q12)/'Calc_Mix'!$T$4+ROW()*0.000001)</f>
        <v/>
      </c>
      <c r="G12" s="36">
        <f>IF(OR($B12="",$C12&lt;&gt;"Disponível",'Calc_Mix'!$T$5=0,COUNTIF(Esc_Tec1,$B12)+COUNTIF(Esc_Tec2,$B12)&gt;0,SUMPRODUCT('Calc_Mix'!$F$5:$S$5,'Matriz_Habilidades'!$D12:$Q12)=0),"",SUMPRODUCT('Calc_Mix'!$F$5:$S$5,'Matriz_Habilidades'!$D12:$Q12)/'Calc_Mix'!$T$5+ROW()*0.000001)</f>
        <v/>
      </c>
      <c r="H12" s="36">
        <f>IF(OR($B12="",$C12&lt;&gt;"Disponível",'Calc_Mix'!$T$6=0,COUNTIF(Esc_Tec1,$B12)+COUNTIF(Esc_Tec2,$B12)&gt;0,SUMPRODUCT('Calc_Mix'!$F$6:$S$6,'Matriz_Habilidades'!$D12:$Q12)=0),"",SUMPRODUCT('Calc_Mix'!$F$6:$S$6,'Matriz_Habilidades'!$D12:$Q12)/'Calc_Mix'!$T$6+ROW()*0.000001)</f>
        <v/>
      </c>
      <c r="I12" s="36">
        <f>IF(OR($B12="",$C12&lt;&gt;"Disponível",'Calc_Mix'!$T$7=0,COUNTIF(Esc_Tec1,$B12)+COUNTIF(Esc_Tec2,$B12)&gt;0,SUMPRODUCT('Calc_Mix'!$F$7:$S$7,'Matriz_Habilidades'!$D12:$Q12)=0),"",SUMPRODUCT('Calc_Mix'!$F$7:$S$7,'Matriz_Habilidades'!$D12:$Q12)/'Calc_Mix'!$T$7+ROW()*0.000001)</f>
        <v/>
      </c>
      <c r="J12" s="36">
        <f>IF(OR($B12="",$C12&lt;&gt;"Disponível",'Calc_Mix'!$T$8=0,COUNTIF(Esc_Tec1,$B12)+COUNTIF(Esc_Tec2,$B12)&gt;0,SUMPRODUCT('Calc_Mix'!$F$8:$S$8,'Matriz_Habilidades'!$D12:$Q12)=0),"",SUMPRODUCT('Calc_Mix'!$F$8:$S$8,'Matriz_Habilidades'!$D12:$Q12)/'Calc_Mix'!$T$8+ROW()*0.000001)</f>
        <v/>
      </c>
      <c r="K12" s="36">
        <f>IF(OR($B12="",$C12&lt;&gt;"Disponível",'Calc_Mix'!$T$9=0,COUNTIF(Esc_Tec1,$B12)+COUNTIF(Esc_Tec2,$B12)&gt;0,SUMPRODUCT('Calc_Mix'!$F$9:$S$9,'Matriz_Habilidades'!$D12:$Q12)=0),"",SUMPRODUCT('Calc_Mix'!$F$9:$S$9,'Matriz_Habilidades'!$D12:$Q12)/'Calc_Mix'!$T$9+ROW()*0.000001)</f>
        <v/>
      </c>
      <c r="L12" s="36">
        <f>IF(OR($B12="",$C12&lt;&gt;"Disponível",'Calc_Mix'!$T$10=0,COUNTIF(Esc_Tec1,$B12)+COUNTIF(Esc_Tec2,$B12)&gt;0,SUMPRODUCT('Calc_Mix'!$F$10:$S$10,'Matriz_Habilidades'!$D12:$Q12)=0),"",SUMPRODUCT('Calc_Mix'!$F$10:$S$10,'Matriz_Habilidades'!$D12:$Q12)/'Calc_Mix'!$T$10+ROW()*0.000001)</f>
        <v/>
      </c>
      <c r="M12" s="36">
        <f>IF(OR($B12="",$C12&lt;&gt;"Disponível",'Calc_Mix'!$T$11=0,COUNTIF(Esc_Tec1,$B12)+COUNTIF(Esc_Tec2,$B12)&gt;0,SUMPRODUCT('Calc_Mix'!$F$11:$S$11,'Matriz_Habilidades'!$D12:$Q12)=0),"",SUMPRODUCT('Calc_Mix'!$F$11:$S$11,'Matriz_Habilidades'!$D12:$Q12)/'Calc_Mix'!$T$11+ROW()*0.000001)</f>
        <v/>
      </c>
      <c r="N12" s="36">
        <f>IF(OR($B12="",$C12&lt;&gt;"Disponível",'Calc_Mix'!$T$12=0,COUNTIF(Esc_Tec1,$B12)+COUNTIF(Esc_Tec2,$B12)&gt;0,SUMPRODUCT('Calc_Mix'!$F$12:$S$12,'Matriz_Habilidades'!$D12:$Q12)=0),"",SUMPRODUCT('Calc_Mix'!$F$12:$S$12,'Matriz_Habilidades'!$D12:$Q12)/'Calc_Mix'!$T$12+ROW()*0.000001)</f>
        <v/>
      </c>
      <c r="O12" s="36">
        <f>IF(OR($B12="",$C12&lt;&gt;"Disponível",'Calc_Mix'!$T$13=0,COUNTIF(Esc_Tec1,$B12)+COUNTIF(Esc_Tec2,$B12)&gt;0,SUMPRODUCT('Calc_Mix'!$F$13:$S$13,'Matriz_Habilidades'!$D12:$Q12)=0),"",SUMPRODUCT('Calc_Mix'!$F$13:$S$13,'Matriz_Habilidades'!$D12:$Q12)/'Calc_Mix'!$T$13+ROW()*0.000001)</f>
        <v/>
      </c>
      <c r="P12" s="36">
        <f>IF(OR($B12="",$C12&lt;&gt;"Disponível",'Calc_Mix'!$T$14=0,COUNTIF(Esc_Tec1,$B12)+COUNTIF(Esc_Tec2,$B12)&gt;0,SUMPRODUCT('Calc_Mix'!$F$14:$S$14,'Matriz_Habilidades'!$D12:$Q12)=0),"",SUMPRODUCT('Calc_Mix'!$F$14:$S$14,'Matriz_Habilidades'!$D12:$Q12)/'Calc_Mix'!$T$14+ROW()*0.000001)</f>
        <v/>
      </c>
      <c r="Q12" s="36">
        <f>IF(OR($B12="",$C12&lt;&gt;"Disponível",'Calc_Mix'!$T$15=0,COUNTIF(Esc_Tec1,$B12)+COUNTIF(Esc_Tec2,$B12)&gt;0,SUMPRODUCT('Calc_Mix'!$F$15:$S$15,'Matriz_Habilidades'!$D12:$Q12)=0),"",SUMPRODUCT('Calc_Mix'!$F$15:$S$15,'Matriz_Habilidades'!$D12:$Q12)/'Calc_Mix'!$T$15+ROW()*0.000001)</f>
        <v/>
      </c>
      <c r="R12" s="36">
        <f>IF(OR($B12="",$C12&lt;&gt;"Disponível",'Calc_Mix'!$T$16=0,COUNTIF(Esc_Tec1,$B12)+COUNTIF(Esc_Tec2,$B12)&gt;0,SUMPRODUCT('Calc_Mix'!$F$16:$S$16,'Matriz_Habilidades'!$D12:$Q12)=0),"",SUMPRODUCT('Calc_Mix'!$F$16:$S$16,'Matriz_Habilidades'!$D12:$Q12)/'Calc_Mix'!$T$16+ROW()*0.000001)</f>
        <v/>
      </c>
      <c r="S12" s="36">
        <f>IF(OR($B12="",$C12&lt;&gt;"Disponível",'Calc_Mix'!$T$17=0,COUNTIF(Esc_Tec1,$B12)+COUNTIF(Esc_Tec2,$B12)&gt;0,SUMPRODUCT('Calc_Mix'!$F$17:$S$17,'Matriz_Habilidades'!$D12:$Q12)=0),"",SUMPRODUCT('Calc_Mix'!$F$17:$S$17,'Matriz_Habilidades'!$D12:$Q12)/'Calc_Mix'!$T$17+ROW()*0.000001)</f>
        <v/>
      </c>
    </row>
    <row r="13">
      <c r="A13" s="33">
        <f>IF('Matriz_Habilidades'!A13="","",'Matriz_Habilidades'!A13)</f>
        <v/>
      </c>
      <c r="B13" s="34">
        <f>IF('Matriz_Habilidades'!B13="","",'Matriz_Habilidades'!B13)</f>
        <v/>
      </c>
      <c r="C13" s="33">
        <f>IF($A13="","",IFERROR(INDEX(Equipe_Situacao,MATCH($B13,Equipe_Nome,0)),"?"))</f>
        <v/>
      </c>
      <c r="D13" s="36">
        <f>IF(OR($B13="",$C13&lt;&gt;"Disponível",'Calc_Mix'!$T$2=0,COUNTIF(Esc_Tec1,$B13)+COUNTIF(Esc_Tec2,$B13)&gt;0,SUMPRODUCT('Calc_Mix'!$F$2:$S$2,'Matriz_Habilidades'!$D13:$Q13)=0),"",SUMPRODUCT('Calc_Mix'!$F$2:$S$2,'Matriz_Habilidades'!$D13:$Q13)/'Calc_Mix'!$T$2+ROW()*0.000001)</f>
        <v/>
      </c>
      <c r="E13" s="36">
        <f>IF(OR($B13="",$C13&lt;&gt;"Disponível",'Calc_Mix'!$T$3=0,COUNTIF(Esc_Tec1,$B13)+COUNTIF(Esc_Tec2,$B13)&gt;0,SUMPRODUCT('Calc_Mix'!$F$3:$S$3,'Matriz_Habilidades'!$D13:$Q13)=0),"",SUMPRODUCT('Calc_Mix'!$F$3:$S$3,'Matriz_Habilidades'!$D13:$Q13)/'Calc_Mix'!$T$3+ROW()*0.000001)</f>
        <v/>
      </c>
      <c r="F13" s="36">
        <f>IF(OR($B13="",$C13&lt;&gt;"Disponível",'Calc_Mix'!$T$4=0,COUNTIF(Esc_Tec1,$B13)+COUNTIF(Esc_Tec2,$B13)&gt;0,SUMPRODUCT('Calc_Mix'!$F$4:$S$4,'Matriz_Habilidades'!$D13:$Q13)=0),"",SUMPRODUCT('Calc_Mix'!$F$4:$S$4,'Matriz_Habilidades'!$D13:$Q13)/'Calc_Mix'!$T$4+ROW()*0.000001)</f>
        <v/>
      </c>
      <c r="G13" s="36">
        <f>IF(OR($B13="",$C13&lt;&gt;"Disponível",'Calc_Mix'!$T$5=0,COUNTIF(Esc_Tec1,$B13)+COUNTIF(Esc_Tec2,$B13)&gt;0,SUMPRODUCT('Calc_Mix'!$F$5:$S$5,'Matriz_Habilidades'!$D13:$Q13)=0),"",SUMPRODUCT('Calc_Mix'!$F$5:$S$5,'Matriz_Habilidades'!$D13:$Q13)/'Calc_Mix'!$T$5+ROW()*0.000001)</f>
        <v/>
      </c>
      <c r="H13" s="36">
        <f>IF(OR($B13="",$C13&lt;&gt;"Disponível",'Calc_Mix'!$T$6=0,COUNTIF(Esc_Tec1,$B13)+COUNTIF(Esc_Tec2,$B13)&gt;0,SUMPRODUCT('Calc_Mix'!$F$6:$S$6,'Matriz_Habilidades'!$D13:$Q13)=0),"",SUMPRODUCT('Calc_Mix'!$F$6:$S$6,'Matriz_Habilidades'!$D13:$Q13)/'Calc_Mix'!$T$6+ROW()*0.000001)</f>
        <v/>
      </c>
      <c r="I13" s="36">
        <f>IF(OR($B13="",$C13&lt;&gt;"Disponível",'Calc_Mix'!$T$7=0,COUNTIF(Esc_Tec1,$B13)+COUNTIF(Esc_Tec2,$B13)&gt;0,SUMPRODUCT('Calc_Mix'!$F$7:$S$7,'Matriz_Habilidades'!$D13:$Q13)=0),"",SUMPRODUCT('Calc_Mix'!$F$7:$S$7,'Matriz_Habilidades'!$D13:$Q13)/'Calc_Mix'!$T$7+ROW()*0.000001)</f>
        <v/>
      </c>
      <c r="J13" s="36">
        <f>IF(OR($B13="",$C13&lt;&gt;"Disponível",'Calc_Mix'!$T$8=0,COUNTIF(Esc_Tec1,$B13)+COUNTIF(Esc_Tec2,$B13)&gt;0,SUMPRODUCT('Calc_Mix'!$F$8:$S$8,'Matriz_Habilidades'!$D13:$Q13)=0),"",SUMPRODUCT('Calc_Mix'!$F$8:$S$8,'Matriz_Habilidades'!$D13:$Q13)/'Calc_Mix'!$T$8+ROW()*0.000001)</f>
        <v/>
      </c>
      <c r="K13" s="36">
        <f>IF(OR($B13="",$C13&lt;&gt;"Disponível",'Calc_Mix'!$T$9=0,COUNTIF(Esc_Tec1,$B13)+COUNTIF(Esc_Tec2,$B13)&gt;0,SUMPRODUCT('Calc_Mix'!$F$9:$S$9,'Matriz_Habilidades'!$D13:$Q13)=0),"",SUMPRODUCT('Calc_Mix'!$F$9:$S$9,'Matriz_Habilidades'!$D13:$Q13)/'Calc_Mix'!$T$9+ROW()*0.000001)</f>
        <v/>
      </c>
      <c r="L13" s="36">
        <f>IF(OR($B13="",$C13&lt;&gt;"Disponível",'Calc_Mix'!$T$10=0,COUNTIF(Esc_Tec1,$B13)+COUNTIF(Esc_Tec2,$B13)&gt;0,SUMPRODUCT('Calc_Mix'!$F$10:$S$10,'Matriz_Habilidades'!$D13:$Q13)=0),"",SUMPRODUCT('Calc_Mix'!$F$10:$S$10,'Matriz_Habilidades'!$D13:$Q13)/'Calc_Mix'!$T$10+ROW()*0.000001)</f>
        <v/>
      </c>
      <c r="M13" s="36">
        <f>IF(OR($B13="",$C13&lt;&gt;"Disponível",'Calc_Mix'!$T$11=0,COUNTIF(Esc_Tec1,$B13)+COUNTIF(Esc_Tec2,$B13)&gt;0,SUMPRODUCT('Calc_Mix'!$F$11:$S$11,'Matriz_Habilidades'!$D13:$Q13)=0),"",SUMPRODUCT('Calc_Mix'!$F$11:$S$11,'Matriz_Habilidades'!$D13:$Q13)/'Calc_Mix'!$T$11+ROW()*0.000001)</f>
        <v/>
      </c>
      <c r="N13" s="36">
        <f>IF(OR($B13="",$C13&lt;&gt;"Disponível",'Calc_Mix'!$T$12=0,COUNTIF(Esc_Tec1,$B13)+COUNTIF(Esc_Tec2,$B13)&gt;0,SUMPRODUCT('Calc_Mix'!$F$12:$S$12,'Matriz_Habilidades'!$D13:$Q13)=0),"",SUMPRODUCT('Calc_Mix'!$F$12:$S$12,'Matriz_Habilidades'!$D13:$Q13)/'Calc_Mix'!$T$12+ROW()*0.000001)</f>
        <v/>
      </c>
      <c r="O13" s="36">
        <f>IF(OR($B13="",$C13&lt;&gt;"Disponível",'Calc_Mix'!$T$13=0,COUNTIF(Esc_Tec1,$B13)+COUNTIF(Esc_Tec2,$B13)&gt;0,SUMPRODUCT('Calc_Mix'!$F$13:$S$13,'Matriz_Habilidades'!$D13:$Q13)=0),"",SUMPRODUCT('Calc_Mix'!$F$13:$S$13,'Matriz_Habilidades'!$D13:$Q13)/'Calc_Mix'!$T$13+ROW()*0.000001)</f>
        <v/>
      </c>
      <c r="P13" s="36">
        <f>IF(OR($B13="",$C13&lt;&gt;"Disponível",'Calc_Mix'!$T$14=0,COUNTIF(Esc_Tec1,$B13)+COUNTIF(Esc_Tec2,$B13)&gt;0,SUMPRODUCT('Calc_Mix'!$F$14:$S$14,'Matriz_Habilidades'!$D13:$Q13)=0),"",SUMPRODUCT('Calc_Mix'!$F$14:$S$14,'Matriz_Habilidades'!$D13:$Q13)/'Calc_Mix'!$T$14+ROW()*0.000001)</f>
        <v/>
      </c>
      <c r="Q13" s="36">
        <f>IF(OR($B13="",$C13&lt;&gt;"Disponível",'Calc_Mix'!$T$15=0,COUNTIF(Esc_Tec1,$B13)+COUNTIF(Esc_Tec2,$B13)&gt;0,SUMPRODUCT('Calc_Mix'!$F$15:$S$15,'Matriz_Habilidades'!$D13:$Q13)=0),"",SUMPRODUCT('Calc_Mix'!$F$15:$S$15,'Matriz_Habilidades'!$D13:$Q13)/'Calc_Mix'!$T$15+ROW()*0.000001)</f>
        <v/>
      </c>
      <c r="R13" s="36">
        <f>IF(OR($B13="",$C13&lt;&gt;"Disponível",'Calc_Mix'!$T$16=0,COUNTIF(Esc_Tec1,$B13)+COUNTIF(Esc_Tec2,$B13)&gt;0,SUMPRODUCT('Calc_Mix'!$F$16:$S$16,'Matriz_Habilidades'!$D13:$Q13)=0),"",SUMPRODUCT('Calc_Mix'!$F$16:$S$16,'Matriz_Habilidades'!$D13:$Q13)/'Calc_Mix'!$T$16+ROW()*0.000001)</f>
        <v/>
      </c>
      <c r="S13" s="36">
        <f>IF(OR($B13="",$C13&lt;&gt;"Disponível",'Calc_Mix'!$T$17=0,COUNTIF(Esc_Tec1,$B13)+COUNTIF(Esc_Tec2,$B13)&gt;0,SUMPRODUCT('Calc_Mix'!$F$17:$S$17,'Matriz_Habilidades'!$D13:$Q13)=0),"",SUMPRODUCT('Calc_Mix'!$F$17:$S$17,'Matriz_Habilidades'!$D13:$Q13)/'Calc_Mix'!$T$17+ROW()*0.000001)</f>
        <v/>
      </c>
    </row>
    <row r="14">
      <c r="A14" s="33">
        <f>IF('Matriz_Habilidades'!A14="","",'Matriz_Habilidades'!A14)</f>
        <v/>
      </c>
      <c r="B14" s="34">
        <f>IF('Matriz_Habilidades'!B14="","",'Matriz_Habilidades'!B14)</f>
        <v/>
      </c>
      <c r="C14" s="33">
        <f>IF($A14="","",IFERROR(INDEX(Equipe_Situacao,MATCH($B14,Equipe_Nome,0)),"?"))</f>
        <v/>
      </c>
      <c r="D14" s="36">
        <f>IF(OR($B14="",$C14&lt;&gt;"Disponível",'Calc_Mix'!$T$2=0,COUNTIF(Esc_Tec1,$B14)+COUNTIF(Esc_Tec2,$B14)&gt;0,SUMPRODUCT('Calc_Mix'!$F$2:$S$2,'Matriz_Habilidades'!$D14:$Q14)=0),"",SUMPRODUCT('Calc_Mix'!$F$2:$S$2,'Matriz_Habilidades'!$D14:$Q14)/'Calc_Mix'!$T$2+ROW()*0.000001)</f>
        <v/>
      </c>
      <c r="E14" s="36">
        <f>IF(OR($B14="",$C14&lt;&gt;"Disponível",'Calc_Mix'!$T$3=0,COUNTIF(Esc_Tec1,$B14)+COUNTIF(Esc_Tec2,$B14)&gt;0,SUMPRODUCT('Calc_Mix'!$F$3:$S$3,'Matriz_Habilidades'!$D14:$Q14)=0),"",SUMPRODUCT('Calc_Mix'!$F$3:$S$3,'Matriz_Habilidades'!$D14:$Q14)/'Calc_Mix'!$T$3+ROW()*0.000001)</f>
        <v/>
      </c>
      <c r="F14" s="36">
        <f>IF(OR($B14="",$C14&lt;&gt;"Disponível",'Calc_Mix'!$T$4=0,COUNTIF(Esc_Tec1,$B14)+COUNTIF(Esc_Tec2,$B14)&gt;0,SUMPRODUCT('Calc_Mix'!$F$4:$S$4,'Matriz_Habilidades'!$D14:$Q14)=0),"",SUMPRODUCT('Calc_Mix'!$F$4:$S$4,'Matriz_Habilidades'!$D14:$Q14)/'Calc_Mix'!$T$4+ROW()*0.000001)</f>
        <v/>
      </c>
      <c r="G14" s="36">
        <f>IF(OR($B14="",$C14&lt;&gt;"Disponível",'Calc_Mix'!$T$5=0,COUNTIF(Esc_Tec1,$B14)+COUNTIF(Esc_Tec2,$B14)&gt;0,SUMPRODUCT('Calc_Mix'!$F$5:$S$5,'Matriz_Habilidades'!$D14:$Q14)=0),"",SUMPRODUCT('Calc_Mix'!$F$5:$S$5,'Matriz_Habilidades'!$D14:$Q14)/'Calc_Mix'!$T$5+ROW()*0.000001)</f>
        <v/>
      </c>
      <c r="H14" s="36">
        <f>IF(OR($B14="",$C14&lt;&gt;"Disponível",'Calc_Mix'!$T$6=0,COUNTIF(Esc_Tec1,$B14)+COUNTIF(Esc_Tec2,$B14)&gt;0,SUMPRODUCT('Calc_Mix'!$F$6:$S$6,'Matriz_Habilidades'!$D14:$Q14)=0),"",SUMPRODUCT('Calc_Mix'!$F$6:$S$6,'Matriz_Habilidades'!$D14:$Q14)/'Calc_Mix'!$T$6+ROW()*0.000001)</f>
        <v/>
      </c>
      <c r="I14" s="36">
        <f>IF(OR($B14="",$C14&lt;&gt;"Disponível",'Calc_Mix'!$T$7=0,COUNTIF(Esc_Tec1,$B14)+COUNTIF(Esc_Tec2,$B14)&gt;0,SUMPRODUCT('Calc_Mix'!$F$7:$S$7,'Matriz_Habilidades'!$D14:$Q14)=0),"",SUMPRODUCT('Calc_Mix'!$F$7:$S$7,'Matriz_Habilidades'!$D14:$Q14)/'Calc_Mix'!$T$7+ROW()*0.000001)</f>
        <v/>
      </c>
      <c r="J14" s="36">
        <f>IF(OR($B14="",$C14&lt;&gt;"Disponível",'Calc_Mix'!$T$8=0,COUNTIF(Esc_Tec1,$B14)+COUNTIF(Esc_Tec2,$B14)&gt;0,SUMPRODUCT('Calc_Mix'!$F$8:$S$8,'Matriz_Habilidades'!$D14:$Q14)=0),"",SUMPRODUCT('Calc_Mix'!$F$8:$S$8,'Matriz_Habilidades'!$D14:$Q14)/'Calc_Mix'!$T$8+ROW()*0.000001)</f>
        <v/>
      </c>
      <c r="K14" s="36">
        <f>IF(OR($B14="",$C14&lt;&gt;"Disponível",'Calc_Mix'!$T$9=0,COUNTIF(Esc_Tec1,$B14)+COUNTIF(Esc_Tec2,$B14)&gt;0,SUMPRODUCT('Calc_Mix'!$F$9:$S$9,'Matriz_Habilidades'!$D14:$Q14)=0),"",SUMPRODUCT('Calc_Mix'!$F$9:$S$9,'Matriz_Habilidades'!$D14:$Q14)/'Calc_Mix'!$T$9+ROW()*0.000001)</f>
        <v/>
      </c>
      <c r="L14" s="36">
        <f>IF(OR($B14="",$C14&lt;&gt;"Disponível",'Calc_Mix'!$T$10=0,COUNTIF(Esc_Tec1,$B14)+COUNTIF(Esc_Tec2,$B14)&gt;0,SUMPRODUCT('Calc_Mix'!$F$10:$S$10,'Matriz_Habilidades'!$D14:$Q14)=0),"",SUMPRODUCT('Calc_Mix'!$F$10:$S$10,'Matriz_Habilidades'!$D14:$Q14)/'Calc_Mix'!$T$10+ROW()*0.000001)</f>
        <v/>
      </c>
      <c r="M14" s="36">
        <f>IF(OR($B14="",$C14&lt;&gt;"Disponível",'Calc_Mix'!$T$11=0,COUNTIF(Esc_Tec1,$B14)+COUNTIF(Esc_Tec2,$B14)&gt;0,SUMPRODUCT('Calc_Mix'!$F$11:$S$11,'Matriz_Habilidades'!$D14:$Q14)=0),"",SUMPRODUCT('Calc_Mix'!$F$11:$S$11,'Matriz_Habilidades'!$D14:$Q14)/'Calc_Mix'!$T$11+ROW()*0.000001)</f>
        <v/>
      </c>
      <c r="N14" s="36">
        <f>IF(OR($B14="",$C14&lt;&gt;"Disponível",'Calc_Mix'!$T$12=0,COUNTIF(Esc_Tec1,$B14)+COUNTIF(Esc_Tec2,$B14)&gt;0,SUMPRODUCT('Calc_Mix'!$F$12:$S$12,'Matriz_Habilidades'!$D14:$Q14)=0),"",SUMPRODUCT('Calc_Mix'!$F$12:$S$12,'Matriz_Habilidades'!$D14:$Q14)/'Calc_Mix'!$T$12+ROW()*0.000001)</f>
        <v/>
      </c>
      <c r="O14" s="36">
        <f>IF(OR($B14="",$C14&lt;&gt;"Disponível",'Calc_Mix'!$T$13=0,COUNTIF(Esc_Tec1,$B14)+COUNTIF(Esc_Tec2,$B14)&gt;0,SUMPRODUCT('Calc_Mix'!$F$13:$S$13,'Matriz_Habilidades'!$D14:$Q14)=0),"",SUMPRODUCT('Calc_Mix'!$F$13:$S$13,'Matriz_Habilidades'!$D14:$Q14)/'Calc_Mix'!$T$13+ROW()*0.000001)</f>
        <v/>
      </c>
      <c r="P14" s="36">
        <f>IF(OR($B14="",$C14&lt;&gt;"Disponível",'Calc_Mix'!$T$14=0,COUNTIF(Esc_Tec1,$B14)+COUNTIF(Esc_Tec2,$B14)&gt;0,SUMPRODUCT('Calc_Mix'!$F$14:$S$14,'Matriz_Habilidades'!$D14:$Q14)=0),"",SUMPRODUCT('Calc_Mix'!$F$14:$S$14,'Matriz_Habilidades'!$D14:$Q14)/'Calc_Mix'!$T$14+ROW()*0.000001)</f>
        <v/>
      </c>
      <c r="Q14" s="36">
        <f>IF(OR($B14="",$C14&lt;&gt;"Disponível",'Calc_Mix'!$T$15=0,COUNTIF(Esc_Tec1,$B14)+COUNTIF(Esc_Tec2,$B14)&gt;0,SUMPRODUCT('Calc_Mix'!$F$15:$S$15,'Matriz_Habilidades'!$D14:$Q14)=0),"",SUMPRODUCT('Calc_Mix'!$F$15:$S$15,'Matriz_Habilidades'!$D14:$Q14)/'Calc_Mix'!$T$15+ROW()*0.000001)</f>
        <v/>
      </c>
      <c r="R14" s="36">
        <f>IF(OR($B14="",$C14&lt;&gt;"Disponível",'Calc_Mix'!$T$16=0,COUNTIF(Esc_Tec1,$B14)+COUNTIF(Esc_Tec2,$B14)&gt;0,SUMPRODUCT('Calc_Mix'!$F$16:$S$16,'Matriz_Habilidades'!$D14:$Q14)=0),"",SUMPRODUCT('Calc_Mix'!$F$16:$S$16,'Matriz_Habilidades'!$D14:$Q14)/'Calc_Mix'!$T$16+ROW()*0.000001)</f>
        <v/>
      </c>
      <c r="S14" s="36">
        <f>IF(OR($B14="",$C14&lt;&gt;"Disponível",'Calc_Mix'!$T$17=0,COUNTIF(Esc_Tec1,$B14)+COUNTIF(Esc_Tec2,$B14)&gt;0,SUMPRODUCT('Calc_Mix'!$F$17:$S$17,'Matriz_Habilidades'!$D14:$Q14)=0),"",SUMPRODUCT('Calc_Mix'!$F$17:$S$17,'Matriz_Habilidades'!$D14:$Q14)/'Calc_Mix'!$T$17+ROW()*0.000001)</f>
        <v/>
      </c>
    </row>
    <row r="15">
      <c r="A15" s="33">
        <f>IF('Matriz_Habilidades'!A15="","",'Matriz_Habilidades'!A15)</f>
        <v/>
      </c>
      <c r="B15" s="34">
        <f>IF('Matriz_Habilidades'!B15="","",'Matriz_Habilidades'!B15)</f>
        <v/>
      </c>
      <c r="C15" s="33">
        <f>IF($A15="","",IFERROR(INDEX(Equipe_Situacao,MATCH($B15,Equipe_Nome,0)),"?"))</f>
        <v/>
      </c>
      <c r="D15" s="36">
        <f>IF(OR($B15="",$C15&lt;&gt;"Disponível",'Calc_Mix'!$T$2=0,COUNTIF(Esc_Tec1,$B15)+COUNTIF(Esc_Tec2,$B15)&gt;0,SUMPRODUCT('Calc_Mix'!$F$2:$S$2,'Matriz_Habilidades'!$D15:$Q15)=0),"",SUMPRODUCT('Calc_Mix'!$F$2:$S$2,'Matriz_Habilidades'!$D15:$Q15)/'Calc_Mix'!$T$2+ROW()*0.000001)</f>
        <v/>
      </c>
      <c r="E15" s="36">
        <f>IF(OR($B15="",$C15&lt;&gt;"Disponível",'Calc_Mix'!$T$3=0,COUNTIF(Esc_Tec1,$B15)+COUNTIF(Esc_Tec2,$B15)&gt;0,SUMPRODUCT('Calc_Mix'!$F$3:$S$3,'Matriz_Habilidades'!$D15:$Q15)=0),"",SUMPRODUCT('Calc_Mix'!$F$3:$S$3,'Matriz_Habilidades'!$D15:$Q15)/'Calc_Mix'!$T$3+ROW()*0.000001)</f>
        <v/>
      </c>
      <c r="F15" s="36">
        <f>IF(OR($B15="",$C15&lt;&gt;"Disponível",'Calc_Mix'!$T$4=0,COUNTIF(Esc_Tec1,$B15)+COUNTIF(Esc_Tec2,$B15)&gt;0,SUMPRODUCT('Calc_Mix'!$F$4:$S$4,'Matriz_Habilidades'!$D15:$Q15)=0),"",SUMPRODUCT('Calc_Mix'!$F$4:$S$4,'Matriz_Habilidades'!$D15:$Q15)/'Calc_Mix'!$T$4+ROW()*0.000001)</f>
        <v/>
      </c>
      <c r="G15" s="36">
        <f>IF(OR($B15="",$C15&lt;&gt;"Disponível",'Calc_Mix'!$T$5=0,COUNTIF(Esc_Tec1,$B15)+COUNTIF(Esc_Tec2,$B15)&gt;0,SUMPRODUCT('Calc_Mix'!$F$5:$S$5,'Matriz_Habilidades'!$D15:$Q15)=0),"",SUMPRODUCT('Calc_Mix'!$F$5:$S$5,'Matriz_Habilidades'!$D15:$Q15)/'Calc_Mix'!$T$5+ROW()*0.000001)</f>
        <v/>
      </c>
      <c r="H15" s="36">
        <f>IF(OR($B15="",$C15&lt;&gt;"Disponível",'Calc_Mix'!$T$6=0,COUNTIF(Esc_Tec1,$B15)+COUNTIF(Esc_Tec2,$B15)&gt;0,SUMPRODUCT('Calc_Mix'!$F$6:$S$6,'Matriz_Habilidades'!$D15:$Q15)=0),"",SUMPRODUCT('Calc_Mix'!$F$6:$S$6,'Matriz_Habilidades'!$D15:$Q15)/'Calc_Mix'!$T$6+ROW()*0.000001)</f>
        <v/>
      </c>
      <c r="I15" s="36">
        <f>IF(OR($B15="",$C15&lt;&gt;"Disponível",'Calc_Mix'!$T$7=0,COUNTIF(Esc_Tec1,$B15)+COUNTIF(Esc_Tec2,$B15)&gt;0,SUMPRODUCT('Calc_Mix'!$F$7:$S$7,'Matriz_Habilidades'!$D15:$Q15)=0),"",SUMPRODUCT('Calc_Mix'!$F$7:$S$7,'Matriz_Habilidades'!$D15:$Q15)/'Calc_Mix'!$T$7+ROW()*0.000001)</f>
        <v/>
      </c>
      <c r="J15" s="36">
        <f>IF(OR($B15="",$C15&lt;&gt;"Disponível",'Calc_Mix'!$T$8=0,COUNTIF(Esc_Tec1,$B15)+COUNTIF(Esc_Tec2,$B15)&gt;0,SUMPRODUCT('Calc_Mix'!$F$8:$S$8,'Matriz_Habilidades'!$D15:$Q15)=0),"",SUMPRODUCT('Calc_Mix'!$F$8:$S$8,'Matriz_Habilidades'!$D15:$Q15)/'Calc_Mix'!$T$8+ROW()*0.000001)</f>
        <v/>
      </c>
      <c r="K15" s="36">
        <f>IF(OR($B15="",$C15&lt;&gt;"Disponível",'Calc_Mix'!$T$9=0,COUNTIF(Esc_Tec1,$B15)+COUNTIF(Esc_Tec2,$B15)&gt;0,SUMPRODUCT('Calc_Mix'!$F$9:$S$9,'Matriz_Habilidades'!$D15:$Q15)=0),"",SUMPRODUCT('Calc_Mix'!$F$9:$S$9,'Matriz_Habilidades'!$D15:$Q15)/'Calc_Mix'!$T$9+ROW()*0.000001)</f>
        <v/>
      </c>
      <c r="L15" s="36">
        <f>IF(OR($B15="",$C15&lt;&gt;"Disponível",'Calc_Mix'!$T$10=0,COUNTIF(Esc_Tec1,$B15)+COUNTIF(Esc_Tec2,$B15)&gt;0,SUMPRODUCT('Calc_Mix'!$F$10:$S$10,'Matriz_Habilidades'!$D15:$Q15)=0),"",SUMPRODUCT('Calc_Mix'!$F$10:$S$10,'Matriz_Habilidades'!$D15:$Q15)/'Calc_Mix'!$T$10+ROW()*0.000001)</f>
        <v/>
      </c>
      <c r="M15" s="36">
        <f>IF(OR($B15="",$C15&lt;&gt;"Disponível",'Calc_Mix'!$T$11=0,COUNTIF(Esc_Tec1,$B15)+COUNTIF(Esc_Tec2,$B15)&gt;0,SUMPRODUCT('Calc_Mix'!$F$11:$S$11,'Matriz_Habilidades'!$D15:$Q15)=0),"",SUMPRODUCT('Calc_Mix'!$F$11:$S$11,'Matriz_Habilidades'!$D15:$Q15)/'Calc_Mix'!$T$11+ROW()*0.000001)</f>
        <v/>
      </c>
      <c r="N15" s="36">
        <f>IF(OR($B15="",$C15&lt;&gt;"Disponível",'Calc_Mix'!$T$12=0,COUNTIF(Esc_Tec1,$B15)+COUNTIF(Esc_Tec2,$B15)&gt;0,SUMPRODUCT('Calc_Mix'!$F$12:$S$12,'Matriz_Habilidades'!$D15:$Q15)=0),"",SUMPRODUCT('Calc_Mix'!$F$12:$S$12,'Matriz_Habilidades'!$D15:$Q15)/'Calc_Mix'!$T$12+ROW()*0.000001)</f>
        <v/>
      </c>
      <c r="O15" s="36">
        <f>IF(OR($B15="",$C15&lt;&gt;"Disponível",'Calc_Mix'!$T$13=0,COUNTIF(Esc_Tec1,$B15)+COUNTIF(Esc_Tec2,$B15)&gt;0,SUMPRODUCT('Calc_Mix'!$F$13:$S$13,'Matriz_Habilidades'!$D15:$Q15)=0),"",SUMPRODUCT('Calc_Mix'!$F$13:$S$13,'Matriz_Habilidades'!$D15:$Q15)/'Calc_Mix'!$T$13+ROW()*0.000001)</f>
        <v/>
      </c>
      <c r="P15" s="36">
        <f>IF(OR($B15="",$C15&lt;&gt;"Disponível",'Calc_Mix'!$T$14=0,COUNTIF(Esc_Tec1,$B15)+COUNTIF(Esc_Tec2,$B15)&gt;0,SUMPRODUCT('Calc_Mix'!$F$14:$S$14,'Matriz_Habilidades'!$D15:$Q15)=0),"",SUMPRODUCT('Calc_Mix'!$F$14:$S$14,'Matriz_Habilidades'!$D15:$Q15)/'Calc_Mix'!$T$14+ROW()*0.000001)</f>
        <v/>
      </c>
      <c r="Q15" s="36">
        <f>IF(OR($B15="",$C15&lt;&gt;"Disponível",'Calc_Mix'!$T$15=0,COUNTIF(Esc_Tec1,$B15)+COUNTIF(Esc_Tec2,$B15)&gt;0,SUMPRODUCT('Calc_Mix'!$F$15:$S$15,'Matriz_Habilidades'!$D15:$Q15)=0),"",SUMPRODUCT('Calc_Mix'!$F$15:$S$15,'Matriz_Habilidades'!$D15:$Q15)/'Calc_Mix'!$T$15+ROW()*0.000001)</f>
        <v/>
      </c>
      <c r="R15" s="36">
        <f>IF(OR($B15="",$C15&lt;&gt;"Disponível",'Calc_Mix'!$T$16=0,COUNTIF(Esc_Tec1,$B15)+COUNTIF(Esc_Tec2,$B15)&gt;0,SUMPRODUCT('Calc_Mix'!$F$16:$S$16,'Matriz_Habilidades'!$D15:$Q15)=0),"",SUMPRODUCT('Calc_Mix'!$F$16:$S$16,'Matriz_Habilidades'!$D15:$Q15)/'Calc_Mix'!$T$16+ROW()*0.000001)</f>
        <v/>
      </c>
      <c r="S15" s="36">
        <f>IF(OR($B15="",$C15&lt;&gt;"Disponível",'Calc_Mix'!$T$17=0,COUNTIF(Esc_Tec1,$B15)+COUNTIF(Esc_Tec2,$B15)&gt;0,SUMPRODUCT('Calc_Mix'!$F$17:$S$17,'Matriz_Habilidades'!$D15:$Q15)=0),"",SUMPRODUCT('Calc_Mix'!$F$17:$S$17,'Matriz_Habilidades'!$D15:$Q15)/'Calc_Mix'!$T$17+ROW()*0.000001)</f>
        <v/>
      </c>
    </row>
    <row r="16">
      <c r="A16" s="33">
        <f>IF('Matriz_Habilidades'!A16="","",'Matriz_Habilidades'!A16)</f>
        <v/>
      </c>
      <c r="B16" s="34">
        <f>IF('Matriz_Habilidades'!B16="","",'Matriz_Habilidades'!B16)</f>
        <v/>
      </c>
      <c r="C16" s="33">
        <f>IF($A16="","",IFERROR(INDEX(Equipe_Situacao,MATCH($B16,Equipe_Nome,0)),"?"))</f>
        <v/>
      </c>
      <c r="D16" s="36">
        <f>IF(OR($B16="",$C16&lt;&gt;"Disponível",'Calc_Mix'!$T$2=0,COUNTIF(Esc_Tec1,$B16)+COUNTIF(Esc_Tec2,$B16)&gt;0,SUMPRODUCT('Calc_Mix'!$F$2:$S$2,'Matriz_Habilidades'!$D16:$Q16)=0),"",SUMPRODUCT('Calc_Mix'!$F$2:$S$2,'Matriz_Habilidades'!$D16:$Q16)/'Calc_Mix'!$T$2+ROW()*0.000001)</f>
        <v/>
      </c>
      <c r="E16" s="36">
        <f>IF(OR($B16="",$C16&lt;&gt;"Disponível",'Calc_Mix'!$T$3=0,COUNTIF(Esc_Tec1,$B16)+COUNTIF(Esc_Tec2,$B16)&gt;0,SUMPRODUCT('Calc_Mix'!$F$3:$S$3,'Matriz_Habilidades'!$D16:$Q16)=0),"",SUMPRODUCT('Calc_Mix'!$F$3:$S$3,'Matriz_Habilidades'!$D16:$Q16)/'Calc_Mix'!$T$3+ROW()*0.000001)</f>
        <v/>
      </c>
      <c r="F16" s="36">
        <f>IF(OR($B16="",$C16&lt;&gt;"Disponível",'Calc_Mix'!$T$4=0,COUNTIF(Esc_Tec1,$B16)+COUNTIF(Esc_Tec2,$B16)&gt;0,SUMPRODUCT('Calc_Mix'!$F$4:$S$4,'Matriz_Habilidades'!$D16:$Q16)=0),"",SUMPRODUCT('Calc_Mix'!$F$4:$S$4,'Matriz_Habilidades'!$D16:$Q16)/'Calc_Mix'!$T$4+ROW()*0.000001)</f>
        <v/>
      </c>
      <c r="G16" s="36">
        <f>IF(OR($B16="",$C16&lt;&gt;"Disponível",'Calc_Mix'!$T$5=0,COUNTIF(Esc_Tec1,$B16)+COUNTIF(Esc_Tec2,$B16)&gt;0,SUMPRODUCT('Calc_Mix'!$F$5:$S$5,'Matriz_Habilidades'!$D16:$Q16)=0),"",SUMPRODUCT('Calc_Mix'!$F$5:$S$5,'Matriz_Habilidades'!$D16:$Q16)/'Calc_Mix'!$T$5+ROW()*0.000001)</f>
        <v/>
      </c>
      <c r="H16" s="36">
        <f>IF(OR($B16="",$C16&lt;&gt;"Disponível",'Calc_Mix'!$T$6=0,COUNTIF(Esc_Tec1,$B16)+COUNTIF(Esc_Tec2,$B16)&gt;0,SUMPRODUCT('Calc_Mix'!$F$6:$S$6,'Matriz_Habilidades'!$D16:$Q16)=0),"",SUMPRODUCT('Calc_Mix'!$F$6:$S$6,'Matriz_Habilidades'!$D16:$Q16)/'Calc_Mix'!$T$6+ROW()*0.000001)</f>
        <v/>
      </c>
      <c r="I16" s="36">
        <f>IF(OR($B16="",$C16&lt;&gt;"Disponível",'Calc_Mix'!$T$7=0,COUNTIF(Esc_Tec1,$B16)+COUNTIF(Esc_Tec2,$B16)&gt;0,SUMPRODUCT('Calc_Mix'!$F$7:$S$7,'Matriz_Habilidades'!$D16:$Q16)=0),"",SUMPRODUCT('Calc_Mix'!$F$7:$S$7,'Matriz_Habilidades'!$D16:$Q16)/'Calc_Mix'!$T$7+ROW()*0.000001)</f>
        <v/>
      </c>
      <c r="J16" s="36">
        <f>IF(OR($B16="",$C16&lt;&gt;"Disponível",'Calc_Mix'!$T$8=0,COUNTIF(Esc_Tec1,$B16)+COUNTIF(Esc_Tec2,$B16)&gt;0,SUMPRODUCT('Calc_Mix'!$F$8:$S$8,'Matriz_Habilidades'!$D16:$Q16)=0),"",SUMPRODUCT('Calc_Mix'!$F$8:$S$8,'Matriz_Habilidades'!$D16:$Q16)/'Calc_Mix'!$T$8+ROW()*0.000001)</f>
        <v/>
      </c>
      <c r="K16" s="36">
        <f>IF(OR($B16="",$C16&lt;&gt;"Disponível",'Calc_Mix'!$T$9=0,COUNTIF(Esc_Tec1,$B16)+COUNTIF(Esc_Tec2,$B16)&gt;0,SUMPRODUCT('Calc_Mix'!$F$9:$S$9,'Matriz_Habilidades'!$D16:$Q16)=0),"",SUMPRODUCT('Calc_Mix'!$F$9:$S$9,'Matriz_Habilidades'!$D16:$Q16)/'Calc_Mix'!$T$9+ROW()*0.000001)</f>
        <v/>
      </c>
      <c r="L16" s="36">
        <f>IF(OR($B16="",$C16&lt;&gt;"Disponível",'Calc_Mix'!$T$10=0,COUNTIF(Esc_Tec1,$B16)+COUNTIF(Esc_Tec2,$B16)&gt;0,SUMPRODUCT('Calc_Mix'!$F$10:$S$10,'Matriz_Habilidades'!$D16:$Q16)=0),"",SUMPRODUCT('Calc_Mix'!$F$10:$S$10,'Matriz_Habilidades'!$D16:$Q16)/'Calc_Mix'!$T$10+ROW()*0.000001)</f>
        <v/>
      </c>
      <c r="M16" s="36">
        <f>IF(OR($B16="",$C16&lt;&gt;"Disponível",'Calc_Mix'!$T$11=0,COUNTIF(Esc_Tec1,$B16)+COUNTIF(Esc_Tec2,$B16)&gt;0,SUMPRODUCT('Calc_Mix'!$F$11:$S$11,'Matriz_Habilidades'!$D16:$Q16)=0),"",SUMPRODUCT('Calc_Mix'!$F$11:$S$11,'Matriz_Habilidades'!$D16:$Q16)/'Calc_Mix'!$T$11+ROW()*0.000001)</f>
        <v/>
      </c>
      <c r="N16" s="36">
        <f>IF(OR($B16="",$C16&lt;&gt;"Disponível",'Calc_Mix'!$T$12=0,COUNTIF(Esc_Tec1,$B16)+COUNTIF(Esc_Tec2,$B16)&gt;0,SUMPRODUCT('Calc_Mix'!$F$12:$S$12,'Matriz_Habilidades'!$D16:$Q16)=0),"",SUMPRODUCT('Calc_Mix'!$F$12:$S$12,'Matriz_Habilidades'!$D16:$Q16)/'Calc_Mix'!$T$12+ROW()*0.000001)</f>
        <v/>
      </c>
      <c r="O16" s="36">
        <f>IF(OR($B16="",$C16&lt;&gt;"Disponível",'Calc_Mix'!$T$13=0,COUNTIF(Esc_Tec1,$B16)+COUNTIF(Esc_Tec2,$B16)&gt;0,SUMPRODUCT('Calc_Mix'!$F$13:$S$13,'Matriz_Habilidades'!$D16:$Q16)=0),"",SUMPRODUCT('Calc_Mix'!$F$13:$S$13,'Matriz_Habilidades'!$D16:$Q16)/'Calc_Mix'!$T$13+ROW()*0.000001)</f>
        <v/>
      </c>
      <c r="P16" s="36">
        <f>IF(OR($B16="",$C16&lt;&gt;"Disponível",'Calc_Mix'!$T$14=0,COUNTIF(Esc_Tec1,$B16)+COUNTIF(Esc_Tec2,$B16)&gt;0,SUMPRODUCT('Calc_Mix'!$F$14:$S$14,'Matriz_Habilidades'!$D16:$Q16)=0),"",SUMPRODUCT('Calc_Mix'!$F$14:$S$14,'Matriz_Habilidades'!$D16:$Q16)/'Calc_Mix'!$T$14+ROW()*0.000001)</f>
        <v/>
      </c>
      <c r="Q16" s="36">
        <f>IF(OR($B16="",$C16&lt;&gt;"Disponível",'Calc_Mix'!$T$15=0,COUNTIF(Esc_Tec1,$B16)+COUNTIF(Esc_Tec2,$B16)&gt;0,SUMPRODUCT('Calc_Mix'!$F$15:$S$15,'Matriz_Habilidades'!$D16:$Q16)=0),"",SUMPRODUCT('Calc_Mix'!$F$15:$S$15,'Matriz_Habilidades'!$D16:$Q16)/'Calc_Mix'!$T$15+ROW()*0.000001)</f>
        <v/>
      </c>
      <c r="R16" s="36">
        <f>IF(OR($B16="",$C16&lt;&gt;"Disponível",'Calc_Mix'!$T$16=0,COUNTIF(Esc_Tec1,$B16)+COUNTIF(Esc_Tec2,$B16)&gt;0,SUMPRODUCT('Calc_Mix'!$F$16:$S$16,'Matriz_Habilidades'!$D16:$Q16)=0),"",SUMPRODUCT('Calc_Mix'!$F$16:$S$16,'Matriz_Habilidades'!$D16:$Q16)/'Calc_Mix'!$T$16+ROW()*0.000001)</f>
        <v/>
      </c>
      <c r="S16" s="36">
        <f>IF(OR($B16="",$C16&lt;&gt;"Disponível",'Calc_Mix'!$T$17=0,COUNTIF(Esc_Tec1,$B16)+COUNTIF(Esc_Tec2,$B16)&gt;0,SUMPRODUCT('Calc_Mix'!$F$17:$S$17,'Matriz_Habilidades'!$D16:$Q16)=0),"",SUMPRODUCT('Calc_Mix'!$F$17:$S$17,'Matriz_Habilidades'!$D16:$Q16)/'Calc_Mix'!$T$17+ROW()*0.000001)</f>
        <v/>
      </c>
    </row>
    <row r="17">
      <c r="A17" s="33">
        <f>IF('Matriz_Habilidades'!A17="","",'Matriz_Habilidades'!A17)</f>
        <v/>
      </c>
      <c r="B17" s="34">
        <f>IF('Matriz_Habilidades'!B17="","",'Matriz_Habilidades'!B17)</f>
        <v/>
      </c>
      <c r="C17" s="33">
        <f>IF($A17="","",IFERROR(INDEX(Equipe_Situacao,MATCH($B17,Equipe_Nome,0)),"?"))</f>
        <v/>
      </c>
      <c r="D17" s="36">
        <f>IF(OR($B17="",$C17&lt;&gt;"Disponível",'Calc_Mix'!$T$2=0,COUNTIF(Esc_Tec1,$B17)+COUNTIF(Esc_Tec2,$B17)&gt;0,SUMPRODUCT('Calc_Mix'!$F$2:$S$2,'Matriz_Habilidades'!$D17:$Q17)=0),"",SUMPRODUCT('Calc_Mix'!$F$2:$S$2,'Matriz_Habilidades'!$D17:$Q17)/'Calc_Mix'!$T$2+ROW()*0.000001)</f>
        <v/>
      </c>
      <c r="E17" s="36">
        <f>IF(OR($B17="",$C17&lt;&gt;"Disponível",'Calc_Mix'!$T$3=0,COUNTIF(Esc_Tec1,$B17)+COUNTIF(Esc_Tec2,$B17)&gt;0,SUMPRODUCT('Calc_Mix'!$F$3:$S$3,'Matriz_Habilidades'!$D17:$Q17)=0),"",SUMPRODUCT('Calc_Mix'!$F$3:$S$3,'Matriz_Habilidades'!$D17:$Q17)/'Calc_Mix'!$T$3+ROW()*0.000001)</f>
        <v/>
      </c>
      <c r="F17" s="36">
        <f>IF(OR($B17="",$C17&lt;&gt;"Disponível",'Calc_Mix'!$T$4=0,COUNTIF(Esc_Tec1,$B17)+COUNTIF(Esc_Tec2,$B17)&gt;0,SUMPRODUCT('Calc_Mix'!$F$4:$S$4,'Matriz_Habilidades'!$D17:$Q17)=0),"",SUMPRODUCT('Calc_Mix'!$F$4:$S$4,'Matriz_Habilidades'!$D17:$Q17)/'Calc_Mix'!$T$4+ROW()*0.000001)</f>
        <v/>
      </c>
      <c r="G17" s="36">
        <f>IF(OR($B17="",$C17&lt;&gt;"Disponível",'Calc_Mix'!$T$5=0,COUNTIF(Esc_Tec1,$B17)+COUNTIF(Esc_Tec2,$B17)&gt;0,SUMPRODUCT('Calc_Mix'!$F$5:$S$5,'Matriz_Habilidades'!$D17:$Q17)=0),"",SUMPRODUCT('Calc_Mix'!$F$5:$S$5,'Matriz_Habilidades'!$D17:$Q17)/'Calc_Mix'!$T$5+ROW()*0.000001)</f>
        <v/>
      </c>
      <c r="H17" s="36">
        <f>IF(OR($B17="",$C17&lt;&gt;"Disponível",'Calc_Mix'!$T$6=0,COUNTIF(Esc_Tec1,$B17)+COUNTIF(Esc_Tec2,$B17)&gt;0,SUMPRODUCT('Calc_Mix'!$F$6:$S$6,'Matriz_Habilidades'!$D17:$Q17)=0),"",SUMPRODUCT('Calc_Mix'!$F$6:$S$6,'Matriz_Habilidades'!$D17:$Q17)/'Calc_Mix'!$T$6+ROW()*0.000001)</f>
        <v/>
      </c>
      <c r="I17" s="36">
        <f>IF(OR($B17="",$C17&lt;&gt;"Disponível",'Calc_Mix'!$T$7=0,COUNTIF(Esc_Tec1,$B17)+COUNTIF(Esc_Tec2,$B17)&gt;0,SUMPRODUCT('Calc_Mix'!$F$7:$S$7,'Matriz_Habilidades'!$D17:$Q17)=0),"",SUMPRODUCT('Calc_Mix'!$F$7:$S$7,'Matriz_Habilidades'!$D17:$Q17)/'Calc_Mix'!$T$7+ROW()*0.000001)</f>
        <v/>
      </c>
      <c r="J17" s="36">
        <f>IF(OR($B17="",$C17&lt;&gt;"Disponível",'Calc_Mix'!$T$8=0,COUNTIF(Esc_Tec1,$B17)+COUNTIF(Esc_Tec2,$B17)&gt;0,SUMPRODUCT('Calc_Mix'!$F$8:$S$8,'Matriz_Habilidades'!$D17:$Q17)=0),"",SUMPRODUCT('Calc_Mix'!$F$8:$S$8,'Matriz_Habilidades'!$D17:$Q17)/'Calc_Mix'!$T$8+ROW()*0.000001)</f>
        <v/>
      </c>
      <c r="K17" s="36">
        <f>IF(OR($B17="",$C17&lt;&gt;"Disponível",'Calc_Mix'!$T$9=0,COUNTIF(Esc_Tec1,$B17)+COUNTIF(Esc_Tec2,$B17)&gt;0,SUMPRODUCT('Calc_Mix'!$F$9:$S$9,'Matriz_Habilidades'!$D17:$Q17)=0),"",SUMPRODUCT('Calc_Mix'!$F$9:$S$9,'Matriz_Habilidades'!$D17:$Q17)/'Calc_Mix'!$T$9+ROW()*0.000001)</f>
        <v/>
      </c>
      <c r="L17" s="36">
        <f>IF(OR($B17="",$C17&lt;&gt;"Disponível",'Calc_Mix'!$T$10=0,COUNTIF(Esc_Tec1,$B17)+COUNTIF(Esc_Tec2,$B17)&gt;0,SUMPRODUCT('Calc_Mix'!$F$10:$S$10,'Matriz_Habilidades'!$D17:$Q17)=0),"",SUMPRODUCT('Calc_Mix'!$F$10:$S$10,'Matriz_Habilidades'!$D17:$Q17)/'Calc_Mix'!$T$10+ROW()*0.000001)</f>
        <v/>
      </c>
      <c r="M17" s="36">
        <f>IF(OR($B17="",$C17&lt;&gt;"Disponível",'Calc_Mix'!$T$11=0,COUNTIF(Esc_Tec1,$B17)+COUNTIF(Esc_Tec2,$B17)&gt;0,SUMPRODUCT('Calc_Mix'!$F$11:$S$11,'Matriz_Habilidades'!$D17:$Q17)=0),"",SUMPRODUCT('Calc_Mix'!$F$11:$S$11,'Matriz_Habilidades'!$D17:$Q17)/'Calc_Mix'!$T$11+ROW()*0.000001)</f>
        <v/>
      </c>
      <c r="N17" s="36">
        <f>IF(OR($B17="",$C17&lt;&gt;"Disponível",'Calc_Mix'!$T$12=0,COUNTIF(Esc_Tec1,$B17)+COUNTIF(Esc_Tec2,$B17)&gt;0,SUMPRODUCT('Calc_Mix'!$F$12:$S$12,'Matriz_Habilidades'!$D17:$Q17)=0),"",SUMPRODUCT('Calc_Mix'!$F$12:$S$12,'Matriz_Habilidades'!$D17:$Q17)/'Calc_Mix'!$T$12+ROW()*0.000001)</f>
        <v/>
      </c>
      <c r="O17" s="36">
        <f>IF(OR($B17="",$C17&lt;&gt;"Disponível",'Calc_Mix'!$T$13=0,COUNTIF(Esc_Tec1,$B17)+COUNTIF(Esc_Tec2,$B17)&gt;0,SUMPRODUCT('Calc_Mix'!$F$13:$S$13,'Matriz_Habilidades'!$D17:$Q17)=0),"",SUMPRODUCT('Calc_Mix'!$F$13:$S$13,'Matriz_Habilidades'!$D17:$Q17)/'Calc_Mix'!$T$13+ROW()*0.000001)</f>
        <v/>
      </c>
      <c r="P17" s="36">
        <f>IF(OR($B17="",$C17&lt;&gt;"Disponível",'Calc_Mix'!$T$14=0,COUNTIF(Esc_Tec1,$B17)+COUNTIF(Esc_Tec2,$B17)&gt;0,SUMPRODUCT('Calc_Mix'!$F$14:$S$14,'Matriz_Habilidades'!$D17:$Q17)=0),"",SUMPRODUCT('Calc_Mix'!$F$14:$S$14,'Matriz_Habilidades'!$D17:$Q17)/'Calc_Mix'!$T$14+ROW()*0.000001)</f>
        <v/>
      </c>
      <c r="Q17" s="36">
        <f>IF(OR($B17="",$C17&lt;&gt;"Disponível",'Calc_Mix'!$T$15=0,COUNTIF(Esc_Tec1,$B17)+COUNTIF(Esc_Tec2,$B17)&gt;0,SUMPRODUCT('Calc_Mix'!$F$15:$S$15,'Matriz_Habilidades'!$D17:$Q17)=0),"",SUMPRODUCT('Calc_Mix'!$F$15:$S$15,'Matriz_Habilidades'!$D17:$Q17)/'Calc_Mix'!$T$15+ROW()*0.000001)</f>
        <v/>
      </c>
      <c r="R17" s="36">
        <f>IF(OR($B17="",$C17&lt;&gt;"Disponível",'Calc_Mix'!$T$16=0,COUNTIF(Esc_Tec1,$B17)+COUNTIF(Esc_Tec2,$B17)&gt;0,SUMPRODUCT('Calc_Mix'!$F$16:$S$16,'Matriz_Habilidades'!$D17:$Q17)=0),"",SUMPRODUCT('Calc_Mix'!$F$16:$S$16,'Matriz_Habilidades'!$D17:$Q17)/'Calc_Mix'!$T$16+ROW()*0.000001)</f>
        <v/>
      </c>
      <c r="S17" s="36">
        <f>IF(OR($B17="",$C17&lt;&gt;"Disponível",'Calc_Mix'!$T$17=0,COUNTIF(Esc_Tec1,$B17)+COUNTIF(Esc_Tec2,$B17)&gt;0,SUMPRODUCT('Calc_Mix'!$F$17:$S$17,'Matriz_Habilidades'!$D17:$Q17)=0),"",SUMPRODUCT('Calc_Mix'!$F$17:$S$17,'Matriz_Habilidades'!$D17:$Q17)/'Calc_Mix'!$T$17+ROW()*0.000001)</f>
        <v/>
      </c>
    </row>
    <row r="18">
      <c r="A18" s="33">
        <f>IF('Matriz_Habilidades'!A18="","",'Matriz_Habilidades'!A18)</f>
        <v/>
      </c>
      <c r="B18" s="34">
        <f>IF('Matriz_Habilidades'!B18="","",'Matriz_Habilidades'!B18)</f>
        <v/>
      </c>
      <c r="C18" s="33">
        <f>IF($A18="","",IFERROR(INDEX(Equipe_Situacao,MATCH($B18,Equipe_Nome,0)),"?"))</f>
        <v/>
      </c>
      <c r="D18" s="36">
        <f>IF(OR($B18="",$C18&lt;&gt;"Disponível",'Calc_Mix'!$T$2=0,COUNTIF(Esc_Tec1,$B18)+COUNTIF(Esc_Tec2,$B18)&gt;0,SUMPRODUCT('Calc_Mix'!$F$2:$S$2,'Matriz_Habilidades'!$D18:$Q18)=0),"",SUMPRODUCT('Calc_Mix'!$F$2:$S$2,'Matriz_Habilidades'!$D18:$Q18)/'Calc_Mix'!$T$2+ROW()*0.000001)</f>
        <v/>
      </c>
      <c r="E18" s="36">
        <f>IF(OR($B18="",$C18&lt;&gt;"Disponível",'Calc_Mix'!$T$3=0,COUNTIF(Esc_Tec1,$B18)+COUNTIF(Esc_Tec2,$B18)&gt;0,SUMPRODUCT('Calc_Mix'!$F$3:$S$3,'Matriz_Habilidades'!$D18:$Q18)=0),"",SUMPRODUCT('Calc_Mix'!$F$3:$S$3,'Matriz_Habilidades'!$D18:$Q18)/'Calc_Mix'!$T$3+ROW()*0.000001)</f>
        <v/>
      </c>
      <c r="F18" s="36">
        <f>IF(OR($B18="",$C18&lt;&gt;"Disponível",'Calc_Mix'!$T$4=0,COUNTIF(Esc_Tec1,$B18)+COUNTIF(Esc_Tec2,$B18)&gt;0,SUMPRODUCT('Calc_Mix'!$F$4:$S$4,'Matriz_Habilidades'!$D18:$Q18)=0),"",SUMPRODUCT('Calc_Mix'!$F$4:$S$4,'Matriz_Habilidades'!$D18:$Q18)/'Calc_Mix'!$T$4+ROW()*0.000001)</f>
        <v/>
      </c>
      <c r="G18" s="36">
        <f>IF(OR($B18="",$C18&lt;&gt;"Disponível",'Calc_Mix'!$T$5=0,COUNTIF(Esc_Tec1,$B18)+COUNTIF(Esc_Tec2,$B18)&gt;0,SUMPRODUCT('Calc_Mix'!$F$5:$S$5,'Matriz_Habilidades'!$D18:$Q18)=0),"",SUMPRODUCT('Calc_Mix'!$F$5:$S$5,'Matriz_Habilidades'!$D18:$Q18)/'Calc_Mix'!$T$5+ROW()*0.000001)</f>
        <v/>
      </c>
      <c r="H18" s="36">
        <f>IF(OR($B18="",$C18&lt;&gt;"Disponível",'Calc_Mix'!$T$6=0,COUNTIF(Esc_Tec1,$B18)+COUNTIF(Esc_Tec2,$B18)&gt;0,SUMPRODUCT('Calc_Mix'!$F$6:$S$6,'Matriz_Habilidades'!$D18:$Q18)=0),"",SUMPRODUCT('Calc_Mix'!$F$6:$S$6,'Matriz_Habilidades'!$D18:$Q18)/'Calc_Mix'!$T$6+ROW()*0.000001)</f>
        <v/>
      </c>
      <c r="I18" s="36">
        <f>IF(OR($B18="",$C18&lt;&gt;"Disponível",'Calc_Mix'!$T$7=0,COUNTIF(Esc_Tec1,$B18)+COUNTIF(Esc_Tec2,$B18)&gt;0,SUMPRODUCT('Calc_Mix'!$F$7:$S$7,'Matriz_Habilidades'!$D18:$Q18)=0),"",SUMPRODUCT('Calc_Mix'!$F$7:$S$7,'Matriz_Habilidades'!$D18:$Q18)/'Calc_Mix'!$T$7+ROW()*0.000001)</f>
        <v/>
      </c>
      <c r="J18" s="36">
        <f>IF(OR($B18="",$C18&lt;&gt;"Disponível",'Calc_Mix'!$T$8=0,COUNTIF(Esc_Tec1,$B18)+COUNTIF(Esc_Tec2,$B18)&gt;0,SUMPRODUCT('Calc_Mix'!$F$8:$S$8,'Matriz_Habilidades'!$D18:$Q18)=0),"",SUMPRODUCT('Calc_Mix'!$F$8:$S$8,'Matriz_Habilidades'!$D18:$Q18)/'Calc_Mix'!$T$8+ROW()*0.000001)</f>
        <v/>
      </c>
      <c r="K18" s="36">
        <f>IF(OR($B18="",$C18&lt;&gt;"Disponível",'Calc_Mix'!$T$9=0,COUNTIF(Esc_Tec1,$B18)+COUNTIF(Esc_Tec2,$B18)&gt;0,SUMPRODUCT('Calc_Mix'!$F$9:$S$9,'Matriz_Habilidades'!$D18:$Q18)=0),"",SUMPRODUCT('Calc_Mix'!$F$9:$S$9,'Matriz_Habilidades'!$D18:$Q18)/'Calc_Mix'!$T$9+ROW()*0.000001)</f>
        <v/>
      </c>
      <c r="L18" s="36">
        <f>IF(OR($B18="",$C18&lt;&gt;"Disponível",'Calc_Mix'!$T$10=0,COUNTIF(Esc_Tec1,$B18)+COUNTIF(Esc_Tec2,$B18)&gt;0,SUMPRODUCT('Calc_Mix'!$F$10:$S$10,'Matriz_Habilidades'!$D18:$Q18)=0),"",SUMPRODUCT('Calc_Mix'!$F$10:$S$10,'Matriz_Habilidades'!$D18:$Q18)/'Calc_Mix'!$T$10+ROW()*0.000001)</f>
        <v/>
      </c>
      <c r="M18" s="36">
        <f>IF(OR($B18="",$C18&lt;&gt;"Disponível",'Calc_Mix'!$T$11=0,COUNTIF(Esc_Tec1,$B18)+COUNTIF(Esc_Tec2,$B18)&gt;0,SUMPRODUCT('Calc_Mix'!$F$11:$S$11,'Matriz_Habilidades'!$D18:$Q18)=0),"",SUMPRODUCT('Calc_Mix'!$F$11:$S$11,'Matriz_Habilidades'!$D18:$Q18)/'Calc_Mix'!$T$11+ROW()*0.000001)</f>
        <v/>
      </c>
      <c r="N18" s="36">
        <f>IF(OR($B18="",$C18&lt;&gt;"Disponível",'Calc_Mix'!$T$12=0,COUNTIF(Esc_Tec1,$B18)+COUNTIF(Esc_Tec2,$B18)&gt;0,SUMPRODUCT('Calc_Mix'!$F$12:$S$12,'Matriz_Habilidades'!$D18:$Q18)=0),"",SUMPRODUCT('Calc_Mix'!$F$12:$S$12,'Matriz_Habilidades'!$D18:$Q18)/'Calc_Mix'!$T$12+ROW()*0.000001)</f>
        <v/>
      </c>
      <c r="O18" s="36">
        <f>IF(OR($B18="",$C18&lt;&gt;"Disponível",'Calc_Mix'!$T$13=0,COUNTIF(Esc_Tec1,$B18)+COUNTIF(Esc_Tec2,$B18)&gt;0,SUMPRODUCT('Calc_Mix'!$F$13:$S$13,'Matriz_Habilidades'!$D18:$Q18)=0),"",SUMPRODUCT('Calc_Mix'!$F$13:$S$13,'Matriz_Habilidades'!$D18:$Q18)/'Calc_Mix'!$T$13+ROW()*0.000001)</f>
        <v/>
      </c>
      <c r="P18" s="36">
        <f>IF(OR($B18="",$C18&lt;&gt;"Disponível",'Calc_Mix'!$T$14=0,COUNTIF(Esc_Tec1,$B18)+COUNTIF(Esc_Tec2,$B18)&gt;0,SUMPRODUCT('Calc_Mix'!$F$14:$S$14,'Matriz_Habilidades'!$D18:$Q18)=0),"",SUMPRODUCT('Calc_Mix'!$F$14:$S$14,'Matriz_Habilidades'!$D18:$Q18)/'Calc_Mix'!$T$14+ROW()*0.000001)</f>
        <v/>
      </c>
      <c r="Q18" s="36">
        <f>IF(OR($B18="",$C18&lt;&gt;"Disponível",'Calc_Mix'!$T$15=0,COUNTIF(Esc_Tec1,$B18)+COUNTIF(Esc_Tec2,$B18)&gt;0,SUMPRODUCT('Calc_Mix'!$F$15:$S$15,'Matriz_Habilidades'!$D18:$Q18)=0),"",SUMPRODUCT('Calc_Mix'!$F$15:$S$15,'Matriz_Habilidades'!$D18:$Q18)/'Calc_Mix'!$T$15+ROW()*0.000001)</f>
        <v/>
      </c>
      <c r="R18" s="36">
        <f>IF(OR($B18="",$C18&lt;&gt;"Disponível",'Calc_Mix'!$T$16=0,COUNTIF(Esc_Tec1,$B18)+COUNTIF(Esc_Tec2,$B18)&gt;0,SUMPRODUCT('Calc_Mix'!$F$16:$S$16,'Matriz_Habilidades'!$D18:$Q18)=0),"",SUMPRODUCT('Calc_Mix'!$F$16:$S$16,'Matriz_Habilidades'!$D18:$Q18)/'Calc_Mix'!$T$16+ROW()*0.000001)</f>
        <v/>
      </c>
      <c r="S18" s="36">
        <f>IF(OR($B18="",$C18&lt;&gt;"Disponível",'Calc_Mix'!$T$17=0,COUNTIF(Esc_Tec1,$B18)+COUNTIF(Esc_Tec2,$B18)&gt;0,SUMPRODUCT('Calc_Mix'!$F$17:$S$17,'Matriz_Habilidades'!$D18:$Q18)=0),"",SUMPRODUCT('Calc_Mix'!$F$17:$S$17,'Matriz_Habilidades'!$D18:$Q18)/'Calc_Mix'!$T$17+ROW()*0.000001)</f>
        <v/>
      </c>
    </row>
    <row r="19">
      <c r="A19" s="33">
        <f>IF('Matriz_Habilidades'!A19="","",'Matriz_Habilidades'!A19)</f>
        <v/>
      </c>
      <c r="B19" s="34">
        <f>IF('Matriz_Habilidades'!B19="","",'Matriz_Habilidades'!B19)</f>
        <v/>
      </c>
      <c r="C19" s="33">
        <f>IF($A19="","",IFERROR(INDEX(Equipe_Situacao,MATCH($B19,Equipe_Nome,0)),"?"))</f>
        <v/>
      </c>
      <c r="D19" s="36">
        <f>IF(OR($B19="",$C19&lt;&gt;"Disponível",'Calc_Mix'!$T$2=0,COUNTIF(Esc_Tec1,$B19)+COUNTIF(Esc_Tec2,$B19)&gt;0,SUMPRODUCT('Calc_Mix'!$F$2:$S$2,'Matriz_Habilidades'!$D19:$Q19)=0),"",SUMPRODUCT('Calc_Mix'!$F$2:$S$2,'Matriz_Habilidades'!$D19:$Q19)/'Calc_Mix'!$T$2+ROW()*0.000001)</f>
        <v/>
      </c>
      <c r="E19" s="36">
        <f>IF(OR($B19="",$C19&lt;&gt;"Disponível",'Calc_Mix'!$T$3=0,COUNTIF(Esc_Tec1,$B19)+COUNTIF(Esc_Tec2,$B19)&gt;0,SUMPRODUCT('Calc_Mix'!$F$3:$S$3,'Matriz_Habilidades'!$D19:$Q19)=0),"",SUMPRODUCT('Calc_Mix'!$F$3:$S$3,'Matriz_Habilidades'!$D19:$Q19)/'Calc_Mix'!$T$3+ROW()*0.000001)</f>
        <v/>
      </c>
      <c r="F19" s="36">
        <f>IF(OR($B19="",$C19&lt;&gt;"Disponível",'Calc_Mix'!$T$4=0,COUNTIF(Esc_Tec1,$B19)+COUNTIF(Esc_Tec2,$B19)&gt;0,SUMPRODUCT('Calc_Mix'!$F$4:$S$4,'Matriz_Habilidades'!$D19:$Q19)=0),"",SUMPRODUCT('Calc_Mix'!$F$4:$S$4,'Matriz_Habilidades'!$D19:$Q19)/'Calc_Mix'!$T$4+ROW()*0.000001)</f>
        <v/>
      </c>
      <c r="G19" s="36">
        <f>IF(OR($B19="",$C19&lt;&gt;"Disponível",'Calc_Mix'!$T$5=0,COUNTIF(Esc_Tec1,$B19)+COUNTIF(Esc_Tec2,$B19)&gt;0,SUMPRODUCT('Calc_Mix'!$F$5:$S$5,'Matriz_Habilidades'!$D19:$Q19)=0),"",SUMPRODUCT('Calc_Mix'!$F$5:$S$5,'Matriz_Habilidades'!$D19:$Q19)/'Calc_Mix'!$T$5+ROW()*0.000001)</f>
        <v/>
      </c>
      <c r="H19" s="36">
        <f>IF(OR($B19="",$C19&lt;&gt;"Disponível",'Calc_Mix'!$T$6=0,COUNTIF(Esc_Tec1,$B19)+COUNTIF(Esc_Tec2,$B19)&gt;0,SUMPRODUCT('Calc_Mix'!$F$6:$S$6,'Matriz_Habilidades'!$D19:$Q19)=0),"",SUMPRODUCT('Calc_Mix'!$F$6:$S$6,'Matriz_Habilidades'!$D19:$Q19)/'Calc_Mix'!$T$6+ROW()*0.000001)</f>
        <v/>
      </c>
      <c r="I19" s="36">
        <f>IF(OR($B19="",$C19&lt;&gt;"Disponível",'Calc_Mix'!$T$7=0,COUNTIF(Esc_Tec1,$B19)+COUNTIF(Esc_Tec2,$B19)&gt;0,SUMPRODUCT('Calc_Mix'!$F$7:$S$7,'Matriz_Habilidades'!$D19:$Q19)=0),"",SUMPRODUCT('Calc_Mix'!$F$7:$S$7,'Matriz_Habilidades'!$D19:$Q19)/'Calc_Mix'!$T$7+ROW()*0.000001)</f>
        <v/>
      </c>
      <c r="J19" s="36">
        <f>IF(OR($B19="",$C19&lt;&gt;"Disponível",'Calc_Mix'!$T$8=0,COUNTIF(Esc_Tec1,$B19)+COUNTIF(Esc_Tec2,$B19)&gt;0,SUMPRODUCT('Calc_Mix'!$F$8:$S$8,'Matriz_Habilidades'!$D19:$Q19)=0),"",SUMPRODUCT('Calc_Mix'!$F$8:$S$8,'Matriz_Habilidades'!$D19:$Q19)/'Calc_Mix'!$T$8+ROW()*0.000001)</f>
        <v/>
      </c>
      <c r="K19" s="36">
        <f>IF(OR($B19="",$C19&lt;&gt;"Disponível",'Calc_Mix'!$T$9=0,COUNTIF(Esc_Tec1,$B19)+COUNTIF(Esc_Tec2,$B19)&gt;0,SUMPRODUCT('Calc_Mix'!$F$9:$S$9,'Matriz_Habilidades'!$D19:$Q19)=0),"",SUMPRODUCT('Calc_Mix'!$F$9:$S$9,'Matriz_Habilidades'!$D19:$Q19)/'Calc_Mix'!$T$9+ROW()*0.000001)</f>
        <v/>
      </c>
      <c r="L19" s="36">
        <f>IF(OR($B19="",$C19&lt;&gt;"Disponível",'Calc_Mix'!$T$10=0,COUNTIF(Esc_Tec1,$B19)+COUNTIF(Esc_Tec2,$B19)&gt;0,SUMPRODUCT('Calc_Mix'!$F$10:$S$10,'Matriz_Habilidades'!$D19:$Q19)=0),"",SUMPRODUCT('Calc_Mix'!$F$10:$S$10,'Matriz_Habilidades'!$D19:$Q19)/'Calc_Mix'!$T$10+ROW()*0.000001)</f>
        <v/>
      </c>
      <c r="M19" s="36">
        <f>IF(OR($B19="",$C19&lt;&gt;"Disponível",'Calc_Mix'!$T$11=0,COUNTIF(Esc_Tec1,$B19)+COUNTIF(Esc_Tec2,$B19)&gt;0,SUMPRODUCT('Calc_Mix'!$F$11:$S$11,'Matriz_Habilidades'!$D19:$Q19)=0),"",SUMPRODUCT('Calc_Mix'!$F$11:$S$11,'Matriz_Habilidades'!$D19:$Q19)/'Calc_Mix'!$T$11+ROW()*0.000001)</f>
        <v/>
      </c>
      <c r="N19" s="36">
        <f>IF(OR($B19="",$C19&lt;&gt;"Disponível",'Calc_Mix'!$T$12=0,COUNTIF(Esc_Tec1,$B19)+COUNTIF(Esc_Tec2,$B19)&gt;0,SUMPRODUCT('Calc_Mix'!$F$12:$S$12,'Matriz_Habilidades'!$D19:$Q19)=0),"",SUMPRODUCT('Calc_Mix'!$F$12:$S$12,'Matriz_Habilidades'!$D19:$Q19)/'Calc_Mix'!$T$12+ROW()*0.000001)</f>
        <v/>
      </c>
      <c r="O19" s="36">
        <f>IF(OR($B19="",$C19&lt;&gt;"Disponível",'Calc_Mix'!$T$13=0,COUNTIF(Esc_Tec1,$B19)+COUNTIF(Esc_Tec2,$B19)&gt;0,SUMPRODUCT('Calc_Mix'!$F$13:$S$13,'Matriz_Habilidades'!$D19:$Q19)=0),"",SUMPRODUCT('Calc_Mix'!$F$13:$S$13,'Matriz_Habilidades'!$D19:$Q19)/'Calc_Mix'!$T$13+ROW()*0.000001)</f>
        <v/>
      </c>
      <c r="P19" s="36">
        <f>IF(OR($B19="",$C19&lt;&gt;"Disponível",'Calc_Mix'!$T$14=0,COUNTIF(Esc_Tec1,$B19)+COUNTIF(Esc_Tec2,$B19)&gt;0,SUMPRODUCT('Calc_Mix'!$F$14:$S$14,'Matriz_Habilidades'!$D19:$Q19)=0),"",SUMPRODUCT('Calc_Mix'!$F$14:$S$14,'Matriz_Habilidades'!$D19:$Q19)/'Calc_Mix'!$T$14+ROW()*0.000001)</f>
        <v/>
      </c>
      <c r="Q19" s="36">
        <f>IF(OR($B19="",$C19&lt;&gt;"Disponível",'Calc_Mix'!$T$15=0,COUNTIF(Esc_Tec1,$B19)+COUNTIF(Esc_Tec2,$B19)&gt;0,SUMPRODUCT('Calc_Mix'!$F$15:$S$15,'Matriz_Habilidades'!$D19:$Q19)=0),"",SUMPRODUCT('Calc_Mix'!$F$15:$S$15,'Matriz_Habilidades'!$D19:$Q19)/'Calc_Mix'!$T$15+ROW()*0.000001)</f>
        <v/>
      </c>
      <c r="R19" s="36">
        <f>IF(OR($B19="",$C19&lt;&gt;"Disponível",'Calc_Mix'!$T$16=0,COUNTIF(Esc_Tec1,$B19)+COUNTIF(Esc_Tec2,$B19)&gt;0,SUMPRODUCT('Calc_Mix'!$F$16:$S$16,'Matriz_Habilidades'!$D19:$Q19)=0),"",SUMPRODUCT('Calc_Mix'!$F$16:$S$16,'Matriz_Habilidades'!$D19:$Q19)/'Calc_Mix'!$T$16+ROW()*0.000001)</f>
        <v/>
      </c>
      <c r="S19" s="36">
        <f>IF(OR($B19="",$C19&lt;&gt;"Disponível",'Calc_Mix'!$T$17=0,COUNTIF(Esc_Tec1,$B19)+COUNTIF(Esc_Tec2,$B19)&gt;0,SUMPRODUCT('Calc_Mix'!$F$17:$S$17,'Matriz_Habilidades'!$D19:$Q19)=0),"",SUMPRODUCT('Calc_Mix'!$F$17:$S$17,'Matriz_Habilidades'!$D19:$Q19)/'Calc_Mix'!$T$17+ROW()*0.000001)</f>
        <v/>
      </c>
    </row>
    <row r="20">
      <c r="A20" s="33">
        <f>IF('Matriz_Habilidades'!A20="","",'Matriz_Habilidades'!A20)</f>
        <v/>
      </c>
      <c r="B20" s="34">
        <f>IF('Matriz_Habilidades'!B20="","",'Matriz_Habilidades'!B20)</f>
        <v/>
      </c>
      <c r="C20" s="33">
        <f>IF($A20="","",IFERROR(INDEX(Equipe_Situacao,MATCH($B20,Equipe_Nome,0)),"?"))</f>
        <v/>
      </c>
      <c r="D20" s="36">
        <f>IF(OR($B20="",$C20&lt;&gt;"Disponível",'Calc_Mix'!$T$2=0,COUNTIF(Esc_Tec1,$B20)+COUNTIF(Esc_Tec2,$B20)&gt;0,SUMPRODUCT('Calc_Mix'!$F$2:$S$2,'Matriz_Habilidades'!$D20:$Q20)=0),"",SUMPRODUCT('Calc_Mix'!$F$2:$S$2,'Matriz_Habilidades'!$D20:$Q20)/'Calc_Mix'!$T$2+ROW()*0.000001)</f>
        <v/>
      </c>
      <c r="E20" s="36">
        <f>IF(OR($B20="",$C20&lt;&gt;"Disponível",'Calc_Mix'!$T$3=0,COUNTIF(Esc_Tec1,$B20)+COUNTIF(Esc_Tec2,$B20)&gt;0,SUMPRODUCT('Calc_Mix'!$F$3:$S$3,'Matriz_Habilidades'!$D20:$Q20)=0),"",SUMPRODUCT('Calc_Mix'!$F$3:$S$3,'Matriz_Habilidades'!$D20:$Q20)/'Calc_Mix'!$T$3+ROW()*0.000001)</f>
        <v/>
      </c>
      <c r="F20" s="36">
        <f>IF(OR($B20="",$C20&lt;&gt;"Disponível",'Calc_Mix'!$T$4=0,COUNTIF(Esc_Tec1,$B20)+COUNTIF(Esc_Tec2,$B20)&gt;0,SUMPRODUCT('Calc_Mix'!$F$4:$S$4,'Matriz_Habilidades'!$D20:$Q20)=0),"",SUMPRODUCT('Calc_Mix'!$F$4:$S$4,'Matriz_Habilidades'!$D20:$Q20)/'Calc_Mix'!$T$4+ROW()*0.000001)</f>
        <v/>
      </c>
      <c r="G20" s="36">
        <f>IF(OR($B20="",$C20&lt;&gt;"Disponível",'Calc_Mix'!$T$5=0,COUNTIF(Esc_Tec1,$B20)+COUNTIF(Esc_Tec2,$B20)&gt;0,SUMPRODUCT('Calc_Mix'!$F$5:$S$5,'Matriz_Habilidades'!$D20:$Q20)=0),"",SUMPRODUCT('Calc_Mix'!$F$5:$S$5,'Matriz_Habilidades'!$D20:$Q20)/'Calc_Mix'!$T$5+ROW()*0.000001)</f>
        <v/>
      </c>
      <c r="H20" s="36">
        <f>IF(OR($B20="",$C20&lt;&gt;"Disponível",'Calc_Mix'!$T$6=0,COUNTIF(Esc_Tec1,$B20)+COUNTIF(Esc_Tec2,$B20)&gt;0,SUMPRODUCT('Calc_Mix'!$F$6:$S$6,'Matriz_Habilidades'!$D20:$Q20)=0),"",SUMPRODUCT('Calc_Mix'!$F$6:$S$6,'Matriz_Habilidades'!$D20:$Q20)/'Calc_Mix'!$T$6+ROW()*0.000001)</f>
        <v/>
      </c>
      <c r="I20" s="36">
        <f>IF(OR($B20="",$C20&lt;&gt;"Disponível",'Calc_Mix'!$T$7=0,COUNTIF(Esc_Tec1,$B20)+COUNTIF(Esc_Tec2,$B20)&gt;0,SUMPRODUCT('Calc_Mix'!$F$7:$S$7,'Matriz_Habilidades'!$D20:$Q20)=0),"",SUMPRODUCT('Calc_Mix'!$F$7:$S$7,'Matriz_Habilidades'!$D20:$Q20)/'Calc_Mix'!$T$7+ROW()*0.000001)</f>
        <v/>
      </c>
      <c r="J20" s="36">
        <f>IF(OR($B20="",$C20&lt;&gt;"Disponível",'Calc_Mix'!$T$8=0,COUNTIF(Esc_Tec1,$B20)+COUNTIF(Esc_Tec2,$B20)&gt;0,SUMPRODUCT('Calc_Mix'!$F$8:$S$8,'Matriz_Habilidades'!$D20:$Q20)=0),"",SUMPRODUCT('Calc_Mix'!$F$8:$S$8,'Matriz_Habilidades'!$D20:$Q20)/'Calc_Mix'!$T$8+ROW()*0.000001)</f>
        <v/>
      </c>
      <c r="K20" s="36">
        <f>IF(OR($B20="",$C20&lt;&gt;"Disponível",'Calc_Mix'!$T$9=0,COUNTIF(Esc_Tec1,$B20)+COUNTIF(Esc_Tec2,$B20)&gt;0,SUMPRODUCT('Calc_Mix'!$F$9:$S$9,'Matriz_Habilidades'!$D20:$Q20)=0),"",SUMPRODUCT('Calc_Mix'!$F$9:$S$9,'Matriz_Habilidades'!$D20:$Q20)/'Calc_Mix'!$T$9+ROW()*0.000001)</f>
        <v/>
      </c>
      <c r="L20" s="36">
        <f>IF(OR($B20="",$C20&lt;&gt;"Disponível",'Calc_Mix'!$T$10=0,COUNTIF(Esc_Tec1,$B20)+COUNTIF(Esc_Tec2,$B20)&gt;0,SUMPRODUCT('Calc_Mix'!$F$10:$S$10,'Matriz_Habilidades'!$D20:$Q20)=0),"",SUMPRODUCT('Calc_Mix'!$F$10:$S$10,'Matriz_Habilidades'!$D20:$Q20)/'Calc_Mix'!$T$10+ROW()*0.000001)</f>
        <v/>
      </c>
      <c r="M20" s="36">
        <f>IF(OR($B20="",$C20&lt;&gt;"Disponível",'Calc_Mix'!$T$11=0,COUNTIF(Esc_Tec1,$B20)+COUNTIF(Esc_Tec2,$B20)&gt;0,SUMPRODUCT('Calc_Mix'!$F$11:$S$11,'Matriz_Habilidades'!$D20:$Q20)=0),"",SUMPRODUCT('Calc_Mix'!$F$11:$S$11,'Matriz_Habilidades'!$D20:$Q20)/'Calc_Mix'!$T$11+ROW()*0.000001)</f>
        <v/>
      </c>
      <c r="N20" s="36">
        <f>IF(OR($B20="",$C20&lt;&gt;"Disponível",'Calc_Mix'!$T$12=0,COUNTIF(Esc_Tec1,$B20)+COUNTIF(Esc_Tec2,$B20)&gt;0,SUMPRODUCT('Calc_Mix'!$F$12:$S$12,'Matriz_Habilidades'!$D20:$Q20)=0),"",SUMPRODUCT('Calc_Mix'!$F$12:$S$12,'Matriz_Habilidades'!$D20:$Q20)/'Calc_Mix'!$T$12+ROW()*0.000001)</f>
        <v/>
      </c>
      <c r="O20" s="36">
        <f>IF(OR($B20="",$C20&lt;&gt;"Disponível",'Calc_Mix'!$T$13=0,COUNTIF(Esc_Tec1,$B20)+COUNTIF(Esc_Tec2,$B20)&gt;0,SUMPRODUCT('Calc_Mix'!$F$13:$S$13,'Matriz_Habilidades'!$D20:$Q20)=0),"",SUMPRODUCT('Calc_Mix'!$F$13:$S$13,'Matriz_Habilidades'!$D20:$Q20)/'Calc_Mix'!$T$13+ROW()*0.000001)</f>
        <v/>
      </c>
      <c r="P20" s="36">
        <f>IF(OR($B20="",$C20&lt;&gt;"Disponível",'Calc_Mix'!$T$14=0,COUNTIF(Esc_Tec1,$B20)+COUNTIF(Esc_Tec2,$B20)&gt;0,SUMPRODUCT('Calc_Mix'!$F$14:$S$14,'Matriz_Habilidades'!$D20:$Q20)=0),"",SUMPRODUCT('Calc_Mix'!$F$14:$S$14,'Matriz_Habilidades'!$D20:$Q20)/'Calc_Mix'!$T$14+ROW()*0.000001)</f>
        <v/>
      </c>
      <c r="Q20" s="36">
        <f>IF(OR($B20="",$C20&lt;&gt;"Disponível",'Calc_Mix'!$T$15=0,COUNTIF(Esc_Tec1,$B20)+COUNTIF(Esc_Tec2,$B20)&gt;0,SUMPRODUCT('Calc_Mix'!$F$15:$S$15,'Matriz_Habilidades'!$D20:$Q20)=0),"",SUMPRODUCT('Calc_Mix'!$F$15:$S$15,'Matriz_Habilidades'!$D20:$Q20)/'Calc_Mix'!$T$15+ROW()*0.000001)</f>
        <v/>
      </c>
      <c r="R20" s="36">
        <f>IF(OR($B20="",$C20&lt;&gt;"Disponível",'Calc_Mix'!$T$16=0,COUNTIF(Esc_Tec1,$B20)+COUNTIF(Esc_Tec2,$B20)&gt;0,SUMPRODUCT('Calc_Mix'!$F$16:$S$16,'Matriz_Habilidades'!$D20:$Q20)=0),"",SUMPRODUCT('Calc_Mix'!$F$16:$S$16,'Matriz_Habilidades'!$D20:$Q20)/'Calc_Mix'!$T$16+ROW()*0.000001)</f>
        <v/>
      </c>
      <c r="S20" s="36">
        <f>IF(OR($B20="",$C20&lt;&gt;"Disponível",'Calc_Mix'!$T$17=0,COUNTIF(Esc_Tec1,$B20)+COUNTIF(Esc_Tec2,$B20)&gt;0,SUMPRODUCT('Calc_Mix'!$F$17:$S$17,'Matriz_Habilidades'!$D20:$Q20)=0),"",SUMPRODUCT('Calc_Mix'!$F$17:$S$17,'Matriz_Habilidades'!$D20:$Q20)/'Calc_Mix'!$T$17+ROW()*0.000001)</f>
        <v/>
      </c>
    </row>
    <row r="21">
      <c r="A21" s="33">
        <f>IF('Matriz_Habilidades'!A21="","",'Matriz_Habilidades'!A21)</f>
        <v/>
      </c>
      <c r="B21" s="34">
        <f>IF('Matriz_Habilidades'!B21="","",'Matriz_Habilidades'!B21)</f>
        <v/>
      </c>
      <c r="C21" s="33">
        <f>IF($A21="","",IFERROR(INDEX(Equipe_Situacao,MATCH($B21,Equipe_Nome,0)),"?"))</f>
        <v/>
      </c>
      <c r="D21" s="36">
        <f>IF(OR($B21="",$C21&lt;&gt;"Disponível",'Calc_Mix'!$T$2=0,COUNTIF(Esc_Tec1,$B21)+COUNTIF(Esc_Tec2,$B21)&gt;0,SUMPRODUCT('Calc_Mix'!$F$2:$S$2,'Matriz_Habilidades'!$D21:$Q21)=0),"",SUMPRODUCT('Calc_Mix'!$F$2:$S$2,'Matriz_Habilidades'!$D21:$Q21)/'Calc_Mix'!$T$2+ROW()*0.000001)</f>
        <v/>
      </c>
      <c r="E21" s="36">
        <f>IF(OR($B21="",$C21&lt;&gt;"Disponível",'Calc_Mix'!$T$3=0,COUNTIF(Esc_Tec1,$B21)+COUNTIF(Esc_Tec2,$B21)&gt;0,SUMPRODUCT('Calc_Mix'!$F$3:$S$3,'Matriz_Habilidades'!$D21:$Q21)=0),"",SUMPRODUCT('Calc_Mix'!$F$3:$S$3,'Matriz_Habilidades'!$D21:$Q21)/'Calc_Mix'!$T$3+ROW()*0.000001)</f>
        <v/>
      </c>
      <c r="F21" s="36">
        <f>IF(OR($B21="",$C21&lt;&gt;"Disponível",'Calc_Mix'!$T$4=0,COUNTIF(Esc_Tec1,$B21)+COUNTIF(Esc_Tec2,$B21)&gt;0,SUMPRODUCT('Calc_Mix'!$F$4:$S$4,'Matriz_Habilidades'!$D21:$Q21)=0),"",SUMPRODUCT('Calc_Mix'!$F$4:$S$4,'Matriz_Habilidades'!$D21:$Q21)/'Calc_Mix'!$T$4+ROW()*0.000001)</f>
        <v/>
      </c>
      <c r="G21" s="36">
        <f>IF(OR($B21="",$C21&lt;&gt;"Disponível",'Calc_Mix'!$T$5=0,COUNTIF(Esc_Tec1,$B21)+COUNTIF(Esc_Tec2,$B21)&gt;0,SUMPRODUCT('Calc_Mix'!$F$5:$S$5,'Matriz_Habilidades'!$D21:$Q21)=0),"",SUMPRODUCT('Calc_Mix'!$F$5:$S$5,'Matriz_Habilidades'!$D21:$Q21)/'Calc_Mix'!$T$5+ROW()*0.000001)</f>
        <v/>
      </c>
      <c r="H21" s="36">
        <f>IF(OR($B21="",$C21&lt;&gt;"Disponível",'Calc_Mix'!$T$6=0,COUNTIF(Esc_Tec1,$B21)+COUNTIF(Esc_Tec2,$B21)&gt;0,SUMPRODUCT('Calc_Mix'!$F$6:$S$6,'Matriz_Habilidades'!$D21:$Q21)=0),"",SUMPRODUCT('Calc_Mix'!$F$6:$S$6,'Matriz_Habilidades'!$D21:$Q21)/'Calc_Mix'!$T$6+ROW()*0.000001)</f>
        <v/>
      </c>
      <c r="I21" s="36">
        <f>IF(OR($B21="",$C21&lt;&gt;"Disponível",'Calc_Mix'!$T$7=0,COUNTIF(Esc_Tec1,$B21)+COUNTIF(Esc_Tec2,$B21)&gt;0,SUMPRODUCT('Calc_Mix'!$F$7:$S$7,'Matriz_Habilidades'!$D21:$Q21)=0),"",SUMPRODUCT('Calc_Mix'!$F$7:$S$7,'Matriz_Habilidades'!$D21:$Q21)/'Calc_Mix'!$T$7+ROW()*0.000001)</f>
        <v/>
      </c>
      <c r="J21" s="36">
        <f>IF(OR($B21="",$C21&lt;&gt;"Disponível",'Calc_Mix'!$T$8=0,COUNTIF(Esc_Tec1,$B21)+COUNTIF(Esc_Tec2,$B21)&gt;0,SUMPRODUCT('Calc_Mix'!$F$8:$S$8,'Matriz_Habilidades'!$D21:$Q21)=0),"",SUMPRODUCT('Calc_Mix'!$F$8:$S$8,'Matriz_Habilidades'!$D21:$Q21)/'Calc_Mix'!$T$8+ROW()*0.000001)</f>
        <v/>
      </c>
      <c r="K21" s="36">
        <f>IF(OR($B21="",$C21&lt;&gt;"Disponível",'Calc_Mix'!$T$9=0,COUNTIF(Esc_Tec1,$B21)+COUNTIF(Esc_Tec2,$B21)&gt;0,SUMPRODUCT('Calc_Mix'!$F$9:$S$9,'Matriz_Habilidades'!$D21:$Q21)=0),"",SUMPRODUCT('Calc_Mix'!$F$9:$S$9,'Matriz_Habilidades'!$D21:$Q21)/'Calc_Mix'!$T$9+ROW()*0.000001)</f>
        <v/>
      </c>
      <c r="L21" s="36">
        <f>IF(OR($B21="",$C21&lt;&gt;"Disponível",'Calc_Mix'!$T$10=0,COUNTIF(Esc_Tec1,$B21)+COUNTIF(Esc_Tec2,$B21)&gt;0,SUMPRODUCT('Calc_Mix'!$F$10:$S$10,'Matriz_Habilidades'!$D21:$Q21)=0),"",SUMPRODUCT('Calc_Mix'!$F$10:$S$10,'Matriz_Habilidades'!$D21:$Q21)/'Calc_Mix'!$T$10+ROW()*0.000001)</f>
        <v/>
      </c>
      <c r="M21" s="36">
        <f>IF(OR($B21="",$C21&lt;&gt;"Disponível",'Calc_Mix'!$T$11=0,COUNTIF(Esc_Tec1,$B21)+COUNTIF(Esc_Tec2,$B21)&gt;0,SUMPRODUCT('Calc_Mix'!$F$11:$S$11,'Matriz_Habilidades'!$D21:$Q21)=0),"",SUMPRODUCT('Calc_Mix'!$F$11:$S$11,'Matriz_Habilidades'!$D21:$Q21)/'Calc_Mix'!$T$11+ROW()*0.000001)</f>
        <v/>
      </c>
      <c r="N21" s="36">
        <f>IF(OR($B21="",$C21&lt;&gt;"Disponível",'Calc_Mix'!$T$12=0,COUNTIF(Esc_Tec1,$B21)+COUNTIF(Esc_Tec2,$B21)&gt;0,SUMPRODUCT('Calc_Mix'!$F$12:$S$12,'Matriz_Habilidades'!$D21:$Q21)=0),"",SUMPRODUCT('Calc_Mix'!$F$12:$S$12,'Matriz_Habilidades'!$D21:$Q21)/'Calc_Mix'!$T$12+ROW()*0.000001)</f>
        <v/>
      </c>
      <c r="O21" s="36">
        <f>IF(OR($B21="",$C21&lt;&gt;"Disponível",'Calc_Mix'!$T$13=0,COUNTIF(Esc_Tec1,$B21)+COUNTIF(Esc_Tec2,$B21)&gt;0,SUMPRODUCT('Calc_Mix'!$F$13:$S$13,'Matriz_Habilidades'!$D21:$Q21)=0),"",SUMPRODUCT('Calc_Mix'!$F$13:$S$13,'Matriz_Habilidades'!$D21:$Q21)/'Calc_Mix'!$T$13+ROW()*0.000001)</f>
        <v/>
      </c>
      <c r="P21" s="36">
        <f>IF(OR($B21="",$C21&lt;&gt;"Disponível",'Calc_Mix'!$T$14=0,COUNTIF(Esc_Tec1,$B21)+COUNTIF(Esc_Tec2,$B21)&gt;0,SUMPRODUCT('Calc_Mix'!$F$14:$S$14,'Matriz_Habilidades'!$D21:$Q21)=0),"",SUMPRODUCT('Calc_Mix'!$F$14:$S$14,'Matriz_Habilidades'!$D21:$Q21)/'Calc_Mix'!$T$14+ROW()*0.000001)</f>
        <v/>
      </c>
      <c r="Q21" s="36">
        <f>IF(OR($B21="",$C21&lt;&gt;"Disponível",'Calc_Mix'!$T$15=0,COUNTIF(Esc_Tec1,$B21)+COUNTIF(Esc_Tec2,$B21)&gt;0,SUMPRODUCT('Calc_Mix'!$F$15:$S$15,'Matriz_Habilidades'!$D21:$Q21)=0),"",SUMPRODUCT('Calc_Mix'!$F$15:$S$15,'Matriz_Habilidades'!$D21:$Q21)/'Calc_Mix'!$T$15+ROW()*0.000001)</f>
        <v/>
      </c>
      <c r="R21" s="36">
        <f>IF(OR($B21="",$C21&lt;&gt;"Disponível",'Calc_Mix'!$T$16=0,COUNTIF(Esc_Tec1,$B21)+COUNTIF(Esc_Tec2,$B21)&gt;0,SUMPRODUCT('Calc_Mix'!$F$16:$S$16,'Matriz_Habilidades'!$D21:$Q21)=0),"",SUMPRODUCT('Calc_Mix'!$F$16:$S$16,'Matriz_Habilidades'!$D21:$Q21)/'Calc_Mix'!$T$16+ROW()*0.000001)</f>
        <v/>
      </c>
      <c r="S21" s="36">
        <f>IF(OR($B21="",$C21&lt;&gt;"Disponível",'Calc_Mix'!$T$17=0,COUNTIF(Esc_Tec1,$B21)+COUNTIF(Esc_Tec2,$B21)&gt;0,SUMPRODUCT('Calc_Mix'!$F$17:$S$17,'Matriz_Habilidades'!$D21:$Q21)=0),"",SUMPRODUCT('Calc_Mix'!$F$17:$S$17,'Matriz_Habilidades'!$D21:$Q21)/'Calc_Mix'!$T$17+ROW()*0.000001)</f>
        <v/>
      </c>
    </row>
    <row r="22">
      <c r="A22" s="33">
        <f>IF('Matriz_Habilidades'!A22="","",'Matriz_Habilidades'!A22)</f>
        <v/>
      </c>
      <c r="B22" s="34">
        <f>IF('Matriz_Habilidades'!B22="","",'Matriz_Habilidades'!B22)</f>
        <v/>
      </c>
      <c r="C22" s="33">
        <f>IF($A22="","",IFERROR(INDEX(Equipe_Situacao,MATCH($B22,Equipe_Nome,0)),"?"))</f>
        <v/>
      </c>
      <c r="D22" s="36">
        <f>IF(OR($B22="",$C22&lt;&gt;"Disponível",'Calc_Mix'!$T$2=0,COUNTIF(Esc_Tec1,$B22)+COUNTIF(Esc_Tec2,$B22)&gt;0,SUMPRODUCT('Calc_Mix'!$F$2:$S$2,'Matriz_Habilidades'!$D22:$Q22)=0),"",SUMPRODUCT('Calc_Mix'!$F$2:$S$2,'Matriz_Habilidades'!$D22:$Q22)/'Calc_Mix'!$T$2+ROW()*0.000001)</f>
        <v/>
      </c>
      <c r="E22" s="36">
        <f>IF(OR($B22="",$C22&lt;&gt;"Disponível",'Calc_Mix'!$T$3=0,COUNTIF(Esc_Tec1,$B22)+COUNTIF(Esc_Tec2,$B22)&gt;0,SUMPRODUCT('Calc_Mix'!$F$3:$S$3,'Matriz_Habilidades'!$D22:$Q22)=0),"",SUMPRODUCT('Calc_Mix'!$F$3:$S$3,'Matriz_Habilidades'!$D22:$Q22)/'Calc_Mix'!$T$3+ROW()*0.000001)</f>
        <v/>
      </c>
      <c r="F22" s="36">
        <f>IF(OR($B22="",$C22&lt;&gt;"Disponível",'Calc_Mix'!$T$4=0,COUNTIF(Esc_Tec1,$B22)+COUNTIF(Esc_Tec2,$B22)&gt;0,SUMPRODUCT('Calc_Mix'!$F$4:$S$4,'Matriz_Habilidades'!$D22:$Q22)=0),"",SUMPRODUCT('Calc_Mix'!$F$4:$S$4,'Matriz_Habilidades'!$D22:$Q22)/'Calc_Mix'!$T$4+ROW()*0.000001)</f>
        <v/>
      </c>
      <c r="G22" s="36">
        <f>IF(OR($B22="",$C22&lt;&gt;"Disponível",'Calc_Mix'!$T$5=0,COUNTIF(Esc_Tec1,$B22)+COUNTIF(Esc_Tec2,$B22)&gt;0,SUMPRODUCT('Calc_Mix'!$F$5:$S$5,'Matriz_Habilidades'!$D22:$Q22)=0),"",SUMPRODUCT('Calc_Mix'!$F$5:$S$5,'Matriz_Habilidades'!$D22:$Q22)/'Calc_Mix'!$T$5+ROW()*0.000001)</f>
        <v/>
      </c>
      <c r="H22" s="36">
        <f>IF(OR($B22="",$C22&lt;&gt;"Disponível",'Calc_Mix'!$T$6=0,COUNTIF(Esc_Tec1,$B22)+COUNTIF(Esc_Tec2,$B22)&gt;0,SUMPRODUCT('Calc_Mix'!$F$6:$S$6,'Matriz_Habilidades'!$D22:$Q22)=0),"",SUMPRODUCT('Calc_Mix'!$F$6:$S$6,'Matriz_Habilidades'!$D22:$Q22)/'Calc_Mix'!$T$6+ROW()*0.000001)</f>
        <v/>
      </c>
      <c r="I22" s="36">
        <f>IF(OR($B22="",$C22&lt;&gt;"Disponível",'Calc_Mix'!$T$7=0,COUNTIF(Esc_Tec1,$B22)+COUNTIF(Esc_Tec2,$B22)&gt;0,SUMPRODUCT('Calc_Mix'!$F$7:$S$7,'Matriz_Habilidades'!$D22:$Q22)=0),"",SUMPRODUCT('Calc_Mix'!$F$7:$S$7,'Matriz_Habilidades'!$D22:$Q22)/'Calc_Mix'!$T$7+ROW()*0.000001)</f>
        <v/>
      </c>
      <c r="J22" s="36">
        <f>IF(OR($B22="",$C22&lt;&gt;"Disponível",'Calc_Mix'!$T$8=0,COUNTIF(Esc_Tec1,$B22)+COUNTIF(Esc_Tec2,$B22)&gt;0,SUMPRODUCT('Calc_Mix'!$F$8:$S$8,'Matriz_Habilidades'!$D22:$Q22)=0),"",SUMPRODUCT('Calc_Mix'!$F$8:$S$8,'Matriz_Habilidades'!$D22:$Q22)/'Calc_Mix'!$T$8+ROW()*0.000001)</f>
        <v/>
      </c>
      <c r="K22" s="36">
        <f>IF(OR($B22="",$C22&lt;&gt;"Disponível",'Calc_Mix'!$T$9=0,COUNTIF(Esc_Tec1,$B22)+COUNTIF(Esc_Tec2,$B22)&gt;0,SUMPRODUCT('Calc_Mix'!$F$9:$S$9,'Matriz_Habilidades'!$D22:$Q22)=0),"",SUMPRODUCT('Calc_Mix'!$F$9:$S$9,'Matriz_Habilidades'!$D22:$Q22)/'Calc_Mix'!$T$9+ROW()*0.000001)</f>
        <v/>
      </c>
      <c r="L22" s="36">
        <f>IF(OR($B22="",$C22&lt;&gt;"Disponível",'Calc_Mix'!$T$10=0,COUNTIF(Esc_Tec1,$B22)+COUNTIF(Esc_Tec2,$B22)&gt;0,SUMPRODUCT('Calc_Mix'!$F$10:$S$10,'Matriz_Habilidades'!$D22:$Q22)=0),"",SUMPRODUCT('Calc_Mix'!$F$10:$S$10,'Matriz_Habilidades'!$D22:$Q22)/'Calc_Mix'!$T$10+ROW()*0.000001)</f>
        <v/>
      </c>
      <c r="M22" s="36">
        <f>IF(OR($B22="",$C22&lt;&gt;"Disponível",'Calc_Mix'!$T$11=0,COUNTIF(Esc_Tec1,$B22)+COUNTIF(Esc_Tec2,$B22)&gt;0,SUMPRODUCT('Calc_Mix'!$F$11:$S$11,'Matriz_Habilidades'!$D22:$Q22)=0),"",SUMPRODUCT('Calc_Mix'!$F$11:$S$11,'Matriz_Habilidades'!$D22:$Q22)/'Calc_Mix'!$T$11+ROW()*0.000001)</f>
        <v/>
      </c>
      <c r="N22" s="36">
        <f>IF(OR($B22="",$C22&lt;&gt;"Disponível",'Calc_Mix'!$T$12=0,COUNTIF(Esc_Tec1,$B22)+COUNTIF(Esc_Tec2,$B22)&gt;0,SUMPRODUCT('Calc_Mix'!$F$12:$S$12,'Matriz_Habilidades'!$D22:$Q22)=0),"",SUMPRODUCT('Calc_Mix'!$F$12:$S$12,'Matriz_Habilidades'!$D22:$Q22)/'Calc_Mix'!$T$12+ROW()*0.000001)</f>
        <v/>
      </c>
      <c r="O22" s="36">
        <f>IF(OR($B22="",$C22&lt;&gt;"Disponível",'Calc_Mix'!$T$13=0,COUNTIF(Esc_Tec1,$B22)+COUNTIF(Esc_Tec2,$B22)&gt;0,SUMPRODUCT('Calc_Mix'!$F$13:$S$13,'Matriz_Habilidades'!$D22:$Q22)=0),"",SUMPRODUCT('Calc_Mix'!$F$13:$S$13,'Matriz_Habilidades'!$D22:$Q22)/'Calc_Mix'!$T$13+ROW()*0.000001)</f>
        <v/>
      </c>
      <c r="P22" s="36">
        <f>IF(OR($B22="",$C22&lt;&gt;"Disponível",'Calc_Mix'!$T$14=0,COUNTIF(Esc_Tec1,$B22)+COUNTIF(Esc_Tec2,$B22)&gt;0,SUMPRODUCT('Calc_Mix'!$F$14:$S$14,'Matriz_Habilidades'!$D22:$Q22)=0),"",SUMPRODUCT('Calc_Mix'!$F$14:$S$14,'Matriz_Habilidades'!$D22:$Q22)/'Calc_Mix'!$T$14+ROW()*0.000001)</f>
        <v/>
      </c>
      <c r="Q22" s="36">
        <f>IF(OR($B22="",$C22&lt;&gt;"Disponível",'Calc_Mix'!$T$15=0,COUNTIF(Esc_Tec1,$B22)+COUNTIF(Esc_Tec2,$B22)&gt;0,SUMPRODUCT('Calc_Mix'!$F$15:$S$15,'Matriz_Habilidades'!$D22:$Q22)=0),"",SUMPRODUCT('Calc_Mix'!$F$15:$S$15,'Matriz_Habilidades'!$D22:$Q22)/'Calc_Mix'!$T$15+ROW()*0.000001)</f>
        <v/>
      </c>
      <c r="R22" s="36">
        <f>IF(OR($B22="",$C22&lt;&gt;"Disponível",'Calc_Mix'!$T$16=0,COUNTIF(Esc_Tec1,$B22)+COUNTIF(Esc_Tec2,$B22)&gt;0,SUMPRODUCT('Calc_Mix'!$F$16:$S$16,'Matriz_Habilidades'!$D22:$Q22)=0),"",SUMPRODUCT('Calc_Mix'!$F$16:$S$16,'Matriz_Habilidades'!$D22:$Q22)/'Calc_Mix'!$T$16+ROW()*0.000001)</f>
        <v/>
      </c>
      <c r="S22" s="36">
        <f>IF(OR($B22="",$C22&lt;&gt;"Disponível",'Calc_Mix'!$T$17=0,COUNTIF(Esc_Tec1,$B22)+COUNTIF(Esc_Tec2,$B22)&gt;0,SUMPRODUCT('Calc_Mix'!$F$17:$S$17,'Matriz_Habilidades'!$D22:$Q22)=0),"",SUMPRODUCT('Calc_Mix'!$F$17:$S$17,'Matriz_Habilidades'!$D22:$Q22)/'Calc_Mix'!$T$17+ROW()*0.000001)</f>
        <v/>
      </c>
    </row>
    <row r="23">
      <c r="A23" s="33">
        <f>IF('Matriz_Habilidades'!A23="","",'Matriz_Habilidades'!A23)</f>
        <v/>
      </c>
      <c r="B23" s="34">
        <f>IF('Matriz_Habilidades'!B23="","",'Matriz_Habilidades'!B23)</f>
        <v/>
      </c>
      <c r="C23" s="33">
        <f>IF($A23="","",IFERROR(INDEX(Equipe_Situacao,MATCH($B23,Equipe_Nome,0)),"?"))</f>
        <v/>
      </c>
      <c r="D23" s="36">
        <f>IF(OR($B23="",$C23&lt;&gt;"Disponível",'Calc_Mix'!$T$2=0,COUNTIF(Esc_Tec1,$B23)+COUNTIF(Esc_Tec2,$B23)&gt;0,SUMPRODUCT('Calc_Mix'!$F$2:$S$2,'Matriz_Habilidades'!$D23:$Q23)=0),"",SUMPRODUCT('Calc_Mix'!$F$2:$S$2,'Matriz_Habilidades'!$D23:$Q23)/'Calc_Mix'!$T$2+ROW()*0.000001)</f>
        <v/>
      </c>
      <c r="E23" s="36">
        <f>IF(OR($B23="",$C23&lt;&gt;"Disponível",'Calc_Mix'!$T$3=0,COUNTIF(Esc_Tec1,$B23)+COUNTIF(Esc_Tec2,$B23)&gt;0,SUMPRODUCT('Calc_Mix'!$F$3:$S$3,'Matriz_Habilidades'!$D23:$Q23)=0),"",SUMPRODUCT('Calc_Mix'!$F$3:$S$3,'Matriz_Habilidades'!$D23:$Q23)/'Calc_Mix'!$T$3+ROW()*0.000001)</f>
        <v/>
      </c>
      <c r="F23" s="36">
        <f>IF(OR($B23="",$C23&lt;&gt;"Disponível",'Calc_Mix'!$T$4=0,COUNTIF(Esc_Tec1,$B23)+COUNTIF(Esc_Tec2,$B23)&gt;0,SUMPRODUCT('Calc_Mix'!$F$4:$S$4,'Matriz_Habilidades'!$D23:$Q23)=0),"",SUMPRODUCT('Calc_Mix'!$F$4:$S$4,'Matriz_Habilidades'!$D23:$Q23)/'Calc_Mix'!$T$4+ROW()*0.000001)</f>
        <v/>
      </c>
      <c r="G23" s="36">
        <f>IF(OR($B23="",$C23&lt;&gt;"Disponível",'Calc_Mix'!$T$5=0,COUNTIF(Esc_Tec1,$B23)+COUNTIF(Esc_Tec2,$B23)&gt;0,SUMPRODUCT('Calc_Mix'!$F$5:$S$5,'Matriz_Habilidades'!$D23:$Q23)=0),"",SUMPRODUCT('Calc_Mix'!$F$5:$S$5,'Matriz_Habilidades'!$D23:$Q23)/'Calc_Mix'!$T$5+ROW()*0.000001)</f>
        <v/>
      </c>
      <c r="H23" s="36">
        <f>IF(OR($B23="",$C23&lt;&gt;"Disponível",'Calc_Mix'!$T$6=0,COUNTIF(Esc_Tec1,$B23)+COUNTIF(Esc_Tec2,$B23)&gt;0,SUMPRODUCT('Calc_Mix'!$F$6:$S$6,'Matriz_Habilidades'!$D23:$Q23)=0),"",SUMPRODUCT('Calc_Mix'!$F$6:$S$6,'Matriz_Habilidades'!$D23:$Q23)/'Calc_Mix'!$T$6+ROW()*0.000001)</f>
        <v/>
      </c>
      <c r="I23" s="36">
        <f>IF(OR($B23="",$C23&lt;&gt;"Disponível",'Calc_Mix'!$T$7=0,COUNTIF(Esc_Tec1,$B23)+COUNTIF(Esc_Tec2,$B23)&gt;0,SUMPRODUCT('Calc_Mix'!$F$7:$S$7,'Matriz_Habilidades'!$D23:$Q23)=0),"",SUMPRODUCT('Calc_Mix'!$F$7:$S$7,'Matriz_Habilidades'!$D23:$Q23)/'Calc_Mix'!$T$7+ROW()*0.000001)</f>
        <v/>
      </c>
      <c r="J23" s="36">
        <f>IF(OR($B23="",$C23&lt;&gt;"Disponível",'Calc_Mix'!$T$8=0,COUNTIF(Esc_Tec1,$B23)+COUNTIF(Esc_Tec2,$B23)&gt;0,SUMPRODUCT('Calc_Mix'!$F$8:$S$8,'Matriz_Habilidades'!$D23:$Q23)=0),"",SUMPRODUCT('Calc_Mix'!$F$8:$S$8,'Matriz_Habilidades'!$D23:$Q23)/'Calc_Mix'!$T$8+ROW()*0.000001)</f>
        <v/>
      </c>
      <c r="K23" s="36">
        <f>IF(OR($B23="",$C23&lt;&gt;"Disponível",'Calc_Mix'!$T$9=0,COUNTIF(Esc_Tec1,$B23)+COUNTIF(Esc_Tec2,$B23)&gt;0,SUMPRODUCT('Calc_Mix'!$F$9:$S$9,'Matriz_Habilidades'!$D23:$Q23)=0),"",SUMPRODUCT('Calc_Mix'!$F$9:$S$9,'Matriz_Habilidades'!$D23:$Q23)/'Calc_Mix'!$T$9+ROW()*0.000001)</f>
        <v/>
      </c>
      <c r="L23" s="36">
        <f>IF(OR($B23="",$C23&lt;&gt;"Disponível",'Calc_Mix'!$T$10=0,COUNTIF(Esc_Tec1,$B23)+COUNTIF(Esc_Tec2,$B23)&gt;0,SUMPRODUCT('Calc_Mix'!$F$10:$S$10,'Matriz_Habilidades'!$D23:$Q23)=0),"",SUMPRODUCT('Calc_Mix'!$F$10:$S$10,'Matriz_Habilidades'!$D23:$Q23)/'Calc_Mix'!$T$10+ROW()*0.000001)</f>
        <v/>
      </c>
      <c r="M23" s="36">
        <f>IF(OR($B23="",$C23&lt;&gt;"Disponível",'Calc_Mix'!$T$11=0,COUNTIF(Esc_Tec1,$B23)+COUNTIF(Esc_Tec2,$B23)&gt;0,SUMPRODUCT('Calc_Mix'!$F$11:$S$11,'Matriz_Habilidades'!$D23:$Q23)=0),"",SUMPRODUCT('Calc_Mix'!$F$11:$S$11,'Matriz_Habilidades'!$D23:$Q23)/'Calc_Mix'!$T$11+ROW()*0.000001)</f>
        <v/>
      </c>
      <c r="N23" s="36">
        <f>IF(OR($B23="",$C23&lt;&gt;"Disponível",'Calc_Mix'!$T$12=0,COUNTIF(Esc_Tec1,$B23)+COUNTIF(Esc_Tec2,$B23)&gt;0,SUMPRODUCT('Calc_Mix'!$F$12:$S$12,'Matriz_Habilidades'!$D23:$Q23)=0),"",SUMPRODUCT('Calc_Mix'!$F$12:$S$12,'Matriz_Habilidades'!$D23:$Q23)/'Calc_Mix'!$T$12+ROW()*0.000001)</f>
        <v/>
      </c>
      <c r="O23" s="36">
        <f>IF(OR($B23="",$C23&lt;&gt;"Disponível",'Calc_Mix'!$T$13=0,COUNTIF(Esc_Tec1,$B23)+COUNTIF(Esc_Tec2,$B23)&gt;0,SUMPRODUCT('Calc_Mix'!$F$13:$S$13,'Matriz_Habilidades'!$D23:$Q23)=0),"",SUMPRODUCT('Calc_Mix'!$F$13:$S$13,'Matriz_Habilidades'!$D23:$Q23)/'Calc_Mix'!$T$13+ROW()*0.000001)</f>
        <v/>
      </c>
      <c r="P23" s="36">
        <f>IF(OR($B23="",$C23&lt;&gt;"Disponível",'Calc_Mix'!$T$14=0,COUNTIF(Esc_Tec1,$B23)+COUNTIF(Esc_Tec2,$B23)&gt;0,SUMPRODUCT('Calc_Mix'!$F$14:$S$14,'Matriz_Habilidades'!$D23:$Q23)=0),"",SUMPRODUCT('Calc_Mix'!$F$14:$S$14,'Matriz_Habilidades'!$D23:$Q23)/'Calc_Mix'!$T$14+ROW()*0.000001)</f>
        <v/>
      </c>
      <c r="Q23" s="36">
        <f>IF(OR($B23="",$C23&lt;&gt;"Disponível",'Calc_Mix'!$T$15=0,COUNTIF(Esc_Tec1,$B23)+COUNTIF(Esc_Tec2,$B23)&gt;0,SUMPRODUCT('Calc_Mix'!$F$15:$S$15,'Matriz_Habilidades'!$D23:$Q23)=0),"",SUMPRODUCT('Calc_Mix'!$F$15:$S$15,'Matriz_Habilidades'!$D23:$Q23)/'Calc_Mix'!$T$15+ROW()*0.000001)</f>
        <v/>
      </c>
      <c r="R23" s="36">
        <f>IF(OR($B23="",$C23&lt;&gt;"Disponível",'Calc_Mix'!$T$16=0,COUNTIF(Esc_Tec1,$B23)+COUNTIF(Esc_Tec2,$B23)&gt;0,SUMPRODUCT('Calc_Mix'!$F$16:$S$16,'Matriz_Habilidades'!$D23:$Q23)=0),"",SUMPRODUCT('Calc_Mix'!$F$16:$S$16,'Matriz_Habilidades'!$D23:$Q23)/'Calc_Mix'!$T$16+ROW()*0.000001)</f>
        <v/>
      </c>
      <c r="S23" s="36">
        <f>IF(OR($B23="",$C23&lt;&gt;"Disponível",'Calc_Mix'!$T$17=0,COUNTIF(Esc_Tec1,$B23)+COUNTIF(Esc_Tec2,$B23)&gt;0,SUMPRODUCT('Calc_Mix'!$F$17:$S$17,'Matriz_Habilidades'!$D23:$Q23)=0),"",SUMPRODUCT('Calc_Mix'!$F$17:$S$17,'Matriz_Habilidades'!$D23:$Q23)/'Calc_Mix'!$T$17+ROW()*0.000001)</f>
        <v/>
      </c>
    </row>
    <row r="24">
      <c r="A24" s="33">
        <f>IF('Matriz_Habilidades'!A24="","",'Matriz_Habilidades'!A24)</f>
        <v/>
      </c>
      <c r="B24" s="34">
        <f>IF('Matriz_Habilidades'!B24="","",'Matriz_Habilidades'!B24)</f>
        <v/>
      </c>
      <c r="C24" s="33">
        <f>IF($A24="","",IFERROR(INDEX(Equipe_Situacao,MATCH($B24,Equipe_Nome,0)),"?"))</f>
        <v/>
      </c>
      <c r="D24" s="36">
        <f>IF(OR($B24="",$C24&lt;&gt;"Disponível",'Calc_Mix'!$T$2=0,COUNTIF(Esc_Tec1,$B24)+COUNTIF(Esc_Tec2,$B24)&gt;0,SUMPRODUCT('Calc_Mix'!$F$2:$S$2,'Matriz_Habilidades'!$D24:$Q24)=0),"",SUMPRODUCT('Calc_Mix'!$F$2:$S$2,'Matriz_Habilidades'!$D24:$Q24)/'Calc_Mix'!$T$2+ROW()*0.000001)</f>
        <v/>
      </c>
      <c r="E24" s="36">
        <f>IF(OR($B24="",$C24&lt;&gt;"Disponível",'Calc_Mix'!$T$3=0,COUNTIF(Esc_Tec1,$B24)+COUNTIF(Esc_Tec2,$B24)&gt;0,SUMPRODUCT('Calc_Mix'!$F$3:$S$3,'Matriz_Habilidades'!$D24:$Q24)=0),"",SUMPRODUCT('Calc_Mix'!$F$3:$S$3,'Matriz_Habilidades'!$D24:$Q24)/'Calc_Mix'!$T$3+ROW()*0.000001)</f>
        <v/>
      </c>
      <c r="F24" s="36">
        <f>IF(OR($B24="",$C24&lt;&gt;"Disponível",'Calc_Mix'!$T$4=0,COUNTIF(Esc_Tec1,$B24)+COUNTIF(Esc_Tec2,$B24)&gt;0,SUMPRODUCT('Calc_Mix'!$F$4:$S$4,'Matriz_Habilidades'!$D24:$Q24)=0),"",SUMPRODUCT('Calc_Mix'!$F$4:$S$4,'Matriz_Habilidades'!$D24:$Q24)/'Calc_Mix'!$T$4+ROW()*0.000001)</f>
        <v/>
      </c>
      <c r="G24" s="36">
        <f>IF(OR($B24="",$C24&lt;&gt;"Disponível",'Calc_Mix'!$T$5=0,COUNTIF(Esc_Tec1,$B24)+COUNTIF(Esc_Tec2,$B24)&gt;0,SUMPRODUCT('Calc_Mix'!$F$5:$S$5,'Matriz_Habilidades'!$D24:$Q24)=0),"",SUMPRODUCT('Calc_Mix'!$F$5:$S$5,'Matriz_Habilidades'!$D24:$Q24)/'Calc_Mix'!$T$5+ROW()*0.000001)</f>
        <v/>
      </c>
      <c r="H24" s="36">
        <f>IF(OR($B24="",$C24&lt;&gt;"Disponível",'Calc_Mix'!$T$6=0,COUNTIF(Esc_Tec1,$B24)+COUNTIF(Esc_Tec2,$B24)&gt;0,SUMPRODUCT('Calc_Mix'!$F$6:$S$6,'Matriz_Habilidades'!$D24:$Q24)=0),"",SUMPRODUCT('Calc_Mix'!$F$6:$S$6,'Matriz_Habilidades'!$D24:$Q24)/'Calc_Mix'!$T$6+ROW()*0.000001)</f>
        <v/>
      </c>
      <c r="I24" s="36">
        <f>IF(OR($B24="",$C24&lt;&gt;"Disponível",'Calc_Mix'!$T$7=0,COUNTIF(Esc_Tec1,$B24)+COUNTIF(Esc_Tec2,$B24)&gt;0,SUMPRODUCT('Calc_Mix'!$F$7:$S$7,'Matriz_Habilidades'!$D24:$Q24)=0),"",SUMPRODUCT('Calc_Mix'!$F$7:$S$7,'Matriz_Habilidades'!$D24:$Q24)/'Calc_Mix'!$T$7+ROW()*0.000001)</f>
        <v/>
      </c>
      <c r="J24" s="36">
        <f>IF(OR($B24="",$C24&lt;&gt;"Disponível",'Calc_Mix'!$T$8=0,COUNTIF(Esc_Tec1,$B24)+COUNTIF(Esc_Tec2,$B24)&gt;0,SUMPRODUCT('Calc_Mix'!$F$8:$S$8,'Matriz_Habilidades'!$D24:$Q24)=0),"",SUMPRODUCT('Calc_Mix'!$F$8:$S$8,'Matriz_Habilidades'!$D24:$Q24)/'Calc_Mix'!$T$8+ROW()*0.000001)</f>
        <v/>
      </c>
      <c r="K24" s="36">
        <f>IF(OR($B24="",$C24&lt;&gt;"Disponível",'Calc_Mix'!$T$9=0,COUNTIF(Esc_Tec1,$B24)+COUNTIF(Esc_Tec2,$B24)&gt;0,SUMPRODUCT('Calc_Mix'!$F$9:$S$9,'Matriz_Habilidades'!$D24:$Q24)=0),"",SUMPRODUCT('Calc_Mix'!$F$9:$S$9,'Matriz_Habilidades'!$D24:$Q24)/'Calc_Mix'!$T$9+ROW()*0.000001)</f>
        <v/>
      </c>
      <c r="L24" s="36">
        <f>IF(OR($B24="",$C24&lt;&gt;"Disponível",'Calc_Mix'!$T$10=0,COUNTIF(Esc_Tec1,$B24)+COUNTIF(Esc_Tec2,$B24)&gt;0,SUMPRODUCT('Calc_Mix'!$F$10:$S$10,'Matriz_Habilidades'!$D24:$Q24)=0),"",SUMPRODUCT('Calc_Mix'!$F$10:$S$10,'Matriz_Habilidades'!$D24:$Q24)/'Calc_Mix'!$T$10+ROW()*0.000001)</f>
        <v/>
      </c>
      <c r="M24" s="36">
        <f>IF(OR($B24="",$C24&lt;&gt;"Disponível",'Calc_Mix'!$T$11=0,COUNTIF(Esc_Tec1,$B24)+COUNTIF(Esc_Tec2,$B24)&gt;0,SUMPRODUCT('Calc_Mix'!$F$11:$S$11,'Matriz_Habilidades'!$D24:$Q24)=0),"",SUMPRODUCT('Calc_Mix'!$F$11:$S$11,'Matriz_Habilidades'!$D24:$Q24)/'Calc_Mix'!$T$11+ROW()*0.000001)</f>
        <v/>
      </c>
      <c r="N24" s="36">
        <f>IF(OR($B24="",$C24&lt;&gt;"Disponível",'Calc_Mix'!$T$12=0,COUNTIF(Esc_Tec1,$B24)+COUNTIF(Esc_Tec2,$B24)&gt;0,SUMPRODUCT('Calc_Mix'!$F$12:$S$12,'Matriz_Habilidades'!$D24:$Q24)=0),"",SUMPRODUCT('Calc_Mix'!$F$12:$S$12,'Matriz_Habilidades'!$D24:$Q24)/'Calc_Mix'!$T$12+ROW()*0.000001)</f>
        <v/>
      </c>
      <c r="O24" s="36">
        <f>IF(OR($B24="",$C24&lt;&gt;"Disponível",'Calc_Mix'!$T$13=0,COUNTIF(Esc_Tec1,$B24)+COUNTIF(Esc_Tec2,$B24)&gt;0,SUMPRODUCT('Calc_Mix'!$F$13:$S$13,'Matriz_Habilidades'!$D24:$Q24)=0),"",SUMPRODUCT('Calc_Mix'!$F$13:$S$13,'Matriz_Habilidades'!$D24:$Q24)/'Calc_Mix'!$T$13+ROW()*0.000001)</f>
        <v/>
      </c>
      <c r="P24" s="36">
        <f>IF(OR($B24="",$C24&lt;&gt;"Disponível",'Calc_Mix'!$T$14=0,COUNTIF(Esc_Tec1,$B24)+COUNTIF(Esc_Tec2,$B24)&gt;0,SUMPRODUCT('Calc_Mix'!$F$14:$S$14,'Matriz_Habilidades'!$D24:$Q24)=0),"",SUMPRODUCT('Calc_Mix'!$F$14:$S$14,'Matriz_Habilidades'!$D24:$Q24)/'Calc_Mix'!$T$14+ROW()*0.000001)</f>
        <v/>
      </c>
      <c r="Q24" s="36">
        <f>IF(OR($B24="",$C24&lt;&gt;"Disponível",'Calc_Mix'!$T$15=0,COUNTIF(Esc_Tec1,$B24)+COUNTIF(Esc_Tec2,$B24)&gt;0,SUMPRODUCT('Calc_Mix'!$F$15:$S$15,'Matriz_Habilidades'!$D24:$Q24)=0),"",SUMPRODUCT('Calc_Mix'!$F$15:$S$15,'Matriz_Habilidades'!$D24:$Q24)/'Calc_Mix'!$T$15+ROW()*0.000001)</f>
        <v/>
      </c>
      <c r="R24" s="36">
        <f>IF(OR($B24="",$C24&lt;&gt;"Disponível",'Calc_Mix'!$T$16=0,COUNTIF(Esc_Tec1,$B24)+COUNTIF(Esc_Tec2,$B24)&gt;0,SUMPRODUCT('Calc_Mix'!$F$16:$S$16,'Matriz_Habilidades'!$D24:$Q24)=0),"",SUMPRODUCT('Calc_Mix'!$F$16:$S$16,'Matriz_Habilidades'!$D24:$Q24)/'Calc_Mix'!$T$16+ROW()*0.000001)</f>
        <v/>
      </c>
      <c r="S24" s="36">
        <f>IF(OR($B24="",$C24&lt;&gt;"Disponível",'Calc_Mix'!$T$17=0,COUNTIF(Esc_Tec1,$B24)+COUNTIF(Esc_Tec2,$B24)&gt;0,SUMPRODUCT('Calc_Mix'!$F$17:$S$17,'Matriz_Habilidades'!$D24:$Q24)=0),"",SUMPRODUCT('Calc_Mix'!$F$17:$S$17,'Matriz_Habilidades'!$D24:$Q24)/'Calc_Mix'!$T$17+ROW()*0.000001)</f>
        <v/>
      </c>
    </row>
    <row r="25">
      <c r="A25" s="33">
        <f>IF('Matriz_Habilidades'!A25="","",'Matriz_Habilidades'!A25)</f>
        <v/>
      </c>
      <c r="B25" s="34">
        <f>IF('Matriz_Habilidades'!B25="","",'Matriz_Habilidades'!B25)</f>
        <v/>
      </c>
      <c r="C25" s="33">
        <f>IF($A25="","",IFERROR(INDEX(Equipe_Situacao,MATCH($B25,Equipe_Nome,0)),"?"))</f>
        <v/>
      </c>
      <c r="D25" s="36">
        <f>IF(OR($B25="",$C25&lt;&gt;"Disponível",'Calc_Mix'!$T$2=0,COUNTIF(Esc_Tec1,$B25)+COUNTIF(Esc_Tec2,$B25)&gt;0,SUMPRODUCT('Calc_Mix'!$F$2:$S$2,'Matriz_Habilidades'!$D25:$Q25)=0),"",SUMPRODUCT('Calc_Mix'!$F$2:$S$2,'Matriz_Habilidades'!$D25:$Q25)/'Calc_Mix'!$T$2+ROW()*0.000001)</f>
        <v/>
      </c>
      <c r="E25" s="36">
        <f>IF(OR($B25="",$C25&lt;&gt;"Disponível",'Calc_Mix'!$T$3=0,COUNTIF(Esc_Tec1,$B25)+COUNTIF(Esc_Tec2,$B25)&gt;0,SUMPRODUCT('Calc_Mix'!$F$3:$S$3,'Matriz_Habilidades'!$D25:$Q25)=0),"",SUMPRODUCT('Calc_Mix'!$F$3:$S$3,'Matriz_Habilidades'!$D25:$Q25)/'Calc_Mix'!$T$3+ROW()*0.000001)</f>
        <v/>
      </c>
      <c r="F25" s="36">
        <f>IF(OR($B25="",$C25&lt;&gt;"Disponível",'Calc_Mix'!$T$4=0,COUNTIF(Esc_Tec1,$B25)+COUNTIF(Esc_Tec2,$B25)&gt;0,SUMPRODUCT('Calc_Mix'!$F$4:$S$4,'Matriz_Habilidades'!$D25:$Q25)=0),"",SUMPRODUCT('Calc_Mix'!$F$4:$S$4,'Matriz_Habilidades'!$D25:$Q25)/'Calc_Mix'!$T$4+ROW()*0.000001)</f>
        <v/>
      </c>
      <c r="G25" s="36">
        <f>IF(OR($B25="",$C25&lt;&gt;"Disponível",'Calc_Mix'!$T$5=0,COUNTIF(Esc_Tec1,$B25)+COUNTIF(Esc_Tec2,$B25)&gt;0,SUMPRODUCT('Calc_Mix'!$F$5:$S$5,'Matriz_Habilidades'!$D25:$Q25)=0),"",SUMPRODUCT('Calc_Mix'!$F$5:$S$5,'Matriz_Habilidades'!$D25:$Q25)/'Calc_Mix'!$T$5+ROW()*0.000001)</f>
        <v/>
      </c>
      <c r="H25" s="36">
        <f>IF(OR($B25="",$C25&lt;&gt;"Disponível",'Calc_Mix'!$T$6=0,COUNTIF(Esc_Tec1,$B25)+COUNTIF(Esc_Tec2,$B25)&gt;0,SUMPRODUCT('Calc_Mix'!$F$6:$S$6,'Matriz_Habilidades'!$D25:$Q25)=0),"",SUMPRODUCT('Calc_Mix'!$F$6:$S$6,'Matriz_Habilidades'!$D25:$Q25)/'Calc_Mix'!$T$6+ROW()*0.000001)</f>
        <v/>
      </c>
      <c r="I25" s="36">
        <f>IF(OR($B25="",$C25&lt;&gt;"Disponível",'Calc_Mix'!$T$7=0,COUNTIF(Esc_Tec1,$B25)+COUNTIF(Esc_Tec2,$B25)&gt;0,SUMPRODUCT('Calc_Mix'!$F$7:$S$7,'Matriz_Habilidades'!$D25:$Q25)=0),"",SUMPRODUCT('Calc_Mix'!$F$7:$S$7,'Matriz_Habilidades'!$D25:$Q25)/'Calc_Mix'!$T$7+ROW()*0.000001)</f>
        <v/>
      </c>
      <c r="J25" s="36">
        <f>IF(OR($B25="",$C25&lt;&gt;"Disponível",'Calc_Mix'!$T$8=0,COUNTIF(Esc_Tec1,$B25)+COUNTIF(Esc_Tec2,$B25)&gt;0,SUMPRODUCT('Calc_Mix'!$F$8:$S$8,'Matriz_Habilidades'!$D25:$Q25)=0),"",SUMPRODUCT('Calc_Mix'!$F$8:$S$8,'Matriz_Habilidades'!$D25:$Q25)/'Calc_Mix'!$T$8+ROW()*0.000001)</f>
        <v/>
      </c>
      <c r="K25" s="36">
        <f>IF(OR($B25="",$C25&lt;&gt;"Disponível",'Calc_Mix'!$T$9=0,COUNTIF(Esc_Tec1,$B25)+COUNTIF(Esc_Tec2,$B25)&gt;0,SUMPRODUCT('Calc_Mix'!$F$9:$S$9,'Matriz_Habilidades'!$D25:$Q25)=0),"",SUMPRODUCT('Calc_Mix'!$F$9:$S$9,'Matriz_Habilidades'!$D25:$Q25)/'Calc_Mix'!$T$9+ROW()*0.000001)</f>
        <v/>
      </c>
      <c r="L25" s="36">
        <f>IF(OR($B25="",$C25&lt;&gt;"Disponível",'Calc_Mix'!$T$10=0,COUNTIF(Esc_Tec1,$B25)+COUNTIF(Esc_Tec2,$B25)&gt;0,SUMPRODUCT('Calc_Mix'!$F$10:$S$10,'Matriz_Habilidades'!$D25:$Q25)=0),"",SUMPRODUCT('Calc_Mix'!$F$10:$S$10,'Matriz_Habilidades'!$D25:$Q25)/'Calc_Mix'!$T$10+ROW()*0.000001)</f>
        <v/>
      </c>
      <c r="M25" s="36">
        <f>IF(OR($B25="",$C25&lt;&gt;"Disponível",'Calc_Mix'!$T$11=0,COUNTIF(Esc_Tec1,$B25)+COUNTIF(Esc_Tec2,$B25)&gt;0,SUMPRODUCT('Calc_Mix'!$F$11:$S$11,'Matriz_Habilidades'!$D25:$Q25)=0),"",SUMPRODUCT('Calc_Mix'!$F$11:$S$11,'Matriz_Habilidades'!$D25:$Q25)/'Calc_Mix'!$T$11+ROW()*0.000001)</f>
        <v/>
      </c>
      <c r="N25" s="36">
        <f>IF(OR($B25="",$C25&lt;&gt;"Disponível",'Calc_Mix'!$T$12=0,COUNTIF(Esc_Tec1,$B25)+COUNTIF(Esc_Tec2,$B25)&gt;0,SUMPRODUCT('Calc_Mix'!$F$12:$S$12,'Matriz_Habilidades'!$D25:$Q25)=0),"",SUMPRODUCT('Calc_Mix'!$F$12:$S$12,'Matriz_Habilidades'!$D25:$Q25)/'Calc_Mix'!$T$12+ROW()*0.000001)</f>
        <v/>
      </c>
      <c r="O25" s="36">
        <f>IF(OR($B25="",$C25&lt;&gt;"Disponível",'Calc_Mix'!$T$13=0,COUNTIF(Esc_Tec1,$B25)+COUNTIF(Esc_Tec2,$B25)&gt;0,SUMPRODUCT('Calc_Mix'!$F$13:$S$13,'Matriz_Habilidades'!$D25:$Q25)=0),"",SUMPRODUCT('Calc_Mix'!$F$13:$S$13,'Matriz_Habilidades'!$D25:$Q25)/'Calc_Mix'!$T$13+ROW()*0.000001)</f>
        <v/>
      </c>
      <c r="P25" s="36">
        <f>IF(OR($B25="",$C25&lt;&gt;"Disponível",'Calc_Mix'!$T$14=0,COUNTIF(Esc_Tec1,$B25)+COUNTIF(Esc_Tec2,$B25)&gt;0,SUMPRODUCT('Calc_Mix'!$F$14:$S$14,'Matriz_Habilidades'!$D25:$Q25)=0),"",SUMPRODUCT('Calc_Mix'!$F$14:$S$14,'Matriz_Habilidades'!$D25:$Q25)/'Calc_Mix'!$T$14+ROW()*0.000001)</f>
        <v/>
      </c>
      <c r="Q25" s="36">
        <f>IF(OR($B25="",$C25&lt;&gt;"Disponível",'Calc_Mix'!$T$15=0,COUNTIF(Esc_Tec1,$B25)+COUNTIF(Esc_Tec2,$B25)&gt;0,SUMPRODUCT('Calc_Mix'!$F$15:$S$15,'Matriz_Habilidades'!$D25:$Q25)=0),"",SUMPRODUCT('Calc_Mix'!$F$15:$S$15,'Matriz_Habilidades'!$D25:$Q25)/'Calc_Mix'!$T$15+ROW()*0.000001)</f>
        <v/>
      </c>
      <c r="R25" s="36">
        <f>IF(OR($B25="",$C25&lt;&gt;"Disponível",'Calc_Mix'!$T$16=0,COUNTIF(Esc_Tec1,$B25)+COUNTIF(Esc_Tec2,$B25)&gt;0,SUMPRODUCT('Calc_Mix'!$F$16:$S$16,'Matriz_Habilidades'!$D25:$Q25)=0),"",SUMPRODUCT('Calc_Mix'!$F$16:$S$16,'Matriz_Habilidades'!$D25:$Q25)/'Calc_Mix'!$T$16+ROW()*0.000001)</f>
        <v/>
      </c>
      <c r="S25" s="36">
        <f>IF(OR($B25="",$C25&lt;&gt;"Disponível",'Calc_Mix'!$T$17=0,COUNTIF(Esc_Tec1,$B25)+COUNTIF(Esc_Tec2,$B25)&gt;0,SUMPRODUCT('Calc_Mix'!$F$17:$S$17,'Matriz_Habilidades'!$D25:$Q25)=0),"",SUMPRODUCT('Calc_Mix'!$F$17:$S$17,'Matriz_Habilidades'!$D25:$Q25)/'Calc_Mix'!$T$17+ROW()*0.000001)</f>
        <v/>
      </c>
    </row>
    <row r="26">
      <c r="A26" s="33">
        <f>IF('Matriz_Habilidades'!A26="","",'Matriz_Habilidades'!A26)</f>
        <v/>
      </c>
      <c r="B26" s="34">
        <f>IF('Matriz_Habilidades'!B26="","",'Matriz_Habilidades'!B26)</f>
        <v/>
      </c>
      <c r="C26" s="33">
        <f>IF($A26="","",IFERROR(INDEX(Equipe_Situacao,MATCH($B26,Equipe_Nome,0)),"?"))</f>
        <v/>
      </c>
      <c r="D26" s="36">
        <f>IF(OR($B26="",$C26&lt;&gt;"Disponível",'Calc_Mix'!$T$2=0,COUNTIF(Esc_Tec1,$B26)+COUNTIF(Esc_Tec2,$B26)&gt;0,SUMPRODUCT('Calc_Mix'!$F$2:$S$2,'Matriz_Habilidades'!$D26:$Q26)=0),"",SUMPRODUCT('Calc_Mix'!$F$2:$S$2,'Matriz_Habilidades'!$D26:$Q26)/'Calc_Mix'!$T$2+ROW()*0.000001)</f>
        <v/>
      </c>
      <c r="E26" s="36">
        <f>IF(OR($B26="",$C26&lt;&gt;"Disponível",'Calc_Mix'!$T$3=0,COUNTIF(Esc_Tec1,$B26)+COUNTIF(Esc_Tec2,$B26)&gt;0,SUMPRODUCT('Calc_Mix'!$F$3:$S$3,'Matriz_Habilidades'!$D26:$Q26)=0),"",SUMPRODUCT('Calc_Mix'!$F$3:$S$3,'Matriz_Habilidades'!$D26:$Q26)/'Calc_Mix'!$T$3+ROW()*0.000001)</f>
        <v/>
      </c>
      <c r="F26" s="36">
        <f>IF(OR($B26="",$C26&lt;&gt;"Disponível",'Calc_Mix'!$T$4=0,COUNTIF(Esc_Tec1,$B26)+COUNTIF(Esc_Tec2,$B26)&gt;0,SUMPRODUCT('Calc_Mix'!$F$4:$S$4,'Matriz_Habilidades'!$D26:$Q26)=0),"",SUMPRODUCT('Calc_Mix'!$F$4:$S$4,'Matriz_Habilidades'!$D26:$Q26)/'Calc_Mix'!$T$4+ROW()*0.000001)</f>
        <v/>
      </c>
      <c r="G26" s="36">
        <f>IF(OR($B26="",$C26&lt;&gt;"Disponível",'Calc_Mix'!$T$5=0,COUNTIF(Esc_Tec1,$B26)+COUNTIF(Esc_Tec2,$B26)&gt;0,SUMPRODUCT('Calc_Mix'!$F$5:$S$5,'Matriz_Habilidades'!$D26:$Q26)=0),"",SUMPRODUCT('Calc_Mix'!$F$5:$S$5,'Matriz_Habilidades'!$D26:$Q26)/'Calc_Mix'!$T$5+ROW()*0.000001)</f>
        <v/>
      </c>
      <c r="H26" s="36">
        <f>IF(OR($B26="",$C26&lt;&gt;"Disponível",'Calc_Mix'!$T$6=0,COUNTIF(Esc_Tec1,$B26)+COUNTIF(Esc_Tec2,$B26)&gt;0,SUMPRODUCT('Calc_Mix'!$F$6:$S$6,'Matriz_Habilidades'!$D26:$Q26)=0),"",SUMPRODUCT('Calc_Mix'!$F$6:$S$6,'Matriz_Habilidades'!$D26:$Q26)/'Calc_Mix'!$T$6+ROW()*0.000001)</f>
        <v/>
      </c>
      <c r="I26" s="36">
        <f>IF(OR($B26="",$C26&lt;&gt;"Disponível",'Calc_Mix'!$T$7=0,COUNTIF(Esc_Tec1,$B26)+COUNTIF(Esc_Tec2,$B26)&gt;0,SUMPRODUCT('Calc_Mix'!$F$7:$S$7,'Matriz_Habilidades'!$D26:$Q26)=0),"",SUMPRODUCT('Calc_Mix'!$F$7:$S$7,'Matriz_Habilidades'!$D26:$Q26)/'Calc_Mix'!$T$7+ROW()*0.000001)</f>
        <v/>
      </c>
      <c r="J26" s="36">
        <f>IF(OR($B26="",$C26&lt;&gt;"Disponível",'Calc_Mix'!$T$8=0,COUNTIF(Esc_Tec1,$B26)+COUNTIF(Esc_Tec2,$B26)&gt;0,SUMPRODUCT('Calc_Mix'!$F$8:$S$8,'Matriz_Habilidades'!$D26:$Q26)=0),"",SUMPRODUCT('Calc_Mix'!$F$8:$S$8,'Matriz_Habilidades'!$D26:$Q26)/'Calc_Mix'!$T$8+ROW()*0.000001)</f>
        <v/>
      </c>
      <c r="K26" s="36">
        <f>IF(OR($B26="",$C26&lt;&gt;"Disponível",'Calc_Mix'!$T$9=0,COUNTIF(Esc_Tec1,$B26)+COUNTIF(Esc_Tec2,$B26)&gt;0,SUMPRODUCT('Calc_Mix'!$F$9:$S$9,'Matriz_Habilidades'!$D26:$Q26)=0),"",SUMPRODUCT('Calc_Mix'!$F$9:$S$9,'Matriz_Habilidades'!$D26:$Q26)/'Calc_Mix'!$T$9+ROW()*0.000001)</f>
        <v/>
      </c>
      <c r="L26" s="36">
        <f>IF(OR($B26="",$C26&lt;&gt;"Disponível",'Calc_Mix'!$T$10=0,COUNTIF(Esc_Tec1,$B26)+COUNTIF(Esc_Tec2,$B26)&gt;0,SUMPRODUCT('Calc_Mix'!$F$10:$S$10,'Matriz_Habilidades'!$D26:$Q26)=0),"",SUMPRODUCT('Calc_Mix'!$F$10:$S$10,'Matriz_Habilidades'!$D26:$Q26)/'Calc_Mix'!$T$10+ROW()*0.000001)</f>
        <v/>
      </c>
      <c r="M26" s="36">
        <f>IF(OR($B26="",$C26&lt;&gt;"Disponível",'Calc_Mix'!$T$11=0,COUNTIF(Esc_Tec1,$B26)+COUNTIF(Esc_Tec2,$B26)&gt;0,SUMPRODUCT('Calc_Mix'!$F$11:$S$11,'Matriz_Habilidades'!$D26:$Q26)=0),"",SUMPRODUCT('Calc_Mix'!$F$11:$S$11,'Matriz_Habilidades'!$D26:$Q26)/'Calc_Mix'!$T$11+ROW()*0.000001)</f>
        <v/>
      </c>
      <c r="N26" s="36">
        <f>IF(OR($B26="",$C26&lt;&gt;"Disponível",'Calc_Mix'!$T$12=0,COUNTIF(Esc_Tec1,$B26)+COUNTIF(Esc_Tec2,$B26)&gt;0,SUMPRODUCT('Calc_Mix'!$F$12:$S$12,'Matriz_Habilidades'!$D26:$Q26)=0),"",SUMPRODUCT('Calc_Mix'!$F$12:$S$12,'Matriz_Habilidades'!$D26:$Q26)/'Calc_Mix'!$T$12+ROW()*0.000001)</f>
        <v/>
      </c>
      <c r="O26" s="36">
        <f>IF(OR($B26="",$C26&lt;&gt;"Disponível",'Calc_Mix'!$T$13=0,COUNTIF(Esc_Tec1,$B26)+COUNTIF(Esc_Tec2,$B26)&gt;0,SUMPRODUCT('Calc_Mix'!$F$13:$S$13,'Matriz_Habilidades'!$D26:$Q26)=0),"",SUMPRODUCT('Calc_Mix'!$F$13:$S$13,'Matriz_Habilidades'!$D26:$Q26)/'Calc_Mix'!$T$13+ROW()*0.000001)</f>
        <v/>
      </c>
      <c r="P26" s="36">
        <f>IF(OR($B26="",$C26&lt;&gt;"Disponível",'Calc_Mix'!$T$14=0,COUNTIF(Esc_Tec1,$B26)+COUNTIF(Esc_Tec2,$B26)&gt;0,SUMPRODUCT('Calc_Mix'!$F$14:$S$14,'Matriz_Habilidades'!$D26:$Q26)=0),"",SUMPRODUCT('Calc_Mix'!$F$14:$S$14,'Matriz_Habilidades'!$D26:$Q26)/'Calc_Mix'!$T$14+ROW()*0.000001)</f>
        <v/>
      </c>
      <c r="Q26" s="36">
        <f>IF(OR($B26="",$C26&lt;&gt;"Disponível",'Calc_Mix'!$T$15=0,COUNTIF(Esc_Tec1,$B26)+COUNTIF(Esc_Tec2,$B26)&gt;0,SUMPRODUCT('Calc_Mix'!$F$15:$S$15,'Matriz_Habilidades'!$D26:$Q26)=0),"",SUMPRODUCT('Calc_Mix'!$F$15:$S$15,'Matriz_Habilidades'!$D26:$Q26)/'Calc_Mix'!$T$15+ROW()*0.000001)</f>
        <v/>
      </c>
      <c r="R26" s="36">
        <f>IF(OR($B26="",$C26&lt;&gt;"Disponível",'Calc_Mix'!$T$16=0,COUNTIF(Esc_Tec1,$B26)+COUNTIF(Esc_Tec2,$B26)&gt;0,SUMPRODUCT('Calc_Mix'!$F$16:$S$16,'Matriz_Habilidades'!$D26:$Q26)=0),"",SUMPRODUCT('Calc_Mix'!$F$16:$S$16,'Matriz_Habilidades'!$D26:$Q26)/'Calc_Mix'!$T$16+ROW()*0.000001)</f>
        <v/>
      </c>
      <c r="S26" s="36">
        <f>IF(OR($B26="",$C26&lt;&gt;"Disponível",'Calc_Mix'!$T$17=0,COUNTIF(Esc_Tec1,$B26)+COUNTIF(Esc_Tec2,$B26)&gt;0,SUMPRODUCT('Calc_Mix'!$F$17:$S$17,'Matriz_Habilidades'!$D26:$Q26)=0),"",SUMPRODUCT('Calc_Mix'!$F$17:$S$17,'Matriz_Habilidades'!$D26:$Q26)/'Calc_Mix'!$T$17+ROW()*0.000001)</f>
        <v/>
      </c>
    </row>
    <row r="27">
      <c r="A27" s="33">
        <f>IF('Matriz_Habilidades'!A27="","",'Matriz_Habilidades'!A27)</f>
        <v/>
      </c>
      <c r="B27" s="34">
        <f>IF('Matriz_Habilidades'!B27="","",'Matriz_Habilidades'!B27)</f>
        <v/>
      </c>
      <c r="C27" s="33">
        <f>IF($A27="","",IFERROR(INDEX(Equipe_Situacao,MATCH($B27,Equipe_Nome,0)),"?"))</f>
        <v/>
      </c>
      <c r="D27" s="36">
        <f>IF(OR($B27="",$C27&lt;&gt;"Disponível",'Calc_Mix'!$T$2=0,COUNTIF(Esc_Tec1,$B27)+COUNTIF(Esc_Tec2,$B27)&gt;0,SUMPRODUCT('Calc_Mix'!$F$2:$S$2,'Matriz_Habilidades'!$D27:$Q27)=0),"",SUMPRODUCT('Calc_Mix'!$F$2:$S$2,'Matriz_Habilidades'!$D27:$Q27)/'Calc_Mix'!$T$2+ROW()*0.000001)</f>
        <v/>
      </c>
      <c r="E27" s="36">
        <f>IF(OR($B27="",$C27&lt;&gt;"Disponível",'Calc_Mix'!$T$3=0,COUNTIF(Esc_Tec1,$B27)+COUNTIF(Esc_Tec2,$B27)&gt;0,SUMPRODUCT('Calc_Mix'!$F$3:$S$3,'Matriz_Habilidades'!$D27:$Q27)=0),"",SUMPRODUCT('Calc_Mix'!$F$3:$S$3,'Matriz_Habilidades'!$D27:$Q27)/'Calc_Mix'!$T$3+ROW()*0.000001)</f>
        <v/>
      </c>
      <c r="F27" s="36">
        <f>IF(OR($B27="",$C27&lt;&gt;"Disponível",'Calc_Mix'!$T$4=0,COUNTIF(Esc_Tec1,$B27)+COUNTIF(Esc_Tec2,$B27)&gt;0,SUMPRODUCT('Calc_Mix'!$F$4:$S$4,'Matriz_Habilidades'!$D27:$Q27)=0),"",SUMPRODUCT('Calc_Mix'!$F$4:$S$4,'Matriz_Habilidades'!$D27:$Q27)/'Calc_Mix'!$T$4+ROW()*0.000001)</f>
        <v/>
      </c>
      <c r="G27" s="36">
        <f>IF(OR($B27="",$C27&lt;&gt;"Disponível",'Calc_Mix'!$T$5=0,COUNTIF(Esc_Tec1,$B27)+COUNTIF(Esc_Tec2,$B27)&gt;0,SUMPRODUCT('Calc_Mix'!$F$5:$S$5,'Matriz_Habilidades'!$D27:$Q27)=0),"",SUMPRODUCT('Calc_Mix'!$F$5:$S$5,'Matriz_Habilidades'!$D27:$Q27)/'Calc_Mix'!$T$5+ROW()*0.000001)</f>
        <v/>
      </c>
      <c r="H27" s="36">
        <f>IF(OR($B27="",$C27&lt;&gt;"Disponível",'Calc_Mix'!$T$6=0,COUNTIF(Esc_Tec1,$B27)+COUNTIF(Esc_Tec2,$B27)&gt;0,SUMPRODUCT('Calc_Mix'!$F$6:$S$6,'Matriz_Habilidades'!$D27:$Q27)=0),"",SUMPRODUCT('Calc_Mix'!$F$6:$S$6,'Matriz_Habilidades'!$D27:$Q27)/'Calc_Mix'!$T$6+ROW()*0.000001)</f>
        <v/>
      </c>
      <c r="I27" s="36">
        <f>IF(OR($B27="",$C27&lt;&gt;"Disponível",'Calc_Mix'!$T$7=0,COUNTIF(Esc_Tec1,$B27)+COUNTIF(Esc_Tec2,$B27)&gt;0,SUMPRODUCT('Calc_Mix'!$F$7:$S$7,'Matriz_Habilidades'!$D27:$Q27)=0),"",SUMPRODUCT('Calc_Mix'!$F$7:$S$7,'Matriz_Habilidades'!$D27:$Q27)/'Calc_Mix'!$T$7+ROW()*0.000001)</f>
        <v/>
      </c>
      <c r="J27" s="36">
        <f>IF(OR($B27="",$C27&lt;&gt;"Disponível",'Calc_Mix'!$T$8=0,COUNTIF(Esc_Tec1,$B27)+COUNTIF(Esc_Tec2,$B27)&gt;0,SUMPRODUCT('Calc_Mix'!$F$8:$S$8,'Matriz_Habilidades'!$D27:$Q27)=0),"",SUMPRODUCT('Calc_Mix'!$F$8:$S$8,'Matriz_Habilidades'!$D27:$Q27)/'Calc_Mix'!$T$8+ROW()*0.000001)</f>
        <v/>
      </c>
      <c r="K27" s="36">
        <f>IF(OR($B27="",$C27&lt;&gt;"Disponível",'Calc_Mix'!$T$9=0,COUNTIF(Esc_Tec1,$B27)+COUNTIF(Esc_Tec2,$B27)&gt;0,SUMPRODUCT('Calc_Mix'!$F$9:$S$9,'Matriz_Habilidades'!$D27:$Q27)=0),"",SUMPRODUCT('Calc_Mix'!$F$9:$S$9,'Matriz_Habilidades'!$D27:$Q27)/'Calc_Mix'!$T$9+ROW()*0.000001)</f>
        <v/>
      </c>
      <c r="L27" s="36">
        <f>IF(OR($B27="",$C27&lt;&gt;"Disponível",'Calc_Mix'!$T$10=0,COUNTIF(Esc_Tec1,$B27)+COUNTIF(Esc_Tec2,$B27)&gt;0,SUMPRODUCT('Calc_Mix'!$F$10:$S$10,'Matriz_Habilidades'!$D27:$Q27)=0),"",SUMPRODUCT('Calc_Mix'!$F$10:$S$10,'Matriz_Habilidades'!$D27:$Q27)/'Calc_Mix'!$T$10+ROW()*0.000001)</f>
        <v/>
      </c>
      <c r="M27" s="36">
        <f>IF(OR($B27="",$C27&lt;&gt;"Disponível",'Calc_Mix'!$T$11=0,COUNTIF(Esc_Tec1,$B27)+COUNTIF(Esc_Tec2,$B27)&gt;0,SUMPRODUCT('Calc_Mix'!$F$11:$S$11,'Matriz_Habilidades'!$D27:$Q27)=0),"",SUMPRODUCT('Calc_Mix'!$F$11:$S$11,'Matriz_Habilidades'!$D27:$Q27)/'Calc_Mix'!$T$11+ROW()*0.000001)</f>
        <v/>
      </c>
      <c r="N27" s="36">
        <f>IF(OR($B27="",$C27&lt;&gt;"Disponível",'Calc_Mix'!$T$12=0,COUNTIF(Esc_Tec1,$B27)+COUNTIF(Esc_Tec2,$B27)&gt;0,SUMPRODUCT('Calc_Mix'!$F$12:$S$12,'Matriz_Habilidades'!$D27:$Q27)=0),"",SUMPRODUCT('Calc_Mix'!$F$12:$S$12,'Matriz_Habilidades'!$D27:$Q27)/'Calc_Mix'!$T$12+ROW()*0.000001)</f>
        <v/>
      </c>
      <c r="O27" s="36">
        <f>IF(OR($B27="",$C27&lt;&gt;"Disponível",'Calc_Mix'!$T$13=0,COUNTIF(Esc_Tec1,$B27)+COUNTIF(Esc_Tec2,$B27)&gt;0,SUMPRODUCT('Calc_Mix'!$F$13:$S$13,'Matriz_Habilidades'!$D27:$Q27)=0),"",SUMPRODUCT('Calc_Mix'!$F$13:$S$13,'Matriz_Habilidades'!$D27:$Q27)/'Calc_Mix'!$T$13+ROW()*0.000001)</f>
        <v/>
      </c>
      <c r="P27" s="36">
        <f>IF(OR($B27="",$C27&lt;&gt;"Disponível",'Calc_Mix'!$T$14=0,COUNTIF(Esc_Tec1,$B27)+COUNTIF(Esc_Tec2,$B27)&gt;0,SUMPRODUCT('Calc_Mix'!$F$14:$S$14,'Matriz_Habilidades'!$D27:$Q27)=0),"",SUMPRODUCT('Calc_Mix'!$F$14:$S$14,'Matriz_Habilidades'!$D27:$Q27)/'Calc_Mix'!$T$14+ROW()*0.000001)</f>
        <v/>
      </c>
      <c r="Q27" s="36">
        <f>IF(OR($B27="",$C27&lt;&gt;"Disponível",'Calc_Mix'!$T$15=0,COUNTIF(Esc_Tec1,$B27)+COUNTIF(Esc_Tec2,$B27)&gt;0,SUMPRODUCT('Calc_Mix'!$F$15:$S$15,'Matriz_Habilidades'!$D27:$Q27)=0),"",SUMPRODUCT('Calc_Mix'!$F$15:$S$15,'Matriz_Habilidades'!$D27:$Q27)/'Calc_Mix'!$T$15+ROW()*0.000001)</f>
        <v/>
      </c>
      <c r="R27" s="36">
        <f>IF(OR($B27="",$C27&lt;&gt;"Disponível",'Calc_Mix'!$T$16=0,COUNTIF(Esc_Tec1,$B27)+COUNTIF(Esc_Tec2,$B27)&gt;0,SUMPRODUCT('Calc_Mix'!$F$16:$S$16,'Matriz_Habilidades'!$D27:$Q27)=0),"",SUMPRODUCT('Calc_Mix'!$F$16:$S$16,'Matriz_Habilidades'!$D27:$Q27)/'Calc_Mix'!$T$16+ROW()*0.000001)</f>
        <v/>
      </c>
      <c r="S27" s="36">
        <f>IF(OR($B27="",$C27&lt;&gt;"Disponível",'Calc_Mix'!$T$17=0,COUNTIF(Esc_Tec1,$B27)+COUNTIF(Esc_Tec2,$B27)&gt;0,SUMPRODUCT('Calc_Mix'!$F$17:$S$17,'Matriz_Habilidades'!$D27:$Q27)=0),"",SUMPRODUCT('Calc_Mix'!$F$17:$S$17,'Matriz_Habilidades'!$D27:$Q27)/'Calc_Mix'!$T$17+ROW()*0.000001)</f>
        <v/>
      </c>
    </row>
    <row r="28">
      <c r="A28" s="33">
        <f>IF('Matriz_Habilidades'!A28="","",'Matriz_Habilidades'!A28)</f>
        <v/>
      </c>
      <c r="B28" s="34">
        <f>IF('Matriz_Habilidades'!B28="","",'Matriz_Habilidades'!B28)</f>
        <v/>
      </c>
      <c r="C28" s="33">
        <f>IF($A28="","",IFERROR(INDEX(Equipe_Situacao,MATCH($B28,Equipe_Nome,0)),"?"))</f>
        <v/>
      </c>
      <c r="D28" s="36">
        <f>IF(OR($B28="",$C28&lt;&gt;"Disponível",'Calc_Mix'!$T$2=0,COUNTIF(Esc_Tec1,$B28)+COUNTIF(Esc_Tec2,$B28)&gt;0,SUMPRODUCT('Calc_Mix'!$F$2:$S$2,'Matriz_Habilidades'!$D28:$Q28)=0),"",SUMPRODUCT('Calc_Mix'!$F$2:$S$2,'Matriz_Habilidades'!$D28:$Q28)/'Calc_Mix'!$T$2+ROW()*0.000001)</f>
        <v/>
      </c>
      <c r="E28" s="36">
        <f>IF(OR($B28="",$C28&lt;&gt;"Disponível",'Calc_Mix'!$T$3=0,COUNTIF(Esc_Tec1,$B28)+COUNTIF(Esc_Tec2,$B28)&gt;0,SUMPRODUCT('Calc_Mix'!$F$3:$S$3,'Matriz_Habilidades'!$D28:$Q28)=0),"",SUMPRODUCT('Calc_Mix'!$F$3:$S$3,'Matriz_Habilidades'!$D28:$Q28)/'Calc_Mix'!$T$3+ROW()*0.000001)</f>
        <v/>
      </c>
      <c r="F28" s="36">
        <f>IF(OR($B28="",$C28&lt;&gt;"Disponível",'Calc_Mix'!$T$4=0,COUNTIF(Esc_Tec1,$B28)+COUNTIF(Esc_Tec2,$B28)&gt;0,SUMPRODUCT('Calc_Mix'!$F$4:$S$4,'Matriz_Habilidades'!$D28:$Q28)=0),"",SUMPRODUCT('Calc_Mix'!$F$4:$S$4,'Matriz_Habilidades'!$D28:$Q28)/'Calc_Mix'!$T$4+ROW()*0.000001)</f>
        <v/>
      </c>
      <c r="G28" s="36">
        <f>IF(OR($B28="",$C28&lt;&gt;"Disponível",'Calc_Mix'!$T$5=0,COUNTIF(Esc_Tec1,$B28)+COUNTIF(Esc_Tec2,$B28)&gt;0,SUMPRODUCT('Calc_Mix'!$F$5:$S$5,'Matriz_Habilidades'!$D28:$Q28)=0),"",SUMPRODUCT('Calc_Mix'!$F$5:$S$5,'Matriz_Habilidades'!$D28:$Q28)/'Calc_Mix'!$T$5+ROW()*0.000001)</f>
        <v/>
      </c>
      <c r="H28" s="36">
        <f>IF(OR($B28="",$C28&lt;&gt;"Disponível",'Calc_Mix'!$T$6=0,COUNTIF(Esc_Tec1,$B28)+COUNTIF(Esc_Tec2,$B28)&gt;0,SUMPRODUCT('Calc_Mix'!$F$6:$S$6,'Matriz_Habilidades'!$D28:$Q28)=0),"",SUMPRODUCT('Calc_Mix'!$F$6:$S$6,'Matriz_Habilidades'!$D28:$Q28)/'Calc_Mix'!$T$6+ROW()*0.000001)</f>
        <v/>
      </c>
      <c r="I28" s="36">
        <f>IF(OR($B28="",$C28&lt;&gt;"Disponível",'Calc_Mix'!$T$7=0,COUNTIF(Esc_Tec1,$B28)+COUNTIF(Esc_Tec2,$B28)&gt;0,SUMPRODUCT('Calc_Mix'!$F$7:$S$7,'Matriz_Habilidades'!$D28:$Q28)=0),"",SUMPRODUCT('Calc_Mix'!$F$7:$S$7,'Matriz_Habilidades'!$D28:$Q28)/'Calc_Mix'!$T$7+ROW()*0.000001)</f>
        <v/>
      </c>
      <c r="J28" s="36">
        <f>IF(OR($B28="",$C28&lt;&gt;"Disponível",'Calc_Mix'!$T$8=0,COUNTIF(Esc_Tec1,$B28)+COUNTIF(Esc_Tec2,$B28)&gt;0,SUMPRODUCT('Calc_Mix'!$F$8:$S$8,'Matriz_Habilidades'!$D28:$Q28)=0),"",SUMPRODUCT('Calc_Mix'!$F$8:$S$8,'Matriz_Habilidades'!$D28:$Q28)/'Calc_Mix'!$T$8+ROW()*0.000001)</f>
        <v/>
      </c>
      <c r="K28" s="36">
        <f>IF(OR($B28="",$C28&lt;&gt;"Disponível",'Calc_Mix'!$T$9=0,COUNTIF(Esc_Tec1,$B28)+COUNTIF(Esc_Tec2,$B28)&gt;0,SUMPRODUCT('Calc_Mix'!$F$9:$S$9,'Matriz_Habilidades'!$D28:$Q28)=0),"",SUMPRODUCT('Calc_Mix'!$F$9:$S$9,'Matriz_Habilidades'!$D28:$Q28)/'Calc_Mix'!$T$9+ROW()*0.000001)</f>
        <v/>
      </c>
      <c r="L28" s="36">
        <f>IF(OR($B28="",$C28&lt;&gt;"Disponível",'Calc_Mix'!$T$10=0,COUNTIF(Esc_Tec1,$B28)+COUNTIF(Esc_Tec2,$B28)&gt;0,SUMPRODUCT('Calc_Mix'!$F$10:$S$10,'Matriz_Habilidades'!$D28:$Q28)=0),"",SUMPRODUCT('Calc_Mix'!$F$10:$S$10,'Matriz_Habilidades'!$D28:$Q28)/'Calc_Mix'!$T$10+ROW()*0.000001)</f>
        <v/>
      </c>
      <c r="M28" s="36">
        <f>IF(OR($B28="",$C28&lt;&gt;"Disponível",'Calc_Mix'!$T$11=0,COUNTIF(Esc_Tec1,$B28)+COUNTIF(Esc_Tec2,$B28)&gt;0,SUMPRODUCT('Calc_Mix'!$F$11:$S$11,'Matriz_Habilidades'!$D28:$Q28)=0),"",SUMPRODUCT('Calc_Mix'!$F$11:$S$11,'Matriz_Habilidades'!$D28:$Q28)/'Calc_Mix'!$T$11+ROW()*0.000001)</f>
        <v/>
      </c>
      <c r="N28" s="36">
        <f>IF(OR($B28="",$C28&lt;&gt;"Disponível",'Calc_Mix'!$T$12=0,COUNTIF(Esc_Tec1,$B28)+COUNTIF(Esc_Tec2,$B28)&gt;0,SUMPRODUCT('Calc_Mix'!$F$12:$S$12,'Matriz_Habilidades'!$D28:$Q28)=0),"",SUMPRODUCT('Calc_Mix'!$F$12:$S$12,'Matriz_Habilidades'!$D28:$Q28)/'Calc_Mix'!$T$12+ROW()*0.000001)</f>
        <v/>
      </c>
      <c r="O28" s="36">
        <f>IF(OR($B28="",$C28&lt;&gt;"Disponível",'Calc_Mix'!$T$13=0,COUNTIF(Esc_Tec1,$B28)+COUNTIF(Esc_Tec2,$B28)&gt;0,SUMPRODUCT('Calc_Mix'!$F$13:$S$13,'Matriz_Habilidades'!$D28:$Q28)=0),"",SUMPRODUCT('Calc_Mix'!$F$13:$S$13,'Matriz_Habilidades'!$D28:$Q28)/'Calc_Mix'!$T$13+ROW()*0.000001)</f>
        <v/>
      </c>
      <c r="P28" s="36">
        <f>IF(OR($B28="",$C28&lt;&gt;"Disponível",'Calc_Mix'!$T$14=0,COUNTIF(Esc_Tec1,$B28)+COUNTIF(Esc_Tec2,$B28)&gt;0,SUMPRODUCT('Calc_Mix'!$F$14:$S$14,'Matriz_Habilidades'!$D28:$Q28)=0),"",SUMPRODUCT('Calc_Mix'!$F$14:$S$14,'Matriz_Habilidades'!$D28:$Q28)/'Calc_Mix'!$T$14+ROW()*0.000001)</f>
        <v/>
      </c>
      <c r="Q28" s="36">
        <f>IF(OR($B28="",$C28&lt;&gt;"Disponível",'Calc_Mix'!$T$15=0,COUNTIF(Esc_Tec1,$B28)+COUNTIF(Esc_Tec2,$B28)&gt;0,SUMPRODUCT('Calc_Mix'!$F$15:$S$15,'Matriz_Habilidades'!$D28:$Q28)=0),"",SUMPRODUCT('Calc_Mix'!$F$15:$S$15,'Matriz_Habilidades'!$D28:$Q28)/'Calc_Mix'!$T$15+ROW()*0.000001)</f>
        <v/>
      </c>
      <c r="R28" s="36">
        <f>IF(OR($B28="",$C28&lt;&gt;"Disponível",'Calc_Mix'!$T$16=0,COUNTIF(Esc_Tec1,$B28)+COUNTIF(Esc_Tec2,$B28)&gt;0,SUMPRODUCT('Calc_Mix'!$F$16:$S$16,'Matriz_Habilidades'!$D28:$Q28)=0),"",SUMPRODUCT('Calc_Mix'!$F$16:$S$16,'Matriz_Habilidades'!$D28:$Q28)/'Calc_Mix'!$T$16+ROW()*0.000001)</f>
        <v/>
      </c>
      <c r="S28" s="36">
        <f>IF(OR($B28="",$C28&lt;&gt;"Disponível",'Calc_Mix'!$T$17=0,COUNTIF(Esc_Tec1,$B28)+COUNTIF(Esc_Tec2,$B28)&gt;0,SUMPRODUCT('Calc_Mix'!$F$17:$S$17,'Matriz_Habilidades'!$D28:$Q28)=0),"",SUMPRODUCT('Calc_Mix'!$F$17:$S$17,'Matriz_Habilidades'!$D28:$Q28)/'Calc_Mix'!$T$17+ROW()*0.000001)</f>
        <v/>
      </c>
    </row>
    <row r="29">
      <c r="A29" s="33">
        <f>IF('Matriz_Habilidades'!A29="","",'Matriz_Habilidades'!A29)</f>
        <v/>
      </c>
      <c r="B29" s="34">
        <f>IF('Matriz_Habilidades'!B29="","",'Matriz_Habilidades'!B29)</f>
        <v/>
      </c>
      <c r="C29" s="33">
        <f>IF($A29="","",IFERROR(INDEX(Equipe_Situacao,MATCH($B29,Equipe_Nome,0)),"?"))</f>
        <v/>
      </c>
      <c r="D29" s="36">
        <f>IF(OR($B29="",$C29&lt;&gt;"Disponível",'Calc_Mix'!$T$2=0,COUNTIF(Esc_Tec1,$B29)+COUNTIF(Esc_Tec2,$B29)&gt;0,SUMPRODUCT('Calc_Mix'!$F$2:$S$2,'Matriz_Habilidades'!$D29:$Q29)=0),"",SUMPRODUCT('Calc_Mix'!$F$2:$S$2,'Matriz_Habilidades'!$D29:$Q29)/'Calc_Mix'!$T$2+ROW()*0.000001)</f>
        <v/>
      </c>
      <c r="E29" s="36">
        <f>IF(OR($B29="",$C29&lt;&gt;"Disponível",'Calc_Mix'!$T$3=0,COUNTIF(Esc_Tec1,$B29)+COUNTIF(Esc_Tec2,$B29)&gt;0,SUMPRODUCT('Calc_Mix'!$F$3:$S$3,'Matriz_Habilidades'!$D29:$Q29)=0),"",SUMPRODUCT('Calc_Mix'!$F$3:$S$3,'Matriz_Habilidades'!$D29:$Q29)/'Calc_Mix'!$T$3+ROW()*0.000001)</f>
        <v/>
      </c>
      <c r="F29" s="36">
        <f>IF(OR($B29="",$C29&lt;&gt;"Disponível",'Calc_Mix'!$T$4=0,COUNTIF(Esc_Tec1,$B29)+COUNTIF(Esc_Tec2,$B29)&gt;0,SUMPRODUCT('Calc_Mix'!$F$4:$S$4,'Matriz_Habilidades'!$D29:$Q29)=0),"",SUMPRODUCT('Calc_Mix'!$F$4:$S$4,'Matriz_Habilidades'!$D29:$Q29)/'Calc_Mix'!$T$4+ROW()*0.000001)</f>
        <v/>
      </c>
      <c r="G29" s="36">
        <f>IF(OR($B29="",$C29&lt;&gt;"Disponível",'Calc_Mix'!$T$5=0,COUNTIF(Esc_Tec1,$B29)+COUNTIF(Esc_Tec2,$B29)&gt;0,SUMPRODUCT('Calc_Mix'!$F$5:$S$5,'Matriz_Habilidades'!$D29:$Q29)=0),"",SUMPRODUCT('Calc_Mix'!$F$5:$S$5,'Matriz_Habilidades'!$D29:$Q29)/'Calc_Mix'!$T$5+ROW()*0.000001)</f>
        <v/>
      </c>
      <c r="H29" s="36">
        <f>IF(OR($B29="",$C29&lt;&gt;"Disponível",'Calc_Mix'!$T$6=0,COUNTIF(Esc_Tec1,$B29)+COUNTIF(Esc_Tec2,$B29)&gt;0,SUMPRODUCT('Calc_Mix'!$F$6:$S$6,'Matriz_Habilidades'!$D29:$Q29)=0),"",SUMPRODUCT('Calc_Mix'!$F$6:$S$6,'Matriz_Habilidades'!$D29:$Q29)/'Calc_Mix'!$T$6+ROW()*0.000001)</f>
        <v/>
      </c>
      <c r="I29" s="36">
        <f>IF(OR($B29="",$C29&lt;&gt;"Disponível",'Calc_Mix'!$T$7=0,COUNTIF(Esc_Tec1,$B29)+COUNTIF(Esc_Tec2,$B29)&gt;0,SUMPRODUCT('Calc_Mix'!$F$7:$S$7,'Matriz_Habilidades'!$D29:$Q29)=0),"",SUMPRODUCT('Calc_Mix'!$F$7:$S$7,'Matriz_Habilidades'!$D29:$Q29)/'Calc_Mix'!$T$7+ROW()*0.000001)</f>
        <v/>
      </c>
      <c r="J29" s="36">
        <f>IF(OR($B29="",$C29&lt;&gt;"Disponível",'Calc_Mix'!$T$8=0,COUNTIF(Esc_Tec1,$B29)+COUNTIF(Esc_Tec2,$B29)&gt;0,SUMPRODUCT('Calc_Mix'!$F$8:$S$8,'Matriz_Habilidades'!$D29:$Q29)=0),"",SUMPRODUCT('Calc_Mix'!$F$8:$S$8,'Matriz_Habilidades'!$D29:$Q29)/'Calc_Mix'!$T$8+ROW()*0.000001)</f>
        <v/>
      </c>
      <c r="K29" s="36">
        <f>IF(OR($B29="",$C29&lt;&gt;"Disponível",'Calc_Mix'!$T$9=0,COUNTIF(Esc_Tec1,$B29)+COUNTIF(Esc_Tec2,$B29)&gt;0,SUMPRODUCT('Calc_Mix'!$F$9:$S$9,'Matriz_Habilidades'!$D29:$Q29)=0),"",SUMPRODUCT('Calc_Mix'!$F$9:$S$9,'Matriz_Habilidades'!$D29:$Q29)/'Calc_Mix'!$T$9+ROW()*0.000001)</f>
        <v/>
      </c>
      <c r="L29" s="36">
        <f>IF(OR($B29="",$C29&lt;&gt;"Disponível",'Calc_Mix'!$T$10=0,COUNTIF(Esc_Tec1,$B29)+COUNTIF(Esc_Tec2,$B29)&gt;0,SUMPRODUCT('Calc_Mix'!$F$10:$S$10,'Matriz_Habilidades'!$D29:$Q29)=0),"",SUMPRODUCT('Calc_Mix'!$F$10:$S$10,'Matriz_Habilidades'!$D29:$Q29)/'Calc_Mix'!$T$10+ROW()*0.000001)</f>
        <v/>
      </c>
      <c r="M29" s="36">
        <f>IF(OR($B29="",$C29&lt;&gt;"Disponível",'Calc_Mix'!$T$11=0,COUNTIF(Esc_Tec1,$B29)+COUNTIF(Esc_Tec2,$B29)&gt;0,SUMPRODUCT('Calc_Mix'!$F$11:$S$11,'Matriz_Habilidades'!$D29:$Q29)=0),"",SUMPRODUCT('Calc_Mix'!$F$11:$S$11,'Matriz_Habilidades'!$D29:$Q29)/'Calc_Mix'!$T$11+ROW()*0.000001)</f>
        <v/>
      </c>
      <c r="N29" s="36">
        <f>IF(OR($B29="",$C29&lt;&gt;"Disponível",'Calc_Mix'!$T$12=0,COUNTIF(Esc_Tec1,$B29)+COUNTIF(Esc_Tec2,$B29)&gt;0,SUMPRODUCT('Calc_Mix'!$F$12:$S$12,'Matriz_Habilidades'!$D29:$Q29)=0),"",SUMPRODUCT('Calc_Mix'!$F$12:$S$12,'Matriz_Habilidades'!$D29:$Q29)/'Calc_Mix'!$T$12+ROW()*0.000001)</f>
        <v/>
      </c>
      <c r="O29" s="36">
        <f>IF(OR($B29="",$C29&lt;&gt;"Disponível",'Calc_Mix'!$T$13=0,COUNTIF(Esc_Tec1,$B29)+COUNTIF(Esc_Tec2,$B29)&gt;0,SUMPRODUCT('Calc_Mix'!$F$13:$S$13,'Matriz_Habilidades'!$D29:$Q29)=0),"",SUMPRODUCT('Calc_Mix'!$F$13:$S$13,'Matriz_Habilidades'!$D29:$Q29)/'Calc_Mix'!$T$13+ROW()*0.000001)</f>
        <v/>
      </c>
      <c r="P29" s="36">
        <f>IF(OR($B29="",$C29&lt;&gt;"Disponível",'Calc_Mix'!$T$14=0,COUNTIF(Esc_Tec1,$B29)+COUNTIF(Esc_Tec2,$B29)&gt;0,SUMPRODUCT('Calc_Mix'!$F$14:$S$14,'Matriz_Habilidades'!$D29:$Q29)=0),"",SUMPRODUCT('Calc_Mix'!$F$14:$S$14,'Matriz_Habilidades'!$D29:$Q29)/'Calc_Mix'!$T$14+ROW()*0.000001)</f>
        <v/>
      </c>
      <c r="Q29" s="36">
        <f>IF(OR($B29="",$C29&lt;&gt;"Disponível",'Calc_Mix'!$T$15=0,COUNTIF(Esc_Tec1,$B29)+COUNTIF(Esc_Tec2,$B29)&gt;0,SUMPRODUCT('Calc_Mix'!$F$15:$S$15,'Matriz_Habilidades'!$D29:$Q29)=0),"",SUMPRODUCT('Calc_Mix'!$F$15:$S$15,'Matriz_Habilidades'!$D29:$Q29)/'Calc_Mix'!$T$15+ROW()*0.000001)</f>
        <v/>
      </c>
      <c r="R29" s="36">
        <f>IF(OR($B29="",$C29&lt;&gt;"Disponível",'Calc_Mix'!$T$16=0,COUNTIF(Esc_Tec1,$B29)+COUNTIF(Esc_Tec2,$B29)&gt;0,SUMPRODUCT('Calc_Mix'!$F$16:$S$16,'Matriz_Habilidades'!$D29:$Q29)=0),"",SUMPRODUCT('Calc_Mix'!$F$16:$S$16,'Matriz_Habilidades'!$D29:$Q29)/'Calc_Mix'!$T$16+ROW()*0.000001)</f>
        <v/>
      </c>
      <c r="S29" s="36">
        <f>IF(OR($B29="",$C29&lt;&gt;"Disponível",'Calc_Mix'!$T$17=0,COUNTIF(Esc_Tec1,$B29)+COUNTIF(Esc_Tec2,$B29)&gt;0,SUMPRODUCT('Calc_Mix'!$F$17:$S$17,'Matriz_Habilidades'!$D29:$Q29)=0),"",SUMPRODUCT('Calc_Mix'!$F$17:$S$17,'Matriz_Habilidades'!$D29:$Q29)/'Calc_Mix'!$T$17+ROW()*0.000001)</f>
        <v/>
      </c>
    </row>
    <row r="30">
      <c r="A30" s="33">
        <f>IF('Matriz_Habilidades'!A30="","",'Matriz_Habilidades'!A30)</f>
        <v/>
      </c>
      <c r="B30" s="34">
        <f>IF('Matriz_Habilidades'!B30="","",'Matriz_Habilidades'!B30)</f>
        <v/>
      </c>
      <c r="C30" s="33">
        <f>IF($A30="","",IFERROR(INDEX(Equipe_Situacao,MATCH($B30,Equipe_Nome,0)),"?"))</f>
        <v/>
      </c>
      <c r="D30" s="36">
        <f>IF(OR($B30="",$C30&lt;&gt;"Disponível",'Calc_Mix'!$T$2=0,COUNTIF(Esc_Tec1,$B30)+COUNTIF(Esc_Tec2,$B30)&gt;0,SUMPRODUCT('Calc_Mix'!$F$2:$S$2,'Matriz_Habilidades'!$D30:$Q30)=0),"",SUMPRODUCT('Calc_Mix'!$F$2:$S$2,'Matriz_Habilidades'!$D30:$Q30)/'Calc_Mix'!$T$2+ROW()*0.000001)</f>
        <v/>
      </c>
      <c r="E30" s="36">
        <f>IF(OR($B30="",$C30&lt;&gt;"Disponível",'Calc_Mix'!$T$3=0,COUNTIF(Esc_Tec1,$B30)+COUNTIF(Esc_Tec2,$B30)&gt;0,SUMPRODUCT('Calc_Mix'!$F$3:$S$3,'Matriz_Habilidades'!$D30:$Q30)=0),"",SUMPRODUCT('Calc_Mix'!$F$3:$S$3,'Matriz_Habilidades'!$D30:$Q30)/'Calc_Mix'!$T$3+ROW()*0.000001)</f>
        <v/>
      </c>
      <c r="F30" s="36">
        <f>IF(OR($B30="",$C30&lt;&gt;"Disponível",'Calc_Mix'!$T$4=0,COUNTIF(Esc_Tec1,$B30)+COUNTIF(Esc_Tec2,$B30)&gt;0,SUMPRODUCT('Calc_Mix'!$F$4:$S$4,'Matriz_Habilidades'!$D30:$Q30)=0),"",SUMPRODUCT('Calc_Mix'!$F$4:$S$4,'Matriz_Habilidades'!$D30:$Q30)/'Calc_Mix'!$T$4+ROW()*0.000001)</f>
        <v/>
      </c>
      <c r="G30" s="36">
        <f>IF(OR($B30="",$C30&lt;&gt;"Disponível",'Calc_Mix'!$T$5=0,COUNTIF(Esc_Tec1,$B30)+COUNTIF(Esc_Tec2,$B30)&gt;0,SUMPRODUCT('Calc_Mix'!$F$5:$S$5,'Matriz_Habilidades'!$D30:$Q30)=0),"",SUMPRODUCT('Calc_Mix'!$F$5:$S$5,'Matriz_Habilidades'!$D30:$Q30)/'Calc_Mix'!$T$5+ROW()*0.000001)</f>
        <v/>
      </c>
      <c r="H30" s="36">
        <f>IF(OR($B30="",$C30&lt;&gt;"Disponível",'Calc_Mix'!$T$6=0,COUNTIF(Esc_Tec1,$B30)+COUNTIF(Esc_Tec2,$B30)&gt;0,SUMPRODUCT('Calc_Mix'!$F$6:$S$6,'Matriz_Habilidades'!$D30:$Q30)=0),"",SUMPRODUCT('Calc_Mix'!$F$6:$S$6,'Matriz_Habilidades'!$D30:$Q30)/'Calc_Mix'!$T$6+ROW()*0.000001)</f>
        <v/>
      </c>
      <c r="I30" s="36">
        <f>IF(OR($B30="",$C30&lt;&gt;"Disponível",'Calc_Mix'!$T$7=0,COUNTIF(Esc_Tec1,$B30)+COUNTIF(Esc_Tec2,$B30)&gt;0,SUMPRODUCT('Calc_Mix'!$F$7:$S$7,'Matriz_Habilidades'!$D30:$Q30)=0),"",SUMPRODUCT('Calc_Mix'!$F$7:$S$7,'Matriz_Habilidades'!$D30:$Q30)/'Calc_Mix'!$T$7+ROW()*0.000001)</f>
        <v/>
      </c>
      <c r="J30" s="36">
        <f>IF(OR($B30="",$C30&lt;&gt;"Disponível",'Calc_Mix'!$T$8=0,COUNTIF(Esc_Tec1,$B30)+COUNTIF(Esc_Tec2,$B30)&gt;0,SUMPRODUCT('Calc_Mix'!$F$8:$S$8,'Matriz_Habilidades'!$D30:$Q30)=0),"",SUMPRODUCT('Calc_Mix'!$F$8:$S$8,'Matriz_Habilidades'!$D30:$Q30)/'Calc_Mix'!$T$8+ROW()*0.000001)</f>
        <v/>
      </c>
      <c r="K30" s="36">
        <f>IF(OR($B30="",$C30&lt;&gt;"Disponível",'Calc_Mix'!$T$9=0,COUNTIF(Esc_Tec1,$B30)+COUNTIF(Esc_Tec2,$B30)&gt;0,SUMPRODUCT('Calc_Mix'!$F$9:$S$9,'Matriz_Habilidades'!$D30:$Q30)=0),"",SUMPRODUCT('Calc_Mix'!$F$9:$S$9,'Matriz_Habilidades'!$D30:$Q30)/'Calc_Mix'!$T$9+ROW()*0.000001)</f>
        <v/>
      </c>
      <c r="L30" s="36">
        <f>IF(OR($B30="",$C30&lt;&gt;"Disponível",'Calc_Mix'!$T$10=0,COUNTIF(Esc_Tec1,$B30)+COUNTIF(Esc_Tec2,$B30)&gt;0,SUMPRODUCT('Calc_Mix'!$F$10:$S$10,'Matriz_Habilidades'!$D30:$Q30)=0),"",SUMPRODUCT('Calc_Mix'!$F$10:$S$10,'Matriz_Habilidades'!$D30:$Q30)/'Calc_Mix'!$T$10+ROW()*0.000001)</f>
        <v/>
      </c>
      <c r="M30" s="36">
        <f>IF(OR($B30="",$C30&lt;&gt;"Disponível",'Calc_Mix'!$T$11=0,COUNTIF(Esc_Tec1,$B30)+COUNTIF(Esc_Tec2,$B30)&gt;0,SUMPRODUCT('Calc_Mix'!$F$11:$S$11,'Matriz_Habilidades'!$D30:$Q30)=0),"",SUMPRODUCT('Calc_Mix'!$F$11:$S$11,'Matriz_Habilidades'!$D30:$Q30)/'Calc_Mix'!$T$11+ROW()*0.000001)</f>
        <v/>
      </c>
      <c r="N30" s="36">
        <f>IF(OR($B30="",$C30&lt;&gt;"Disponível",'Calc_Mix'!$T$12=0,COUNTIF(Esc_Tec1,$B30)+COUNTIF(Esc_Tec2,$B30)&gt;0,SUMPRODUCT('Calc_Mix'!$F$12:$S$12,'Matriz_Habilidades'!$D30:$Q30)=0),"",SUMPRODUCT('Calc_Mix'!$F$12:$S$12,'Matriz_Habilidades'!$D30:$Q30)/'Calc_Mix'!$T$12+ROW()*0.000001)</f>
        <v/>
      </c>
      <c r="O30" s="36">
        <f>IF(OR($B30="",$C30&lt;&gt;"Disponível",'Calc_Mix'!$T$13=0,COUNTIF(Esc_Tec1,$B30)+COUNTIF(Esc_Tec2,$B30)&gt;0,SUMPRODUCT('Calc_Mix'!$F$13:$S$13,'Matriz_Habilidades'!$D30:$Q30)=0),"",SUMPRODUCT('Calc_Mix'!$F$13:$S$13,'Matriz_Habilidades'!$D30:$Q30)/'Calc_Mix'!$T$13+ROW()*0.000001)</f>
        <v/>
      </c>
      <c r="P30" s="36">
        <f>IF(OR($B30="",$C30&lt;&gt;"Disponível",'Calc_Mix'!$T$14=0,COUNTIF(Esc_Tec1,$B30)+COUNTIF(Esc_Tec2,$B30)&gt;0,SUMPRODUCT('Calc_Mix'!$F$14:$S$14,'Matriz_Habilidades'!$D30:$Q30)=0),"",SUMPRODUCT('Calc_Mix'!$F$14:$S$14,'Matriz_Habilidades'!$D30:$Q30)/'Calc_Mix'!$T$14+ROW()*0.000001)</f>
        <v/>
      </c>
      <c r="Q30" s="36">
        <f>IF(OR($B30="",$C30&lt;&gt;"Disponível",'Calc_Mix'!$T$15=0,COUNTIF(Esc_Tec1,$B30)+COUNTIF(Esc_Tec2,$B30)&gt;0,SUMPRODUCT('Calc_Mix'!$F$15:$S$15,'Matriz_Habilidades'!$D30:$Q30)=0),"",SUMPRODUCT('Calc_Mix'!$F$15:$S$15,'Matriz_Habilidades'!$D30:$Q30)/'Calc_Mix'!$T$15+ROW()*0.000001)</f>
        <v/>
      </c>
      <c r="R30" s="36">
        <f>IF(OR($B30="",$C30&lt;&gt;"Disponível",'Calc_Mix'!$T$16=0,COUNTIF(Esc_Tec1,$B30)+COUNTIF(Esc_Tec2,$B30)&gt;0,SUMPRODUCT('Calc_Mix'!$F$16:$S$16,'Matriz_Habilidades'!$D30:$Q30)=0),"",SUMPRODUCT('Calc_Mix'!$F$16:$S$16,'Matriz_Habilidades'!$D30:$Q30)/'Calc_Mix'!$T$16+ROW()*0.000001)</f>
        <v/>
      </c>
      <c r="S30" s="36">
        <f>IF(OR($B30="",$C30&lt;&gt;"Disponível",'Calc_Mix'!$T$17=0,COUNTIF(Esc_Tec1,$B30)+COUNTIF(Esc_Tec2,$B30)&gt;0,SUMPRODUCT('Calc_Mix'!$F$17:$S$17,'Matriz_Habilidades'!$D30:$Q30)=0),"",SUMPRODUCT('Calc_Mix'!$F$17:$S$17,'Matriz_Habilidades'!$D30:$Q30)/'Calc_Mix'!$T$17+ROW()*0.000001)</f>
        <v/>
      </c>
    </row>
    <row r="31">
      <c r="A31" s="33">
        <f>IF('Matriz_Habilidades'!A31="","",'Matriz_Habilidades'!A31)</f>
        <v/>
      </c>
      <c r="B31" s="34">
        <f>IF('Matriz_Habilidades'!B31="","",'Matriz_Habilidades'!B31)</f>
        <v/>
      </c>
      <c r="C31" s="33">
        <f>IF($A31="","",IFERROR(INDEX(Equipe_Situacao,MATCH($B31,Equipe_Nome,0)),"?"))</f>
        <v/>
      </c>
      <c r="D31" s="36">
        <f>IF(OR($B31="",$C31&lt;&gt;"Disponível",'Calc_Mix'!$T$2=0,COUNTIF(Esc_Tec1,$B31)+COUNTIF(Esc_Tec2,$B31)&gt;0,SUMPRODUCT('Calc_Mix'!$F$2:$S$2,'Matriz_Habilidades'!$D31:$Q31)=0),"",SUMPRODUCT('Calc_Mix'!$F$2:$S$2,'Matriz_Habilidades'!$D31:$Q31)/'Calc_Mix'!$T$2+ROW()*0.000001)</f>
        <v/>
      </c>
      <c r="E31" s="36">
        <f>IF(OR($B31="",$C31&lt;&gt;"Disponível",'Calc_Mix'!$T$3=0,COUNTIF(Esc_Tec1,$B31)+COUNTIF(Esc_Tec2,$B31)&gt;0,SUMPRODUCT('Calc_Mix'!$F$3:$S$3,'Matriz_Habilidades'!$D31:$Q31)=0),"",SUMPRODUCT('Calc_Mix'!$F$3:$S$3,'Matriz_Habilidades'!$D31:$Q31)/'Calc_Mix'!$T$3+ROW()*0.000001)</f>
        <v/>
      </c>
      <c r="F31" s="36">
        <f>IF(OR($B31="",$C31&lt;&gt;"Disponível",'Calc_Mix'!$T$4=0,COUNTIF(Esc_Tec1,$B31)+COUNTIF(Esc_Tec2,$B31)&gt;0,SUMPRODUCT('Calc_Mix'!$F$4:$S$4,'Matriz_Habilidades'!$D31:$Q31)=0),"",SUMPRODUCT('Calc_Mix'!$F$4:$S$4,'Matriz_Habilidades'!$D31:$Q31)/'Calc_Mix'!$T$4+ROW()*0.000001)</f>
        <v/>
      </c>
      <c r="G31" s="36">
        <f>IF(OR($B31="",$C31&lt;&gt;"Disponível",'Calc_Mix'!$T$5=0,COUNTIF(Esc_Tec1,$B31)+COUNTIF(Esc_Tec2,$B31)&gt;0,SUMPRODUCT('Calc_Mix'!$F$5:$S$5,'Matriz_Habilidades'!$D31:$Q31)=0),"",SUMPRODUCT('Calc_Mix'!$F$5:$S$5,'Matriz_Habilidades'!$D31:$Q31)/'Calc_Mix'!$T$5+ROW()*0.000001)</f>
        <v/>
      </c>
      <c r="H31" s="36">
        <f>IF(OR($B31="",$C31&lt;&gt;"Disponível",'Calc_Mix'!$T$6=0,COUNTIF(Esc_Tec1,$B31)+COUNTIF(Esc_Tec2,$B31)&gt;0,SUMPRODUCT('Calc_Mix'!$F$6:$S$6,'Matriz_Habilidades'!$D31:$Q31)=0),"",SUMPRODUCT('Calc_Mix'!$F$6:$S$6,'Matriz_Habilidades'!$D31:$Q31)/'Calc_Mix'!$T$6+ROW()*0.000001)</f>
        <v/>
      </c>
      <c r="I31" s="36">
        <f>IF(OR($B31="",$C31&lt;&gt;"Disponível",'Calc_Mix'!$T$7=0,COUNTIF(Esc_Tec1,$B31)+COUNTIF(Esc_Tec2,$B31)&gt;0,SUMPRODUCT('Calc_Mix'!$F$7:$S$7,'Matriz_Habilidades'!$D31:$Q31)=0),"",SUMPRODUCT('Calc_Mix'!$F$7:$S$7,'Matriz_Habilidades'!$D31:$Q31)/'Calc_Mix'!$T$7+ROW()*0.000001)</f>
        <v/>
      </c>
      <c r="J31" s="36">
        <f>IF(OR($B31="",$C31&lt;&gt;"Disponível",'Calc_Mix'!$T$8=0,COUNTIF(Esc_Tec1,$B31)+COUNTIF(Esc_Tec2,$B31)&gt;0,SUMPRODUCT('Calc_Mix'!$F$8:$S$8,'Matriz_Habilidades'!$D31:$Q31)=0),"",SUMPRODUCT('Calc_Mix'!$F$8:$S$8,'Matriz_Habilidades'!$D31:$Q31)/'Calc_Mix'!$T$8+ROW()*0.000001)</f>
        <v/>
      </c>
      <c r="K31" s="36">
        <f>IF(OR($B31="",$C31&lt;&gt;"Disponível",'Calc_Mix'!$T$9=0,COUNTIF(Esc_Tec1,$B31)+COUNTIF(Esc_Tec2,$B31)&gt;0,SUMPRODUCT('Calc_Mix'!$F$9:$S$9,'Matriz_Habilidades'!$D31:$Q31)=0),"",SUMPRODUCT('Calc_Mix'!$F$9:$S$9,'Matriz_Habilidades'!$D31:$Q31)/'Calc_Mix'!$T$9+ROW()*0.000001)</f>
        <v/>
      </c>
      <c r="L31" s="36">
        <f>IF(OR($B31="",$C31&lt;&gt;"Disponível",'Calc_Mix'!$T$10=0,COUNTIF(Esc_Tec1,$B31)+COUNTIF(Esc_Tec2,$B31)&gt;0,SUMPRODUCT('Calc_Mix'!$F$10:$S$10,'Matriz_Habilidades'!$D31:$Q31)=0),"",SUMPRODUCT('Calc_Mix'!$F$10:$S$10,'Matriz_Habilidades'!$D31:$Q31)/'Calc_Mix'!$T$10+ROW()*0.000001)</f>
        <v/>
      </c>
      <c r="M31" s="36">
        <f>IF(OR($B31="",$C31&lt;&gt;"Disponível",'Calc_Mix'!$T$11=0,COUNTIF(Esc_Tec1,$B31)+COUNTIF(Esc_Tec2,$B31)&gt;0,SUMPRODUCT('Calc_Mix'!$F$11:$S$11,'Matriz_Habilidades'!$D31:$Q31)=0),"",SUMPRODUCT('Calc_Mix'!$F$11:$S$11,'Matriz_Habilidades'!$D31:$Q31)/'Calc_Mix'!$T$11+ROW()*0.000001)</f>
        <v/>
      </c>
      <c r="N31" s="36">
        <f>IF(OR($B31="",$C31&lt;&gt;"Disponível",'Calc_Mix'!$T$12=0,COUNTIF(Esc_Tec1,$B31)+COUNTIF(Esc_Tec2,$B31)&gt;0,SUMPRODUCT('Calc_Mix'!$F$12:$S$12,'Matriz_Habilidades'!$D31:$Q31)=0),"",SUMPRODUCT('Calc_Mix'!$F$12:$S$12,'Matriz_Habilidades'!$D31:$Q31)/'Calc_Mix'!$T$12+ROW()*0.000001)</f>
        <v/>
      </c>
      <c r="O31" s="36">
        <f>IF(OR($B31="",$C31&lt;&gt;"Disponível",'Calc_Mix'!$T$13=0,COUNTIF(Esc_Tec1,$B31)+COUNTIF(Esc_Tec2,$B31)&gt;0,SUMPRODUCT('Calc_Mix'!$F$13:$S$13,'Matriz_Habilidades'!$D31:$Q31)=0),"",SUMPRODUCT('Calc_Mix'!$F$13:$S$13,'Matriz_Habilidades'!$D31:$Q31)/'Calc_Mix'!$T$13+ROW()*0.000001)</f>
        <v/>
      </c>
      <c r="P31" s="36">
        <f>IF(OR($B31="",$C31&lt;&gt;"Disponível",'Calc_Mix'!$T$14=0,COUNTIF(Esc_Tec1,$B31)+COUNTIF(Esc_Tec2,$B31)&gt;0,SUMPRODUCT('Calc_Mix'!$F$14:$S$14,'Matriz_Habilidades'!$D31:$Q31)=0),"",SUMPRODUCT('Calc_Mix'!$F$14:$S$14,'Matriz_Habilidades'!$D31:$Q31)/'Calc_Mix'!$T$14+ROW()*0.000001)</f>
        <v/>
      </c>
      <c r="Q31" s="36">
        <f>IF(OR($B31="",$C31&lt;&gt;"Disponível",'Calc_Mix'!$T$15=0,COUNTIF(Esc_Tec1,$B31)+COUNTIF(Esc_Tec2,$B31)&gt;0,SUMPRODUCT('Calc_Mix'!$F$15:$S$15,'Matriz_Habilidades'!$D31:$Q31)=0),"",SUMPRODUCT('Calc_Mix'!$F$15:$S$15,'Matriz_Habilidades'!$D31:$Q31)/'Calc_Mix'!$T$15+ROW()*0.000001)</f>
        <v/>
      </c>
      <c r="R31" s="36">
        <f>IF(OR($B31="",$C31&lt;&gt;"Disponível",'Calc_Mix'!$T$16=0,COUNTIF(Esc_Tec1,$B31)+COUNTIF(Esc_Tec2,$B31)&gt;0,SUMPRODUCT('Calc_Mix'!$F$16:$S$16,'Matriz_Habilidades'!$D31:$Q31)=0),"",SUMPRODUCT('Calc_Mix'!$F$16:$S$16,'Matriz_Habilidades'!$D31:$Q31)/'Calc_Mix'!$T$16+ROW()*0.000001)</f>
        <v/>
      </c>
      <c r="S31" s="36">
        <f>IF(OR($B31="",$C31&lt;&gt;"Disponível",'Calc_Mix'!$T$17=0,COUNTIF(Esc_Tec1,$B31)+COUNTIF(Esc_Tec2,$B31)&gt;0,SUMPRODUCT('Calc_Mix'!$F$17:$S$17,'Matriz_Habilidades'!$D31:$Q31)=0),"",SUMPRODUCT('Calc_Mix'!$F$17:$S$17,'Matriz_Habilidades'!$D31:$Q31)/'Calc_Mix'!$T$17+ROW()*0.000001)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Z17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9" customWidth="1" min="2" max="2"/>
    <col width="26" customWidth="1" min="3" max="3"/>
    <col width="15" customWidth="1" min="4" max="4"/>
    <col width="10" customWidth="1" min="5" max="5"/>
    <col width="11" customWidth="1" min="6" max="6"/>
    <col width="12" customWidth="1" min="7" max="7"/>
    <col width="12" customWidth="1" min="8" max="8"/>
    <col width="11" customWidth="1" min="9" max="9"/>
    <col width="24" customWidth="1" min="10" max="10"/>
    <col width="24" customWidth="1" min="11" max="11"/>
    <col width="11" customWidth="1" min="12" max="12"/>
    <col width="24" customWidth="1" min="13" max="13"/>
    <col width="24" customWidth="1" min="14" max="14"/>
    <col width="11" customWidth="1" min="15" max="15"/>
    <col width="13" customWidth="1" min="16" max="16"/>
    <col width="20" customWidth="1" min="17" max="17"/>
    <col width="14" customWidth="1" min="18" max="18"/>
    <col hidden="1" width="26" customWidth="1" min="19" max="19"/>
    <col hidden="1" width="28" customWidth="1" min="20" max="20"/>
    <col hidden="1" width="24" customWidth="1" min="21" max="21"/>
    <col hidden="1" width="26" customWidth="1" min="22" max="22"/>
    <col width="58" customWidth="1" min="23" max="23"/>
    <col hidden="1" width="8" customWidth="1" min="24" max="24"/>
    <col hidden="1" width="8" customWidth="1" min="25" max="25"/>
    <col hidden="1" width="8" customWidth="1" min="26" max="26"/>
  </cols>
  <sheetData>
    <row r="1" ht="52" customHeight="1">
      <c r="A1" s="14" t="inlineStr">
        <is>
          <t>Data</t>
        </is>
      </c>
      <c r="B1" s="14" t="inlineStr">
        <is>
          <t>Posto</t>
        </is>
      </c>
      <c r="C1" s="14" t="inlineStr">
        <is>
          <t>Nome do posto</t>
        </is>
      </c>
      <c r="D1" s="14" t="inlineStr">
        <is>
          <t>Tipo</t>
        </is>
      </c>
      <c r="E1" s="14" t="inlineStr">
        <is>
          <t>Prioridade</t>
        </is>
      </c>
      <c r="F1" s="14" t="inlineStr">
        <is>
          <t>Técnicos necessários</t>
        </is>
      </c>
      <c r="G1" s="14" t="inlineStr">
        <is>
          <t>Nº cirurgias</t>
        </is>
      </c>
      <c r="H1" s="14" t="inlineStr">
        <is>
          <t>Min. ocupação</t>
        </is>
      </c>
      <c r="I1" s="14" t="inlineStr">
        <is>
          <t>Ocupação %</t>
        </is>
      </c>
      <c r="J1" s="14" t="inlineStr">
        <is>
          <t>TÉCNICO 1 (circulante)</t>
        </is>
      </c>
      <c r="K1" s="14" t="inlineStr">
        <is>
          <t>Cadastro / situação</t>
        </is>
      </c>
      <c r="L1" s="14" t="inlineStr">
        <is>
          <t>Afinidade 1</t>
        </is>
      </c>
      <c r="M1" s="14" t="inlineStr">
        <is>
          <t>TÉCNICO 2 (instrumentador)</t>
        </is>
      </c>
      <c r="N1" s="14" t="inlineStr">
        <is>
          <t>Cadastro / situação</t>
        </is>
      </c>
      <c r="O1" s="14" t="inlineStr">
        <is>
          <t>Afinidade 2</t>
        </is>
      </c>
      <c r="P1" s="14" t="inlineStr">
        <is>
          <t>AFINIDADE DO POSTO</t>
        </is>
      </c>
      <c r="Q1" s="14" t="inlineStr">
        <is>
          <t>Cobertura</t>
        </is>
      </c>
      <c r="R1" s="14" t="inlineStr">
        <is>
          <t>Classificação</t>
        </is>
      </c>
      <c r="S1" s="14" t="inlineStr">
        <is>
          <t>Chk duplicidade</t>
        </is>
      </c>
      <c r="T1" s="14" t="inlineStr">
        <is>
          <t>Chk disponibilidade</t>
        </is>
      </c>
      <c r="U1" s="14" t="inlineStr">
        <is>
          <t>Chk função</t>
        </is>
      </c>
      <c r="V1" s="14" t="inlineStr">
        <is>
          <t>Chk inaptidão</t>
        </is>
      </c>
      <c r="W1" s="14" t="inlineStr">
        <is>
          <t>ALERTAS</t>
        </is>
      </c>
      <c r="X1" s="14" t="inlineStr">
        <is>
          <t>aux_concat</t>
        </is>
      </c>
      <c r="Y1" s="14" t="inlineStr">
        <is>
          <t>aux_afin</t>
        </is>
      </c>
      <c r="Z1" s="14" t="inlineStr">
        <is>
          <t>aux_peso</t>
        </is>
      </c>
    </row>
    <row r="2" ht="28" customHeight="1">
      <c r="A2" s="45">
        <f>IF($B2="","",Data_Mapa)</f>
        <v/>
      </c>
      <c r="B2" s="15">
        <f>IF('Calc_Mix'!$B2="","",'Calc_Mix'!$B2)</f>
        <v/>
      </c>
      <c r="C2" s="34">
        <f>IF($B2="","",IFERROR(INDEX(Postos_Nome,MATCH($B2,Postos_Cod,0)),""))</f>
        <v/>
      </c>
      <c r="D2" s="33">
        <f>IF($B2="","",'Calc_Mix'!$C2)</f>
        <v/>
      </c>
      <c r="E2" s="37">
        <f>IF($B2="","",IFERROR(INDEX(Postos_Prior,MATCH($B2,Postos_Cod,0)),""))</f>
        <v/>
      </c>
      <c r="F2" s="37">
        <f>IF($B2="","",IFERROR(INDEX(Postos_Nec,MATCH($B2,Postos_Cod,0)),""))</f>
        <v/>
      </c>
      <c r="G2" s="37">
        <f>IF(OR($B2="",$D2&lt;&gt;"Sala cirúrgica"),"",COUNTIFS(Mapa_Sala,$B2,Mapa_Data,Data_Mapa,Mapa_MinOcup,"&gt;0"))</f>
        <v/>
      </c>
      <c r="H2" s="37">
        <f>IF(OR($B2="",$D2&lt;&gt;"Sala cirúrgica"),"",'Calc_Mix'!$E2)</f>
        <v/>
      </c>
      <c r="I2" s="44">
        <f>IF(OR($B2="",$D2&lt;&gt;"Sala cirúrgica"),"",'Calc_Mix'!$V2)</f>
        <v/>
      </c>
      <c r="J2" s="46" t="inlineStr">
        <is>
          <t>Bruna Cordeiro</t>
        </is>
      </c>
      <c r="K2" s="34">
        <f>IF($J2="","",IFERROR(INDEX(Equipe_Funcao,MATCH($J2,Equipe_Nome,0))&amp;" · "&amp;INDEX(Equipe_Situacao,MATCH($J2,Equipe_Nome,0)),"NÃO CADASTRADO"))</f>
        <v/>
      </c>
      <c r="L2" s="36">
        <f>IF(OR($B2="",$J2=""),"",IFERROR(SUMPRODUCT('Calc_Mix'!$F2:$S2,INDEX(Matriz_Niveis,MATCH($J2,Matriz_Nome,0),0))/'Calc_Mix'!$T2,""))</f>
        <v/>
      </c>
      <c r="M2" s="46" t="inlineStr">
        <is>
          <t>Tatiane Bolzan</t>
        </is>
      </c>
      <c r="N2" s="34">
        <f>IF($M2="","",IFERROR(INDEX(Equipe_Funcao,MATCH($M2,Equipe_Nome,0))&amp;" · "&amp;INDEX(Equipe_Situacao,MATCH($M2,Equipe_Nome,0)),"NÃO CADASTRADO"))</f>
        <v/>
      </c>
      <c r="O2" s="36">
        <f>IF(OR($B2="",$M2=""),"",IFERROR(SUMPRODUCT('Calc_Mix'!$F2:$S2,INDEX(Matriz_Niveis,MATCH($M2,Matriz_Nome,0),0))/'Calc_Mix'!$T2,""))</f>
        <v/>
      </c>
      <c r="P2" s="36">
        <f>IF(OR($B2="",AND($L2="",$O2="")),"",IF($O2="",$L2,IF($L2="",$O2,IF($D2="Sala cirúrgica",Peso_Circulante*$L2+Peso_Instrumentador*$O2,($L2+$O2)/2))))</f>
        <v/>
      </c>
      <c r="Q2" s="19">
        <f>IF($B2="","",IF((--($J2&lt;&gt;"")+--($M2&lt;&gt;""))=0,"DESCOBERTO",IF((--($J2&lt;&gt;"")+--($M2&lt;&gt;""))&gt;=$F2,"COMPLETO","INCOMPLETO ("&amp;(--($J2&lt;&gt;"")+--($M2&lt;&gt;""))&amp;" de "&amp;$F2&amp;")")))</f>
        <v/>
      </c>
      <c r="R2" s="15">
        <f>IF($B2="","",IF($Q2="DESCOBERTO","SEM EQUIPE",IF($P2="","—",IF($P2&gt;=Afinidade_Meta,"ADEQUADO",IF($P2&gt;=Afinidade_Min,"ATENÇÃO","CRÍTICO")))))</f>
        <v/>
      </c>
      <c r="S2" s="19">
        <f>IF($B2="","",IF(OR(AND($J2&lt;&gt;"",COUNTIF(Esc_Tec1,$J2)+COUNTIF(Esc_Tec2,$J2)&gt;1),AND($M2&lt;&gt;"",COUNTIF(Esc_Tec1,$M2)+COUNTIF(Esc_Tec2,$M2)&gt;1)),"Técnico escalado em mais de um posto","OK"))</f>
        <v/>
      </c>
      <c r="T2" s="19">
        <f>IF($B2="","",IF(OR(AND($J2&lt;&gt;"",IFERROR(INDEX(Equipe_Situacao,MATCH($J2,Equipe_Nome,0)),"?")&lt;&gt;"Disponível"),AND($M2&lt;&gt;"",IFERROR(INDEX(Equipe_Situacao,MATCH($M2,Equipe_Nome,0)),"?")&lt;&gt;"Disponível")),"Técnico indisponível ou não cadastrado","OK"))</f>
        <v/>
      </c>
      <c r="U2" s="19">
        <f>IF($B2="","",IF($D2&lt;&gt;"Sala cirúrgica","OK",IF(OR(AND($J2&lt;&gt;"",IFERROR(INDEX(Equipe_Funcao,MATCH($J2,Equipe_Nome,0)),"")="Instrumentador"),AND($M2&lt;&gt;"",IFERROR(INDEX(Equipe_Funcao,MATCH($M2,Equipe_Nome,0)),"")="Circulante")),"Função incompatível com o posto","OK")))</f>
        <v/>
      </c>
      <c r="V2" s="19">
        <f>IF($B2="","",IF(OR('Calc_Mix'!$T2=0,AND($J2="",$M2="")),"OK",IF(IF($J2="",0,IFERROR(SUMPRODUCT(('Calc_Mix'!$F2:$S2/'Calc_Mix'!$T2&gt;=Part_Min_Critica)*(INDEX(Matriz_Niveis,MATCH($J2,Matriz_Nome,0),0)&lt;=Nivel_Critico)),0))+IF($M2="",0,IFERROR(SUMPRODUCT(('Calc_Mix'!$F2:$S2/'Calc_Mix'!$T2&gt;=Part_Min_Critica)*(INDEX(Matriz_Niveis,MATCH($M2,Matriz_Nome,0),0)&lt;=Nivel_Critico)),0))&gt;0,"Inaptidão em habilidade relevante","OK")))</f>
        <v/>
      </c>
      <c r="W2" s="47">
        <f>IF($B2="","",IF($X2="","OK",LEFT($X2,LEN($X2)-3)))</f>
        <v/>
      </c>
      <c r="X2" s="15">
        <f>IF($B2="","",IF($Q2="DESCOBERTO",IF(N($G2)&gt;0,"POSTO DESCOBERTO — "&amp;$G2&amp;" cirurgia(s) a remanejar | ","POSTO DESCOBERTO | "),"")&amp;IF(LEFT($Q2,10)="INCOMPLETO","Equipe incompleta para o posto | ","")&amp;IF($S2&lt;&gt;"OK",$S2&amp;" | ","")&amp;IF($T2&lt;&gt;"OK",$T2&amp;" | ","")&amp;IF($U2&lt;&gt;"OK",$U2&amp;" | ","")&amp;IF($V2&lt;&gt;"OK",$V2&amp;" | ","")&amp;IF(AND($P2&lt;&gt;"",$P2&lt;Afinidade_Min),"Afinidade abaixo do mínimo | ","")&amp;IF(AND($I2&lt;&gt;"",$I2&gt;Ocupacao_Max),"Ocupação acima do limite | ","")&amp;IF(AND($D2="Sala cirúrgica",IFERROR(INDEX(Postos_Status,MATCH($B2,Postos_Cod,0)),"")&lt;&gt;"Ativo",N($G2)&gt;0),"Sala inativa com cirurgia | ",""))</f>
        <v/>
      </c>
      <c r="Y2" s="36">
        <f>IF($P2="",0,$P2)</f>
        <v/>
      </c>
      <c r="Z2" s="37">
        <f>IF($P2="",0,1)</f>
        <v/>
      </c>
    </row>
    <row r="3" ht="28" customHeight="1">
      <c r="A3" s="45">
        <f>IF($B3="","",Data_Mapa)</f>
        <v/>
      </c>
      <c r="B3" s="15">
        <f>IF('Calc_Mix'!$B3="","",'Calc_Mix'!$B3)</f>
        <v/>
      </c>
      <c r="C3" s="34">
        <f>IF($B3="","",IFERROR(INDEX(Postos_Nome,MATCH($B3,Postos_Cod,0)),""))</f>
        <v/>
      </c>
      <c r="D3" s="33">
        <f>IF($B3="","",'Calc_Mix'!$C3)</f>
        <v/>
      </c>
      <c r="E3" s="37">
        <f>IF($B3="","",IFERROR(INDEX(Postos_Prior,MATCH($B3,Postos_Cod,0)),""))</f>
        <v/>
      </c>
      <c r="F3" s="37">
        <f>IF($B3="","",IFERROR(INDEX(Postos_Nec,MATCH($B3,Postos_Cod,0)),""))</f>
        <v/>
      </c>
      <c r="G3" s="37">
        <f>IF(OR($B3="",$D3&lt;&gt;"Sala cirúrgica"),"",COUNTIFS(Mapa_Sala,$B3,Mapa_Data,Data_Mapa,Mapa_MinOcup,"&gt;0"))</f>
        <v/>
      </c>
      <c r="H3" s="37">
        <f>IF(OR($B3="",$D3&lt;&gt;"Sala cirúrgica"),"",'Calc_Mix'!$E3)</f>
        <v/>
      </c>
      <c r="I3" s="44">
        <f>IF(OR($B3="",$D3&lt;&gt;"Sala cirúrgica"),"",'Calc_Mix'!$V3)</f>
        <v/>
      </c>
      <c r="J3" s="46" t="inlineStr">
        <is>
          <t>Heloísa Perin</t>
        </is>
      </c>
      <c r="K3" s="34">
        <f>IF($J3="","",IFERROR(INDEX(Equipe_Funcao,MATCH($J3,Equipe_Nome,0))&amp;" · "&amp;INDEX(Equipe_Situacao,MATCH($J3,Equipe_Nome,0)),"NÃO CADASTRADO"))</f>
        <v/>
      </c>
      <c r="L3" s="36">
        <f>IF(OR($B3="",$J3=""),"",IFERROR(SUMPRODUCT('Calc_Mix'!$F3:$S3,INDEX(Matriz_Niveis,MATCH($J3,Matriz_Nome,0),0))/'Calc_Mix'!$T3,""))</f>
        <v/>
      </c>
      <c r="M3" s="46" t="inlineStr">
        <is>
          <t>Nádia Fávero</t>
        </is>
      </c>
      <c r="N3" s="34">
        <f>IF($M3="","",IFERROR(INDEX(Equipe_Funcao,MATCH($M3,Equipe_Nome,0))&amp;" · "&amp;INDEX(Equipe_Situacao,MATCH($M3,Equipe_Nome,0)),"NÃO CADASTRADO"))</f>
        <v/>
      </c>
      <c r="O3" s="36">
        <f>IF(OR($B3="",$M3=""),"",IFERROR(SUMPRODUCT('Calc_Mix'!$F3:$S3,INDEX(Matriz_Niveis,MATCH($M3,Matriz_Nome,0),0))/'Calc_Mix'!$T3,""))</f>
        <v/>
      </c>
      <c r="P3" s="36">
        <f>IF(OR($B3="",AND($L3="",$O3="")),"",IF($O3="",$L3,IF($L3="",$O3,IF($D3="Sala cirúrgica",Peso_Circulante*$L3+Peso_Instrumentador*$O3,($L3+$O3)/2))))</f>
        <v/>
      </c>
      <c r="Q3" s="19">
        <f>IF($B3="","",IF((--($J3&lt;&gt;"")+--($M3&lt;&gt;""))=0,"DESCOBERTO",IF((--($J3&lt;&gt;"")+--($M3&lt;&gt;""))&gt;=$F3,"COMPLETO","INCOMPLETO ("&amp;(--($J3&lt;&gt;"")+--($M3&lt;&gt;""))&amp;" de "&amp;$F3&amp;")")))</f>
        <v/>
      </c>
      <c r="R3" s="15">
        <f>IF($B3="","",IF($Q3="DESCOBERTO","SEM EQUIPE",IF($P3="","—",IF($P3&gt;=Afinidade_Meta,"ADEQUADO",IF($P3&gt;=Afinidade_Min,"ATENÇÃO","CRÍTICO")))))</f>
        <v/>
      </c>
      <c r="S3" s="19">
        <f>IF($B3="","",IF(OR(AND($J3&lt;&gt;"",COUNTIF(Esc_Tec1,$J3)+COUNTIF(Esc_Tec2,$J3)&gt;1),AND($M3&lt;&gt;"",COUNTIF(Esc_Tec1,$M3)+COUNTIF(Esc_Tec2,$M3)&gt;1)),"Técnico escalado em mais de um posto","OK"))</f>
        <v/>
      </c>
      <c r="T3" s="19">
        <f>IF($B3="","",IF(OR(AND($J3&lt;&gt;"",IFERROR(INDEX(Equipe_Situacao,MATCH($J3,Equipe_Nome,0)),"?")&lt;&gt;"Disponível"),AND($M3&lt;&gt;"",IFERROR(INDEX(Equipe_Situacao,MATCH($M3,Equipe_Nome,0)),"?")&lt;&gt;"Disponível")),"Técnico indisponível ou não cadastrado","OK"))</f>
        <v/>
      </c>
      <c r="U3" s="19">
        <f>IF($B3="","",IF($D3&lt;&gt;"Sala cirúrgica","OK",IF(OR(AND($J3&lt;&gt;"",IFERROR(INDEX(Equipe_Funcao,MATCH($J3,Equipe_Nome,0)),"")="Instrumentador"),AND($M3&lt;&gt;"",IFERROR(INDEX(Equipe_Funcao,MATCH($M3,Equipe_Nome,0)),"")="Circulante")),"Função incompatível com o posto","OK")))</f>
        <v/>
      </c>
      <c r="V3" s="19">
        <f>IF($B3="","",IF(OR('Calc_Mix'!$T3=0,AND($J3="",$M3="")),"OK",IF(IF($J3="",0,IFERROR(SUMPRODUCT(('Calc_Mix'!$F3:$S3/'Calc_Mix'!$T3&gt;=Part_Min_Critica)*(INDEX(Matriz_Niveis,MATCH($J3,Matriz_Nome,0),0)&lt;=Nivel_Critico)),0))+IF($M3="",0,IFERROR(SUMPRODUCT(('Calc_Mix'!$F3:$S3/'Calc_Mix'!$T3&gt;=Part_Min_Critica)*(INDEX(Matriz_Niveis,MATCH($M3,Matriz_Nome,0),0)&lt;=Nivel_Critico)),0))&gt;0,"Inaptidão em habilidade relevante","OK")))</f>
        <v/>
      </c>
      <c r="W3" s="47">
        <f>IF($B3="","",IF($X3="","OK",LEFT($X3,LEN($X3)-3)))</f>
        <v/>
      </c>
      <c r="X3" s="15">
        <f>IF($B3="","",IF($Q3="DESCOBERTO",IF(N($G3)&gt;0,"POSTO DESCOBERTO — "&amp;$G3&amp;" cirurgia(s) a remanejar | ","POSTO DESCOBERTO | "),"")&amp;IF(LEFT($Q3,10)="INCOMPLETO","Equipe incompleta para o posto | ","")&amp;IF($S3&lt;&gt;"OK",$S3&amp;" | ","")&amp;IF($T3&lt;&gt;"OK",$T3&amp;" | ","")&amp;IF($U3&lt;&gt;"OK",$U3&amp;" | ","")&amp;IF($V3&lt;&gt;"OK",$V3&amp;" | ","")&amp;IF(AND($P3&lt;&gt;"",$P3&lt;Afinidade_Min),"Afinidade abaixo do mínimo | ","")&amp;IF(AND($I3&lt;&gt;"",$I3&gt;Ocupacao_Max),"Ocupação acima do limite | ","")&amp;IF(AND($D3="Sala cirúrgica",IFERROR(INDEX(Postos_Status,MATCH($B3,Postos_Cod,0)),"")&lt;&gt;"Ativo",N($G3)&gt;0),"Sala inativa com cirurgia | ",""))</f>
        <v/>
      </c>
      <c r="Y3" s="36">
        <f>IF($P3="",0,$P3)</f>
        <v/>
      </c>
      <c r="Z3" s="37">
        <f>IF($P3="",0,1)</f>
        <v/>
      </c>
    </row>
    <row r="4" ht="28" customHeight="1">
      <c r="A4" s="45">
        <f>IF($B4="","",Data_Mapa)</f>
        <v/>
      </c>
      <c r="B4" s="15">
        <f>IF('Calc_Mix'!$B4="","",'Calc_Mix'!$B4)</f>
        <v/>
      </c>
      <c r="C4" s="34">
        <f>IF($B4="","",IFERROR(INDEX(Postos_Nome,MATCH($B4,Postos_Cod,0)),""))</f>
        <v/>
      </c>
      <c r="D4" s="33">
        <f>IF($B4="","",'Calc_Mix'!$C4)</f>
        <v/>
      </c>
      <c r="E4" s="37">
        <f>IF($B4="","",IFERROR(INDEX(Postos_Prior,MATCH($B4,Postos_Cod,0)),""))</f>
        <v/>
      </c>
      <c r="F4" s="37">
        <f>IF($B4="","",IFERROR(INDEX(Postos_Nec,MATCH($B4,Postos_Cod,0)),""))</f>
        <v/>
      </c>
      <c r="G4" s="37">
        <f>IF(OR($B4="",$D4&lt;&gt;"Sala cirúrgica"),"",COUNTIFS(Mapa_Sala,$B4,Mapa_Data,Data_Mapa,Mapa_MinOcup,"&gt;0"))</f>
        <v/>
      </c>
      <c r="H4" s="37">
        <f>IF(OR($B4="",$D4&lt;&gt;"Sala cirúrgica"),"",'Calc_Mix'!$E4)</f>
        <v/>
      </c>
      <c r="I4" s="44">
        <f>IF(OR($B4="",$D4&lt;&gt;"Sala cirúrgica"),"",'Calc_Mix'!$V4)</f>
        <v/>
      </c>
      <c r="J4" s="46" t="inlineStr">
        <is>
          <t>Daiane Prestes</t>
        </is>
      </c>
      <c r="K4" s="34">
        <f>IF($J4="","",IFERROR(INDEX(Equipe_Funcao,MATCH($J4,Equipe_Nome,0))&amp;" · "&amp;INDEX(Equipe_Situacao,MATCH($J4,Equipe_Nome,0)),"NÃO CADASTRADO"))</f>
        <v/>
      </c>
      <c r="L4" s="36">
        <f>IF(OR($B4="",$J4=""),"",IFERROR(SUMPRODUCT('Calc_Mix'!$F4:$S4,INDEX(Matriz_Niveis,MATCH($J4,Matriz_Nome,0),0))/'Calc_Mix'!$T4,""))</f>
        <v/>
      </c>
      <c r="M4" s="46" t="inlineStr">
        <is>
          <t>Simone Dalpra</t>
        </is>
      </c>
      <c r="N4" s="34">
        <f>IF($M4="","",IFERROR(INDEX(Equipe_Funcao,MATCH($M4,Equipe_Nome,0))&amp;" · "&amp;INDEX(Equipe_Situacao,MATCH($M4,Equipe_Nome,0)),"NÃO CADASTRADO"))</f>
        <v/>
      </c>
      <c r="O4" s="36">
        <f>IF(OR($B4="",$M4=""),"",IFERROR(SUMPRODUCT('Calc_Mix'!$F4:$S4,INDEX(Matriz_Niveis,MATCH($M4,Matriz_Nome,0),0))/'Calc_Mix'!$T4,""))</f>
        <v/>
      </c>
      <c r="P4" s="36">
        <f>IF(OR($B4="",AND($L4="",$O4="")),"",IF($O4="",$L4,IF($L4="",$O4,IF($D4="Sala cirúrgica",Peso_Circulante*$L4+Peso_Instrumentador*$O4,($L4+$O4)/2))))</f>
        <v/>
      </c>
      <c r="Q4" s="19">
        <f>IF($B4="","",IF((--($J4&lt;&gt;"")+--($M4&lt;&gt;""))=0,"DESCOBERTO",IF((--($J4&lt;&gt;"")+--($M4&lt;&gt;""))&gt;=$F4,"COMPLETO","INCOMPLETO ("&amp;(--($J4&lt;&gt;"")+--($M4&lt;&gt;""))&amp;" de "&amp;$F4&amp;")")))</f>
        <v/>
      </c>
      <c r="R4" s="15">
        <f>IF($B4="","",IF($Q4="DESCOBERTO","SEM EQUIPE",IF($P4="","—",IF($P4&gt;=Afinidade_Meta,"ADEQUADO",IF($P4&gt;=Afinidade_Min,"ATENÇÃO","CRÍTICO")))))</f>
        <v/>
      </c>
      <c r="S4" s="19">
        <f>IF($B4="","",IF(OR(AND($J4&lt;&gt;"",COUNTIF(Esc_Tec1,$J4)+COUNTIF(Esc_Tec2,$J4)&gt;1),AND($M4&lt;&gt;"",COUNTIF(Esc_Tec1,$M4)+COUNTIF(Esc_Tec2,$M4)&gt;1)),"Técnico escalado em mais de um posto","OK"))</f>
        <v/>
      </c>
      <c r="T4" s="19">
        <f>IF($B4="","",IF(OR(AND($J4&lt;&gt;"",IFERROR(INDEX(Equipe_Situacao,MATCH($J4,Equipe_Nome,0)),"?")&lt;&gt;"Disponível"),AND($M4&lt;&gt;"",IFERROR(INDEX(Equipe_Situacao,MATCH($M4,Equipe_Nome,0)),"?")&lt;&gt;"Disponível")),"Técnico indisponível ou não cadastrado","OK"))</f>
        <v/>
      </c>
      <c r="U4" s="19">
        <f>IF($B4="","",IF($D4&lt;&gt;"Sala cirúrgica","OK",IF(OR(AND($J4&lt;&gt;"",IFERROR(INDEX(Equipe_Funcao,MATCH($J4,Equipe_Nome,0)),"")="Instrumentador"),AND($M4&lt;&gt;"",IFERROR(INDEX(Equipe_Funcao,MATCH($M4,Equipe_Nome,0)),"")="Circulante")),"Função incompatível com o posto","OK")))</f>
        <v/>
      </c>
      <c r="V4" s="19">
        <f>IF($B4="","",IF(OR('Calc_Mix'!$T4=0,AND($J4="",$M4="")),"OK",IF(IF($J4="",0,IFERROR(SUMPRODUCT(('Calc_Mix'!$F4:$S4/'Calc_Mix'!$T4&gt;=Part_Min_Critica)*(INDEX(Matriz_Niveis,MATCH($J4,Matriz_Nome,0),0)&lt;=Nivel_Critico)),0))+IF($M4="",0,IFERROR(SUMPRODUCT(('Calc_Mix'!$F4:$S4/'Calc_Mix'!$T4&gt;=Part_Min_Critica)*(INDEX(Matriz_Niveis,MATCH($M4,Matriz_Nome,0),0)&lt;=Nivel_Critico)),0))&gt;0,"Inaptidão em habilidade relevante","OK")))</f>
        <v/>
      </c>
      <c r="W4" s="47">
        <f>IF($B4="","",IF($X4="","OK",LEFT($X4,LEN($X4)-3)))</f>
        <v/>
      </c>
      <c r="X4" s="15">
        <f>IF($B4="","",IF($Q4="DESCOBERTO",IF(N($G4)&gt;0,"POSTO DESCOBERTO — "&amp;$G4&amp;" cirurgia(s) a remanejar | ","POSTO DESCOBERTO | "),"")&amp;IF(LEFT($Q4,10)="INCOMPLETO","Equipe incompleta para o posto | ","")&amp;IF($S4&lt;&gt;"OK",$S4&amp;" | ","")&amp;IF($T4&lt;&gt;"OK",$T4&amp;" | ","")&amp;IF($U4&lt;&gt;"OK",$U4&amp;" | ","")&amp;IF($V4&lt;&gt;"OK",$V4&amp;" | ","")&amp;IF(AND($P4&lt;&gt;"",$P4&lt;Afinidade_Min),"Afinidade abaixo do mínimo | ","")&amp;IF(AND($I4&lt;&gt;"",$I4&gt;Ocupacao_Max),"Ocupação acima do limite | ","")&amp;IF(AND($D4="Sala cirúrgica",IFERROR(INDEX(Postos_Status,MATCH($B4,Postos_Cod,0)),"")&lt;&gt;"Ativo",N($G4)&gt;0),"Sala inativa com cirurgia | ",""))</f>
        <v/>
      </c>
      <c r="Y4" s="36">
        <f>IF($P4="",0,$P4)</f>
        <v/>
      </c>
      <c r="Z4" s="37">
        <f>IF($P4="",0,1)</f>
        <v/>
      </c>
    </row>
    <row r="5" ht="28" customHeight="1">
      <c r="A5" s="45">
        <f>IF($B5="","",Data_Mapa)</f>
        <v/>
      </c>
      <c r="B5" s="15">
        <f>IF('Calc_Mix'!$B5="","",'Calc_Mix'!$B5)</f>
        <v/>
      </c>
      <c r="C5" s="34">
        <f>IF($B5="","",IFERROR(INDEX(Postos_Nome,MATCH($B5,Postos_Cod,0)),""))</f>
        <v/>
      </c>
      <c r="D5" s="33">
        <f>IF($B5="","",'Calc_Mix'!$C5)</f>
        <v/>
      </c>
      <c r="E5" s="37">
        <f>IF($B5="","",IFERROR(INDEX(Postos_Prior,MATCH($B5,Postos_Cod,0)),""))</f>
        <v/>
      </c>
      <c r="F5" s="37">
        <f>IF($B5="","",IFERROR(INDEX(Postos_Nec,MATCH($B5,Postos_Cod,0)),""))</f>
        <v/>
      </c>
      <c r="G5" s="37">
        <f>IF(OR($B5="",$D5&lt;&gt;"Sala cirúrgica"),"",COUNTIFS(Mapa_Sala,$B5,Mapa_Data,Data_Mapa,Mapa_MinOcup,"&gt;0"))</f>
        <v/>
      </c>
      <c r="H5" s="37">
        <f>IF(OR($B5="",$D5&lt;&gt;"Sala cirúrgica"),"",'Calc_Mix'!$E5)</f>
        <v/>
      </c>
      <c r="I5" s="44">
        <f>IF(OR($B5="",$D5&lt;&gt;"Sala cirúrgica"),"",'Calc_Mix'!$V5)</f>
        <v/>
      </c>
      <c r="J5" s="46" t="n"/>
      <c r="K5" s="34">
        <f>IF($J5="","",IFERROR(INDEX(Equipe_Funcao,MATCH($J5,Equipe_Nome,0))&amp;" · "&amp;INDEX(Equipe_Situacao,MATCH($J5,Equipe_Nome,0)),"NÃO CADASTRADO"))</f>
        <v/>
      </c>
      <c r="L5" s="36">
        <f>IF(OR($B5="",$J5=""),"",IFERROR(SUMPRODUCT('Calc_Mix'!$F5:$S5,INDEX(Matriz_Niveis,MATCH($J5,Matriz_Nome,0),0))/'Calc_Mix'!$T5,""))</f>
        <v/>
      </c>
      <c r="M5" s="46" t="n"/>
      <c r="N5" s="34">
        <f>IF($M5="","",IFERROR(INDEX(Equipe_Funcao,MATCH($M5,Equipe_Nome,0))&amp;" · "&amp;INDEX(Equipe_Situacao,MATCH($M5,Equipe_Nome,0)),"NÃO CADASTRADO"))</f>
        <v/>
      </c>
      <c r="O5" s="36">
        <f>IF(OR($B5="",$M5=""),"",IFERROR(SUMPRODUCT('Calc_Mix'!$F5:$S5,INDEX(Matriz_Niveis,MATCH($M5,Matriz_Nome,0),0))/'Calc_Mix'!$T5,""))</f>
        <v/>
      </c>
      <c r="P5" s="36">
        <f>IF(OR($B5="",AND($L5="",$O5="")),"",IF($O5="",$L5,IF($L5="",$O5,IF($D5="Sala cirúrgica",Peso_Circulante*$L5+Peso_Instrumentador*$O5,($L5+$O5)/2))))</f>
        <v/>
      </c>
      <c r="Q5" s="19">
        <f>IF($B5="","",IF((--($J5&lt;&gt;"")+--($M5&lt;&gt;""))=0,"DESCOBERTO",IF((--($J5&lt;&gt;"")+--($M5&lt;&gt;""))&gt;=$F5,"COMPLETO","INCOMPLETO ("&amp;(--($J5&lt;&gt;"")+--($M5&lt;&gt;""))&amp;" de "&amp;$F5&amp;")")))</f>
        <v/>
      </c>
      <c r="R5" s="15">
        <f>IF($B5="","",IF($Q5="DESCOBERTO","SEM EQUIPE",IF($P5="","—",IF($P5&gt;=Afinidade_Meta,"ADEQUADO",IF($P5&gt;=Afinidade_Min,"ATENÇÃO","CRÍTICO")))))</f>
        <v/>
      </c>
      <c r="S5" s="19">
        <f>IF($B5="","",IF(OR(AND($J5&lt;&gt;"",COUNTIF(Esc_Tec1,$J5)+COUNTIF(Esc_Tec2,$J5)&gt;1),AND($M5&lt;&gt;"",COUNTIF(Esc_Tec1,$M5)+COUNTIF(Esc_Tec2,$M5)&gt;1)),"Técnico escalado em mais de um posto","OK"))</f>
        <v/>
      </c>
      <c r="T5" s="19">
        <f>IF($B5="","",IF(OR(AND($J5&lt;&gt;"",IFERROR(INDEX(Equipe_Situacao,MATCH($J5,Equipe_Nome,0)),"?")&lt;&gt;"Disponível"),AND($M5&lt;&gt;"",IFERROR(INDEX(Equipe_Situacao,MATCH($M5,Equipe_Nome,0)),"?")&lt;&gt;"Disponível")),"Técnico indisponível ou não cadastrado","OK"))</f>
        <v/>
      </c>
      <c r="U5" s="19">
        <f>IF($B5="","",IF($D5&lt;&gt;"Sala cirúrgica","OK",IF(OR(AND($J5&lt;&gt;"",IFERROR(INDEX(Equipe_Funcao,MATCH($J5,Equipe_Nome,0)),"")="Instrumentador"),AND($M5&lt;&gt;"",IFERROR(INDEX(Equipe_Funcao,MATCH($M5,Equipe_Nome,0)),"")="Circulante")),"Função incompatível com o posto","OK")))</f>
        <v/>
      </c>
      <c r="V5" s="19">
        <f>IF($B5="","",IF(OR('Calc_Mix'!$T5=0,AND($J5="",$M5="")),"OK",IF(IF($J5="",0,IFERROR(SUMPRODUCT(('Calc_Mix'!$F5:$S5/'Calc_Mix'!$T5&gt;=Part_Min_Critica)*(INDEX(Matriz_Niveis,MATCH($J5,Matriz_Nome,0),0)&lt;=Nivel_Critico)),0))+IF($M5="",0,IFERROR(SUMPRODUCT(('Calc_Mix'!$F5:$S5/'Calc_Mix'!$T5&gt;=Part_Min_Critica)*(INDEX(Matriz_Niveis,MATCH($M5,Matriz_Nome,0),0)&lt;=Nivel_Critico)),0))&gt;0,"Inaptidão em habilidade relevante","OK")))</f>
        <v/>
      </c>
      <c r="W5" s="47">
        <f>IF($B5="","",IF($X5="","OK",LEFT($X5,LEN($X5)-3)))</f>
        <v/>
      </c>
      <c r="X5" s="15">
        <f>IF($B5="","",IF($Q5="DESCOBERTO",IF(N($G5)&gt;0,"POSTO DESCOBERTO — "&amp;$G5&amp;" cirurgia(s) a remanejar | ","POSTO DESCOBERTO | "),"")&amp;IF(LEFT($Q5,10)="INCOMPLETO","Equipe incompleta para o posto | ","")&amp;IF($S5&lt;&gt;"OK",$S5&amp;" | ","")&amp;IF($T5&lt;&gt;"OK",$T5&amp;" | ","")&amp;IF($U5&lt;&gt;"OK",$U5&amp;" | ","")&amp;IF($V5&lt;&gt;"OK",$V5&amp;" | ","")&amp;IF(AND($P5&lt;&gt;"",$P5&lt;Afinidade_Min),"Afinidade abaixo do mínimo | ","")&amp;IF(AND($I5&lt;&gt;"",$I5&gt;Ocupacao_Max),"Ocupação acima do limite | ","")&amp;IF(AND($D5="Sala cirúrgica",IFERROR(INDEX(Postos_Status,MATCH($B5,Postos_Cod,0)),"")&lt;&gt;"Ativo",N($G5)&gt;0),"Sala inativa com cirurgia | ",""))</f>
        <v/>
      </c>
      <c r="Y5" s="36">
        <f>IF($P5="",0,$P5)</f>
        <v/>
      </c>
      <c r="Z5" s="37">
        <f>IF($P5="",0,1)</f>
        <v/>
      </c>
    </row>
    <row r="6" ht="28" customHeight="1">
      <c r="A6" s="45">
        <f>IF($B6="","",Data_Mapa)</f>
        <v/>
      </c>
      <c r="B6" s="15">
        <f>IF('Calc_Mix'!$B6="","",'Calc_Mix'!$B6)</f>
        <v/>
      </c>
      <c r="C6" s="34">
        <f>IF($B6="","",IFERROR(INDEX(Postos_Nome,MATCH($B6,Postos_Cod,0)),""))</f>
        <v/>
      </c>
      <c r="D6" s="33">
        <f>IF($B6="","",'Calc_Mix'!$C6)</f>
        <v/>
      </c>
      <c r="E6" s="37">
        <f>IF($B6="","",IFERROR(INDEX(Postos_Prior,MATCH($B6,Postos_Cod,0)),""))</f>
        <v/>
      </c>
      <c r="F6" s="37">
        <f>IF($B6="","",IFERROR(INDEX(Postos_Nec,MATCH($B6,Postos_Cod,0)),""))</f>
        <v/>
      </c>
      <c r="G6" s="37">
        <f>IF(OR($B6="",$D6&lt;&gt;"Sala cirúrgica"),"",COUNTIFS(Mapa_Sala,$B6,Mapa_Data,Data_Mapa,Mapa_MinOcup,"&gt;0"))</f>
        <v/>
      </c>
      <c r="H6" s="37">
        <f>IF(OR($B6="",$D6&lt;&gt;"Sala cirúrgica"),"",'Calc_Mix'!$E6)</f>
        <v/>
      </c>
      <c r="I6" s="44">
        <f>IF(OR($B6="",$D6&lt;&gt;"Sala cirúrgica"),"",'Calc_Mix'!$V6)</f>
        <v/>
      </c>
      <c r="J6" s="46" t="inlineStr">
        <is>
          <t>Fernanda Klein</t>
        </is>
      </c>
      <c r="K6" s="34">
        <f>IF($J6="","",IFERROR(INDEX(Equipe_Funcao,MATCH($J6,Equipe_Nome,0))&amp;" · "&amp;INDEX(Equipe_Situacao,MATCH($J6,Equipe_Nome,0)),"NÃO CADASTRADO"))</f>
        <v/>
      </c>
      <c r="L6" s="36">
        <f>IF(OR($B6="",$J6=""),"",IFERROR(SUMPRODUCT('Calc_Mix'!$F6:$S6,INDEX(Matriz_Niveis,MATCH($J6,Matriz_Nome,0),0))/'Calc_Mix'!$T6,""))</f>
        <v/>
      </c>
      <c r="M6" s="46" t="inlineStr">
        <is>
          <t>Joana Belincanta</t>
        </is>
      </c>
      <c r="N6" s="34">
        <f>IF($M6="","",IFERROR(INDEX(Equipe_Funcao,MATCH($M6,Equipe_Nome,0))&amp;" · "&amp;INDEX(Equipe_Situacao,MATCH($M6,Equipe_Nome,0)),"NÃO CADASTRADO"))</f>
        <v/>
      </c>
      <c r="O6" s="36">
        <f>IF(OR($B6="",$M6=""),"",IFERROR(SUMPRODUCT('Calc_Mix'!$F6:$S6,INDEX(Matriz_Niveis,MATCH($M6,Matriz_Nome,0),0))/'Calc_Mix'!$T6,""))</f>
        <v/>
      </c>
      <c r="P6" s="36">
        <f>IF(OR($B6="",AND($L6="",$O6="")),"",IF($O6="",$L6,IF($L6="",$O6,IF($D6="Sala cirúrgica",Peso_Circulante*$L6+Peso_Instrumentador*$O6,($L6+$O6)/2))))</f>
        <v/>
      </c>
      <c r="Q6" s="19">
        <f>IF($B6="","",IF((--($J6&lt;&gt;"")+--($M6&lt;&gt;""))=0,"DESCOBERTO",IF((--($J6&lt;&gt;"")+--($M6&lt;&gt;""))&gt;=$F6,"COMPLETO","INCOMPLETO ("&amp;(--($J6&lt;&gt;"")+--($M6&lt;&gt;""))&amp;" de "&amp;$F6&amp;")")))</f>
        <v/>
      </c>
      <c r="R6" s="15">
        <f>IF($B6="","",IF($Q6="DESCOBERTO","SEM EQUIPE",IF($P6="","—",IF($P6&gt;=Afinidade_Meta,"ADEQUADO",IF($P6&gt;=Afinidade_Min,"ATENÇÃO","CRÍTICO")))))</f>
        <v/>
      </c>
      <c r="S6" s="19">
        <f>IF($B6="","",IF(OR(AND($J6&lt;&gt;"",COUNTIF(Esc_Tec1,$J6)+COUNTIF(Esc_Tec2,$J6)&gt;1),AND($M6&lt;&gt;"",COUNTIF(Esc_Tec1,$M6)+COUNTIF(Esc_Tec2,$M6)&gt;1)),"Técnico escalado em mais de um posto","OK"))</f>
        <v/>
      </c>
      <c r="T6" s="19">
        <f>IF($B6="","",IF(OR(AND($J6&lt;&gt;"",IFERROR(INDEX(Equipe_Situacao,MATCH($J6,Equipe_Nome,0)),"?")&lt;&gt;"Disponível"),AND($M6&lt;&gt;"",IFERROR(INDEX(Equipe_Situacao,MATCH($M6,Equipe_Nome,0)),"?")&lt;&gt;"Disponível")),"Técnico indisponível ou não cadastrado","OK"))</f>
        <v/>
      </c>
      <c r="U6" s="19">
        <f>IF($B6="","",IF($D6&lt;&gt;"Sala cirúrgica","OK",IF(OR(AND($J6&lt;&gt;"",IFERROR(INDEX(Equipe_Funcao,MATCH($J6,Equipe_Nome,0)),"")="Instrumentador"),AND($M6&lt;&gt;"",IFERROR(INDEX(Equipe_Funcao,MATCH($M6,Equipe_Nome,0)),"")="Circulante")),"Função incompatível com o posto","OK")))</f>
        <v/>
      </c>
      <c r="V6" s="19">
        <f>IF($B6="","",IF(OR('Calc_Mix'!$T6=0,AND($J6="",$M6="")),"OK",IF(IF($J6="",0,IFERROR(SUMPRODUCT(('Calc_Mix'!$F6:$S6/'Calc_Mix'!$T6&gt;=Part_Min_Critica)*(INDEX(Matriz_Niveis,MATCH($J6,Matriz_Nome,0),0)&lt;=Nivel_Critico)),0))+IF($M6="",0,IFERROR(SUMPRODUCT(('Calc_Mix'!$F6:$S6/'Calc_Mix'!$T6&gt;=Part_Min_Critica)*(INDEX(Matriz_Niveis,MATCH($M6,Matriz_Nome,0),0)&lt;=Nivel_Critico)),0))&gt;0,"Inaptidão em habilidade relevante","OK")))</f>
        <v/>
      </c>
      <c r="W6" s="47">
        <f>IF($B6="","",IF($X6="","OK",LEFT($X6,LEN($X6)-3)))</f>
        <v/>
      </c>
      <c r="X6" s="15">
        <f>IF($B6="","",IF($Q6="DESCOBERTO",IF(N($G6)&gt;0,"POSTO DESCOBERTO — "&amp;$G6&amp;" cirurgia(s) a remanejar | ","POSTO DESCOBERTO | "),"")&amp;IF(LEFT($Q6,10)="INCOMPLETO","Equipe incompleta para o posto | ","")&amp;IF($S6&lt;&gt;"OK",$S6&amp;" | ","")&amp;IF($T6&lt;&gt;"OK",$T6&amp;" | ","")&amp;IF($U6&lt;&gt;"OK",$U6&amp;" | ","")&amp;IF($V6&lt;&gt;"OK",$V6&amp;" | ","")&amp;IF(AND($P6&lt;&gt;"",$P6&lt;Afinidade_Min),"Afinidade abaixo do mínimo | ","")&amp;IF(AND($I6&lt;&gt;"",$I6&gt;Ocupacao_Max),"Ocupação acima do limite | ","")&amp;IF(AND($D6="Sala cirúrgica",IFERROR(INDEX(Postos_Status,MATCH($B6,Postos_Cod,0)),"")&lt;&gt;"Ativo",N($G6)&gt;0),"Sala inativa com cirurgia | ",""))</f>
        <v/>
      </c>
      <c r="Y6" s="36">
        <f>IF($P6="",0,$P6)</f>
        <v/>
      </c>
      <c r="Z6" s="37">
        <f>IF($P6="",0,1)</f>
        <v/>
      </c>
    </row>
    <row r="7" ht="28" customHeight="1">
      <c r="A7" s="45">
        <f>IF($B7="","",Data_Mapa)</f>
        <v/>
      </c>
      <c r="B7" s="15">
        <f>IF('Calc_Mix'!$B7="","",'Calc_Mix'!$B7)</f>
        <v/>
      </c>
      <c r="C7" s="34">
        <f>IF($B7="","",IFERROR(INDEX(Postos_Nome,MATCH($B7,Postos_Cod,0)),""))</f>
        <v/>
      </c>
      <c r="D7" s="33">
        <f>IF($B7="","",'Calc_Mix'!$C7)</f>
        <v/>
      </c>
      <c r="E7" s="37">
        <f>IF($B7="","",IFERROR(INDEX(Postos_Prior,MATCH($B7,Postos_Cod,0)),""))</f>
        <v/>
      </c>
      <c r="F7" s="37">
        <f>IF($B7="","",IFERROR(INDEX(Postos_Nec,MATCH($B7,Postos_Cod,0)),""))</f>
        <v/>
      </c>
      <c r="G7" s="37">
        <f>IF(OR($B7="",$D7&lt;&gt;"Sala cirúrgica"),"",COUNTIFS(Mapa_Sala,$B7,Mapa_Data,Data_Mapa,Mapa_MinOcup,"&gt;0"))</f>
        <v/>
      </c>
      <c r="H7" s="37">
        <f>IF(OR($B7="",$D7&lt;&gt;"Sala cirúrgica"),"",'Calc_Mix'!$E7)</f>
        <v/>
      </c>
      <c r="I7" s="44">
        <f>IF(OR($B7="",$D7&lt;&gt;"Sala cirúrgica"),"",'Calc_Mix'!$V7)</f>
        <v/>
      </c>
      <c r="J7" s="46" t="inlineStr">
        <is>
          <t>Camila Bertoldi</t>
        </is>
      </c>
      <c r="K7" s="34">
        <f>IF($J7="","",IFERROR(INDEX(Equipe_Funcao,MATCH($J7,Equipe_Nome,0))&amp;" · "&amp;INDEX(Equipe_Situacao,MATCH($J7,Equipe_Nome,0)),"NÃO CADASTRADO"))</f>
        <v/>
      </c>
      <c r="L7" s="36">
        <f>IF(OR($B7="",$J7=""),"",IFERROR(SUMPRODUCT('Calc_Mix'!$F7:$S7,INDEX(Matriz_Niveis,MATCH($J7,Matriz_Nome,0),0))/'Calc_Mix'!$T7,""))</f>
        <v/>
      </c>
      <c r="M7" s="46" t="inlineStr">
        <is>
          <t>Marcia Tonet</t>
        </is>
      </c>
      <c r="N7" s="34">
        <f>IF($M7="","",IFERROR(INDEX(Equipe_Funcao,MATCH($M7,Equipe_Nome,0))&amp;" · "&amp;INDEX(Equipe_Situacao,MATCH($M7,Equipe_Nome,0)),"NÃO CADASTRADO"))</f>
        <v/>
      </c>
      <c r="O7" s="36">
        <f>IF(OR($B7="",$M7=""),"",IFERROR(SUMPRODUCT('Calc_Mix'!$F7:$S7,INDEX(Matriz_Niveis,MATCH($M7,Matriz_Nome,0),0))/'Calc_Mix'!$T7,""))</f>
        <v/>
      </c>
      <c r="P7" s="36">
        <f>IF(OR($B7="",AND($L7="",$O7="")),"",IF($O7="",$L7,IF($L7="",$O7,IF($D7="Sala cirúrgica",Peso_Circulante*$L7+Peso_Instrumentador*$O7,($L7+$O7)/2))))</f>
        <v/>
      </c>
      <c r="Q7" s="19">
        <f>IF($B7="","",IF((--($J7&lt;&gt;"")+--($M7&lt;&gt;""))=0,"DESCOBERTO",IF((--($J7&lt;&gt;"")+--($M7&lt;&gt;""))&gt;=$F7,"COMPLETO","INCOMPLETO ("&amp;(--($J7&lt;&gt;"")+--($M7&lt;&gt;""))&amp;" de "&amp;$F7&amp;")")))</f>
        <v/>
      </c>
      <c r="R7" s="15">
        <f>IF($B7="","",IF($Q7="DESCOBERTO","SEM EQUIPE",IF($P7="","—",IF($P7&gt;=Afinidade_Meta,"ADEQUADO",IF($P7&gt;=Afinidade_Min,"ATENÇÃO","CRÍTICO")))))</f>
        <v/>
      </c>
      <c r="S7" s="19">
        <f>IF($B7="","",IF(OR(AND($J7&lt;&gt;"",COUNTIF(Esc_Tec1,$J7)+COUNTIF(Esc_Tec2,$J7)&gt;1),AND($M7&lt;&gt;"",COUNTIF(Esc_Tec1,$M7)+COUNTIF(Esc_Tec2,$M7)&gt;1)),"Técnico escalado em mais de um posto","OK"))</f>
        <v/>
      </c>
      <c r="T7" s="19">
        <f>IF($B7="","",IF(OR(AND($J7&lt;&gt;"",IFERROR(INDEX(Equipe_Situacao,MATCH($J7,Equipe_Nome,0)),"?")&lt;&gt;"Disponível"),AND($M7&lt;&gt;"",IFERROR(INDEX(Equipe_Situacao,MATCH($M7,Equipe_Nome,0)),"?")&lt;&gt;"Disponível")),"Técnico indisponível ou não cadastrado","OK"))</f>
        <v/>
      </c>
      <c r="U7" s="19">
        <f>IF($B7="","",IF($D7&lt;&gt;"Sala cirúrgica","OK",IF(OR(AND($J7&lt;&gt;"",IFERROR(INDEX(Equipe_Funcao,MATCH($J7,Equipe_Nome,0)),"")="Instrumentador"),AND($M7&lt;&gt;"",IFERROR(INDEX(Equipe_Funcao,MATCH($M7,Equipe_Nome,0)),"")="Circulante")),"Função incompatível com o posto","OK")))</f>
        <v/>
      </c>
      <c r="V7" s="19">
        <f>IF($B7="","",IF(OR('Calc_Mix'!$T7=0,AND($J7="",$M7="")),"OK",IF(IF($J7="",0,IFERROR(SUMPRODUCT(('Calc_Mix'!$F7:$S7/'Calc_Mix'!$T7&gt;=Part_Min_Critica)*(INDEX(Matriz_Niveis,MATCH($J7,Matriz_Nome,0),0)&lt;=Nivel_Critico)),0))+IF($M7="",0,IFERROR(SUMPRODUCT(('Calc_Mix'!$F7:$S7/'Calc_Mix'!$T7&gt;=Part_Min_Critica)*(INDEX(Matriz_Niveis,MATCH($M7,Matriz_Nome,0),0)&lt;=Nivel_Critico)),0))&gt;0,"Inaptidão em habilidade relevante","OK")))</f>
        <v/>
      </c>
      <c r="W7" s="47">
        <f>IF($B7="","",IF($X7="","OK",LEFT($X7,LEN($X7)-3)))</f>
        <v/>
      </c>
      <c r="X7" s="15">
        <f>IF($B7="","",IF($Q7="DESCOBERTO",IF(N($G7)&gt;0,"POSTO DESCOBERTO — "&amp;$G7&amp;" cirurgia(s) a remanejar | ","POSTO DESCOBERTO | "),"")&amp;IF(LEFT($Q7,10)="INCOMPLETO","Equipe incompleta para o posto | ","")&amp;IF($S7&lt;&gt;"OK",$S7&amp;" | ","")&amp;IF($T7&lt;&gt;"OK",$T7&amp;" | ","")&amp;IF($U7&lt;&gt;"OK",$U7&amp;" | ","")&amp;IF($V7&lt;&gt;"OK",$V7&amp;" | ","")&amp;IF(AND($P7&lt;&gt;"",$P7&lt;Afinidade_Min),"Afinidade abaixo do mínimo | ","")&amp;IF(AND($I7&lt;&gt;"",$I7&gt;Ocupacao_Max),"Ocupação acima do limite | ","")&amp;IF(AND($D7="Sala cirúrgica",IFERROR(INDEX(Postos_Status,MATCH($B7,Postos_Cod,0)),"")&lt;&gt;"Ativo",N($G7)&gt;0),"Sala inativa com cirurgia | ",""))</f>
        <v/>
      </c>
      <c r="Y7" s="36">
        <f>IF($P7="",0,$P7)</f>
        <v/>
      </c>
      <c r="Z7" s="37">
        <f>IF($P7="",0,1)</f>
        <v/>
      </c>
    </row>
    <row r="8" ht="28" customHeight="1">
      <c r="A8" s="45">
        <f>IF($B8="","",Data_Mapa)</f>
        <v/>
      </c>
      <c r="B8" s="15">
        <f>IF('Calc_Mix'!$B8="","",'Calc_Mix'!$B8)</f>
        <v/>
      </c>
      <c r="C8" s="34">
        <f>IF($B8="","",IFERROR(INDEX(Postos_Nome,MATCH($B8,Postos_Cod,0)),""))</f>
        <v/>
      </c>
      <c r="D8" s="33">
        <f>IF($B8="","",'Calc_Mix'!$C8)</f>
        <v/>
      </c>
      <c r="E8" s="37">
        <f>IF($B8="","",IFERROR(INDEX(Postos_Prior,MATCH($B8,Postos_Cod,0)),""))</f>
        <v/>
      </c>
      <c r="F8" s="37">
        <f>IF($B8="","",IFERROR(INDEX(Postos_Nec,MATCH($B8,Postos_Cod,0)),""))</f>
        <v/>
      </c>
      <c r="G8" s="37">
        <f>IF(OR($B8="",$D8&lt;&gt;"Sala cirúrgica"),"",COUNTIFS(Mapa_Sala,$B8,Mapa_Data,Data_Mapa,Mapa_MinOcup,"&gt;0"))</f>
        <v/>
      </c>
      <c r="H8" s="37">
        <f>IF(OR($B8="",$D8&lt;&gt;"Sala cirúrgica"),"",'Calc_Mix'!$E8)</f>
        <v/>
      </c>
      <c r="I8" s="44">
        <f>IF(OR($B8="",$D8&lt;&gt;"Sala cirúrgica"),"",'Calc_Mix'!$V8)</f>
        <v/>
      </c>
      <c r="J8" s="46" t="inlineStr">
        <is>
          <t>Adriana Salvi</t>
        </is>
      </c>
      <c r="K8" s="34">
        <f>IF($J8="","",IFERROR(INDEX(Equipe_Funcao,MATCH($J8,Equipe_Nome,0))&amp;" · "&amp;INDEX(Equipe_Situacao,MATCH($J8,Equipe_Nome,0)),"NÃO CADASTRADO"))</f>
        <v/>
      </c>
      <c r="L8" s="36">
        <f>IF(OR($B8="",$J8=""),"",IFERROR(SUMPRODUCT('Calc_Mix'!$F8:$S8,INDEX(Matriz_Niveis,MATCH($J8,Matriz_Nome,0),0))/'Calc_Mix'!$T8,""))</f>
        <v/>
      </c>
      <c r="M8" s="46" t="inlineStr">
        <is>
          <t>Rafaela Gubert</t>
        </is>
      </c>
      <c r="N8" s="34">
        <f>IF($M8="","",IFERROR(INDEX(Equipe_Funcao,MATCH($M8,Equipe_Nome,0))&amp;" · "&amp;INDEX(Equipe_Situacao,MATCH($M8,Equipe_Nome,0)),"NÃO CADASTRADO"))</f>
        <v/>
      </c>
      <c r="O8" s="36">
        <f>IF(OR($B8="",$M8=""),"",IFERROR(SUMPRODUCT('Calc_Mix'!$F8:$S8,INDEX(Matriz_Niveis,MATCH($M8,Matriz_Nome,0),0))/'Calc_Mix'!$T8,""))</f>
        <v/>
      </c>
      <c r="P8" s="36">
        <f>IF(OR($B8="",AND($L8="",$O8="")),"",IF($O8="",$L8,IF($L8="",$O8,IF($D8="Sala cirúrgica",Peso_Circulante*$L8+Peso_Instrumentador*$O8,($L8+$O8)/2))))</f>
        <v/>
      </c>
      <c r="Q8" s="19">
        <f>IF($B8="","",IF((--($J8&lt;&gt;"")+--($M8&lt;&gt;""))=0,"DESCOBERTO",IF((--($J8&lt;&gt;"")+--($M8&lt;&gt;""))&gt;=$F8,"COMPLETO","INCOMPLETO ("&amp;(--($J8&lt;&gt;"")+--($M8&lt;&gt;""))&amp;" de "&amp;$F8&amp;")")))</f>
        <v/>
      </c>
      <c r="R8" s="15">
        <f>IF($B8="","",IF($Q8="DESCOBERTO","SEM EQUIPE",IF($P8="","—",IF($P8&gt;=Afinidade_Meta,"ADEQUADO",IF($P8&gt;=Afinidade_Min,"ATENÇÃO","CRÍTICO")))))</f>
        <v/>
      </c>
      <c r="S8" s="19">
        <f>IF($B8="","",IF(OR(AND($J8&lt;&gt;"",COUNTIF(Esc_Tec1,$J8)+COUNTIF(Esc_Tec2,$J8)&gt;1),AND($M8&lt;&gt;"",COUNTIF(Esc_Tec1,$M8)+COUNTIF(Esc_Tec2,$M8)&gt;1)),"Técnico escalado em mais de um posto","OK"))</f>
        <v/>
      </c>
      <c r="T8" s="19">
        <f>IF($B8="","",IF(OR(AND($J8&lt;&gt;"",IFERROR(INDEX(Equipe_Situacao,MATCH($J8,Equipe_Nome,0)),"?")&lt;&gt;"Disponível"),AND($M8&lt;&gt;"",IFERROR(INDEX(Equipe_Situacao,MATCH($M8,Equipe_Nome,0)),"?")&lt;&gt;"Disponível")),"Técnico indisponível ou não cadastrado","OK"))</f>
        <v/>
      </c>
      <c r="U8" s="19">
        <f>IF($B8="","",IF($D8&lt;&gt;"Sala cirúrgica","OK",IF(OR(AND($J8&lt;&gt;"",IFERROR(INDEX(Equipe_Funcao,MATCH($J8,Equipe_Nome,0)),"")="Instrumentador"),AND($M8&lt;&gt;"",IFERROR(INDEX(Equipe_Funcao,MATCH($M8,Equipe_Nome,0)),"")="Circulante")),"Função incompatível com o posto","OK")))</f>
        <v/>
      </c>
      <c r="V8" s="19">
        <f>IF($B8="","",IF(OR('Calc_Mix'!$T8=0,AND($J8="",$M8="")),"OK",IF(IF($J8="",0,IFERROR(SUMPRODUCT(('Calc_Mix'!$F8:$S8/'Calc_Mix'!$T8&gt;=Part_Min_Critica)*(INDEX(Matriz_Niveis,MATCH($J8,Matriz_Nome,0),0)&lt;=Nivel_Critico)),0))+IF($M8="",0,IFERROR(SUMPRODUCT(('Calc_Mix'!$F8:$S8/'Calc_Mix'!$T8&gt;=Part_Min_Critica)*(INDEX(Matriz_Niveis,MATCH($M8,Matriz_Nome,0),0)&lt;=Nivel_Critico)),0))&gt;0,"Inaptidão em habilidade relevante","OK")))</f>
        <v/>
      </c>
      <c r="W8" s="47">
        <f>IF($B8="","",IF($X8="","OK",LEFT($X8,LEN($X8)-3)))</f>
        <v/>
      </c>
      <c r="X8" s="15">
        <f>IF($B8="","",IF($Q8="DESCOBERTO",IF(N($G8)&gt;0,"POSTO DESCOBERTO — "&amp;$G8&amp;" cirurgia(s) a remanejar | ","POSTO DESCOBERTO | "),"")&amp;IF(LEFT($Q8,10)="INCOMPLETO","Equipe incompleta para o posto | ","")&amp;IF($S8&lt;&gt;"OK",$S8&amp;" | ","")&amp;IF($T8&lt;&gt;"OK",$T8&amp;" | ","")&amp;IF($U8&lt;&gt;"OK",$U8&amp;" | ","")&amp;IF($V8&lt;&gt;"OK",$V8&amp;" | ","")&amp;IF(AND($P8&lt;&gt;"",$P8&lt;Afinidade_Min),"Afinidade abaixo do mínimo | ","")&amp;IF(AND($I8&lt;&gt;"",$I8&gt;Ocupacao_Max),"Ocupação acima do limite | ","")&amp;IF(AND($D8="Sala cirúrgica",IFERROR(INDEX(Postos_Status,MATCH($B8,Postos_Cod,0)),"")&lt;&gt;"Ativo",N($G8)&gt;0),"Sala inativa com cirurgia | ",""))</f>
        <v/>
      </c>
      <c r="Y8" s="36">
        <f>IF($P8="",0,$P8)</f>
        <v/>
      </c>
      <c r="Z8" s="37">
        <f>IF($P8="",0,1)</f>
        <v/>
      </c>
    </row>
    <row r="9" ht="28" customHeight="1">
      <c r="A9" s="45">
        <f>IF($B9="","",Data_Mapa)</f>
        <v/>
      </c>
      <c r="B9" s="15">
        <f>IF('Calc_Mix'!$B9="","",'Calc_Mix'!$B9)</f>
        <v/>
      </c>
      <c r="C9" s="34">
        <f>IF($B9="","",IFERROR(INDEX(Postos_Nome,MATCH($B9,Postos_Cod,0)),""))</f>
        <v/>
      </c>
      <c r="D9" s="33">
        <f>IF($B9="","",'Calc_Mix'!$C9)</f>
        <v/>
      </c>
      <c r="E9" s="37">
        <f>IF($B9="","",IFERROR(INDEX(Postos_Prior,MATCH($B9,Postos_Cod,0)),""))</f>
        <v/>
      </c>
      <c r="F9" s="37">
        <f>IF($B9="","",IFERROR(INDEX(Postos_Nec,MATCH($B9,Postos_Cod,0)),""))</f>
        <v/>
      </c>
      <c r="G9" s="37">
        <f>IF(OR($B9="",$D9&lt;&gt;"Sala cirúrgica"),"",COUNTIFS(Mapa_Sala,$B9,Mapa_Data,Data_Mapa,Mapa_MinOcup,"&gt;0"))</f>
        <v/>
      </c>
      <c r="H9" s="37">
        <f>IF(OR($B9="",$D9&lt;&gt;"Sala cirúrgica"),"",'Calc_Mix'!$E9)</f>
        <v/>
      </c>
      <c r="I9" s="44">
        <f>IF(OR($B9="",$D9&lt;&gt;"Sala cirúrgica"),"",'Calc_Mix'!$V9)</f>
        <v/>
      </c>
      <c r="J9" s="46" t="inlineStr">
        <is>
          <t>Vagner Sartori</t>
        </is>
      </c>
      <c r="K9" s="34">
        <f>IF($J9="","",IFERROR(INDEX(Equipe_Funcao,MATCH($J9,Equipe_Nome,0))&amp;" · "&amp;INDEX(Equipe_Situacao,MATCH($J9,Equipe_Nome,0)),"NÃO CADASTRADO"))</f>
        <v/>
      </c>
      <c r="L9" s="36">
        <f>IF(OR($B9="",$J9=""),"",IFERROR(SUMPRODUCT('Calc_Mix'!$F9:$S9,INDEX(Matriz_Niveis,MATCH($J9,Matriz_Nome,0),0))/'Calc_Mix'!$T9,""))</f>
        <v/>
      </c>
      <c r="M9" s="46" t="inlineStr">
        <is>
          <t>Luciano Bordin</t>
        </is>
      </c>
      <c r="N9" s="34">
        <f>IF($M9="","",IFERROR(INDEX(Equipe_Funcao,MATCH($M9,Equipe_Nome,0))&amp;" · "&amp;INDEX(Equipe_Situacao,MATCH($M9,Equipe_Nome,0)),"NÃO CADASTRADO"))</f>
        <v/>
      </c>
      <c r="O9" s="36">
        <f>IF(OR($B9="",$M9=""),"",IFERROR(SUMPRODUCT('Calc_Mix'!$F9:$S9,INDEX(Matriz_Niveis,MATCH($M9,Matriz_Nome,0),0))/'Calc_Mix'!$T9,""))</f>
        <v/>
      </c>
      <c r="P9" s="36">
        <f>IF(OR($B9="",AND($L9="",$O9="")),"",IF($O9="",$L9,IF($L9="",$O9,IF($D9="Sala cirúrgica",Peso_Circulante*$L9+Peso_Instrumentador*$O9,($L9+$O9)/2))))</f>
        <v/>
      </c>
      <c r="Q9" s="19">
        <f>IF($B9="","",IF((--($J9&lt;&gt;"")+--($M9&lt;&gt;""))=0,"DESCOBERTO",IF((--($J9&lt;&gt;"")+--($M9&lt;&gt;""))&gt;=$F9,"COMPLETO","INCOMPLETO ("&amp;(--($J9&lt;&gt;"")+--($M9&lt;&gt;""))&amp;" de "&amp;$F9&amp;")")))</f>
        <v/>
      </c>
      <c r="R9" s="15">
        <f>IF($B9="","",IF($Q9="DESCOBERTO","SEM EQUIPE",IF($P9="","—",IF($P9&gt;=Afinidade_Meta,"ADEQUADO",IF($P9&gt;=Afinidade_Min,"ATENÇÃO","CRÍTICO")))))</f>
        <v/>
      </c>
      <c r="S9" s="19">
        <f>IF($B9="","",IF(OR(AND($J9&lt;&gt;"",COUNTIF(Esc_Tec1,$J9)+COUNTIF(Esc_Tec2,$J9)&gt;1),AND($M9&lt;&gt;"",COUNTIF(Esc_Tec1,$M9)+COUNTIF(Esc_Tec2,$M9)&gt;1)),"Técnico escalado em mais de um posto","OK"))</f>
        <v/>
      </c>
      <c r="T9" s="19">
        <f>IF($B9="","",IF(OR(AND($J9&lt;&gt;"",IFERROR(INDEX(Equipe_Situacao,MATCH($J9,Equipe_Nome,0)),"?")&lt;&gt;"Disponível"),AND($M9&lt;&gt;"",IFERROR(INDEX(Equipe_Situacao,MATCH($M9,Equipe_Nome,0)),"?")&lt;&gt;"Disponível")),"Técnico indisponível ou não cadastrado","OK"))</f>
        <v/>
      </c>
      <c r="U9" s="19">
        <f>IF($B9="","",IF($D9&lt;&gt;"Sala cirúrgica","OK",IF(OR(AND($J9&lt;&gt;"",IFERROR(INDEX(Equipe_Funcao,MATCH($J9,Equipe_Nome,0)),"")="Instrumentador"),AND($M9&lt;&gt;"",IFERROR(INDEX(Equipe_Funcao,MATCH($M9,Equipe_Nome,0)),"")="Circulante")),"Função incompatível com o posto","OK")))</f>
        <v/>
      </c>
      <c r="V9" s="19">
        <f>IF($B9="","",IF(OR('Calc_Mix'!$T9=0,AND($J9="",$M9="")),"OK",IF(IF($J9="",0,IFERROR(SUMPRODUCT(('Calc_Mix'!$F9:$S9/'Calc_Mix'!$T9&gt;=Part_Min_Critica)*(INDEX(Matriz_Niveis,MATCH($J9,Matriz_Nome,0),0)&lt;=Nivel_Critico)),0))+IF($M9="",0,IFERROR(SUMPRODUCT(('Calc_Mix'!$F9:$S9/'Calc_Mix'!$T9&gt;=Part_Min_Critica)*(INDEX(Matriz_Niveis,MATCH($M9,Matriz_Nome,0),0)&lt;=Nivel_Critico)),0))&gt;0,"Inaptidão em habilidade relevante","OK")))</f>
        <v/>
      </c>
      <c r="W9" s="47">
        <f>IF($B9="","",IF($X9="","OK",LEFT($X9,LEN($X9)-3)))</f>
        <v/>
      </c>
      <c r="X9" s="15">
        <f>IF($B9="","",IF($Q9="DESCOBERTO",IF(N($G9)&gt;0,"POSTO DESCOBERTO — "&amp;$G9&amp;" cirurgia(s) a remanejar | ","POSTO DESCOBERTO | "),"")&amp;IF(LEFT($Q9,10)="INCOMPLETO","Equipe incompleta para o posto | ","")&amp;IF($S9&lt;&gt;"OK",$S9&amp;" | ","")&amp;IF($T9&lt;&gt;"OK",$T9&amp;" | ","")&amp;IF($U9&lt;&gt;"OK",$U9&amp;" | ","")&amp;IF($V9&lt;&gt;"OK",$V9&amp;" | ","")&amp;IF(AND($P9&lt;&gt;"",$P9&lt;Afinidade_Min),"Afinidade abaixo do mínimo | ","")&amp;IF(AND($I9&lt;&gt;"",$I9&gt;Ocupacao_Max),"Ocupação acima do limite | ","")&amp;IF(AND($D9="Sala cirúrgica",IFERROR(INDEX(Postos_Status,MATCH($B9,Postos_Cod,0)),"")&lt;&gt;"Ativo",N($G9)&gt;0),"Sala inativa com cirurgia | ",""))</f>
        <v/>
      </c>
      <c r="Y9" s="36">
        <f>IF($P9="",0,$P9)</f>
        <v/>
      </c>
      <c r="Z9" s="37">
        <f>IF($P9="",0,1)</f>
        <v/>
      </c>
    </row>
    <row r="10" ht="28" customHeight="1">
      <c r="A10" s="45">
        <f>IF($B10="","",Data_Mapa)</f>
        <v/>
      </c>
      <c r="B10" s="15">
        <f>IF('Calc_Mix'!$B10="","",'Calc_Mix'!$B10)</f>
        <v/>
      </c>
      <c r="C10" s="34">
        <f>IF($B10="","",IFERROR(INDEX(Postos_Nome,MATCH($B10,Postos_Cod,0)),""))</f>
        <v/>
      </c>
      <c r="D10" s="33">
        <f>IF($B10="","",'Calc_Mix'!$C10)</f>
        <v/>
      </c>
      <c r="E10" s="37">
        <f>IF($B10="","",IFERROR(INDEX(Postos_Prior,MATCH($B10,Postos_Cod,0)),""))</f>
        <v/>
      </c>
      <c r="F10" s="37">
        <f>IF($B10="","",IFERROR(INDEX(Postos_Nec,MATCH($B10,Postos_Cod,0)),""))</f>
        <v/>
      </c>
      <c r="G10" s="37">
        <f>IF(OR($B10="",$D10&lt;&gt;"Sala cirúrgica"),"",COUNTIFS(Mapa_Sala,$B10,Mapa_Data,Data_Mapa,Mapa_MinOcup,"&gt;0"))</f>
        <v/>
      </c>
      <c r="H10" s="37">
        <f>IF(OR($B10="",$D10&lt;&gt;"Sala cirúrgica"),"",'Calc_Mix'!$E10)</f>
        <v/>
      </c>
      <c r="I10" s="44">
        <f>IF(OR($B10="",$D10&lt;&gt;"Sala cirúrgica"),"",'Calc_Mix'!$V10)</f>
        <v/>
      </c>
      <c r="J10" s="46" t="inlineStr">
        <is>
          <t>Odair Bianchi</t>
        </is>
      </c>
      <c r="K10" s="34">
        <f>IF($J10="","",IFERROR(INDEX(Equipe_Funcao,MATCH($J10,Equipe_Nome,0))&amp;" · "&amp;INDEX(Equipe_Situacao,MATCH($J10,Equipe_Nome,0)),"NÃO CADASTRADO"))</f>
        <v/>
      </c>
      <c r="L10" s="36">
        <f>IF(OR($B10="",$J10=""),"",IFERROR(SUMPRODUCT('Calc_Mix'!$F10:$S10,INDEX(Matriz_Niveis,MATCH($J10,Matriz_Nome,0),0))/'Calc_Mix'!$T10,""))</f>
        <v/>
      </c>
      <c r="M10" s="46" t="inlineStr">
        <is>
          <t>Patrícia Zortéa</t>
        </is>
      </c>
      <c r="N10" s="34">
        <f>IF($M10="","",IFERROR(INDEX(Equipe_Funcao,MATCH($M10,Equipe_Nome,0))&amp;" · "&amp;INDEX(Equipe_Situacao,MATCH($M10,Equipe_Nome,0)),"NÃO CADASTRADO"))</f>
        <v/>
      </c>
      <c r="O10" s="36">
        <f>IF(OR($B10="",$M10=""),"",IFERROR(SUMPRODUCT('Calc_Mix'!$F10:$S10,INDEX(Matriz_Niveis,MATCH($M10,Matriz_Nome,0),0))/'Calc_Mix'!$T10,""))</f>
        <v/>
      </c>
      <c r="P10" s="36">
        <f>IF(OR($B10="",AND($L10="",$O10="")),"",IF($O10="",$L10,IF($L10="",$O10,IF($D10="Sala cirúrgica",Peso_Circulante*$L10+Peso_Instrumentador*$O10,($L10+$O10)/2))))</f>
        <v/>
      </c>
      <c r="Q10" s="19">
        <f>IF($B10="","",IF((--($J10&lt;&gt;"")+--($M10&lt;&gt;""))=0,"DESCOBERTO",IF((--($J10&lt;&gt;"")+--($M10&lt;&gt;""))&gt;=$F10,"COMPLETO","INCOMPLETO ("&amp;(--($J10&lt;&gt;"")+--($M10&lt;&gt;""))&amp;" de "&amp;$F10&amp;")")))</f>
        <v/>
      </c>
      <c r="R10" s="15">
        <f>IF($B10="","",IF($Q10="DESCOBERTO","SEM EQUIPE",IF($P10="","—",IF($P10&gt;=Afinidade_Meta,"ADEQUADO",IF($P10&gt;=Afinidade_Min,"ATENÇÃO","CRÍTICO")))))</f>
        <v/>
      </c>
      <c r="S10" s="19">
        <f>IF($B10="","",IF(OR(AND($J10&lt;&gt;"",COUNTIF(Esc_Tec1,$J10)+COUNTIF(Esc_Tec2,$J10)&gt;1),AND($M10&lt;&gt;"",COUNTIF(Esc_Tec1,$M10)+COUNTIF(Esc_Tec2,$M10)&gt;1)),"Técnico escalado em mais de um posto","OK"))</f>
        <v/>
      </c>
      <c r="T10" s="19">
        <f>IF($B10="","",IF(OR(AND($J10&lt;&gt;"",IFERROR(INDEX(Equipe_Situacao,MATCH($J10,Equipe_Nome,0)),"?")&lt;&gt;"Disponível"),AND($M10&lt;&gt;"",IFERROR(INDEX(Equipe_Situacao,MATCH($M10,Equipe_Nome,0)),"?")&lt;&gt;"Disponível")),"Técnico indisponível ou não cadastrado","OK"))</f>
        <v/>
      </c>
      <c r="U10" s="19">
        <f>IF($B10="","",IF($D10&lt;&gt;"Sala cirúrgica","OK",IF(OR(AND($J10&lt;&gt;"",IFERROR(INDEX(Equipe_Funcao,MATCH($J10,Equipe_Nome,0)),"")="Instrumentador"),AND($M10&lt;&gt;"",IFERROR(INDEX(Equipe_Funcao,MATCH($M10,Equipe_Nome,0)),"")="Circulante")),"Função incompatível com o posto","OK")))</f>
        <v/>
      </c>
      <c r="V10" s="19">
        <f>IF($B10="","",IF(OR('Calc_Mix'!$T10=0,AND($J10="",$M10="")),"OK",IF(IF($J10="",0,IFERROR(SUMPRODUCT(('Calc_Mix'!$F10:$S10/'Calc_Mix'!$T10&gt;=Part_Min_Critica)*(INDEX(Matriz_Niveis,MATCH($J10,Matriz_Nome,0),0)&lt;=Nivel_Critico)),0))+IF($M10="",0,IFERROR(SUMPRODUCT(('Calc_Mix'!$F10:$S10/'Calc_Mix'!$T10&gt;=Part_Min_Critica)*(INDEX(Matriz_Niveis,MATCH($M10,Matriz_Nome,0),0)&lt;=Nivel_Critico)),0))&gt;0,"Inaptidão em habilidade relevante","OK")))</f>
        <v/>
      </c>
      <c r="W10" s="47">
        <f>IF($B10="","",IF($X10="","OK",LEFT($X10,LEN($X10)-3)))</f>
        <v/>
      </c>
      <c r="X10" s="15">
        <f>IF($B10="","",IF($Q10="DESCOBERTO",IF(N($G10)&gt;0,"POSTO DESCOBERTO — "&amp;$G10&amp;" cirurgia(s) a remanejar | ","POSTO DESCOBERTO | "),"")&amp;IF(LEFT($Q10,10)="INCOMPLETO","Equipe incompleta para o posto | ","")&amp;IF($S10&lt;&gt;"OK",$S10&amp;" | ","")&amp;IF($T10&lt;&gt;"OK",$T10&amp;" | ","")&amp;IF($U10&lt;&gt;"OK",$U10&amp;" | ","")&amp;IF($V10&lt;&gt;"OK",$V10&amp;" | ","")&amp;IF(AND($P10&lt;&gt;"",$P10&lt;Afinidade_Min),"Afinidade abaixo do mínimo | ","")&amp;IF(AND($I10&lt;&gt;"",$I10&gt;Ocupacao_Max),"Ocupação acima do limite | ","")&amp;IF(AND($D10="Sala cirúrgica",IFERROR(INDEX(Postos_Status,MATCH($B10,Postos_Cod,0)),"")&lt;&gt;"Ativo",N($G10)&gt;0),"Sala inativa com cirurgia | ",""))</f>
        <v/>
      </c>
      <c r="Y10" s="36">
        <f>IF($P10="",0,$P10)</f>
        <v/>
      </c>
      <c r="Z10" s="37">
        <f>IF($P10="",0,1)</f>
        <v/>
      </c>
    </row>
    <row r="11" ht="28" customHeight="1">
      <c r="A11" s="45">
        <f>IF($B11="","",Data_Mapa)</f>
        <v/>
      </c>
      <c r="B11" s="15">
        <f>IF('Calc_Mix'!$B11="","",'Calc_Mix'!$B11)</f>
        <v/>
      </c>
      <c r="C11" s="34">
        <f>IF($B11="","",IFERROR(INDEX(Postos_Nome,MATCH($B11,Postos_Cod,0)),""))</f>
        <v/>
      </c>
      <c r="D11" s="33">
        <f>IF($B11="","",'Calc_Mix'!$C11)</f>
        <v/>
      </c>
      <c r="E11" s="37">
        <f>IF($B11="","",IFERROR(INDEX(Postos_Prior,MATCH($B11,Postos_Cod,0)),""))</f>
        <v/>
      </c>
      <c r="F11" s="37">
        <f>IF($B11="","",IFERROR(INDEX(Postos_Nec,MATCH($B11,Postos_Cod,0)),""))</f>
        <v/>
      </c>
      <c r="G11" s="37">
        <f>IF(OR($B11="",$D11&lt;&gt;"Sala cirúrgica"),"",COUNTIFS(Mapa_Sala,$B11,Mapa_Data,Data_Mapa,Mapa_MinOcup,"&gt;0"))</f>
        <v/>
      </c>
      <c r="H11" s="37">
        <f>IF(OR($B11="",$D11&lt;&gt;"Sala cirúrgica"),"",'Calc_Mix'!$E11)</f>
        <v/>
      </c>
      <c r="I11" s="44">
        <f>IF(OR($B11="",$D11&lt;&gt;"Sala cirúrgica"),"",'Calc_Mix'!$V11)</f>
        <v/>
      </c>
      <c r="J11" s="46" t="inlineStr">
        <is>
          <t>Kelly Marchi</t>
        </is>
      </c>
      <c r="K11" s="34">
        <f>IF($J11="","",IFERROR(INDEX(Equipe_Funcao,MATCH($J11,Equipe_Nome,0))&amp;" · "&amp;INDEX(Equipe_Situacao,MATCH($J11,Equipe_Nome,0)),"NÃO CADASTRADO"))</f>
        <v/>
      </c>
      <c r="L11" s="36">
        <f>IF(OR($B11="",$J11=""),"",IFERROR(SUMPRODUCT('Calc_Mix'!$F11:$S11,INDEX(Matriz_Niveis,MATCH($J11,Matriz_Nome,0),0))/'Calc_Mix'!$T11,""))</f>
        <v/>
      </c>
      <c r="M11" s="46" t="n"/>
      <c r="N11" s="34">
        <f>IF($M11="","",IFERROR(INDEX(Equipe_Funcao,MATCH($M11,Equipe_Nome,0))&amp;" · "&amp;INDEX(Equipe_Situacao,MATCH($M11,Equipe_Nome,0)),"NÃO CADASTRADO"))</f>
        <v/>
      </c>
      <c r="O11" s="36">
        <f>IF(OR($B11="",$M11=""),"",IFERROR(SUMPRODUCT('Calc_Mix'!$F11:$S11,INDEX(Matriz_Niveis,MATCH($M11,Matriz_Nome,0),0))/'Calc_Mix'!$T11,""))</f>
        <v/>
      </c>
      <c r="P11" s="36">
        <f>IF(OR($B11="",AND($L11="",$O11="")),"",IF($O11="",$L11,IF($L11="",$O11,IF($D11="Sala cirúrgica",Peso_Circulante*$L11+Peso_Instrumentador*$O11,($L11+$O11)/2))))</f>
        <v/>
      </c>
      <c r="Q11" s="19">
        <f>IF($B11="","",IF((--($J11&lt;&gt;"")+--($M11&lt;&gt;""))=0,"DESCOBERTO",IF((--($J11&lt;&gt;"")+--($M11&lt;&gt;""))&gt;=$F11,"COMPLETO","INCOMPLETO ("&amp;(--($J11&lt;&gt;"")+--($M11&lt;&gt;""))&amp;" de "&amp;$F11&amp;")")))</f>
        <v/>
      </c>
      <c r="R11" s="15">
        <f>IF($B11="","",IF($Q11="DESCOBERTO","SEM EQUIPE",IF($P11="","—",IF($P11&gt;=Afinidade_Meta,"ADEQUADO",IF($P11&gt;=Afinidade_Min,"ATENÇÃO","CRÍTICO")))))</f>
        <v/>
      </c>
      <c r="S11" s="19">
        <f>IF($B11="","",IF(OR(AND($J11&lt;&gt;"",COUNTIF(Esc_Tec1,$J11)+COUNTIF(Esc_Tec2,$J11)&gt;1),AND($M11&lt;&gt;"",COUNTIF(Esc_Tec1,$M11)+COUNTIF(Esc_Tec2,$M11)&gt;1)),"Técnico escalado em mais de um posto","OK"))</f>
        <v/>
      </c>
      <c r="T11" s="19">
        <f>IF($B11="","",IF(OR(AND($J11&lt;&gt;"",IFERROR(INDEX(Equipe_Situacao,MATCH($J11,Equipe_Nome,0)),"?")&lt;&gt;"Disponível"),AND($M11&lt;&gt;"",IFERROR(INDEX(Equipe_Situacao,MATCH($M11,Equipe_Nome,0)),"?")&lt;&gt;"Disponível")),"Técnico indisponível ou não cadastrado","OK"))</f>
        <v/>
      </c>
      <c r="U11" s="19">
        <f>IF($B11="","",IF($D11&lt;&gt;"Sala cirúrgica","OK",IF(OR(AND($J11&lt;&gt;"",IFERROR(INDEX(Equipe_Funcao,MATCH($J11,Equipe_Nome,0)),"")="Instrumentador"),AND($M11&lt;&gt;"",IFERROR(INDEX(Equipe_Funcao,MATCH($M11,Equipe_Nome,0)),"")="Circulante")),"Função incompatível com o posto","OK")))</f>
        <v/>
      </c>
      <c r="V11" s="19">
        <f>IF($B11="","",IF(OR('Calc_Mix'!$T11=0,AND($J11="",$M11="")),"OK",IF(IF($J11="",0,IFERROR(SUMPRODUCT(('Calc_Mix'!$F11:$S11/'Calc_Mix'!$T11&gt;=Part_Min_Critica)*(INDEX(Matriz_Niveis,MATCH($J11,Matriz_Nome,0),0)&lt;=Nivel_Critico)),0))+IF($M11="",0,IFERROR(SUMPRODUCT(('Calc_Mix'!$F11:$S11/'Calc_Mix'!$T11&gt;=Part_Min_Critica)*(INDEX(Matriz_Niveis,MATCH($M11,Matriz_Nome,0),0)&lt;=Nivel_Critico)),0))&gt;0,"Inaptidão em habilidade relevante","OK")))</f>
        <v/>
      </c>
      <c r="W11" s="47">
        <f>IF($B11="","",IF($X11="","OK",LEFT($X11,LEN($X11)-3)))</f>
        <v/>
      </c>
      <c r="X11" s="15">
        <f>IF($B11="","",IF($Q11="DESCOBERTO",IF(N($G11)&gt;0,"POSTO DESCOBERTO — "&amp;$G11&amp;" cirurgia(s) a remanejar | ","POSTO DESCOBERTO | "),"")&amp;IF(LEFT($Q11,10)="INCOMPLETO","Equipe incompleta para o posto | ","")&amp;IF($S11&lt;&gt;"OK",$S11&amp;" | ","")&amp;IF($T11&lt;&gt;"OK",$T11&amp;" | ","")&amp;IF($U11&lt;&gt;"OK",$U11&amp;" | ","")&amp;IF($V11&lt;&gt;"OK",$V11&amp;" | ","")&amp;IF(AND($P11&lt;&gt;"",$P11&lt;Afinidade_Min),"Afinidade abaixo do mínimo | ","")&amp;IF(AND($I11&lt;&gt;"",$I11&gt;Ocupacao_Max),"Ocupação acima do limite | ","")&amp;IF(AND($D11="Sala cirúrgica",IFERROR(INDEX(Postos_Status,MATCH($B11,Postos_Cod,0)),"")&lt;&gt;"Ativo",N($G11)&gt;0),"Sala inativa com cirurgia | ",""))</f>
        <v/>
      </c>
      <c r="Y11" s="36">
        <f>IF($P11="",0,$P11)</f>
        <v/>
      </c>
      <c r="Z11" s="37">
        <f>IF($P11="",0,1)</f>
        <v/>
      </c>
    </row>
    <row r="12" ht="28" customHeight="1">
      <c r="A12" s="45">
        <f>IF($B12="","",Data_Mapa)</f>
        <v/>
      </c>
      <c r="B12" s="15">
        <f>IF('Calc_Mix'!$B12="","",'Calc_Mix'!$B12)</f>
        <v/>
      </c>
      <c r="C12" s="34">
        <f>IF($B12="","",IFERROR(INDEX(Postos_Nome,MATCH($B12,Postos_Cod,0)),""))</f>
        <v/>
      </c>
      <c r="D12" s="33">
        <f>IF($B12="","",'Calc_Mix'!$C12)</f>
        <v/>
      </c>
      <c r="E12" s="37">
        <f>IF($B12="","",IFERROR(INDEX(Postos_Prior,MATCH($B12,Postos_Cod,0)),""))</f>
        <v/>
      </c>
      <c r="F12" s="37">
        <f>IF($B12="","",IFERROR(INDEX(Postos_Nec,MATCH($B12,Postos_Cod,0)),""))</f>
        <v/>
      </c>
      <c r="G12" s="37">
        <f>IF(OR($B12="",$D12&lt;&gt;"Sala cirúrgica"),"",COUNTIFS(Mapa_Sala,$B12,Mapa_Data,Data_Mapa,Mapa_MinOcup,"&gt;0"))</f>
        <v/>
      </c>
      <c r="H12" s="37">
        <f>IF(OR($B12="",$D12&lt;&gt;"Sala cirúrgica"),"",'Calc_Mix'!$E12)</f>
        <v/>
      </c>
      <c r="I12" s="44">
        <f>IF(OR($B12="",$D12&lt;&gt;"Sala cirúrgica"),"",'Calc_Mix'!$V12)</f>
        <v/>
      </c>
      <c r="J12" s="46" t="inlineStr">
        <is>
          <t>Gisele Antunes</t>
        </is>
      </c>
      <c r="K12" s="34">
        <f>IF($J12="","",IFERROR(INDEX(Equipe_Funcao,MATCH($J12,Equipe_Nome,0))&amp;" · "&amp;INDEX(Equipe_Situacao,MATCH($J12,Equipe_Nome,0)),"NÃO CADASTRADO"))</f>
        <v/>
      </c>
      <c r="L12" s="36">
        <f>IF(OR($B12="",$J12=""),"",IFERROR(SUMPRODUCT('Calc_Mix'!$F12:$S12,INDEX(Matriz_Niveis,MATCH($J12,Matriz_Nome,0),0))/'Calc_Mix'!$T12,""))</f>
        <v/>
      </c>
      <c r="M12" s="46" t="n"/>
      <c r="N12" s="34">
        <f>IF($M12="","",IFERROR(INDEX(Equipe_Funcao,MATCH($M12,Equipe_Nome,0))&amp;" · "&amp;INDEX(Equipe_Situacao,MATCH($M12,Equipe_Nome,0)),"NÃO CADASTRADO"))</f>
        <v/>
      </c>
      <c r="O12" s="36">
        <f>IF(OR($B12="",$M12=""),"",IFERROR(SUMPRODUCT('Calc_Mix'!$F12:$S12,INDEX(Matriz_Niveis,MATCH($M12,Matriz_Nome,0),0))/'Calc_Mix'!$T12,""))</f>
        <v/>
      </c>
      <c r="P12" s="36">
        <f>IF(OR($B12="",AND($L12="",$O12="")),"",IF($O12="",$L12,IF($L12="",$O12,IF($D12="Sala cirúrgica",Peso_Circulante*$L12+Peso_Instrumentador*$O12,($L12+$O12)/2))))</f>
        <v/>
      </c>
      <c r="Q12" s="19">
        <f>IF($B12="","",IF((--($J12&lt;&gt;"")+--($M12&lt;&gt;""))=0,"DESCOBERTO",IF((--($J12&lt;&gt;"")+--($M12&lt;&gt;""))&gt;=$F12,"COMPLETO","INCOMPLETO ("&amp;(--($J12&lt;&gt;"")+--($M12&lt;&gt;""))&amp;" de "&amp;$F12&amp;")")))</f>
        <v/>
      </c>
      <c r="R12" s="15">
        <f>IF($B12="","",IF($Q12="DESCOBERTO","SEM EQUIPE",IF($P12="","—",IF($P12&gt;=Afinidade_Meta,"ADEQUADO",IF($P12&gt;=Afinidade_Min,"ATENÇÃO","CRÍTICO")))))</f>
        <v/>
      </c>
      <c r="S12" s="19">
        <f>IF($B12="","",IF(OR(AND($J12&lt;&gt;"",COUNTIF(Esc_Tec1,$J12)+COUNTIF(Esc_Tec2,$J12)&gt;1),AND($M12&lt;&gt;"",COUNTIF(Esc_Tec1,$M12)+COUNTIF(Esc_Tec2,$M12)&gt;1)),"Técnico escalado em mais de um posto","OK"))</f>
        <v/>
      </c>
      <c r="T12" s="19">
        <f>IF($B12="","",IF(OR(AND($J12&lt;&gt;"",IFERROR(INDEX(Equipe_Situacao,MATCH($J12,Equipe_Nome,0)),"?")&lt;&gt;"Disponível"),AND($M12&lt;&gt;"",IFERROR(INDEX(Equipe_Situacao,MATCH($M12,Equipe_Nome,0)),"?")&lt;&gt;"Disponível")),"Técnico indisponível ou não cadastrado","OK"))</f>
        <v/>
      </c>
      <c r="U12" s="19">
        <f>IF($B12="","",IF($D12&lt;&gt;"Sala cirúrgica","OK",IF(OR(AND($J12&lt;&gt;"",IFERROR(INDEX(Equipe_Funcao,MATCH($J12,Equipe_Nome,0)),"")="Instrumentador"),AND($M12&lt;&gt;"",IFERROR(INDEX(Equipe_Funcao,MATCH($M12,Equipe_Nome,0)),"")="Circulante")),"Função incompatível com o posto","OK")))</f>
        <v/>
      </c>
      <c r="V12" s="19">
        <f>IF($B12="","",IF(OR('Calc_Mix'!$T12=0,AND($J12="",$M12="")),"OK",IF(IF($J12="",0,IFERROR(SUMPRODUCT(('Calc_Mix'!$F12:$S12/'Calc_Mix'!$T12&gt;=Part_Min_Critica)*(INDEX(Matriz_Niveis,MATCH($J12,Matriz_Nome,0),0)&lt;=Nivel_Critico)),0))+IF($M12="",0,IFERROR(SUMPRODUCT(('Calc_Mix'!$F12:$S12/'Calc_Mix'!$T12&gt;=Part_Min_Critica)*(INDEX(Matriz_Niveis,MATCH($M12,Matriz_Nome,0),0)&lt;=Nivel_Critico)),0))&gt;0,"Inaptidão em habilidade relevante","OK")))</f>
        <v/>
      </c>
      <c r="W12" s="47">
        <f>IF($B12="","",IF($X12="","OK",LEFT($X12,LEN($X12)-3)))</f>
        <v/>
      </c>
      <c r="X12" s="15">
        <f>IF($B12="","",IF($Q12="DESCOBERTO",IF(N($G12)&gt;0,"POSTO DESCOBERTO — "&amp;$G12&amp;" cirurgia(s) a remanejar | ","POSTO DESCOBERTO | "),"")&amp;IF(LEFT($Q12,10)="INCOMPLETO","Equipe incompleta para o posto | ","")&amp;IF($S12&lt;&gt;"OK",$S12&amp;" | ","")&amp;IF($T12&lt;&gt;"OK",$T12&amp;" | ","")&amp;IF($U12&lt;&gt;"OK",$U12&amp;" | ","")&amp;IF($V12&lt;&gt;"OK",$V12&amp;" | ","")&amp;IF(AND($P12&lt;&gt;"",$P12&lt;Afinidade_Min),"Afinidade abaixo do mínimo | ","")&amp;IF(AND($I12&lt;&gt;"",$I12&gt;Ocupacao_Max),"Ocupação acima do limite | ","")&amp;IF(AND($D12="Sala cirúrgica",IFERROR(INDEX(Postos_Status,MATCH($B12,Postos_Cod,0)),"")&lt;&gt;"Ativo",N($G12)&gt;0),"Sala inativa com cirurgia | ",""))</f>
        <v/>
      </c>
      <c r="Y12" s="36">
        <f>IF($P12="",0,$P12)</f>
        <v/>
      </c>
      <c r="Z12" s="37">
        <f>IF($P12="",0,1)</f>
        <v/>
      </c>
    </row>
    <row r="13" ht="28" customHeight="1">
      <c r="A13" s="45">
        <f>IF($B13="","",Data_Mapa)</f>
        <v/>
      </c>
      <c r="B13" s="15">
        <f>IF('Calc_Mix'!$B13="","",'Calc_Mix'!$B13)</f>
        <v/>
      </c>
      <c r="C13" s="34">
        <f>IF($B13="","",IFERROR(INDEX(Postos_Nome,MATCH($B13,Postos_Cod,0)),""))</f>
        <v/>
      </c>
      <c r="D13" s="33">
        <f>IF($B13="","",'Calc_Mix'!$C13)</f>
        <v/>
      </c>
      <c r="E13" s="37">
        <f>IF($B13="","",IFERROR(INDEX(Postos_Prior,MATCH($B13,Postos_Cod,0)),""))</f>
        <v/>
      </c>
      <c r="F13" s="37">
        <f>IF($B13="","",IFERROR(INDEX(Postos_Nec,MATCH($B13,Postos_Cod,0)),""))</f>
        <v/>
      </c>
      <c r="G13" s="37">
        <f>IF(OR($B13="",$D13&lt;&gt;"Sala cirúrgica"),"",COUNTIFS(Mapa_Sala,$B13,Mapa_Data,Data_Mapa,Mapa_MinOcup,"&gt;0"))</f>
        <v/>
      </c>
      <c r="H13" s="37">
        <f>IF(OR($B13="",$D13&lt;&gt;"Sala cirúrgica"),"",'Calc_Mix'!$E13)</f>
        <v/>
      </c>
      <c r="I13" s="44">
        <f>IF(OR($B13="",$D13&lt;&gt;"Sala cirúrgica"),"",'Calc_Mix'!$V13)</f>
        <v/>
      </c>
      <c r="J13" s="46" t="n"/>
      <c r="K13" s="34">
        <f>IF($J13="","",IFERROR(INDEX(Equipe_Funcao,MATCH($J13,Equipe_Nome,0))&amp;" · "&amp;INDEX(Equipe_Situacao,MATCH($J13,Equipe_Nome,0)),"NÃO CADASTRADO"))</f>
        <v/>
      </c>
      <c r="L13" s="36">
        <f>IF(OR($B13="",$J13=""),"",IFERROR(SUMPRODUCT('Calc_Mix'!$F13:$S13,INDEX(Matriz_Niveis,MATCH($J13,Matriz_Nome,0),0))/'Calc_Mix'!$T13,""))</f>
        <v/>
      </c>
      <c r="M13" s="46" t="n"/>
      <c r="N13" s="34">
        <f>IF($M13="","",IFERROR(INDEX(Equipe_Funcao,MATCH($M13,Equipe_Nome,0))&amp;" · "&amp;INDEX(Equipe_Situacao,MATCH($M13,Equipe_Nome,0)),"NÃO CADASTRADO"))</f>
        <v/>
      </c>
      <c r="O13" s="36">
        <f>IF(OR($B13="",$M13=""),"",IFERROR(SUMPRODUCT('Calc_Mix'!$F13:$S13,INDEX(Matriz_Niveis,MATCH($M13,Matriz_Nome,0),0))/'Calc_Mix'!$T13,""))</f>
        <v/>
      </c>
      <c r="P13" s="36">
        <f>IF(OR($B13="",AND($L13="",$O13="")),"",IF($O13="",$L13,IF($L13="",$O13,IF($D13="Sala cirúrgica",Peso_Circulante*$L13+Peso_Instrumentador*$O13,($L13+$O13)/2))))</f>
        <v/>
      </c>
      <c r="Q13" s="19">
        <f>IF($B13="","",IF((--($J13&lt;&gt;"")+--($M13&lt;&gt;""))=0,"DESCOBERTO",IF((--($J13&lt;&gt;"")+--($M13&lt;&gt;""))&gt;=$F13,"COMPLETO","INCOMPLETO ("&amp;(--($J13&lt;&gt;"")+--($M13&lt;&gt;""))&amp;" de "&amp;$F13&amp;")")))</f>
        <v/>
      </c>
      <c r="R13" s="15">
        <f>IF($B13="","",IF($Q13="DESCOBERTO","SEM EQUIPE",IF($P13="","—",IF($P13&gt;=Afinidade_Meta,"ADEQUADO",IF($P13&gt;=Afinidade_Min,"ATENÇÃO","CRÍTICO")))))</f>
        <v/>
      </c>
      <c r="S13" s="19">
        <f>IF($B13="","",IF(OR(AND($J13&lt;&gt;"",COUNTIF(Esc_Tec1,$J13)+COUNTIF(Esc_Tec2,$J13)&gt;1),AND($M13&lt;&gt;"",COUNTIF(Esc_Tec1,$M13)+COUNTIF(Esc_Tec2,$M13)&gt;1)),"Técnico escalado em mais de um posto","OK"))</f>
        <v/>
      </c>
      <c r="T13" s="19">
        <f>IF($B13="","",IF(OR(AND($J13&lt;&gt;"",IFERROR(INDEX(Equipe_Situacao,MATCH($J13,Equipe_Nome,0)),"?")&lt;&gt;"Disponível"),AND($M13&lt;&gt;"",IFERROR(INDEX(Equipe_Situacao,MATCH($M13,Equipe_Nome,0)),"?")&lt;&gt;"Disponível")),"Técnico indisponível ou não cadastrado","OK"))</f>
        <v/>
      </c>
      <c r="U13" s="19">
        <f>IF($B13="","",IF($D13&lt;&gt;"Sala cirúrgica","OK",IF(OR(AND($J13&lt;&gt;"",IFERROR(INDEX(Equipe_Funcao,MATCH($J13,Equipe_Nome,0)),"")="Instrumentador"),AND($M13&lt;&gt;"",IFERROR(INDEX(Equipe_Funcao,MATCH($M13,Equipe_Nome,0)),"")="Circulante")),"Função incompatível com o posto","OK")))</f>
        <v/>
      </c>
      <c r="V13" s="19">
        <f>IF($B13="","",IF(OR('Calc_Mix'!$T13=0,AND($J13="",$M13="")),"OK",IF(IF($J13="",0,IFERROR(SUMPRODUCT(('Calc_Mix'!$F13:$S13/'Calc_Mix'!$T13&gt;=Part_Min_Critica)*(INDEX(Matriz_Niveis,MATCH($J13,Matriz_Nome,0),0)&lt;=Nivel_Critico)),0))+IF($M13="",0,IFERROR(SUMPRODUCT(('Calc_Mix'!$F13:$S13/'Calc_Mix'!$T13&gt;=Part_Min_Critica)*(INDEX(Matriz_Niveis,MATCH($M13,Matriz_Nome,0),0)&lt;=Nivel_Critico)),0))&gt;0,"Inaptidão em habilidade relevante","OK")))</f>
        <v/>
      </c>
      <c r="W13" s="47">
        <f>IF($B13="","",IF($X13="","OK",LEFT($X13,LEN($X13)-3)))</f>
        <v/>
      </c>
      <c r="X13" s="15">
        <f>IF($B13="","",IF($Q13="DESCOBERTO",IF(N($G13)&gt;0,"POSTO DESCOBERTO — "&amp;$G13&amp;" cirurgia(s) a remanejar | ","POSTO DESCOBERTO | "),"")&amp;IF(LEFT($Q13,10)="INCOMPLETO","Equipe incompleta para o posto | ","")&amp;IF($S13&lt;&gt;"OK",$S13&amp;" | ","")&amp;IF($T13&lt;&gt;"OK",$T13&amp;" | ","")&amp;IF($U13&lt;&gt;"OK",$U13&amp;" | ","")&amp;IF($V13&lt;&gt;"OK",$V13&amp;" | ","")&amp;IF(AND($P13&lt;&gt;"",$P13&lt;Afinidade_Min),"Afinidade abaixo do mínimo | ","")&amp;IF(AND($I13&lt;&gt;"",$I13&gt;Ocupacao_Max),"Ocupação acima do limite | ","")&amp;IF(AND($D13="Sala cirúrgica",IFERROR(INDEX(Postos_Status,MATCH($B13,Postos_Cod,0)),"")&lt;&gt;"Ativo",N($G13)&gt;0),"Sala inativa com cirurgia | ",""))</f>
        <v/>
      </c>
      <c r="Y13" s="36">
        <f>IF($P13="",0,$P13)</f>
        <v/>
      </c>
      <c r="Z13" s="37">
        <f>IF($P13="",0,1)</f>
        <v/>
      </c>
    </row>
    <row r="14" ht="28" customHeight="1">
      <c r="A14" s="45">
        <f>IF($B14="","",Data_Mapa)</f>
        <v/>
      </c>
      <c r="B14" s="15">
        <f>IF('Calc_Mix'!$B14="","",'Calc_Mix'!$B14)</f>
        <v/>
      </c>
      <c r="C14" s="34">
        <f>IF($B14="","",IFERROR(INDEX(Postos_Nome,MATCH($B14,Postos_Cod,0)),""))</f>
        <v/>
      </c>
      <c r="D14" s="33">
        <f>IF($B14="","",'Calc_Mix'!$C14)</f>
        <v/>
      </c>
      <c r="E14" s="37">
        <f>IF($B14="","",IFERROR(INDEX(Postos_Prior,MATCH($B14,Postos_Cod,0)),""))</f>
        <v/>
      </c>
      <c r="F14" s="37">
        <f>IF($B14="","",IFERROR(INDEX(Postos_Nec,MATCH($B14,Postos_Cod,0)),""))</f>
        <v/>
      </c>
      <c r="G14" s="37">
        <f>IF(OR($B14="",$D14&lt;&gt;"Sala cirúrgica"),"",COUNTIFS(Mapa_Sala,$B14,Mapa_Data,Data_Mapa,Mapa_MinOcup,"&gt;0"))</f>
        <v/>
      </c>
      <c r="H14" s="37">
        <f>IF(OR($B14="",$D14&lt;&gt;"Sala cirúrgica"),"",'Calc_Mix'!$E14)</f>
        <v/>
      </c>
      <c r="I14" s="44">
        <f>IF(OR($B14="",$D14&lt;&gt;"Sala cirúrgica"),"",'Calc_Mix'!$V14)</f>
        <v/>
      </c>
      <c r="J14" s="46" t="n"/>
      <c r="K14" s="34">
        <f>IF($J14="","",IFERROR(INDEX(Equipe_Funcao,MATCH($J14,Equipe_Nome,0))&amp;" · "&amp;INDEX(Equipe_Situacao,MATCH($J14,Equipe_Nome,0)),"NÃO CADASTRADO"))</f>
        <v/>
      </c>
      <c r="L14" s="36">
        <f>IF(OR($B14="",$J14=""),"",IFERROR(SUMPRODUCT('Calc_Mix'!$F14:$S14,INDEX(Matriz_Niveis,MATCH($J14,Matriz_Nome,0),0))/'Calc_Mix'!$T14,""))</f>
        <v/>
      </c>
      <c r="M14" s="46" t="n"/>
      <c r="N14" s="34">
        <f>IF($M14="","",IFERROR(INDEX(Equipe_Funcao,MATCH($M14,Equipe_Nome,0))&amp;" · "&amp;INDEX(Equipe_Situacao,MATCH($M14,Equipe_Nome,0)),"NÃO CADASTRADO"))</f>
        <v/>
      </c>
      <c r="O14" s="36">
        <f>IF(OR($B14="",$M14=""),"",IFERROR(SUMPRODUCT('Calc_Mix'!$F14:$S14,INDEX(Matriz_Niveis,MATCH($M14,Matriz_Nome,0),0))/'Calc_Mix'!$T14,""))</f>
        <v/>
      </c>
      <c r="P14" s="36">
        <f>IF(OR($B14="",AND($L14="",$O14="")),"",IF($O14="",$L14,IF($L14="",$O14,IF($D14="Sala cirúrgica",Peso_Circulante*$L14+Peso_Instrumentador*$O14,($L14+$O14)/2))))</f>
        <v/>
      </c>
      <c r="Q14" s="19">
        <f>IF($B14="","",IF((--($J14&lt;&gt;"")+--($M14&lt;&gt;""))=0,"DESCOBERTO",IF((--($J14&lt;&gt;"")+--($M14&lt;&gt;""))&gt;=$F14,"COMPLETO","INCOMPLETO ("&amp;(--($J14&lt;&gt;"")+--($M14&lt;&gt;""))&amp;" de "&amp;$F14&amp;")")))</f>
        <v/>
      </c>
      <c r="R14" s="15">
        <f>IF($B14="","",IF($Q14="DESCOBERTO","SEM EQUIPE",IF($P14="","—",IF($P14&gt;=Afinidade_Meta,"ADEQUADO",IF($P14&gt;=Afinidade_Min,"ATENÇÃO","CRÍTICO")))))</f>
        <v/>
      </c>
      <c r="S14" s="19">
        <f>IF($B14="","",IF(OR(AND($J14&lt;&gt;"",COUNTIF(Esc_Tec1,$J14)+COUNTIF(Esc_Tec2,$J14)&gt;1),AND($M14&lt;&gt;"",COUNTIF(Esc_Tec1,$M14)+COUNTIF(Esc_Tec2,$M14)&gt;1)),"Técnico escalado em mais de um posto","OK"))</f>
        <v/>
      </c>
      <c r="T14" s="19">
        <f>IF($B14="","",IF(OR(AND($J14&lt;&gt;"",IFERROR(INDEX(Equipe_Situacao,MATCH($J14,Equipe_Nome,0)),"?")&lt;&gt;"Disponível"),AND($M14&lt;&gt;"",IFERROR(INDEX(Equipe_Situacao,MATCH($M14,Equipe_Nome,0)),"?")&lt;&gt;"Disponível")),"Técnico indisponível ou não cadastrado","OK"))</f>
        <v/>
      </c>
      <c r="U14" s="19">
        <f>IF($B14="","",IF($D14&lt;&gt;"Sala cirúrgica","OK",IF(OR(AND($J14&lt;&gt;"",IFERROR(INDEX(Equipe_Funcao,MATCH($J14,Equipe_Nome,0)),"")="Instrumentador"),AND($M14&lt;&gt;"",IFERROR(INDEX(Equipe_Funcao,MATCH($M14,Equipe_Nome,0)),"")="Circulante")),"Função incompatível com o posto","OK")))</f>
        <v/>
      </c>
      <c r="V14" s="19">
        <f>IF($B14="","",IF(OR('Calc_Mix'!$T14=0,AND($J14="",$M14="")),"OK",IF(IF($J14="",0,IFERROR(SUMPRODUCT(('Calc_Mix'!$F14:$S14/'Calc_Mix'!$T14&gt;=Part_Min_Critica)*(INDEX(Matriz_Niveis,MATCH($J14,Matriz_Nome,0),0)&lt;=Nivel_Critico)),0))+IF($M14="",0,IFERROR(SUMPRODUCT(('Calc_Mix'!$F14:$S14/'Calc_Mix'!$T14&gt;=Part_Min_Critica)*(INDEX(Matriz_Niveis,MATCH($M14,Matriz_Nome,0),0)&lt;=Nivel_Critico)),0))&gt;0,"Inaptidão em habilidade relevante","OK")))</f>
        <v/>
      </c>
      <c r="W14" s="47">
        <f>IF($B14="","",IF($X14="","OK",LEFT($X14,LEN($X14)-3)))</f>
        <v/>
      </c>
      <c r="X14" s="15">
        <f>IF($B14="","",IF($Q14="DESCOBERTO",IF(N($G14)&gt;0,"POSTO DESCOBERTO — "&amp;$G14&amp;" cirurgia(s) a remanejar | ","POSTO DESCOBERTO | "),"")&amp;IF(LEFT($Q14,10)="INCOMPLETO","Equipe incompleta para o posto | ","")&amp;IF($S14&lt;&gt;"OK",$S14&amp;" | ","")&amp;IF($T14&lt;&gt;"OK",$T14&amp;" | ","")&amp;IF($U14&lt;&gt;"OK",$U14&amp;" | ","")&amp;IF($V14&lt;&gt;"OK",$V14&amp;" | ","")&amp;IF(AND($P14&lt;&gt;"",$P14&lt;Afinidade_Min),"Afinidade abaixo do mínimo | ","")&amp;IF(AND($I14&lt;&gt;"",$I14&gt;Ocupacao_Max),"Ocupação acima do limite | ","")&amp;IF(AND($D14="Sala cirúrgica",IFERROR(INDEX(Postos_Status,MATCH($B14,Postos_Cod,0)),"")&lt;&gt;"Ativo",N($G14)&gt;0),"Sala inativa com cirurgia | ",""))</f>
        <v/>
      </c>
      <c r="Y14" s="36">
        <f>IF($P14="",0,$P14)</f>
        <v/>
      </c>
      <c r="Z14" s="37">
        <f>IF($P14="",0,1)</f>
        <v/>
      </c>
    </row>
    <row r="15" ht="28" customHeight="1">
      <c r="A15" s="45">
        <f>IF($B15="","",Data_Mapa)</f>
        <v/>
      </c>
      <c r="B15" s="15">
        <f>IF('Calc_Mix'!$B15="","",'Calc_Mix'!$B15)</f>
        <v/>
      </c>
      <c r="C15" s="34">
        <f>IF($B15="","",IFERROR(INDEX(Postos_Nome,MATCH($B15,Postos_Cod,0)),""))</f>
        <v/>
      </c>
      <c r="D15" s="33">
        <f>IF($B15="","",'Calc_Mix'!$C15)</f>
        <v/>
      </c>
      <c r="E15" s="37">
        <f>IF($B15="","",IFERROR(INDEX(Postos_Prior,MATCH($B15,Postos_Cod,0)),""))</f>
        <v/>
      </c>
      <c r="F15" s="37">
        <f>IF($B15="","",IFERROR(INDEX(Postos_Nec,MATCH($B15,Postos_Cod,0)),""))</f>
        <v/>
      </c>
      <c r="G15" s="37">
        <f>IF(OR($B15="",$D15&lt;&gt;"Sala cirúrgica"),"",COUNTIFS(Mapa_Sala,$B15,Mapa_Data,Data_Mapa,Mapa_MinOcup,"&gt;0"))</f>
        <v/>
      </c>
      <c r="H15" s="37">
        <f>IF(OR($B15="",$D15&lt;&gt;"Sala cirúrgica"),"",'Calc_Mix'!$E15)</f>
        <v/>
      </c>
      <c r="I15" s="44">
        <f>IF(OR($B15="",$D15&lt;&gt;"Sala cirúrgica"),"",'Calc_Mix'!$V15)</f>
        <v/>
      </c>
      <c r="J15" s="46" t="n"/>
      <c r="K15" s="34">
        <f>IF($J15="","",IFERROR(INDEX(Equipe_Funcao,MATCH($J15,Equipe_Nome,0))&amp;" · "&amp;INDEX(Equipe_Situacao,MATCH($J15,Equipe_Nome,0)),"NÃO CADASTRADO"))</f>
        <v/>
      </c>
      <c r="L15" s="36">
        <f>IF(OR($B15="",$J15=""),"",IFERROR(SUMPRODUCT('Calc_Mix'!$F15:$S15,INDEX(Matriz_Niveis,MATCH($J15,Matriz_Nome,0),0))/'Calc_Mix'!$T15,""))</f>
        <v/>
      </c>
      <c r="M15" s="46" t="n"/>
      <c r="N15" s="34">
        <f>IF($M15="","",IFERROR(INDEX(Equipe_Funcao,MATCH($M15,Equipe_Nome,0))&amp;" · "&amp;INDEX(Equipe_Situacao,MATCH($M15,Equipe_Nome,0)),"NÃO CADASTRADO"))</f>
        <v/>
      </c>
      <c r="O15" s="36">
        <f>IF(OR($B15="",$M15=""),"",IFERROR(SUMPRODUCT('Calc_Mix'!$F15:$S15,INDEX(Matriz_Niveis,MATCH($M15,Matriz_Nome,0),0))/'Calc_Mix'!$T15,""))</f>
        <v/>
      </c>
      <c r="P15" s="36">
        <f>IF(OR($B15="",AND($L15="",$O15="")),"",IF($O15="",$L15,IF($L15="",$O15,IF($D15="Sala cirúrgica",Peso_Circulante*$L15+Peso_Instrumentador*$O15,($L15+$O15)/2))))</f>
        <v/>
      </c>
      <c r="Q15" s="19">
        <f>IF($B15="","",IF((--($J15&lt;&gt;"")+--($M15&lt;&gt;""))=0,"DESCOBERTO",IF((--($J15&lt;&gt;"")+--($M15&lt;&gt;""))&gt;=$F15,"COMPLETO","INCOMPLETO ("&amp;(--($J15&lt;&gt;"")+--($M15&lt;&gt;""))&amp;" de "&amp;$F15&amp;")")))</f>
        <v/>
      </c>
      <c r="R15" s="15">
        <f>IF($B15="","",IF($Q15="DESCOBERTO","SEM EQUIPE",IF($P15="","—",IF($P15&gt;=Afinidade_Meta,"ADEQUADO",IF($P15&gt;=Afinidade_Min,"ATENÇÃO","CRÍTICO")))))</f>
        <v/>
      </c>
      <c r="S15" s="19">
        <f>IF($B15="","",IF(OR(AND($J15&lt;&gt;"",COUNTIF(Esc_Tec1,$J15)+COUNTIF(Esc_Tec2,$J15)&gt;1),AND($M15&lt;&gt;"",COUNTIF(Esc_Tec1,$M15)+COUNTIF(Esc_Tec2,$M15)&gt;1)),"Técnico escalado em mais de um posto","OK"))</f>
        <v/>
      </c>
      <c r="T15" s="19">
        <f>IF($B15="","",IF(OR(AND($J15&lt;&gt;"",IFERROR(INDEX(Equipe_Situacao,MATCH($J15,Equipe_Nome,0)),"?")&lt;&gt;"Disponível"),AND($M15&lt;&gt;"",IFERROR(INDEX(Equipe_Situacao,MATCH($M15,Equipe_Nome,0)),"?")&lt;&gt;"Disponível")),"Técnico indisponível ou não cadastrado","OK"))</f>
        <v/>
      </c>
      <c r="U15" s="19">
        <f>IF($B15="","",IF($D15&lt;&gt;"Sala cirúrgica","OK",IF(OR(AND($J15&lt;&gt;"",IFERROR(INDEX(Equipe_Funcao,MATCH($J15,Equipe_Nome,0)),"")="Instrumentador"),AND($M15&lt;&gt;"",IFERROR(INDEX(Equipe_Funcao,MATCH($M15,Equipe_Nome,0)),"")="Circulante")),"Função incompatível com o posto","OK")))</f>
        <v/>
      </c>
      <c r="V15" s="19">
        <f>IF($B15="","",IF(OR('Calc_Mix'!$T15=0,AND($J15="",$M15="")),"OK",IF(IF($J15="",0,IFERROR(SUMPRODUCT(('Calc_Mix'!$F15:$S15/'Calc_Mix'!$T15&gt;=Part_Min_Critica)*(INDEX(Matriz_Niveis,MATCH($J15,Matriz_Nome,0),0)&lt;=Nivel_Critico)),0))+IF($M15="",0,IFERROR(SUMPRODUCT(('Calc_Mix'!$F15:$S15/'Calc_Mix'!$T15&gt;=Part_Min_Critica)*(INDEX(Matriz_Niveis,MATCH($M15,Matriz_Nome,0),0)&lt;=Nivel_Critico)),0))&gt;0,"Inaptidão em habilidade relevante","OK")))</f>
        <v/>
      </c>
      <c r="W15" s="47">
        <f>IF($B15="","",IF($X15="","OK",LEFT($X15,LEN($X15)-3)))</f>
        <v/>
      </c>
      <c r="X15" s="15">
        <f>IF($B15="","",IF($Q15="DESCOBERTO",IF(N($G15)&gt;0,"POSTO DESCOBERTO — "&amp;$G15&amp;" cirurgia(s) a remanejar | ","POSTO DESCOBERTO | "),"")&amp;IF(LEFT($Q15,10)="INCOMPLETO","Equipe incompleta para o posto | ","")&amp;IF($S15&lt;&gt;"OK",$S15&amp;" | ","")&amp;IF($T15&lt;&gt;"OK",$T15&amp;" | ","")&amp;IF($U15&lt;&gt;"OK",$U15&amp;" | ","")&amp;IF($V15&lt;&gt;"OK",$V15&amp;" | ","")&amp;IF(AND($P15&lt;&gt;"",$P15&lt;Afinidade_Min),"Afinidade abaixo do mínimo | ","")&amp;IF(AND($I15&lt;&gt;"",$I15&gt;Ocupacao_Max),"Ocupação acima do limite | ","")&amp;IF(AND($D15="Sala cirúrgica",IFERROR(INDEX(Postos_Status,MATCH($B15,Postos_Cod,0)),"")&lt;&gt;"Ativo",N($G15)&gt;0),"Sala inativa com cirurgia | ",""))</f>
        <v/>
      </c>
      <c r="Y15" s="36">
        <f>IF($P15="",0,$P15)</f>
        <v/>
      </c>
      <c r="Z15" s="37">
        <f>IF($P15="",0,1)</f>
        <v/>
      </c>
    </row>
    <row r="16" ht="28" customHeight="1">
      <c r="A16" s="45">
        <f>IF($B16="","",Data_Mapa)</f>
        <v/>
      </c>
      <c r="B16" s="15">
        <f>IF('Calc_Mix'!$B16="","",'Calc_Mix'!$B16)</f>
        <v/>
      </c>
      <c r="C16" s="34">
        <f>IF($B16="","",IFERROR(INDEX(Postos_Nome,MATCH($B16,Postos_Cod,0)),""))</f>
        <v/>
      </c>
      <c r="D16" s="33">
        <f>IF($B16="","",'Calc_Mix'!$C16)</f>
        <v/>
      </c>
      <c r="E16" s="37">
        <f>IF($B16="","",IFERROR(INDEX(Postos_Prior,MATCH($B16,Postos_Cod,0)),""))</f>
        <v/>
      </c>
      <c r="F16" s="37">
        <f>IF($B16="","",IFERROR(INDEX(Postos_Nec,MATCH($B16,Postos_Cod,0)),""))</f>
        <v/>
      </c>
      <c r="G16" s="37">
        <f>IF(OR($B16="",$D16&lt;&gt;"Sala cirúrgica"),"",COUNTIFS(Mapa_Sala,$B16,Mapa_Data,Data_Mapa,Mapa_MinOcup,"&gt;0"))</f>
        <v/>
      </c>
      <c r="H16" s="37">
        <f>IF(OR($B16="",$D16&lt;&gt;"Sala cirúrgica"),"",'Calc_Mix'!$E16)</f>
        <v/>
      </c>
      <c r="I16" s="44">
        <f>IF(OR($B16="",$D16&lt;&gt;"Sala cirúrgica"),"",'Calc_Mix'!$V16)</f>
        <v/>
      </c>
      <c r="J16" s="46" t="n"/>
      <c r="K16" s="34">
        <f>IF($J16="","",IFERROR(INDEX(Equipe_Funcao,MATCH($J16,Equipe_Nome,0))&amp;" · "&amp;INDEX(Equipe_Situacao,MATCH($J16,Equipe_Nome,0)),"NÃO CADASTRADO"))</f>
        <v/>
      </c>
      <c r="L16" s="36">
        <f>IF(OR($B16="",$J16=""),"",IFERROR(SUMPRODUCT('Calc_Mix'!$F16:$S16,INDEX(Matriz_Niveis,MATCH($J16,Matriz_Nome,0),0))/'Calc_Mix'!$T16,""))</f>
        <v/>
      </c>
      <c r="M16" s="46" t="n"/>
      <c r="N16" s="34">
        <f>IF($M16="","",IFERROR(INDEX(Equipe_Funcao,MATCH($M16,Equipe_Nome,0))&amp;" · "&amp;INDEX(Equipe_Situacao,MATCH($M16,Equipe_Nome,0)),"NÃO CADASTRADO"))</f>
        <v/>
      </c>
      <c r="O16" s="36">
        <f>IF(OR($B16="",$M16=""),"",IFERROR(SUMPRODUCT('Calc_Mix'!$F16:$S16,INDEX(Matriz_Niveis,MATCH($M16,Matriz_Nome,0),0))/'Calc_Mix'!$T16,""))</f>
        <v/>
      </c>
      <c r="P16" s="36">
        <f>IF(OR($B16="",AND($L16="",$O16="")),"",IF($O16="",$L16,IF($L16="",$O16,IF($D16="Sala cirúrgica",Peso_Circulante*$L16+Peso_Instrumentador*$O16,($L16+$O16)/2))))</f>
        <v/>
      </c>
      <c r="Q16" s="19">
        <f>IF($B16="","",IF((--($J16&lt;&gt;"")+--($M16&lt;&gt;""))=0,"DESCOBERTO",IF((--($J16&lt;&gt;"")+--($M16&lt;&gt;""))&gt;=$F16,"COMPLETO","INCOMPLETO ("&amp;(--($J16&lt;&gt;"")+--($M16&lt;&gt;""))&amp;" de "&amp;$F16&amp;")")))</f>
        <v/>
      </c>
      <c r="R16" s="15">
        <f>IF($B16="","",IF($Q16="DESCOBERTO","SEM EQUIPE",IF($P16="","—",IF($P16&gt;=Afinidade_Meta,"ADEQUADO",IF($P16&gt;=Afinidade_Min,"ATENÇÃO","CRÍTICO")))))</f>
        <v/>
      </c>
      <c r="S16" s="19">
        <f>IF($B16="","",IF(OR(AND($J16&lt;&gt;"",COUNTIF(Esc_Tec1,$J16)+COUNTIF(Esc_Tec2,$J16)&gt;1),AND($M16&lt;&gt;"",COUNTIF(Esc_Tec1,$M16)+COUNTIF(Esc_Tec2,$M16)&gt;1)),"Técnico escalado em mais de um posto","OK"))</f>
        <v/>
      </c>
      <c r="T16" s="19">
        <f>IF($B16="","",IF(OR(AND($J16&lt;&gt;"",IFERROR(INDEX(Equipe_Situacao,MATCH($J16,Equipe_Nome,0)),"?")&lt;&gt;"Disponível"),AND($M16&lt;&gt;"",IFERROR(INDEX(Equipe_Situacao,MATCH($M16,Equipe_Nome,0)),"?")&lt;&gt;"Disponível")),"Técnico indisponível ou não cadastrado","OK"))</f>
        <v/>
      </c>
      <c r="U16" s="19">
        <f>IF($B16="","",IF($D16&lt;&gt;"Sala cirúrgica","OK",IF(OR(AND($J16&lt;&gt;"",IFERROR(INDEX(Equipe_Funcao,MATCH($J16,Equipe_Nome,0)),"")="Instrumentador"),AND($M16&lt;&gt;"",IFERROR(INDEX(Equipe_Funcao,MATCH($M16,Equipe_Nome,0)),"")="Circulante")),"Função incompatível com o posto","OK")))</f>
        <v/>
      </c>
      <c r="V16" s="19">
        <f>IF($B16="","",IF(OR('Calc_Mix'!$T16=0,AND($J16="",$M16="")),"OK",IF(IF($J16="",0,IFERROR(SUMPRODUCT(('Calc_Mix'!$F16:$S16/'Calc_Mix'!$T16&gt;=Part_Min_Critica)*(INDEX(Matriz_Niveis,MATCH($J16,Matriz_Nome,0),0)&lt;=Nivel_Critico)),0))+IF($M16="",0,IFERROR(SUMPRODUCT(('Calc_Mix'!$F16:$S16/'Calc_Mix'!$T16&gt;=Part_Min_Critica)*(INDEX(Matriz_Niveis,MATCH($M16,Matriz_Nome,0),0)&lt;=Nivel_Critico)),0))&gt;0,"Inaptidão em habilidade relevante","OK")))</f>
        <v/>
      </c>
      <c r="W16" s="47">
        <f>IF($B16="","",IF($X16="","OK",LEFT($X16,LEN($X16)-3)))</f>
        <v/>
      </c>
      <c r="X16" s="15">
        <f>IF($B16="","",IF($Q16="DESCOBERTO",IF(N($G16)&gt;0,"POSTO DESCOBERTO — "&amp;$G16&amp;" cirurgia(s) a remanejar | ","POSTO DESCOBERTO | "),"")&amp;IF(LEFT($Q16,10)="INCOMPLETO","Equipe incompleta para o posto | ","")&amp;IF($S16&lt;&gt;"OK",$S16&amp;" | ","")&amp;IF($T16&lt;&gt;"OK",$T16&amp;" | ","")&amp;IF($U16&lt;&gt;"OK",$U16&amp;" | ","")&amp;IF($V16&lt;&gt;"OK",$V16&amp;" | ","")&amp;IF(AND($P16&lt;&gt;"",$P16&lt;Afinidade_Min),"Afinidade abaixo do mínimo | ","")&amp;IF(AND($I16&lt;&gt;"",$I16&gt;Ocupacao_Max),"Ocupação acima do limite | ","")&amp;IF(AND($D16="Sala cirúrgica",IFERROR(INDEX(Postos_Status,MATCH($B16,Postos_Cod,0)),"")&lt;&gt;"Ativo",N($G16)&gt;0),"Sala inativa com cirurgia | ",""))</f>
        <v/>
      </c>
      <c r="Y16" s="36">
        <f>IF($P16="",0,$P16)</f>
        <v/>
      </c>
      <c r="Z16" s="37">
        <f>IF($P16="",0,1)</f>
        <v/>
      </c>
    </row>
    <row r="17" ht="28" customHeight="1">
      <c r="A17" s="45">
        <f>IF($B17="","",Data_Mapa)</f>
        <v/>
      </c>
      <c r="B17" s="15">
        <f>IF('Calc_Mix'!$B17="","",'Calc_Mix'!$B17)</f>
        <v/>
      </c>
      <c r="C17" s="34">
        <f>IF($B17="","",IFERROR(INDEX(Postos_Nome,MATCH($B17,Postos_Cod,0)),""))</f>
        <v/>
      </c>
      <c r="D17" s="33">
        <f>IF($B17="","",'Calc_Mix'!$C17)</f>
        <v/>
      </c>
      <c r="E17" s="37">
        <f>IF($B17="","",IFERROR(INDEX(Postos_Prior,MATCH($B17,Postos_Cod,0)),""))</f>
        <v/>
      </c>
      <c r="F17" s="37">
        <f>IF($B17="","",IFERROR(INDEX(Postos_Nec,MATCH($B17,Postos_Cod,0)),""))</f>
        <v/>
      </c>
      <c r="G17" s="37">
        <f>IF(OR($B17="",$D17&lt;&gt;"Sala cirúrgica"),"",COUNTIFS(Mapa_Sala,$B17,Mapa_Data,Data_Mapa,Mapa_MinOcup,"&gt;0"))</f>
        <v/>
      </c>
      <c r="H17" s="37">
        <f>IF(OR($B17="",$D17&lt;&gt;"Sala cirúrgica"),"",'Calc_Mix'!$E17)</f>
        <v/>
      </c>
      <c r="I17" s="44">
        <f>IF(OR($B17="",$D17&lt;&gt;"Sala cirúrgica"),"",'Calc_Mix'!$V17)</f>
        <v/>
      </c>
      <c r="J17" s="46" t="n"/>
      <c r="K17" s="34">
        <f>IF($J17="","",IFERROR(INDEX(Equipe_Funcao,MATCH($J17,Equipe_Nome,0))&amp;" · "&amp;INDEX(Equipe_Situacao,MATCH($J17,Equipe_Nome,0)),"NÃO CADASTRADO"))</f>
        <v/>
      </c>
      <c r="L17" s="36">
        <f>IF(OR($B17="",$J17=""),"",IFERROR(SUMPRODUCT('Calc_Mix'!$F17:$S17,INDEX(Matriz_Niveis,MATCH($J17,Matriz_Nome,0),0))/'Calc_Mix'!$T17,""))</f>
        <v/>
      </c>
      <c r="M17" s="46" t="n"/>
      <c r="N17" s="34">
        <f>IF($M17="","",IFERROR(INDEX(Equipe_Funcao,MATCH($M17,Equipe_Nome,0))&amp;" · "&amp;INDEX(Equipe_Situacao,MATCH($M17,Equipe_Nome,0)),"NÃO CADASTRADO"))</f>
        <v/>
      </c>
      <c r="O17" s="36">
        <f>IF(OR($B17="",$M17=""),"",IFERROR(SUMPRODUCT('Calc_Mix'!$F17:$S17,INDEX(Matriz_Niveis,MATCH($M17,Matriz_Nome,0),0))/'Calc_Mix'!$T17,""))</f>
        <v/>
      </c>
      <c r="P17" s="36">
        <f>IF(OR($B17="",AND($L17="",$O17="")),"",IF($O17="",$L17,IF($L17="",$O17,IF($D17="Sala cirúrgica",Peso_Circulante*$L17+Peso_Instrumentador*$O17,($L17+$O17)/2))))</f>
        <v/>
      </c>
      <c r="Q17" s="19">
        <f>IF($B17="","",IF((--($J17&lt;&gt;"")+--($M17&lt;&gt;""))=0,"DESCOBERTO",IF((--($J17&lt;&gt;"")+--($M17&lt;&gt;""))&gt;=$F17,"COMPLETO","INCOMPLETO ("&amp;(--($J17&lt;&gt;"")+--($M17&lt;&gt;""))&amp;" de "&amp;$F17&amp;")")))</f>
        <v/>
      </c>
      <c r="R17" s="15">
        <f>IF($B17="","",IF($Q17="DESCOBERTO","SEM EQUIPE",IF($P17="","—",IF($P17&gt;=Afinidade_Meta,"ADEQUADO",IF($P17&gt;=Afinidade_Min,"ATENÇÃO","CRÍTICO")))))</f>
        <v/>
      </c>
      <c r="S17" s="19">
        <f>IF($B17="","",IF(OR(AND($J17&lt;&gt;"",COUNTIF(Esc_Tec1,$J17)+COUNTIF(Esc_Tec2,$J17)&gt;1),AND($M17&lt;&gt;"",COUNTIF(Esc_Tec1,$M17)+COUNTIF(Esc_Tec2,$M17)&gt;1)),"Técnico escalado em mais de um posto","OK"))</f>
        <v/>
      </c>
      <c r="T17" s="19">
        <f>IF($B17="","",IF(OR(AND($J17&lt;&gt;"",IFERROR(INDEX(Equipe_Situacao,MATCH($J17,Equipe_Nome,0)),"?")&lt;&gt;"Disponível"),AND($M17&lt;&gt;"",IFERROR(INDEX(Equipe_Situacao,MATCH($M17,Equipe_Nome,0)),"?")&lt;&gt;"Disponível")),"Técnico indisponível ou não cadastrado","OK"))</f>
        <v/>
      </c>
      <c r="U17" s="19">
        <f>IF($B17="","",IF($D17&lt;&gt;"Sala cirúrgica","OK",IF(OR(AND($J17&lt;&gt;"",IFERROR(INDEX(Equipe_Funcao,MATCH($J17,Equipe_Nome,0)),"")="Instrumentador"),AND($M17&lt;&gt;"",IFERROR(INDEX(Equipe_Funcao,MATCH($M17,Equipe_Nome,0)),"")="Circulante")),"Função incompatível com o posto","OK")))</f>
        <v/>
      </c>
      <c r="V17" s="19">
        <f>IF($B17="","",IF(OR('Calc_Mix'!$T17=0,AND($J17="",$M17="")),"OK",IF(IF($J17="",0,IFERROR(SUMPRODUCT(('Calc_Mix'!$F17:$S17/'Calc_Mix'!$T17&gt;=Part_Min_Critica)*(INDEX(Matriz_Niveis,MATCH($J17,Matriz_Nome,0),0)&lt;=Nivel_Critico)),0))+IF($M17="",0,IFERROR(SUMPRODUCT(('Calc_Mix'!$F17:$S17/'Calc_Mix'!$T17&gt;=Part_Min_Critica)*(INDEX(Matriz_Niveis,MATCH($M17,Matriz_Nome,0),0)&lt;=Nivel_Critico)),0))&gt;0,"Inaptidão em habilidade relevante","OK")))</f>
        <v/>
      </c>
      <c r="W17" s="47">
        <f>IF($B17="","",IF($X17="","OK",LEFT($X17,LEN($X17)-3)))</f>
        <v/>
      </c>
      <c r="X17" s="15">
        <f>IF($B17="","",IF($Q17="DESCOBERTO",IF(N($G17)&gt;0,"POSTO DESCOBERTO — "&amp;$G17&amp;" cirurgia(s) a remanejar | ","POSTO DESCOBERTO | "),"")&amp;IF(LEFT($Q17,10)="INCOMPLETO","Equipe incompleta para o posto | ","")&amp;IF($S17&lt;&gt;"OK",$S17&amp;" | ","")&amp;IF($T17&lt;&gt;"OK",$T17&amp;" | ","")&amp;IF($U17&lt;&gt;"OK",$U17&amp;" | ","")&amp;IF($V17&lt;&gt;"OK",$V17&amp;" | ","")&amp;IF(AND($P17&lt;&gt;"",$P17&lt;Afinidade_Min),"Afinidade abaixo do mínimo | ","")&amp;IF(AND($I17&lt;&gt;"",$I17&gt;Ocupacao_Max),"Ocupação acima do limite | ","")&amp;IF(AND($D17="Sala cirúrgica",IFERROR(INDEX(Postos_Status,MATCH($B17,Postos_Cod,0)),"")&lt;&gt;"Ativo",N($G17)&gt;0),"Sala inativa com cirurgia | ",""))</f>
        <v/>
      </c>
      <c r="Y17" s="36">
        <f>IF($P17="",0,$P17)</f>
        <v/>
      </c>
      <c r="Z17" s="37">
        <f>IF($P17="",0,1)</f>
        <v/>
      </c>
    </row>
  </sheetData>
  <autoFilter ref="A1:W17"/>
  <conditionalFormatting sqref="R2:R17">
    <cfRule type="cellIs" priority="1" operator="equal" dxfId="1">
      <formula>"ADEQUADO"</formula>
    </cfRule>
    <cfRule type="cellIs" priority="2" operator="equal" dxfId="2">
      <formula>"ATENÇÃO"</formula>
    </cfRule>
    <cfRule type="cellIs" priority="3" operator="equal" dxfId="0">
      <formula>"CRÍTICO"</formula>
    </cfRule>
    <cfRule type="cellIs" priority="4" operator="equal" dxfId="0">
      <formula>"SEM EQUIPE"</formula>
    </cfRule>
  </conditionalFormatting>
  <conditionalFormatting sqref="Q2:Q17">
    <cfRule type="cellIs" priority="5" operator="equal" dxfId="0">
      <formula>"DESCOBERTO"</formula>
    </cfRule>
    <cfRule type="cellIs" priority="6" operator="equal" dxfId="1">
      <formula>"COMPLETO"</formula>
    </cfRule>
    <cfRule type="expression" priority="7" dxfId="2">
      <formula>LEFT($Q2,10)="INCOMPLETO"</formula>
    </cfRule>
  </conditionalFormatting>
  <conditionalFormatting sqref="W2:W17">
    <cfRule type="expression" priority="8" dxfId="0">
      <formula>AND($W2&lt;&gt;"",$W2&lt;&gt;"OK")</formula>
    </cfRule>
  </conditionalFormatting>
  <conditionalFormatting sqref="I2:I17">
    <cfRule type="expression" priority="9" dxfId="0" stopIfTrue="1">
      <formula>AND($I2&lt;&gt;"",$I2&gt;Ocupacao_Max)</formula>
    </cfRule>
    <cfRule type="expression" priority="10" dxfId="1">
      <formula>AND($I2&lt;&gt;"",$I2&gt;=Meta_Ocupacao)</formula>
    </cfRule>
  </conditionalFormatting>
  <conditionalFormatting sqref="P2:P17">
    <cfRule type="colorScale" priority="11">
      <colorScale>
        <cfvo type="num" val="0"/>
        <cfvo type="num" val="2"/>
        <cfvo type="num" val="3"/>
        <color rgb="00F8696B"/>
        <color rgb="00FFEB84"/>
        <color rgb="0063BE7B"/>
      </colorScale>
    </cfRule>
  </conditionalFormatting>
  <conditionalFormatting sqref="S2:S17">
    <cfRule type="expression" priority="12" dxfId="0">
      <formula>AND(S2&lt;&gt;"",S2&lt;&gt;"OK")</formula>
    </cfRule>
  </conditionalFormatting>
  <conditionalFormatting sqref="T2:T17">
    <cfRule type="expression" priority="13" dxfId="0">
      <formula>AND(T2&lt;&gt;"",T2&lt;&gt;"OK")</formula>
    </cfRule>
  </conditionalFormatting>
  <conditionalFormatting sqref="U2:U17">
    <cfRule type="expression" priority="14" dxfId="0">
      <formula>AND(U2&lt;&gt;"",U2&lt;&gt;"OK")</formula>
    </cfRule>
  </conditionalFormatting>
  <conditionalFormatting sqref="V2:V17">
    <cfRule type="expression" priority="15" dxfId="0">
      <formula>AND(V2&lt;&gt;"",V2&lt;&gt;"OK")</formula>
    </cfRule>
  </conditionalFormatting>
  <dataValidations count="1">
    <dataValidation sqref="J2:J17 M2:M17" showDropDown="0" showInputMessage="0" showErrorMessage="1" allowBlank="1" errorTitle="Técnico não cadastrado" error="Escolha um técnico cadastrado na aba Equipe." type="list">
      <formula1>=Lista_Tecnicos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P1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32" customWidth="1" min="3" max="3"/>
    <col width="20" customWidth="1" min="4" max="4"/>
    <col width="22" customWidth="1" min="5" max="5"/>
    <col width="22" customWidth="1" min="6" max="6"/>
    <col width="10" customWidth="1" min="7" max="7"/>
    <col width="22" customWidth="1" min="8" max="8"/>
    <col width="22" customWidth="1" min="9" max="9"/>
    <col width="10" customWidth="1" min="10" max="10"/>
    <col width="22" customWidth="1" min="11" max="11"/>
    <col width="22" customWidth="1" min="12" max="12"/>
    <col width="10" customWidth="1" min="13" max="13"/>
    <col width="22" customWidth="1" min="14" max="14"/>
    <col width="22" customWidth="1" min="15" max="15"/>
    <col width="10" customWidth="1" min="16" max="16"/>
  </cols>
  <sheetData>
    <row r="1" ht="32" customHeight="1">
      <c r="A1" s="14" t="inlineStr">
        <is>
          <t>Posto</t>
        </is>
      </c>
      <c r="B1" s="14" t="inlineStr">
        <is>
          <t>Nome do posto</t>
        </is>
      </c>
      <c r="C1" s="14" t="inlineStr">
        <is>
          <t>Habilidade predominante</t>
        </is>
      </c>
      <c r="D1" s="14" t="inlineStr">
        <is>
          <t>Cobertura atual</t>
        </is>
      </c>
      <c r="E1" s="14" t="inlineStr">
        <is>
          <t>1ª opção (técnico livre)</t>
        </is>
      </c>
      <c r="F1" s="14" t="inlineStr">
        <is>
          <t>Cadastro / situação</t>
        </is>
      </c>
      <c r="G1" s="14" t="inlineStr">
        <is>
          <t>Afinidade</t>
        </is>
      </c>
      <c r="H1" s="14" t="inlineStr">
        <is>
          <t>2ª opção (técnico livre)</t>
        </is>
      </c>
      <c r="I1" s="14" t="inlineStr">
        <is>
          <t>Cadastro / situação</t>
        </is>
      </c>
      <c r="J1" s="14" t="inlineStr">
        <is>
          <t>Afinidade</t>
        </is>
      </c>
      <c r="K1" s="14" t="inlineStr">
        <is>
          <t>3ª opção (técnico livre)</t>
        </is>
      </c>
      <c r="L1" s="14" t="inlineStr">
        <is>
          <t>Cadastro / situação</t>
        </is>
      </c>
      <c r="M1" s="14" t="inlineStr">
        <is>
          <t>Afinidade</t>
        </is>
      </c>
      <c r="N1" s="14" t="inlineStr">
        <is>
          <t>4ª opção (técnico livre)</t>
        </is>
      </c>
      <c r="O1" s="14" t="inlineStr">
        <is>
          <t>Cadastro / situação</t>
        </is>
      </c>
      <c r="P1" s="14" t="inlineStr">
        <is>
          <t>Afinidade</t>
        </is>
      </c>
    </row>
    <row r="2">
      <c r="A2" s="15">
        <f>IF('Escala_Dia'!$B2="","",'Escala_Dia'!$B2)</f>
        <v/>
      </c>
      <c r="B2" s="34">
        <f>IF($A2="","",'Escala_Dia'!$C2)</f>
        <v/>
      </c>
      <c r="C2" s="34">
        <f>IF($A2="","",IF('Calc_Mix'!$T2=0,"—",IFERROR(INDEX(Mix_Hab,MATCH(MAX('Calc_Mix'!$F2:$S2),'Calc_Mix'!$F2:$S2,0)),"—")))</f>
        <v/>
      </c>
      <c r="D2" s="34">
        <f>IF($A2="","",'Escala_Dia'!$Q2)</f>
        <v/>
      </c>
      <c r="E2" s="34">
        <f>IF($A2="","",IFERROR(INDEX('Calc_Afinidade'!$B$2:$B$31,MATCH(LARGE('Calc_Afinidade'!D$2:D$31,1),'Calc_Afinidade'!D$2:D$31,0)),"—"))</f>
        <v/>
      </c>
      <c r="F2" s="34">
        <f>IF(OR($A2="",E2="—"),"",IFERROR(INDEX(Equipe_Funcao,MATCH(E2,Equipe_Nome,0))&amp;" · "&amp;INDEX(Equipe_Situacao,MATCH(E2,Equipe_Nome,0)),""))</f>
        <v/>
      </c>
      <c r="G2" s="36">
        <f>IF($A2="","",IFERROR(ROUND(LARGE('Calc_Afinidade'!D$2:D$31,1),2),""))</f>
        <v/>
      </c>
      <c r="H2" s="34">
        <f>IF($A2="","",IFERROR(INDEX('Calc_Afinidade'!$B$2:$B$31,MATCH(LARGE('Calc_Afinidade'!D$2:D$31,2),'Calc_Afinidade'!D$2:D$31,0)),"—"))</f>
        <v/>
      </c>
      <c r="I2" s="34">
        <f>IF(OR($A2="",H2="—"),"",IFERROR(INDEX(Equipe_Funcao,MATCH(H2,Equipe_Nome,0))&amp;" · "&amp;INDEX(Equipe_Situacao,MATCH(H2,Equipe_Nome,0)),""))</f>
        <v/>
      </c>
      <c r="J2" s="36">
        <f>IF($A2="","",IFERROR(ROUND(LARGE('Calc_Afinidade'!D$2:D$31,2),2),""))</f>
        <v/>
      </c>
      <c r="K2" s="34">
        <f>IF($A2="","",IFERROR(INDEX('Calc_Afinidade'!$B$2:$B$31,MATCH(LARGE('Calc_Afinidade'!D$2:D$31,3),'Calc_Afinidade'!D$2:D$31,0)),"—"))</f>
        <v/>
      </c>
      <c r="L2" s="34">
        <f>IF(OR($A2="",K2="—"),"",IFERROR(INDEX(Equipe_Funcao,MATCH(K2,Equipe_Nome,0))&amp;" · "&amp;INDEX(Equipe_Situacao,MATCH(K2,Equipe_Nome,0)),""))</f>
        <v/>
      </c>
      <c r="M2" s="36">
        <f>IF($A2="","",IFERROR(ROUND(LARGE('Calc_Afinidade'!D$2:D$31,3),2),""))</f>
        <v/>
      </c>
      <c r="N2" s="34">
        <f>IF($A2="","",IFERROR(INDEX('Calc_Afinidade'!$B$2:$B$31,MATCH(LARGE('Calc_Afinidade'!D$2:D$31,4),'Calc_Afinidade'!D$2:D$31,0)),"—"))</f>
        <v/>
      </c>
      <c r="O2" s="34">
        <f>IF(OR($A2="",N2="—"),"",IFERROR(INDEX(Equipe_Funcao,MATCH(N2,Equipe_Nome,0))&amp;" · "&amp;INDEX(Equipe_Situacao,MATCH(N2,Equipe_Nome,0)),""))</f>
        <v/>
      </c>
      <c r="P2" s="36">
        <f>IF($A2="","",IFERROR(ROUND(LARGE('Calc_Afinidade'!D$2:D$31,4),2),""))</f>
        <v/>
      </c>
    </row>
    <row r="3">
      <c r="A3" s="15">
        <f>IF('Escala_Dia'!$B3="","",'Escala_Dia'!$B3)</f>
        <v/>
      </c>
      <c r="B3" s="34">
        <f>IF($A3="","",'Escala_Dia'!$C3)</f>
        <v/>
      </c>
      <c r="C3" s="34">
        <f>IF($A3="","",IF('Calc_Mix'!$T3=0,"—",IFERROR(INDEX(Mix_Hab,MATCH(MAX('Calc_Mix'!$F3:$S3),'Calc_Mix'!$F3:$S3,0)),"—")))</f>
        <v/>
      </c>
      <c r="D3" s="34">
        <f>IF($A3="","",'Escala_Dia'!$Q3)</f>
        <v/>
      </c>
      <c r="E3" s="34">
        <f>IF($A3="","",IFERROR(INDEX('Calc_Afinidade'!$B$2:$B$31,MATCH(LARGE('Calc_Afinidade'!E$2:E$31,1),'Calc_Afinidade'!E$2:E$31,0)),"—"))</f>
        <v/>
      </c>
      <c r="F3" s="34">
        <f>IF(OR($A3="",E3="—"),"",IFERROR(INDEX(Equipe_Funcao,MATCH(E3,Equipe_Nome,0))&amp;" · "&amp;INDEX(Equipe_Situacao,MATCH(E3,Equipe_Nome,0)),""))</f>
        <v/>
      </c>
      <c r="G3" s="36">
        <f>IF($A3="","",IFERROR(ROUND(LARGE('Calc_Afinidade'!E$2:E$31,1),2),""))</f>
        <v/>
      </c>
      <c r="H3" s="34">
        <f>IF($A3="","",IFERROR(INDEX('Calc_Afinidade'!$B$2:$B$31,MATCH(LARGE('Calc_Afinidade'!E$2:E$31,2),'Calc_Afinidade'!E$2:E$31,0)),"—"))</f>
        <v/>
      </c>
      <c r="I3" s="34">
        <f>IF(OR($A3="",H3="—"),"",IFERROR(INDEX(Equipe_Funcao,MATCH(H3,Equipe_Nome,0))&amp;" · "&amp;INDEX(Equipe_Situacao,MATCH(H3,Equipe_Nome,0)),""))</f>
        <v/>
      </c>
      <c r="J3" s="36">
        <f>IF($A3="","",IFERROR(ROUND(LARGE('Calc_Afinidade'!E$2:E$31,2),2),""))</f>
        <v/>
      </c>
      <c r="K3" s="34">
        <f>IF($A3="","",IFERROR(INDEX('Calc_Afinidade'!$B$2:$B$31,MATCH(LARGE('Calc_Afinidade'!E$2:E$31,3),'Calc_Afinidade'!E$2:E$31,0)),"—"))</f>
        <v/>
      </c>
      <c r="L3" s="34">
        <f>IF(OR($A3="",K3="—"),"",IFERROR(INDEX(Equipe_Funcao,MATCH(K3,Equipe_Nome,0))&amp;" · "&amp;INDEX(Equipe_Situacao,MATCH(K3,Equipe_Nome,0)),""))</f>
        <v/>
      </c>
      <c r="M3" s="36">
        <f>IF($A3="","",IFERROR(ROUND(LARGE('Calc_Afinidade'!E$2:E$31,3),2),""))</f>
        <v/>
      </c>
      <c r="N3" s="34">
        <f>IF($A3="","",IFERROR(INDEX('Calc_Afinidade'!$B$2:$B$31,MATCH(LARGE('Calc_Afinidade'!E$2:E$31,4),'Calc_Afinidade'!E$2:E$31,0)),"—"))</f>
        <v/>
      </c>
      <c r="O3" s="34">
        <f>IF(OR($A3="",N3="—"),"",IFERROR(INDEX(Equipe_Funcao,MATCH(N3,Equipe_Nome,0))&amp;" · "&amp;INDEX(Equipe_Situacao,MATCH(N3,Equipe_Nome,0)),""))</f>
        <v/>
      </c>
      <c r="P3" s="36">
        <f>IF($A3="","",IFERROR(ROUND(LARGE('Calc_Afinidade'!E$2:E$31,4),2),""))</f>
        <v/>
      </c>
    </row>
    <row r="4">
      <c r="A4" s="15">
        <f>IF('Escala_Dia'!$B4="","",'Escala_Dia'!$B4)</f>
        <v/>
      </c>
      <c r="B4" s="34">
        <f>IF($A4="","",'Escala_Dia'!$C4)</f>
        <v/>
      </c>
      <c r="C4" s="34">
        <f>IF($A4="","",IF('Calc_Mix'!$T4=0,"—",IFERROR(INDEX(Mix_Hab,MATCH(MAX('Calc_Mix'!$F4:$S4),'Calc_Mix'!$F4:$S4,0)),"—")))</f>
        <v/>
      </c>
      <c r="D4" s="34">
        <f>IF($A4="","",'Escala_Dia'!$Q4)</f>
        <v/>
      </c>
      <c r="E4" s="34">
        <f>IF($A4="","",IFERROR(INDEX('Calc_Afinidade'!$B$2:$B$31,MATCH(LARGE('Calc_Afinidade'!F$2:F$31,1),'Calc_Afinidade'!F$2:F$31,0)),"—"))</f>
        <v/>
      </c>
      <c r="F4" s="34">
        <f>IF(OR($A4="",E4="—"),"",IFERROR(INDEX(Equipe_Funcao,MATCH(E4,Equipe_Nome,0))&amp;" · "&amp;INDEX(Equipe_Situacao,MATCH(E4,Equipe_Nome,0)),""))</f>
        <v/>
      </c>
      <c r="G4" s="36">
        <f>IF($A4="","",IFERROR(ROUND(LARGE('Calc_Afinidade'!F$2:F$31,1),2),""))</f>
        <v/>
      </c>
      <c r="H4" s="34">
        <f>IF($A4="","",IFERROR(INDEX('Calc_Afinidade'!$B$2:$B$31,MATCH(LARGE('Calc_Afinidade'!F$2:F$31,2),'Calc_Afinidade'!F$2:F$31,0)),"—"))</f>
        <v/>
      </c>
      <c r="I4" s="34">
        <f>IF(OR($A4="",H4="—"),"",IFERROR(INDEX(Equipe_Funcao,MATCH(H4,Equipe_Nome,0))&amp;" · "&amp;INDEX(Equipe_Situacao,MATCH(H4,Equipe_Nome,0)),""))</f>
        <v/>
      </c>
      <c r="J4" s="36">
        <f>IF($A4="","",IFERROR(ROUND(LARGE('Calc_Afinidade'!F$2:F$31,2),2),""))</f>
        <v/>
      </c>
      <c r="K4" s="34">
        <f>IF($A4="","",IFERROR(INDEX('Calc_Afinidade'!$B$2:$B$31,MATCH(LARGE('Calc_Afinidade'!F$2:F$31,3),'Calc_Afinidade'!F$2:F$31,0)),"—"))</f>
        <v/>
      </c>
      <c r="L4" s="34">
        <f>IF(OR($A4="",K4="—"),"",IFERROR(INDEX(Equipe_Funcao,MATCH(K4,Equipe_Nome,0))&amp;" · "&amp;INDEX(Equipe_Situacao,MATCH(K4,Equipe_Nome,0)),""))</f>
        <v/>
      </c>
      <c r="M4" s="36">
        <f>IF($A4="","",IFERROR(ROUND(LARGE('Calc_Afinidade'!F$2:F$31,3),2),""))</f>
        <v/>
      </c>
      <c r="N4" s="34">
        <f>IF($A4="","",IFERROR(INDEX('Calc_Afinidade'!$B$2:$B$31,MATCH(LARGE('Calc_Afinidade'!F$2:F$31,4),'Calc_Afinidade'!F$2:F$31,0)),"—"))</f>
        <v/>
      </c>
      <c r="O4" s="34">
        <f>IF(OR($A4="",N4="—"),"",IFERROR(INDEX(Equipe_Funcao,MATCH(N4,Equipe_Nome,0))&amp;" · "&amp;INDEX(Equipe_Situacao,MATCH(N4,Equipe_Nome,0)),""))</f>
        <v/>
      </c>
      <c r="P4" s="36">
        <f>IF($A4="","",IFERROR(ROUND(LARGE('Calc_Afinidade'!F$2:F$31,4),2),""))</f>
        <v/>
      </c>
    </row>
    <row r="5">
      <c r="A5" s="15">
        <f>IF('Escala_Dia'!$B5="","",'Escala_Dia'!$B5)</f>
        <v/>
      </c>
      <c r="B5" s="34">
        <f>IF($A5="","",'Escala_Dia'!$C5)</f>
        <v/>
      </c>
      <c r="C5" s="34">
        <f>IF($A5="","",IF('Calc_Mix'!$T5=0,"—",IFERROR(INDEX(Mix_Hab,MATCH(MAX('Calc_Mix'!$F5:$S5),'Calc_Mix'!$F5:$S5,0)),"—")))</f>
        <v/>
      </c>
      <c r="D5" s="34">
        <f>IF($A5="","",'Escala_Dia'!$Q5)</f>
        <v/>
      </c>
      <c r="E5" s="34">
        <f>IF($A5="","",IFERROR(INDEX('Calc_Afinidade'!$B$2:$B$31,MATCH(LARGE('Calc_Afinidade'!G$2:G$31,1),'Calc_Afinidade'!G$2:G$31,0)),"—"))</f>
        <v/>
      </c>
      <c r="F5" s="34">
        <f>IF(OR($A5="",E5="—"),"",IFERROR(INDEX(Equipe_Funcao,MATCH(E5,Equipe_Nome,0))&amp;" · "&amp;INDEX(Equipe_Situacao,MATCH(E5,Equipe_Nome,0)),""))</f>
        <v/>
      </c>
      <c r="G5" s="36">
        <f>IF($A5="","",IFERROR(ROUND(LARGE('Calc_Afinidade'!G$2:G$31,1),2),""))</f>
        <v/>
      </c>
      <c r="H5" s="34">
        <f>IF($A5="","",IFERROR(INDEX('Calc_Afinidade'!$B$2:$B$31,MATCH(LARGE('Calc_Afinidade'!G$2:G$31,2),'Calc_Afinidade'!G$2:G$31,0)),"—"))</f>
        <v/>
      </c>
      <c r="I5" s="34">
        <f>IF(OR($A5="",H5="—"),"",IFERROR(INDEX(Equipe_Funcao,MATCH(H5,Equipe_Nome,0))&amp;" · "&amp;INDEX(Equipe_Situacao,MATCH(H5,Equipe_Nome,0)),""))</f>
        <v/>
      </c>
      <c r="J5" s="36">
        <f>IF($A5="","",IFERROR(ROUND(LARGE('Calc_Afinidade'!G$2:G$31,2),2),""))</f>
        <v/>
      </c>
      <c r="K5" s="34">
        <f>IF($A5="","",IFERROR(INDEX('Calc_Afinidade'!$B$2:$B$31,MATCH(LARGE('Calc_Afinidade'!G$2:G$31,3),'Calc_Afinidade'!G$2:G$31,0)),"—"))</f>
        <v/>
      </c>
      <c r="L5" s="34">
        <f>IF(OR($A5="",K5="—"),"",IFERROR(INDEX(Equipe_Funcao,MATCH(K5,Equipe_Nome,0))&amp;" · "&amp;INDEX(Equipe_Situacao,MATCH(K5,Equipe_Nome,0)),""))</f>
        <v/>
      </c>
      <c r="M5" s="36">
        <f>IF($A5="","",IFERROR(ROUND(LARGE('Calc_Afinidade'!G$2:G$31,3),2),""))</f>
        <v/>
      </c>
      <c r="N5" s="34">
        <f>IF($A5="","",IFERROR(INDEX('Calc_Afinidade'!$B$2:$B$31,MATCH(LARGE('Calc_Afinidade'!G$2:G$31,4),'Calc_Afinidade'!G$2:G$31,0)),"—"))</f>
        <v/>
      </c>
      <c r="O5" s="34">
        <f>IF(OR($A5="",N5="—"),"",IFERROR(INDEX(Equipe_Funcao,MATCH(N5,Equipe_Nome,0))&amp;" · "&amp;INDEX(Equipe_Situacao,MATCH(N5,Equipe_Nome,0)),""))</f>
        <v/>
      </c>
      <c r="P5" s="36">
        <f>IF($A5="","",IFERROR(ROUND(LARGE('Calc_Afinidade'!G$2:G$31,4),2),""))</f>
        <v/>
      </c>
    </row>
    <row r="6">
      <c r="A6" s="15">
        <f>IF('Escala_Dia'!$B6="","",'Escala_Dia'!$B6)</f>
        <v/>
      </c>
      <c r="B6" s="34">
        <f>IF($A6="","",'Escala_Dia'!$C6)</f>
        <v/>
      </c>
      <c r="C6" s="34">
        <f>IF($A6="","",IF('Calc_Mix'!$T6=0,"—",IFERROR(INDEX(Mix_Hab,MATCH(MAX('Calc_Mix'!$F6:$S6),'Calc_Mix'!$F6:$S6,0)),"—")))</f>
        <v/>
      </c>
      <c r="D6" s="34">
        <f>IF($A6="","",'Escala_Dia'!$Q6)</f>
        <v/>
      </c>
      <c r="E6" s="34">
        <f>IF($A6="","",IFERROR(INDEX('Calc_Afinidade'!$B$2:$B$31,MATCH(LARGE('Calc_Afinidade'!H$2:H$31,1),'Calc_Afinidade'!H$2:H$31,0)),"—"))</f>
        <v/>
      </c>
      <c r="F6" s="34">
        <f>IF(OR($A6="",E6="—"),"",IFERROR(INDEX(Equipe_Funcao,MATCH(E6,Equipe_Nome,0))&amp;" · "&amp;INDEX(Equipe_Situacao,MATCH(E6,Equipe_Nome,0)),""))</f>
        <v/>
      </c>
      <c r="G6" s="36">
        <f>IF($A6="","",IFERROR(ROUND(LARGE('Calc_Afinidade'!H$2:H$31,1),2),""))</f>
        <v/>
      </c>
      <c r="H6" s="34">
        <f>IF($A6="","",IFERROR(INDEX('Calc_Afinidade'!$B$2:$B$31,MATCH(LARGE('Calc_Afinidade'!H$2:H$31,2),'Calc_Afinidade'!H$2:H$31,0)),"—"))</f>
        <v/>
      </c>
      <c r="I6" s="34">
        <f>IF(OR($A6="",H6="—"),"",IFERROR(INDEX(Equipe_Funcao,MATCH(H6,Equipe_Nome,0))&amp;" · "&amp;INDEX(Equipe_Situacao,MATCH(H6,Equipe_Nome,0)),""))</f>
        <v/>
      </c>
      <c r="J6" s="36">
        <f>IF($A6="","",IFERROR(ROUND(LARGE('Calc_Afinidade'!H$2:H$31,2),2),""))</f>
        <v/>
      </c>
      <c r="K6" s="34">
        <f>IF($A6="","",IFERROR(INDEX('Calc_Afinidade'!$B$2:$B$31,MATCH(LARGE('Calc_Afinidade'!H$2:H$31,3),'Calc_Afinidade'!H$2:H$31,0)),"—"))</f>
        <v/>
      </c>
      <c r="L6" s="34">
        <f>IF(OR($A6="",K6="—"),"",IFERROR(INDEX(Equipe_Funcao,MATCH(K6,Equipe_Nome,0))&amp;" · "&amp;INDEX(Equipe_Situacao,MATCH(K6,Equipe_Nome,0)),""))</f>
        <v/>
      </c>
      <c r="M6" s="36">
        <f>IF($A6="","",IFERROR(ROUND(LARGE('Calc_Afinidade'!H$2:H$31,3),2),""))</f>
        <v/>
      </c>
      <c r="N6" s="34">
        <f>IF($A6="","",IFERROR(INDEX('Calc_Afinidade'!$B$2:$B$31,MATCH(LARGE('Calc_Afinidade'!H$2:H$31,4),'Calc_Afinidade'!H$2:H$31,0)),"—"))</f>
        <v/>
      </c>
      <c r="O6" s="34">
        <f>IF(OR($A6="",N6="—"),"",IFERROR(INDEX(Equipe_Funcao,MATCH(N6,Equipe_Nome,0))&amp;" · "&amp;INDEX(Equipe_Situacao,MATCH(N6,Equipe_Nome,0)),""))</f>
        <v/>
      </c>
      <c r="P6" s="36">
        <f>IF($A6="","",IFERROR(ROUND(LARGE('Calc_Afinidade'!H$2:H$31,4),2),""))</f>
        <v/>
      </c>
    </row>
    <row r="7">
      <c r="A7" s="15">
        <f>IF('Escala_Dia'!$B7="","",'Escala_Dia'!$B7)</f>
        <v/>
      </c>
      <c r="B7" s="34">
        <f>IF($A7="","",'Escala_Dia'!$C7)</f>
        <v/>
      </c>
      <c r="C7" s="34">
        <f>IF($A7="","",IF('Calc_Mix'!$T7=0,"—",IFERROR(INDEX(Mix_Hab,MATCH(MAX('Calc_Mix'!$F7:$S7),'Calc_Mix'!$F7:$S7,0)),"—")))</f>
        <v/>
      </c>
      <c r="D7" s="34">
        <f>IF($A7="","",'Escala_Dia'!$Q7)</f>
        <v/>
      </c>
      <c r="E7" s="34">
        <f>IF($A7="","",IFERROR(INDEX('Calc_Afinidade'!$B$2:$B$31,MATCH(LARGE('Calc_Afinidade'!I$2:I$31,1),'Calc_Afinidade'!I$2:I$31,0)),"—"))</f>
        <v/>
      </c>
      <c r="F7" s="34">
        <f>IF(OR($A7="",E7="—"),"",IFERROR(INDEX(Equipe_Funcao,MATCH(E7,Equipe_Nome,0))&amp;" · "&amp;INDEX(Equipe_Situacao,MATCH(E7,Equipe_Nome,0)),""))</f>
        <v/>
      </c>
      <c r="G7" s="36">
        <f>IF($A7="","",IFERROR(ROUND(LARGE('Calc_Afinidade'!I$2:I$31,1),2),""))</f>
        <v/>
      </c>
      <c r="H7" s="34">
        <f>IF($A7="","",IFERROR(INDEX('Calc_Afinidade'!$B$2:$B$31,MATCH(LARGE('Calc_Afinidade'!I$2:I$31,2),'Calc_Afinidade'!I$2:I$31,0)),"—"))</f>
        <v/>
      </c>
      <c r="I7" s="34">
        <f>IF(OR($A7="",H7="—"),"",IFERROR(INDEX(Equipe_Funcao,MATCH(H7,Equipe_Nome,0))&amp;" · "&amp;INDEX(Equipe_Situacao,MATCH(H7,Equipe_Nome,0)),""))</f>
        <v/>
      </c>
      <c r="J7" s="36">
        <f>IF($A7="","",IFERROR(ROUND(LARGE('Calc_Afinidade'!I$2:I$31,2),2),""))</f>
        <v/>
      </c>
      <c r="K7" s="34">
        <f>IF($A7="","",IFERROR(INDEX('Calc_Afinidade'!$B$2:$B$31,MATCH(LARGE('Calc_Afinidade'!I$2:I$31,3),'Calc_Afinidade'!I$2:I$31,0)),"—"))</f>
        <v/>
      </c>
      <c r="L7" s="34">
        <f>IF(OR($A7="",K7="—"),"",IFERROR(INDEX(Equipe_Funcao,MATCH(K7,Equipe_Nome,0))&amp;" · "&amp;INDEX(Equipe_Situacao,MATCH(K7,Equipe_Nome,0)),""))</f>
        <v/>
      </c>
      <c r="M7" s="36">
        <f>IF($A7="","",IFERROR(ROUND(LARGE('Calc_Afinidade'!I$2:I$31,3),2),""))</f>
        <v/>
      </c>
      <c r="N7" s="34">
        <f>IF($A7="","",IFERROR(INDEX('Calc_Afinidade'!$B$2:$B$31,MATCH(LARGE('Calc_Afinidade'!I$2:I$31,4),'Calc_Afinidade'!I$2:I$31,0)),"—"))</f>
        <v/>
      </c>
      <c r="O7" s="34">
        <f>IF(OR($A7="",N7="—"),"",IFERROR(INDEX(Equipe_Funcao,MATCH(N7,Equipe_Nome,0))&amp;" · "&amp;INDEX(Equipe_Situacao,MATCH(N7,Equipe_Nome,0)),""))</f>
        <v/>
      </c>
      <c r="P7" s="36">
        <f>IF($A7="","",IFERROR(ROUND(LARGE('Calc_Afinidade'!I$2:I$31,4),2),""))</f>
        <v/>
      </c>
    </row>
    <row r="8">
      <c r="A8" s="15">
        <f>IF('Escala_Dia'!$B8="","",'Escala_Dia'!$B8)</f>
        <v/>
      </c>
      <c r="B8" s="34">
        <f>IF($A8="","",'Escala_Dia'!$C8)</f>
        <v/>
      </c>
      <c r="C8" s="34">
        <f>IF($A8="","",IF('Calc_Mix'!$T8=0,"—",IFERROR(INDEX(Mix_Hab,MATCH(MAX('Calc_Mix'!$F8:$S8),'Calc_Mix'!$F8:$S8,0)),"—")))</f>
        <v/>
      </c>
      <c r="D8" s="34">
        <f>IF($A8="","",'Escala_Dia'!$Q8)</f>
        <v/>
      </c>
      <c r="E8" s="34">
        <f>IF($A8="","",IFERROR(INDEX('Calc_Afinidade'!$B$2:$B$31,MATCH(LARGE('Calc_Afinidade'!J$2:J$31,1),'Calc_Afinidade'!J$2:J$31,0)),"—"))</f>
        <v/>
      </c>
      <c r="F8" s="34">
        <f>IF(OR($A8="",E8="—"),"",IFERROR(INDEX(Equipe_Funcao,MATCH(E8,Equipe_Nome,0))&amp;" · "&amp;INDEX(Equipe_Situacao,MATCH(E8,Equipe_Nome,0)),""))</f>
        <v/>
      </c>
      <c r="G8" s="36">
        <f>IF($A8="","",IFERROR(ROUND(LARGE('Calc_Afinidade'!J$2:J$31,1),2),""))</f>
        <v/>
      </c>
      <c r="H8" s="34">
        <f>IF($A8="","",IFERROR(INDEX('Calc_Afinidade'!$B$2:$B$31,MATCH(LARGE('Calc_Afinidade'!J$2:J$31,2),'Calc_Afinidade'!J$2:J$31,0)),"—"))</f>
        <v/>
      </c>
      <c r="I8" s="34">
        <f>IF(OR($A8="",H8="—"),"",IFERROR(INDEX(Equipe_Funcao,MATCH(H8,Equipe_Nome,0))&amp;" · "&amp;INDEX(Equipe_Situacao,MATCH(H8,Equipe_Nome,0)),""))</f>
        <v/>
      </c>
      <c r="J8" s="36">
        <f>IF($A8="","",IFERROR(ROUND(LARGE('Calc_Afinidade'!J$2:J$31,2),2),""))</f>
        <v/>
      </c>
      <c r="K8" s="34">
        <f>IF($A8="","",IFERROR(INDEX('Calc_Afinidade'!$B$2:$B$31,MATCH(LARGE('Calc_Afinidade'!J$2:J$31,3),'Calc_Afinidade'!J$2:J$31,0)),"—"))</f>
        <v/>
      </c>
      <c r="L8" s="34">
        <f>IF(OR($A8="",K8="—"),"",IFERROR(INDEX(Equipe_Funcao,MATCH(K8,Equipe_Nome,0))&amp;" · "&amp;INDEX(Equipe_Situacao,MATCH(K8,Equipe_Nome,0)),""))</f>
        <v/>
      </c>
      <c r="M8" s="36">
        <f>IF($A8="","",IFERROR(ROUND(LARGE('Calc_Afinidade'!J$2:J$31,3),2),""))</f>
        <v/>
      </c>
      <c r="N8" s="34">
        <f>IF($A8="","",IFERROR(INDEX('Calc_Afinidade'!$B$2:$B$31,MATCH(LARGE('Calc_Afinidade'!J$2:J$31,4),'Calc_Afinidade'!J$2:J$31,0)),"—"))</f>
        <v/>
      </c>
      <c r="O8" s="34">
        <f>IF(OR($A8="",N8="—"),"",IFERROR(INDEX(Equipe_Funcao,MATCH(N8,Equipe_Nome,0))&amp;" · "&amp;INDEX(Equipe_Situacao,MATCH(N8,Equipe_Nome,0)),""))</f>
        <v/>
      </c>
      <c r="P8" s="36">
        <f>IF($A8="","",IFERROR(ROUND(LARGE('Calc_Afinidade'!J$2:J$31,4),2),""))</f>
        <v/>
      </c>
    </row>
    <row r="9">
      <c r="A9" s="15">
        <f>IF('Escala_Dia'!$B9="","",'Escala_Dia'!$B9)</f>
        <v/>
      </c>
      <c r="B9" s="34">
        <f>IF($A9="","",'Escala_Dia'!$C9)</f>
        <v/>
      </c>
      <c r="C9" s="34">
        <f>IF($A9="","",IF('Calc_Mix'!$T9=0,"—",IFERROR(INDEX(Mix_Hab,MATCH(MAX('Calc_Mix'!$F9:$S9),'Calc_Mix'!$F9:$S9,0)),"—")))</f>
        <v/>
      </c>
      <c r="D9" s="34">
        <f>IF($A9="","",'Escala_Dia'!$Q9)</f>
        <v/>
      </c>
      <c r="E9" s="34">
        <f>IF($A9="","",IFERROR(INDEX('Calc_Afinidade'!$B$2:$B$31,MATCH(LARGE('Calc_Afinidade'!K$2:K$31,1),'Calc_Afinidade'!K$2:K$31,0)),"—"))</f>
        <v/>
      </c>
      <c r="F9" s="34">
        <f>IF(OR($A9="",E9="—"),"",IFERROR(INDEX(Equipe_Funcao,MATCH(E9,Equipe_Nome,0))&amp;" · "&amp;INDEX(Equipe_Situacao,MATCH(E9,Equipe_Nome,0)),""))</f>
        <v/>
      </c>
      <c r="G9" s="36">
        <f>IF($A9="","",IFERROR(ROUND(LARGE('Calc_Afinidade'!K$2:K$31,1),2),""))</f>
        <v/>
      </c>
      <c r="H9" s="34">
        <f>IF($A9="","",IFERROR(INDEX('Calc_Afinidade'!$B$2:$B$31,MATCH(LARGE('Calc_Afinidade'!K$2:K$31,2),'Calc_Afinidade'!K$2:K$31,0)),"—"))</f>
        <v/>
      </c>
      <c r="I9" s="34">
        <f>IF(OR($A9="",H9="—"),"",IFERROR(INDEX(Equipe_Funcao,MATCH(H9,Equipe_Nome,0))&amp;" · "&amp;INDEX(Equipe_Situacao,MATCH(H9,Equipe_Nome,0)),""))</f>
        <v/>
      </c>
      <c r="J9" s="36">
        <f>IF($A9="","",IFERROR(ROUND(LARGE('Calc_Afinidade'!K$2:K$31,2),2),""))</f>
        <v/>
      </c>
      <c r="K9" s="34">
        <f>IF($A9="","",IFERROR(INDEX('Calc_Afinidade'!$B$2:$B$31,MATCH(LARGE('Calc_Afinidade'!K$2:K$31,3),'Calc_Afinidade'!K$2:K$31,0)),"—"))</f>
        <v/>
      </c>
      <c r="L9" s="34">
        <f>IF(OR($A9="",K9="—"),"",IFERROR(INDEX(Equipe_Funcao,MATCH(K9,Equipe_Nome,0))&amp;" · "&amp;INDEX(Equipe_Situacao,MATCH(K9,Equipe_Nome,0)),""))</f>
        <v/>
      </c>
      <c r="M9" s="36">
        <f>IF($A9="","",IFERROR(ROUND(LARGE('Calc_Afinidade'!K$2:K$31,3),2),""))</f>
        <v/>
      </c>
      <c r="N9" s="34">
        <f>IF($A9="","",IFERROR(INDEX('Calc_Afinidade'!$B$2:$B$31,MATCH(LARGE('Calc_Afinidade'!K$2:K$31,4),'Calc_Afinidade'!K$2:K$31,0)),"—"))</f>
        <v/>
      </c>
      <c r="O9" s="34">
        <f>IF(OR($A9="",N9="—"),"",IFERROR(INDEX(Equipe_Funcao,MATCH(N9,Equipe_Nome,0))&amp;" · "&amp;INDEX(Equipe_Situacao,MATCH(N9,Equipe_Nome,0)),""))</f>
        <v/>
      </c>
      <c r="P9" s="36">
        <f>IF($A9="","",IFERROR(ROUND(LARGE('Calc_Afinidade'!K$2:K$31,4),2),""))</f>
        <v/>
      </c>
    </row>
    <row r="10">
      <c r="A10" s="15">
        <f>IF('Escala_Dia'!$B10="","",'Escala_Dia'!$B10)</f>
        <v/>
      </c>
      <c r="B10" s="34">
        <f>IF($A10="","",'Escala_Dia'!$C10)</f>
        <v/>
      </c>
      <c r="C10" s="34">
        <f>IF($A10="","",IF('Calc_Mix'!$T10=0,"—",IFERROR(INDEX(Mix_Hab,MATCH(MAX('Calc_Mix'!$F10:$S10),'Calc_Mix'!$F10:$S10,0)),"—")))</f>
        <v/>
      </c>
      <c r="D10" s="34">
        <f>IF($A10="","",'Escala_Dia'!$Q10)</f>
        <v/>
      </c>
      <c r="E10" s="34">
        <f>IF($A10="","",IFERROR(INDEX('Calc_Afinidade'!$B$2:$B$31,MATCH(LARGE('Calc_Afinidade'!L$2:L$31,1),'Calc_Afinidade'!L$2:L$31,0)),"—"))</f>
        <v/>
      </c>
      <c r="F10" s="34">
        <f>IF(OR($A10="",E10="—"),"",IFERROR(INDEX(Equipe_Funcao,MATCH(E10,Equipe_Nome,0))&amp;" · "&amp;INDEX(Equipe_Situacao,MATCH(E10,Equipe_Nome,0)),""))</f>
        <v/>
      </c>
      <c r="G10" s="36">
        <f>IF($A10="","",IFERROR(ROUND(LARGE('Calc_Afinidade'!L$2:L$31,1),2),""))</f>
        <v/>
      </c>
      <c r="H10" s="34">
        <f>IF($A10="","",IFERROR(INDEX('Calc_Afinidade'!$B$2:$B$31,MATCH(LARGE('Calc_Afinidade'!L$2:L$31,2),'Calc_Afinidade'!L$2:L$31,0)),"—"))</f>
        <v/>
      </c>
      <c r="I10" s="34">
        <f>IF(OR($A10="",H10="—"),"",IFERROR(INDEX(Equipe_Funcao,MATCH(H10,Equipe_Nome,0))&amp;" · "&amp;INDEX(Equipe_Situacao,MATCH(H10,Equipe_Nome,0)),""))</f>
        <v/>
      </c>
      <c r="J10" s="36">
        <f>IF($A10="","",IFERROR(ROUND(LARGE('Calc_Afinidade'!L$2:L$31,2),2),""))</f>
        <v/>
      </c>
      <c r="K10" s="34">
        <f>IF($A10="","",IFERROR(INDEX('Calc_Afinidade'!$B$2:$B$31,MATCH(LARGE('Calc_Afinidade'!L$2:L$31,3),'Calc_Afinidade'!L$2:L$31,0)),"—"))</f>
        <v/>
      </c>
      <c r="L10" s="34">
        <f>IF(OR($A10="",K10="—"),"",IFERROR(INDEX(Equipe_Funcao,MATCH(K10,Equipe_Nome,0))&amp;" · "&amp;INDEX(Equipe_Situacao,MATCH(K10,Equipe_Nome,0)),""))</f>
        <v/>
      </c>
      <c r="M10" s="36">
        <f>IF($A10="","",IFERROR(ROUND(LARGE('Calc_Afinidade'!L$2:L$31,3),2),""))</f>
        <v/>
      </c>
      <c r="N10" s="34">
        <f>IF($A10="","",IFERROR(INDEX('Calc_Afinidade'!$B$2:$B$31,MATCH(LARGE('Calc_Afinidade'!L$2:L$31,4),'Calc_Afinidade'!L$2:L$31,0)),"—"))</f>
        <v/>
      </c>
      <c r="O10" s="34">
        <f>IF(OR($A10="",N10="—"),"",IFERROR(INDEX(Equipe_Funcao,MATCH(N10,Equipe_Nome,0))&amp;" · "&amp;INDEX(Equipe_Situacao,MATCH(N10,Equipe_Nome,0)),""))</f>
        <v/>
      </c>
      <c r="P10" s="36">
        <f>IF($A10="","",IFERROR(ROUND(LARGE('Calc_Afinidade'!L$2:L$31,4),2),""))</f>
        <v/>
      </c>
    </row>
    <row r="11">
      <c r="A11" s="15">
        <f>IF('Escala_Dia'!$B11="","",'Escala_Dia'!$B11)</f>
        <v/>
      </c>
      <c r="B11" s="34">
        <f>IF($A11="","",'Escala_Dia'!$C11)</f>
        <v/>
      </c>
      <c r="C11" s="34">
        <f>IF($A11="","",IF('Calc_Mix'!$T11=0,"—",IFERROR(INDEX(Mix_Hab,MATCH(MAX('Calc_Mix'!$F11:$S11),'Calc_Mix'!$F11:$S11,0)),"—")))</f>
        <v/>
      </c>
      <c r="D11" s="34">
        <f>IF($A11="","",'Escala_Dia'!$Q11)</f>
        <v/>
      </c>
      <c r="E11" s="34">
        <f>IF($A11="","",IFERROR(INDEX('Calc_Afinidade'!$B$2:$B$31,MATCH(LARGE('Calc_Afinidade'!M$2:M$31,1),'Calc_Afinidade'!M$2:M$31,0)),"—"))</f>
        <v/>
      </c>
      <c r="F11" s="34">
        <f>IF(OR($A11="",E11="—"),"",IFERROR(INDEX(Equipe_Funcao,MATCH(E11,Equipe_Nome,0))&amp;" · "&amp;INDEX(Equipe_Situacao,MATCH(E11,Equipe_Nome,0)),""))</f>
        <v/>
      </c>
      <c r="G11" s="36">
        <f>IF($A11="","",IFERROR(ROUND(LARGE('Calc_Afinidade'!M$2:M$31,1),2),""))</f>
        <v/>
      </c>
      <c r="H11" s="34">
        <f>IF($A11="","",IFERROR(INDEX('Calc_Afinidade'!$B$2:$B$31,MATCH(LARGE('Calc_Afinidade'!M$2:M$31,2),'Calc_Afinidade'!M$2:M$31,0)),"—"))</f>
        <v/>
      </c>
      <c r="I11" s="34">
        <f>IF(OR($A11="",H11="—"),"",IFERROR(INDEX(Equipe_Funcao,MATCH(H11,Equipe_Nome,0))&amp;" · "&amp;INDEX(Equipe_Situacao,MATCH(H11,Equipe_Nome,0)),""))</f>
        <v/>
      </c>
      <c r="J11" s="36">
        <f>IF($A11="","",IFERROR(ROUND(LARGE('Calc_Afinidade'!M$2:M$31,2),2),""))</f>
        <v/>
      </c>
      <c r="K11" s="34">
        <f>IF($A11="","",IFERROR(INDEX('Calc_Afinidade'!$B$2:$B$31,MATCH(LARGE('Calc_Afinidade'!M$2:M$31,3),'Calc_Afinidade'!M$2:M$31,0)),"—"))</f>
        <v/>
      </c>
      <c r="L11" s="34">
        <f>IF(OR($A11="",K11="—"),"",IFERROR(INDEX(Equipe_Funcao,MATCH(K11,Equipe_Nome,0))&amp;" · "&amp;INDEX(Equipe_Situacao,MATCH(K11,Equipe_Nome,0)),""))</f>
        <v/>
      </c>
      <c r="M11" s="36">
        <f>IF($A11="","",IFERROR(ROUND(LARGE('Calc_Afinidade'!M$2:M$31,3),2),""))</f>
        <v/>
      </c>
      <c r="N11" s="34">
        <f>IF($A11="","",IFERROR(INDEX('Calc_Afinidade'!$B$2:$B$31,MATCH(LARGE('Calc_Afinidade'!M$2:M$31,4),'Calc_Afinidade'!M$2:M$31,0)),"—"))</f>
        <v/>
      </c>
      <c r="O11" s="34">
        <f>IF(OR($A11="",N11="—"),"",IFERROR(INDEX(Equipe_Funcao,MATCH(N11,Equipe_Nome,0))&amp;" · "&amp;INDEX(Equipe_Situacao,MATCH(N11,Equipe_Nome,0)),""))</f>
        <v/>
      </c>
      <c r="P11" s="36">
        <f>IF($A11="","",IFERROR(ROUND(LARGE('Calc_Afinidade'!M$2:M$31,4),2),""))</f>
        <v/>
      </c>
    </row>
    <row r="12">
      <c r="A12" s="15">
        <f>IF('Escala_Dia'!$B12="","",'Escala_Dia'!$B12)</f>
        <v/>
      </c>
      <c r="B12" s="34">
        <f>IF($A12="","",'Escala_Dia'!$C12)</f>
        <v/>
      </c>
      <c r="C12" s="34">
        <f>IF($A12="","",IF('Calc_Mix'!$T12=0,"—",IFERROR(INDEX(Mix_Hab,MATCH(MAX('Calc_Mix'!$F12:$S12),'Calc_Mix'!$F12:$S12,0)),"—")))</f>
        <v/>
      </c>
      <c r="D12" s="34">
        <f>IF($A12="","",'Escala_Dia'!$Q12)</f>
        <v/>
      </c>
      <c r="E12" s="34">
        <f>IF($A12="","",IFERROR(INDEX('Calc_Afinidade'!$B$2:$B$31,MATCH(LARGE('Calc_Afinidade'!N$2:N$31,1),'Calc_Afinidade'!N$2:N$31,0)),"—"))</f>
        <v/>
      </c>
      <c r="F12" s="34">
        <f>IF(OR($A12="",E12="—"),"",IFERROR(INDEX(Equipe_Funcao,MATCH(E12,Equipe_Nome,0))&amp;" · "&amp;INDEX(Equipe_Situacao,MATCH(E12,Equipe_Nome,0)),""))</f>
        <v/>
      </c>
      <c r="G12" s="36">
        <f>IF($A12="","",IFERROR(ROUND(LARGE('Calc_Afinidade'!N$2:N$31,1),2),""))</f>
        <v/>
      </c>
      <c r="H12" s="34">
        <f>IF($A12="","",IFERROR(INDEX('Calc_Afinidade'!$B$2:$B$31,MATCH(LARGE('Calc_Afinidade'!N$2:N$31,2),'Calc_Afinidade'!N$2:N$31,0)),"—"))</f>
        <v/>
      </c>
      <c r="I12" s="34">
        <f>IF(OR($A12="",H12="—"),"",IFERROR(INDEX(Equipe_Funcao,MATCH(H12,Equipe_Nome,0))&amp;" · "&amp;INDEX(Equipe_Situacao,MATCH(H12,Equipe_Nome,0)),""))</f>
        <v/>
      </c>
      <c r="J12" s="36">
        <f>IF($A12="","",IFERROR(ROUND(LARGE('Calc_Afinidade'!N$2:N$31,2),2),""))</f>
        <v/>
      </c>
      <c r="K12" s="34">
        <f>IF($A12="","",IFERROR(INDEX('Calc_Afinidade'!$B$2:$B$31,MATCH(LARGE('Calc_Afinidade'!N$2:N$31,3),'Calc_Afinidade'!N$2:N$31,0)),"—"))</f>
        <v/>
      </c>
      <c r="L12" s="34">
        <f>IF(OR($A12="",K12="—"),"",IFERROR(INDEX(Equipe_Funcao,MATCH(K12,Equipe_Nome,0))&amp;" · "&amp;INDEX(Equipe_Situacao,MATCH(K12,Equipe_Nome,0)),""))</f>
        <v/>
      </c>
      <c r="M12" s="36">
        <f>IF($A12="","",IFERROR(ROUND(LARGE('Calc_Afinidade'!N$2:N$31,3),2),""))</f>
        <v/>
      </c>
      <c r="N12" s="34">
        <f>IF($A12="","",IFERROR(INDEX('Calc_Afinidade'!$B$2:$B$31,MATCH(LARGE('Calc_Afinidade'!N$2:N$31,4),'Calc_Afinidade'!N$2:N$31,0)),"—"))</f>
        <v/>
      </c>
      <c r="O12" s="34">
        <f>IF(OR($A12="",N12="—"),"",IFERROR(INDEX(Equipe_Funcao,MATCH(N12,Equipe_Nome,0))&amp;" · "&amp;INDEX(Equipe_Situacao,MATCH(N12,Equipe_Nome,0)),""))</f>
        <v/>
      </c>
      <c r="P12" s="36">
        <f>IF($A12="","",IFERROR(ROUND(LARGE('Calc_Afinidade'!N$2:N$31,4),2),""))</f>
        <v/>
      </c>
    </row>
    <row r="13">
      <c r="A13" s="15">
        <f>IF('Escala_Dia'!$B13="","",'Escala_Dia'!$B13)</f>
        <v/>
      </c>
      <c r="B13" s="34">
        <f>IF($A13="","",'Escala_Dia'!$C13)</f>
        <v/>
      </c>
      <c r="C13" s="34">
        <f>IF($A13="","",IF('Calc_Mix'!$T13=0,"—",IFERROR(INDEX(Mix_Hab,MATCH(MAX('Calc_Mix'!$F13:$S13),'Calc_Mix'!$F13:$S13,0)),"—")))</f>
        <v/>
      </c>
      <c r="D13" s="34">
        <f>IF($A13="","",'Escala_Dia'!$Q13)</f>
        <v/>
      </c>
      <c r="E13" s="34">
        <f>IF($A13="","",IFERROR(INDEX('Calc_Afinidade'!$B$2:$B$31,MATCH(LARGE('Calc_Afinidade'!O$2:O$31,1),'Calc_Afinidade'!O$2:O$31,0)),"—"))</f>
        <v/>
      </c>
      <c r="F13" s="34">
        <f>IF(OR($A13="",E13="—"),"",IFERROR(INDEX(Equipe_Funcao,MATCH(E13,Equipe_Nome,0))&amp;" · "&amp;INDEX(Equipe_Situacao,MATCH(E13,Equipe_Nome,0)),""))</f>
        <v/>
      </c>
      <c r="G13" s="36">
        <f>IF($A13="","",IFERROR(ROUND(LARGE('Calc_Afinidade'!O$2:O$31,1),2),""))</f>
        <v/>
      </c>
      <c r="H13" s="34">
        <f>IF($A13="","",IFERROR(INDEX('Calc_Afinidade'!$B$2:$B$31,MATCH(LARGE('Calc_Afinidade'!O$2:O$31,2),'Calc_Afinidade'!O$2:O$31,0)),"—"))</f>
        <v/>
      </c>
      <c r="I13" s="34">
        <f>IF(OR($A13="",H13="—"),"",IFERROR(INDEX(Equipe_Funcao,MATCH(H13,Equipe_Nome,0))&amp;" · "&amp;INDEX(Equipe_Situacao,MATCH(H13,Equipe_Nome,0)),""))</f>
        <v/>
      </c>
      <c r="J13" s="36">
        <f>IF($A13="","",IFERROR(ROUND(LARGE('Calc_Afinidade'!O$2:O$31,2),2),""))</f>
        <v/>
      </c>
      <c r="K13" s="34">
        <f>IF($A13="","",IFERROR(INDEX('Calc_Afinidade'!$B$2:$B$31,MATCH(LARGE('Calc_Afinidade'!O$2:O$31,3),'Calc_Afinidade'!O$2:O$31,0)),"—"))</f>
        <v/>
      </c>
      <c r="L13" s="34">
        <f>IF(OR($A13="",K13="—"),"",IFERROR(INDEX(Equipe_Funcao,MATCH(K13,Equipe_Nome,0))&amp;" · "&amp;INDEX(Equipe_Situacao,MATCH(K13,Equipe_Nome,0)),""))</f>
        <v/>
      </c>
      <c r="M13" s="36">
        <f>IF($A13="","",IFERROR(ROUND(LARGE('Calc_Afinidade'!O$2:O$31,3),2),""))</f>
        <v/>
      </c>
      <c r="N13" s="34">
        <f>IF($A13="","",IFERROR(INDEX('Calc_Afinidade'!$B$2:$B$31,MATCH(LARGE('Calc_Afinidade'!O$2:O$31,4),'Calc_Afinidade'!O$2:O$31,0)),"—"))</f>
        <v/>
      </c>
      <c r="O13" s="34">
        <f>IF(OR($A13="",N13="—"),"",IFERROR(INDEX(Equipe_Funcao,MATCH(N13,Equipe_Nome,0))&amp;" · "&amp;INDEX(Equipe_Situacao,MATCH(N13,Equipe_Nome,0)),""))</f>
        <v/>
      </c>
      <c r="P13" s="36">
        <f>IF($A13="","",IFERROR(ROUND(LARGE('Calc_Afinidade'!O$2:O$31,4),2),""))</f>
        <v/>
      </c>
    </row>
    <row r="14">
      <c r="A14" s="15">
        <f>IF('Escala_Dia'!$B14="","",'Escala_Dia'!$B14)</f>
        <v/>
      </c>
      <c r="B14" s="34">
        <f>IF($A14="","",'Escala_Dia'!$C14)</f>
        <v/>
      </c>
      <c r="C14" s="34">
        <f>IF($A14="","",IF('Calc_Mix'!$T14=0,"—",IFERROR(INDEX(Mix_Hab,MATCH(MAX('Calc_Mix'!$F14:$S14),'Calc_Mix'!$F14:$S14,0)),"—")))</f>
        <v/>
      </c>
      <c r="D14" s="34">
        <f>IF($A14="","",'Escala_Dia'!$Q14)</f>
        <v/>
      </c>
      <c r="E14" s="34">
        <f>IF($A14="","",IFERROR(INDEX('Calc_Afinidade'!$B$2:$B$31,MATCH(LARGE('Calc_Afinidade'!P$2:P$31,1),'Calc_Afinidade'!P$2:P$31,0)),"—"))</f>
        <v/>
      </c>
      <c r="F14" s="34">
        <f>IF(OR($A14="",E14="—"),"",IFERROR(INDEX(Equipe_Funcao,MATCH(E14,Equipe_Nome,0))&amp;" · "&amp;INDEX(Equipe_Situacao,MATCH(E14,Equipe_Nome,0)),""))</f>
        <v/>
      </c>
      <c r="G14" s="36">
        <f>IF($A14="","",IFERROR(ROUND(LARGE('Calc_Afinidade'!P$2:P$31,1),2),""))</f>
        <v/>
      </c>
      <c r="H14" s="34">
        <f>IF($A14="","",IFERROR(INDEX('Calc_Afinidade'!$B$2:$B$31,MATCH(LARGE('Calc_Afinidade'!P$2:P$31,2),'Calc_Afinidade'!P$2:P$31,0)),"—"))</f>
        <v/>
      </c>
      <c r="I14" s="34">
        <f>IF(OR($A14="",H14="—"),"",IFERROR(INDEX(Equipe_Funcao,MATCH(H14,Equipe_Nome,0))&amp;" · "&amp;INDEX(Equipe_Situacao,MATCH(H14,Equipe_Nome,0)),""))</f>
        <v/>
      </c>
      <c r="J14" s="36">
        <f>IF($A14="","",IFERROR(ROUND(LARGE('Calc_Afinidade'!P$2:P$31,2),2),""))</f>
        <v/>
      </c>
      <c r="K14" s="34">
        <f>IF($A14="","",IFERROR(INDEX('Calc_Afinidade'!$B$2:$B$31,MATCH(LARGE('Calc_Afinidade'!P$2:P$31,3),'Calc_Afinidade'!P$2:P$31,0)),"—"))</f>
        <v/>
      </c>
      <c r="L14" s="34">
        <f>IF(OR($A14="",K14="—"),"",IFERROR(INDEX(Equipe_Funcao,MATCH(K14,Equipe_Nome,0))&amp;" · "&amp;INDEX(Equipe_Situacao,MATCH(K14,Equipe_Nome,0)),""))</f>
        <v/>
      </c>
      <c r="M14" s="36">
        <f>IF($A14="","",IFERROR(ROUND(LARGE('Calc_Afinidade'!P$2:P$31,3),2),""))</f>
        <v/>
      </c>
      <c r="N14" s="34">
        <f>IF($A14="","",IFERROR(INDEX('Calc_Afinidade'!$B$2:$B$31,MATCH(LARGE('Calc_Afinidade'!P$2:P$31,4),'Calc_Afinidade'!P$2:P$31,0)),"—"))</f>
        <v/>
      </c>
      <c r="O14" s="34">
        <f>IF(OR($A14="",N14="—"),"",IFERROR(INDEX(Equipe_Funcao,MATCH(N14,Equipe_Nome,0))&amp;" · "&amp;INDEX(Equipe_Situacao,MATCH(N14,Equipe_Nome,0)),""))</f>
        <v/>
      </c>
      <c r="P14" s="36">
        <f>IF($A14="","",IFERROR(ROUND(LARGE('Calc_Afinidade'!P$2:P$31,4),2),""))</f>
        <v/>
      </c>
    </row>
    <row r="15">
      <c r="A15" s="15">
        <f>IF('Escala_Dia'!$B15="","",'Escala_Dia'!$B15)</f>
        <v/>
      </c>
      <c r="B15" s="34">
        <f>IF($A15="","",'Escala_Dia'!$C15)</f>
        <v/>
      </c>
      <c r="C15" s="34">
        <f>IF($A15="","",IF('Calc_Mix'!$T15=0,"—",IFERROR(INDEX(Mix_Hab,MATCH(MAX('Calc_Mix'!$F15:$S15),'Calc_Mix'!$F15:$S15,0)),"—")))</f>
        <v/>
      </c>
      <c r="D15" s="34">
        <f>IF($A15="","",'Escala_Dia'!$Q15)</f>
        <v/>
      </c>
      <c r="E15" s="34">
        <f>IF($A15="","",IFERROR(INDEX('Calc_Afinidade'!$B$2:$B$31,MATCH(LARGE('Calc_Afinidade'!Q$2:Q$31,1),'Calc_Afinidade'!Q$2:Q$31,0)),"—"))</f>
        <v/>
      </c>
      <c r="F15" s="34">
        <f>IF(OR($A15="",E15="—"),"",IFERROR(INDEX(Equipe_Funcao,MATCH(E15,Equipe_Nome,0))&amp;" · "&amp;INDEX(Equipe_Situacao,MATCH(E15,Equipe_Nome,0)),""))</f>
        <v/>
      </c>
      <c r="G15" s="36">
        <f>IF($A15="","",IFERROR(ROUND(LARGE('Calc_Afinidade'!Q$2:Q$31,1),2),""))</f>
        <v/>
      </c>
      <c r="H15" s="34">
        <f>IF($A15="","",IFERROR(INDEX('Calc_Afinidade'!$B$2:$B$31,MATCH(LARGE('Calc_Afinidade'!Q$2:Q$31,2),'Calc_Afinidade'!Q$2:Q$31,0)),"—"))</f>
        <v/>
      </c>
      <c r="I15" s="34">
        <f>IF(OR($A15="",H15="—"),"",IFERROR(INDEX(Equipe_Funcao,MATCH(H15,Equipe_Nome,0))&amp;" · "&amp;INDEX(Equipe_Situacao,MATCH(H15,Equipe_Nome,0)),""))</f>
        <v/>
      </c>
      <c r="J15" s="36">
        <f>IF($A15="","",IFERROR(ROUND(LARGE('Calc_Afinidade'!Q$2:Q$31,2),2),""))</f>
        <v/>
      </c>
      <c r="K15" s="34">
        <f>IF($A15="","",IFERROR(INDEX('Calc_Afinidade'!$B$2:$B$31,MATCH(LARGE('Calc_Afinidade'!Q$2:Q$31,3),'Calc_Afinidade'!Q$2:Q$31,0)),"—"))</f>
        <v/>
      </c>
      <c r="L15" s="34">
        <f>IF(OR($A15="",K15="—"),"",IFERROR(INDEX(Equipe_Funcao,MATCH(K15,Equipe_Nome,0))&amp;" · "&amp;INDEX(Equipe_Situacao,MATCH(K15,Equipe_Nome,0)),""))</f>
        <v/>
      </c>
      <c r="M15" s="36">
        <f>IF($A15="","",IFERROR(ROUND(LARGE('Calc_Afinidade'!Q$2:Q$31,3),2),""))</f>
        <v/>
      </c>
      <c r="N15" s="34">
        <f>IF($A15="","",IFERROR(INDEX('Calc_Afinidade'!$B$2:$B$31,MATCH(LARGE('Calc_Afinidade'!Q$2:Q$31,4),'Calc_Afinidade'!Q$2:Q$31,0)),"—"))</f>
        <v/>
      </c>
      <c r="O15" s="34">
        <f>IF(OR($A15="",N15="—"),"",IFERROR(INDEX(Equipe_Funcao,MATCH(N15,Equipe_Nome,0))&amp;" · "&amp;INDEX(Equipe_Situacao,MATCH(N15,Equipe_Nome,0)),""))</f>
        <v/>
      </c>
      <c r="P15" s="36">
        <f>IF($A15="","",IFERROR(ROUND(LARGE('Calc_Afinidade'!Q$2:Q$31,4),2),""))</f>
        <v/>
      </c>
    </row>
    <row r="16">
      <c r="A16" s="15">
        <f>IF('Escala_Dia'!$B16="","",'Escala_Dia'!$B16)</f>
        <v/>
      </c>
      <c r="B16" s="34">
        <f>IF($A16="","",'Escala_Dia'!$C16)</f>
        <v/>
      </c>
      <c r="C16" s="34">
        <f>IF($A16="","",IF('Calc_Mix'!$T16=0,"—",IFERROR(INDEX(Mix_Hab,MATCH(MAX('Calc_Mix'!$F16:$S16),'Calc_Mix'!$F16:$S16,0)),"—")))</f>
        <v/>
      </c>
      <c r="D16" s="34">
        <f>IF($A16="","",'Escala_Dia'!$Q16)</f>
        <v/>
      </c>
      <c r="E16" s="34">
        <f>IF($A16="","",IFERROR(INDEX('Calc_Afinidade'!$B$2:$B$31,MATCH(LARGE('Calc_Afinidade'!R$2:R$31,1),'Calc_Afinidade'!R$2:R$31,0)),"—"))</f>
        <v/>
      </c>
      <c r="F16" s="34">
        <f>IF(OR($A16="",E16="—"),"",IFERROR(INDEX(Equipe_Funcao,MATCH(E16,Equipe_Nome,0))&amp;" · "&amp;INDEX(Equipe_Situacao,MATCH(E16,Equipe_Nome,0)),""))</f>
        <v/>
      </c>
      <c r="G16" s="36">
        <f>IF($A16="","",IFERROR(ROUND(LARGE('Calc_Afinidade'!R$2:R$31,1),2),""))</f>
        <v/>
      </c>
      <c r="H16" s="34">
        <f>IF($A16="","",IFERROR(INDEX('Calc_Afinidade'!$B$2:$B$31,MATCH(LARGE('Calc_Afinidade'!R$2:R$31,2),'Calc_Afinidade'!R$2:R$31,0)),"—"))</f>
        <v/>
      </c>
      <c r="I16" s="34">
        <f>IF(OR($A16="",H16="—"),"",IFERROR(INDEX(Equipe_Funcao,MATCH(H16,Equipe_Nome,0))&amp;" · "&amp;INDEX(Equipe_Situacao,MATCH(H16,Equipe_Nome,0)),""))</f>
        <v/>
      </c>
      <c r="J16" s="36">
        <f>IF($A16="","",IFERROR(ROUND(LARGE('Calc_Afinidade'!R$2:R$31,2),2),""))</f>
        <v/>
      </c>
      <c r="K16" s="34">
        <f>IF($A16="","",IFERROR(INDEX('Calc_Afinidade'!$B$2:$B$31,MATCH(LARGE('Calc_Afinidade'!R$2:R$31,3),'Calc_Afinidade'!R$2:R$31,0)),"—"))</f>
        <v/>
      </c>
      <c r="L16" s="34">
        <f>IF(OR($A16="",K16="—"),"",IFERROR(INDEX(Equipe_Funcao,MATCH(K16,Equipe_Nome,0))&amp;" · "&amp;INDEX(Equipe_Situacao,MATCH(K16,Equipe_Nome,0)),""))</f>
        <v/>
      </c>
      <c r="M16" s="36">
        <f>IF($A16="","",IFERROR(ROUND(LARGE('Calc_Afinidade'!R$2:R$31,3),2),""))</f>
        <v/>
      </c>
      <c r="N16" s="34">
        <f>IF($A16="","",IFERROR(INDEX('Calc_Afinidade'!$B$2:$B$31,MATCH(LARGE('Calc_Afinidade'!R$2:R$31,4),'Calc_Afinidade'!R$2:R$31,0)),"—"))</f>
        <v/>
      </c>
      <c r="O16" s="34">
        <f>IF(OR($A16="",N16="—"),"",IFERROR(INDEX(Equipe_Funcao,MATCH(N16,Equipe_Nome,0))&amp;" · "&amp;INDEX(Equipe_Situacao,MATCH(N16,Equipe_Nome,0)),""))</f>
        <v/>
      </c>
      <c r="P16" s="36">
        <f>IF($A16="","",IFERROR(ROUND(LARGE('Calc_Afinidade'!R$2:R$31,4),2),""))</f>
        <v/>
      </c>
    </row>
    <row r="17">
      <c r="A17" s="15">
        <f>IF('Escala_Dia'!$B17="","",'Escala_Dia'!$B17)</f>
        <v/>
      </c>
      <c r="B17" s="34">
        <f>IF($A17="","",'Escala_Dia'!$C17)</f>
        <v/>
      </c>
      <c r="C17" s="34">
        <f>IF($A17="","",IF('Calc_Mix'!$T17=0,"—",IFERROR(INDEX(Mix_Hab,MATCH(MAX('Calc_Mix'!$F17:$S17),'Calc_Mix'!$F17:$S17,0)),"—")))</f>
        <v/>
      </c>
      <c r="D17" s="34">
        <f>IF($A17="","",'Escala_Dia'!$Q17)</f>
        <v/>
      </c>
      <c r="E17" s="34">
        <f>IF($A17="","",IFERROR(INDEX('Calc_Afinidade'!$B$2:$B$31,MATCH(LARGE('Calc_Afinidade'!S$2:S$31,1),'Calc_Afinidade'!S$2:S$31,0)),"—"))</f>
        <v/>
      </c>
      <c r="F17" s="34">
        <f>IF(OR($A17="",E17="—"),"",IFERROR(INDEX(Equipe_Funcao,MATCH(E17,Equipe_Nome,0))&amp;" · "&amp;INDEX(Equipe_Situacao,MATCH(E17,Equipe_Nome,0)),""))</f>
        <v/>
      </c>
      <c r="G17" s="36">
        <f>IF($A17="","",IFERROR(ROUND(LARGE('Calc_Afinidade'!S$2:S$31,1),2),""))</f>
        <v/>
      </c>
      <c r="H17" s="34">
        <f>IF($A17="","",IFERROR(INDEX('Calc_Afinidade'!$B$2:$B$31,MATCH(LARGE('Calc_Afinidade'!S$2:S$31,2),'Calc_Afinidade'!S$2:S$31,0)),"—"))</f>
        <v/>
      </c>
      <c r="I17" s="34">
        <f>IF(OR($A17="",H17="—"),"",IFERROR(INDEX(Equipe_Funcao,MATCH(H17,Equipe_Nome,0))&amp;" · "&amp;INDEX(Equipe_Situacao,MATCH(H17,Equipe_Nome,0)),""))</f>
        <v/>
      </c>
      <c r="J17" s="36">
        <f>IF($A17="","",IFERROR(ROUND(LARGE('Calc_Afinidade'!S$2:S$31,2),2),""))</f>
        <v/>
      </c>
      <c r="K17" s="34">
        <f>IF($A17="","",IFERROR(INDEX('Calc_Afinidade'!$B$2:$B$31,MATCH(LARGE('Calc_Afinidade'!S$2:S$31,3),'Calc_Afinidade'!S$2:S$31,0)),"—"))</f>
        <v/>
      </c>
      <c r="L17" s="34">
        <f>IF(OR($A17="",K17="—"),"",IFERROR(INDEX(Equipe_Funcao,MATCH(K17,Equipe_Nome,0))&amp;" · "&amp;INDEX(Equipe_Situacao,MATCH(K17,Equipe_Nome,0)),""))</f>
        <v/>
      </c>
      <c r="M17" s="36">
        <f>IF($A17="","",IFERROR(ROUND(LARGE('Calc_Afinidade'!S$2:S$31,3),2),""))</f>
        <v/>
      </c>
      <c r="N17" s="34">
        <f>IF($A17="","",IFERROR(INDEX('Calc_Afinidade'!$B$2:$B$31,MATCH(LARGE('Calc_Afinidade'!S$2:S$31,4),'Calc_Afinidade'!S$2:S$31,0)),"—"))</f>
        <v/>
      </c>
      <c r="O17" s="34">
        <f>IF(OR($A17="",N17="—"),"",IFERROR(INDEX(Equipe_Funcao,MATCH(N17,Equipe_Nome,0))&amp;" · "&amp;INDEX(Equipe_Situacao,MATCH(N17,Equipe_Nome,0)),""))</f>
        <v/>
      </c>
      <c r="P17" s="36">
        <f>IF($A17="","",IFERROR(ROUND(LARGE('Calc_Afinidade'!S$2:S$31,4),2),""))</f>
        <v/>
      </c>
    </row>
  </sheetData>
  <autoFilter ref="A1:P17"/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I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6" customWidth="1" min="3" max="3"/>
    <col width="14" customWidth="1" min="4" max="4"/>
    <col width="13" customWidth="1" min="5" max="5"/>
    <col width="20" customWidth="1" min="6" max="6"/>
    <col width="24" customWidth="1" min="7" max="7"/>
    <col hidden="1" width="9" customWidth="1" min="8" max="8"/>
    <col hidden="1" width="9" customWidth="1" min="9" max="9"/>
  </cols>
  <sheetData>
    <row r="1" ht="32" customHeight="1">
      <c r="A1" s="14" t="inlineStr">
        <is>
          <t>Sala</t>
        </is>
      </c>
      <c r="B1" s="14" t="inlineStr">
        <is>
          <t>Janela nº</t>
        </is>
      </c>
      <c r="C1" s="14" t="inlineStr">
        <is>
          <t>Livre a partir de</t>
        </is>
      </c>
      <c r="D1" s="14" t="inlineStr">
        <is>
          <t>Livre até</t>
        </is>
      </c>
      <c r="E1" s="14" t="inlineStr">
        <is>
          <t>Duração (min)</t>
        </is>
      </c>
      <c r="F1" s="14" t="inlineStr">
        <is>
          <t>Cabe cirurgia de até (min)</t>
        </is>
      </c>
      <c r="G1" s="14" t="inlineStr">
        <is>
          <t>Situação</t>
        </is>
      </c>
      <c r="H1" s="14" t="inlineStr">
        <is>
          <t>aux_ini</t>
        </is>
      </c>
      <c r="I1" s="14" t="inlineStr">
        <is>
          <t>aux_fim</t>
        </is>
      </c>
    </row>
    <row r="2">
      <c r="A2" s="33">
        <f>IF(OR('Calc_Mix'!$B2="",'Calc_Mix'!$C2&lt;&gt;"Sala cirúrgica"),"",'Calc_Mix'!$B2)</f>
        <v/>
      </c>
      <c r="B2" s="33" t="n">
        <v>0</v>
      </c>
      <c r="C2" s="43">
        <f>IF(OR($E2="",$E2=0),"",MOD(Turno_Ini+$H2/1440,1))</f>
        <v/>
      </c>
      <c r="D2" s="43">
        <f>IF(OR($E2="",$E2=0),"",MOD(Turno_Ini+$I2/1440,1))</f>
        <v/>
      </c>
      <c r="E2" s="37">
        <f>IF($H2="","",MAX(0,$I2-$H2))</f>
        <v/>
      </c>
      <c r="F2" s="37">
        <f>IF(OR($E2="",$E2=0),"",MAX(0,$E2-Limpeza_Min))</f>
        <v/>
      </c>
      <c r="G2" s="19">
        <f>IF($E2="","",IF($E2=0,"Sem intervalo",IF($E2&gt;=Janela_Min,"Janela aproveitável","Janela curta")))</f>
        <v/>
      </c>
      <c r="H2">
        <f>IF($A2="","",0)</f>
        <v/>
      </c>
      <c r="I2">
        <f>IF($H2="","",IFERROR(INDEX(Mapa_RelIni,MATCH($A2&amp;"#1",Mapa_Chave,0)),Turno_Min))</f>
        <v/>
      </c>
    </row>
    <row r="3">
      <c r="A3" s="33">
        <f>IF(OR('Calc_Mix'!$B2="",'Calc_Mix'!$C2&lt;&gt;"Sala cirúrgica"),"",'Calc_Mix'!$B2)</f>
        <v/>
      </c>
      <c r="B3" s="33" t="n">
        <v>1</v>
      </c>
      <c r="C3" s="43">
        <f>IF(OR($E3="",$E3=0),"",MOD(Turno_Ini+$H3/1440,1))</f>
        <v/>
      </c>
      <c r="D3" s="43">
        <f>IF(OR($E3="",$E3=0),"",MOD(Turno_Ini+$I3/1440,1))</f>
        <v/>
      </c>
      <c r="E3" s="37">
        <f>IF($H3="","",MAX(0,$I3-$H3))</f>
        <v/>
      </c>
      <c r="F3" s="37">
        <f>IF(OR($E3="",$E3=0),"",MAX(0,$E3-Limpeza_Min))</f>
        <v/>
      </c>
      <c r="G3" s="19">
        <f>IF($E3="","",IF($E3=0,"Sem intervalo",IF($E3&gt;=Janela_Min,"Janela aproveitável","Janela curta")))</f>
        <v/>
      </c>
      <c r="H3">
        <f>IF(OR($A3="",ISERROR(MATCH($A3&amp;"#1",Mapa_Chave,0))),"",INDEX(Mapa_RelFim,MATCH($A3&amp;"#1",Mapa_Chave,0))+Limpeza_Min)</f>
        <v/>
      </c>
      <c r="I3">
        <f>IF($H3="","",IFERROR(INDEX(Mapa_RelIni,MATCH($A3&amp;"#2",Mapa_Chave,0)),Turno_Min))</f>
        <v/>
      </c>
    </row>
    <row r="4">
      <c r="A4" s="33">
        <f>IF(OR('Calc_Mix'!$B2="",'Calc_Mix'!$C2&lt;&gt;"Sala cirúrgica"),"",'Calc_Mix'!$B2)</f>
        <v/>
      </c>
      <c r="B4" s="33" t="n">
        <v>2</v>
      </c>
      <c r="C4" s="43">
        <f>IF(OR($E4="",$E4=0),"",MOD(Turno_Ini+$H4/1440,1))</f>
        <v/>
      </c>
      <c r="D4" s="43">
        <f>IF(OR($E4="",$E4=0),"",MOD(Turno_Ini+$I4/1440,1))</f>
        <v/>
      </c>
      <c r="E4" s="37">
        <f>IF($H4="","",MAX(0,$I4-$H4))</f>
        <v/>
      </c>
      <c r="F4" s="37">
        <f>IF(OR($E4="",$E4=0),"",MAX(0,$E4-Limpeza_Min))</f>
        <v/>
      </c>
      <c r="G4" s="19">
        <f>IF($E4="","",IF($E4=0,"Sem intervalo",IF($E4&gt;=Janela_Min,"Janela aproveitável","Janela curta")))</f>
        <v/>
      </c>
      <c r="H4">
        <f>IF(OR($A4="",ISERROR(MATCH($A4&amp;"#2",Mapa_Chave,0))),"",INDEX(Mapa_RelFim,MATCH($A4&amp;"#2",Mapa_Chave,0))+Limpeza_Min)</f>
        <v/>
      </c>
      <c r="I4">
        <f>IF($H4="","",IFERROR(INDEX(Mapa_RelIni,MATCH($A4&amp;"#3",Mapa_Chave,0)),Turno_Min))</f>
        <v/>
      </c>
    </row>
    <row r="5">
      <c r="A5" s="33">
        <f>IF(OR('Calc_Mix'!$B2="",'Calc_Mix'!$C2&lt;&gt;"Sala cirúrgica"),"",'Calc_Mix'!$B2)</f>
        <v/>
      </c>
      <c r="B5" s="33" t="n">
        <v>3</v>
      </c>
      <c r="C5" s="43">
        <f>IF(OR($E5="",$E5=0),"",MOD(Turno_Ini+$H5/1440,1))</f>
        <v/>
      </c>
      <c r="D5" s="43">
        <f>IF(OR($E5="",$E5=0),"",MOD(Turno_Ini+$I5/1440,1))</f>
        <v/>
      </c>
      <c r="E5" s="37">
        <f>IF($H5="","",MAX(0,$I5-$H5))</f>
        <v/>
      </c>
      <c r="F5" s="37">
        <f>IF(OR($E5="",$E5=0),"",MAX(0,$E5-Limpeza_Min))</f>
        <v/>
      </c>
      <c r="G5" s="19">
        <f>IF($E5="","",IF($E5=0,"Sem intervalo",IF($E5&gt;=Janela_Min,"Janela aproveitável","Janela curta")))</f>
        <v/>
      </c>
      <c r="H5">
        <f>IF(OR($A5="",ISERROR(MATCH($A5&amp;"#3",Mapa_Chave,0))),"",INDEX(Mapa_RelFim,MATCH($A5&amp;"#3",Mapa_Chave,0))+Limpeza_Min)</f>
        <v/>
      </c>
      <c r="I5">
        <f>IF($H5="","",IFERROR(INDEX(Mapa_RelIni,MATCH($A5&amp;"#4",Mapa_Chave,0)),Turno_Min))</f>
        <v/>
      </c>
    </row>
    <row r="6">
      <c r="A6" s="33">
        <f>IF(OR('Calc_Mix'!$B2="",'Calc_Mix'!$C2&lt;&gt;"Sala cirúrgica"),"",'Calc_Mix'!$B2)</f>
        <v/>
      </c>
      <c r="B6" s="33" t="n">
        <v>4</v>
      </c>
      <c r="C6" s="43">
        <f>IF(OR($E6="",$E6=0),"",MOD(Turno_Ini+$H6/1440,1))</f>
        <v/>
      </c>
      <c r="D6" s="43">
        <f>IF(OR($E6="",$E6=0),"",MOD(Turno_Ini+$I6/1440,1))</f>
        <v/>
      </c>
      <c r="E6" s="37">
        <f>IF($H6="","",MAX(0,$I6-$H6))</f>
        <v/>
      </c>
      <c r="F6" s="37">
        <f>IF(OR($E6="",$E6=0),"",MAX(0,$E6-Limpeza_Min))</f>
        <v/>
      </c>
      <c r="G6" s="19">
        <f>IF($E6="","",IF($E6=0,"Sem intervalo",IF($E6&gt;=Janela_Min,"Janela aproveitável","Janela curta")))</f>
        <v/>
      </c>
      <c r="H6">
        <f>IF(OR($A6="",ISERROR(MATCH($A6&amp;"#4",Mapa_Chave,0))),"",INDEX(Mapa_RelFim,MATCH($A6&amp;"#4",Mapa_Chave,0))+Limpeza_Min)</f>
        <v/>
      </c>
      <c r="I6">
        <f>IF($H6="","",IFERROR(INDEX(Mapa_RelIni,MATCH($A6&amp;"#5",Mapa_Chave,0)),Turno_Min))</f>
        <v/>
      </c>
    </row>
    <row r="7">
      <c r="A7" s="33">
        <f>IF(OR('Calc_Mix'!$B2="",'Calc_Mix'!$C2&lt;&gt;"Sala cirúrgica"),"",'Calc_Mix'!$B2)</f>
        <v/>
      </c>
      <c r="B7" s="33" t="n">
        <v>5</v>
      </c>
      <c r="C7" s="43">
        <f>IF(OR($E7="",$E7=0),"",MOD(Turno_Ini+$H7/1440,1))</f>
        <v/>
      </c>
      <c r="D7" s="43">
        <f>IF(OR($E7="",$E7=0),"",MOD(Turno_Ini+$I7/1440,1))</f>
        <v/>
      </c>
      <c r="E7" s="37">
        <f>IF($H7="","",MAX(0,$I7-$H7))</f>
        <v/>
      </c>
      <c r="F7" s="37">
        <f>IF(OR($E7="",$E7=0),"",MAX(0,$E7-Limpeza_Min))</f>
        <v/>
      </c>
      <c r="G7" s="19">
        <f>IF($E7="","",IF($E7=0,"Sem intervalo",IF($E7&gt;=Janela_Min,"Janela aproveitável","Janela curta")))</f>
        <v/>
      </c>
      <c r="H7">
        <f>IF(OR($A7="",ISERROR(MATCH($A7&amp;"#5",Mapa_Chave,0))),"",INDEX(Mapa_RelFim,MATCH($A7&amp;"#5",Mapa_Chave,0))+Limpeza_Min)</f>
        <v/>
      </c>
      <c r="I7">
        <f>IF($H7="","",IFERROR(INDEX(Mapa_RelIni,MATCH($A7&amp;"#6",Mapa_Chave,0)),Turno_Min))</f>
        <v/>
      </c>
    </row>
    <row r="8">
      <c r="A8" s="33">
        <f>IF(OR('Calc_Mix'!$B2="",'Calc_Mix'!$C2&lt;&gt;"Sala cirúrgica"),"",'Calc_Mix'!$B2)</f>
        <v/>
      </c>
      <c r="B8" s="33" t="n">
        <v>6</v>
      </c>
      <c r="C8" s="43">
        <f>IF(OR($E8="",$E8=0),"",MOD(Turno_Ini+$H8/1440,1))</f>
        <v/>
      </c>
      <c r="D8" s="43">
        <f>IF(OR($E8="",$E8=0),"",MOD(Turno_Ini+$I8/1440,1))</f>
        <v/>
      </c>
      <c r="E8" s="37">
        <f>IF($H8="","",MAX(0,$I8-$H8))</f>
        <v/>
      </c>
      <c r="F8" s="37">
        <f>IF(OR($E8="",$E8=0),"",MAX(0,$E8-Limpeza_Min))</f>
        <v/>
      </c>
      <c r="G8" s="19">
        <f>IF($E8="","",IF($E8=0,"Sem intervalo",IF($E8&gt;=Janela_Min,"Janela aproveitável","Janela curta")))</f>
        <v/>
      </c>
      <c r="H8">
        <f>IF(OR($A8="",ISERROR(MATCH($A8&amp;"#6",Mapa_Chave,0))),"",INDEX(Mapa_RelFim,MATCH($A8&amp;"#6",Mapa_Chave,0))+Limpeza_Min)</f>
        <v/>
      </c>
      <c r="I8">
        <f>IF($H8="","",IFERROR(INDEX(Mapa_RelIni,MATCH($A8&amp;"#7",Mapa_Chave,0)),Turno_Min))</f>
        <v/>
      </c>
    </row>
    <row r="9">
      <c r="A9" s="33">
        <f>IF(OR('Calc_Mix'!$B2="",'Calc_Mix'!$C2&lt;&gt;"Sala cirúrgica"),"",'Calc_Mix'!$B2)</f>
        <v/>
      </c>
      <c r="B9" s="33" t="n">
        <v>7</v>
      </c>
      <c r="C9" s="43">
        <f>IF(OR($E9="",$E9=0),"",MOD(Turno_Ini+$H9/1440,1))</f>
        <v/>
      </c>
      <c r="D9" s="43">
        <f>IF(OR($E9="",$E9=0),"",MOD(Turno_Ini+$I9/1440,1))</f>
        <v/>
      </c>
      <c r="E9" s="37">
        <f>IF($H9="","",MAX(0,$I9-$H9))</f>
        <v/>
      </c>
      <c r="F9" s="37">
        <f>IF(OR($E9="",$E9=0),"",MAX(0,$E9-Limpeza_Min))</f>
        <v/>
      </c>
      <c r="G9" s="19">
        <f>IF($E9="","",IF($E9=0,"Sem intervalo",IF($E9&gt;=Janela_Min,"Janela aproveitável","Janela curta")))</f>
        <v/>
      </c>
      <c r="H9">
        <f>IF(OR($A9="",ISERROR(MATCH($A9&amp;"#7",Mapa_Chave,0))),"",INDEX(Mapa_RelFim,MATCH($A9&amp;"#7",Mapa_Chave,0))+Limpeza_Min)</f>
        <v/>
      </c>
      <c r="I9">
        <f>IF($H9="","",IFERROR(INDEX(Mapa_RelIni,MATCH($A9&amp;"#8",Mapa_Chave,0)),Turno_Min))</f>
        <v/>
      </c>
    </row>
    <row r="10">
      <c r="A10" s="33">
        <f>IF(OR('Calc_Mix'!$B2="",'Calc_Mix'!$C2&lt;&gt;"Sala cirúrgica"),"",'Calc_Mix'!$B2)</f>
        <v/>
      </c>
      <c r="B10" s="33" t="n">
        <v>8</v>
      </c>
      <c r="C10" s="43">
        <f>IF(OR($E10="",$E10=0),"",MOD(Turno_Ini+$H10/1440,1))</f>
        <v/>
      </c>
      <c r="D10" s="43">
        <f>IF(OR($E10="",$E10=0),"",MOD(Turno_Ini+$I10/1440,1))</f>
        <v/>
      </c>
      <c r="E10" s="37">
        <f>IF($H10="","",MAX(0,$I10-$H10))</f>
        <v/>
      </c>
      <c r="F10" s="37">
        <f>IF(OR($E10="",$E10=0),"",MAX(0,$E10-Limpeza_Min))</f>
        <v/>
      </c>
      <c r="G10" s="19">
        <f>IF($E10="","",IF($E10=0,"Sem intervalo",IF($E10&gt;=Janela_Min,"Janela aproveitável","Janela curta")))</f>
        <v/>
      </c>
      <c r="H10">
        <f>IF(OR($A10="",ISERROR(MATCH($A10&amp;"#8",Mapa_Chave,0))),"",INDEX(Mapa_RelFim,MATCH($A10&amp;"#8",Mapa_Chave,0))+Limpeza_Min)</f>
        <v/>
      </c>
      <c r="I10">
        <f>IF($H10="","",IFERROR(INDEX(Mapa_RelIni,MATCH($A10&amp;"#9",Mapa_Chave,0)),Turno_Min))</f>
        <v/>
      </c>
    </row>
    <row r="11">
      <c r="A11" s="33">
        <f>IF(OR('Calc_Mix'!$B2="",'Calc_Mix'!$C2&lt;&gt;"Sala cirúrgica"),"",'Calc_Mix'!$B2)</f>
        <v/>
      </c>
      <c r="B11" s="33" t="n">
        <v>9</v>
      </c>
      <c r="C11" s="43">
        <f>IF(OR($E11="",$E11=0),"",MOD(Turno_Ini+$H11/1440,1))</f>
        <v/>
      </c>
      <c r="D11" s="43">
        <f>IF(OR($E11="",$E11=0),"",MOD(Turno_Ini+$I11/1440,1))</f>
        <v/>
      </c>
      <c r="E11" s="37">
        <f>IF($H11="","",MAX(0,$I11-$H11))</f>
        <v/>
      </c>
      <c r="F11" s="37">
        <f>IF(OR($E11="",$E11=0),"",MAX(0,$E11-Limpeza_Min))</f>
        <v/>
      </c>
      <c r="G11" s="19">
        <f>IF($E11="","",IF($E11=0,"Sem intervalo",IF($E11&gt;=Janela_Min,"Janela aproveitável","Janela curta")))</f>
        <v/>
      </c>
      <c r="H11">
        <f>IF(OR($A11="",ISERROR(MATCH($A11&amp;"#9",Mapa_Chave,0))),"",INDEX(Mapa_RelFim,MATCH($A11&amp;"#9",Mapa_Chave,0))+Limpeza_Min)</f>
        <v/>
      </c>
      <c r="I11">
        <f>IF($H11="","",IFERROR(INDEX(Mapa_RelIni,MATCH($A11&amp;"#10",Mapa_Chave,0)),Turno_Min))</f>
        <v/>
      </c>
    </row>
    <row r="12">
      <c r="A12" s="33">
        <f>IF(OR('Calc_Mix'!$B2="",'Calc_Mix'!$C2&lt;&gt;"Sala cirúrgica"),"",'Calc_Mix'!$B2)</f>
        <v/>
      </c>
      <c r="B12" s="33" t="n">
        <v>10</v>
      </c>
      <c r="C12" s="43">
        <f>IF(OR($E12="",$E12=0),"",MOD(Turno_Ini+$H12/1440,1))</f>
        <v/>
      </c>
      <c r="D12" s="43">
        <f>IF(OR($E12="",$E12=0),"",MOD(Turno_Ini+$I12/1440,1))</f>
        <v/>
      </c>
      <c r="E12" s="37">
        <f>IF($H12="","",MAX(0,$I12-$H12))</f>
        <v/>
      </c>
      <c r="F12" s="37">
        <f>IF(OR($E12="",$E12=0),"",MAX(0,$E12-Limpeza_Min))</f>
        <v/>
      </c>
      <c r="G12" s="19">
        <f>IF($E12="","",IF($E12=0,"Sem intervalo",IF($E12&gt;=Janela_Min,"Janela aproveitável","Janela curta")))</f>
        <v/>
      </c>
      <c r="H12">
        <f>IF(OR($A12="",ISERROR(MATCH($A12&amp;"#10",Mapa_Chave,0))),"",INDEX(Mapa_RelFim,MATCH($A12&amp;"#10",Mapa_Chave,0))+Limpeza_Min)</f>
        <v/>
      </c>
      <c r="I12">
        <f>IF($H12="","",IFERROR(INDEX(Mapa_RelIni,MATCH($A12&amp;"#11",Mapa_Chave,0)),Turno_Min))</f>
        <v/>
      </c>
    </row>
    <row r="13">
      <c r="A13" s="33">
        <f>IF(OR('Calc_Mix'!$B2="",'Calc_Mix'!$C2&lt;&gt;"Sala cirúrgica"),"",'Calc_Mix'!$B2)</f>
        <v/>
      </c>
      <c r="B13" s="33" t="n">
        <v>11</v>
      </c>
      <c r="C13" s="43">
        <f>IF(OR($E13="",$E13=0),"",MOD(Turno_Ini+$H13/1440,1))</f>
        <v/>
      </c>
      <c r="D13" s="43">
        <f>IF(OR($E13="",$E13=0),"",MOD(Turno_Ini+$I13/1440,1))</f>
        <v/>
      </c>
      <c r="E13" s="37">
        <f>IF($H13="","",MAX(0,$I13-$H13))</f>
        <v/>
      </c>
      <c r="F13" s="37">
        <f>IF(OR($E13="",$E13=0),"",MAX(0,$E13-Limpeza_Min))</f>
        <v/>
      </c>
      <c r="G13" s="19">
        <f>IF($E13="","",IF($E13=0,"Sem intervalo",IF($E13&gt;=Janela_Min,"Janela aproveitável","Janela curta")))</f>
        <v/>
      </c>
      <c r="H13">
        <f>IF(OR($A13="",ISERROR(MATCH($A13&amp;"#11",Mapa_Chave,0))),"",INDEX(Mapa_RelFim,MATCH($A13&amp;"#11",Mapa_Chave,0))+Limpeza_Min)</f>
        <v/>
      </c>
      <c r="I13">
        <f>IF($H13="","",IFERROR(INDEX(Mapa_RelIni,MATCH($A13&amp;"#12",Mapa_Chave,0)),Turno_Min))</f>
        <v/>
      </c>
    </row>
    <row r="14">
      <c r="A14" s="33">
        <f>IF(OR('Calc_Mix'!$B2="",'Calc_Mix'!$C2&lt;&gt;"Sala cirúrgica"),"",'Calc_Mix'!$B2)</f>
        <v/>
      </c>
      <c r="B14" s="33" t="n">
        <v>12</v>
      </c>
      <c r="C14" s="43">
        <f>IF(OR($E14="",$E14=0),"",MOD(Turno_Ini+$H14/1440,1))</f>
        <v/>
      </c>
      <c r="D14" s="43">
        <f>IF(OR($E14="",$E14=0),"",MOD(Turno_Ini+$I14/1440,1))</f>
        <v/>
      </c>
      <c r="E14" s="37">
        <f>IF($H14="","",MAX(0,$I14-$H14))</f>
        <v/>
      </c>
      <c r="F14" s="37">
        <f>IF(OR($E14="",$E14=0),"",MAX(0,$E14-Limpeza_Min))</f>
        <v/>
      </c>
      <c r="G14" s="19">
        <f>IF($E14="","",IF($E14=0,"Sem intervalo",IF($E14&gt;=Janela_Min,"Janela aproveitável","Janela curta")))</f>
        <v/>
      </c>
      <c r="H14">
        <f>IF(OR($A14="",ISERROR(MATCH($A14&amp;"#12",Mapa_Chave,0))),"",INDEX(Mapa_RelFim,MATCH($A14&amp;"#12",Mapa_Chave,0))+Limpeza_Min)</f>
        <v/>
      </c>
      <c r="I14">
        <f>IF($H14="","",IFERROR(INDEX(Mapa_RelIni,MATCH($A14&amp;"#13",Mapa_Chave,0)),Turno_Min))</f>
        <v/>
      </c>
    </row>
    <row r="15">
      <c r="A15" s="33">
        <f>IF(OR('Calc_Mix'!$B3="",'Calc_Mix'!$C3&lt;&gt;"Sala cirúrgica"),"",'Calc_Mix'!$B3)</f>
        <v/>
      </c>
      <c r="B15" s="33" t="n">
        <v>0</v>
      </c>
      <c r="C15" s="43">
        <f>IF(OR($E15="",$E15=0),"",MOD(Turno_Ini+$H15/1440,1))</f>
        <v/>
      </c>
      <c r="D15" s="43">
        <f>IF(OR($E15="",$E15=0),"",MOD(Turno_Ini+$I15/1440,1))</f>
        <v/>
      </c>
      <c r="E15" s="37">
        <f>IF($H15="","",MAX(0,$I15-$H15))</f>
        <v/>
      </c>
      <c r="F15" s="37">
        <f>IF(OR($E15="",$E15=0),"",MAX(0,$E15-Limpeza_Min))</f>
        <v/>
      </c>
      <c r="G15" s="19">
        <f>IF($E15="","",IF($E15=0,"Sem intervalo",IF($E15&gt;=Janela_Min,"Janela aproveitável","Janela curta")))</f>
        <v/>
      </c>
      <c r="H15">
        <f>IF($A15="","",0)</f>
        <v/>
      </c>
      <c r="I15">
        <f>IF($H15="","",IFERROR(INDEX(Mapa_RelIni,MATCH($A15&amp;"#1",Mapa_Chave,0)),Turno_Min))</f>
        <v/>
      </c>
    </row>
    <row r="16">
      <c r="A16" s="33">
        <f>IF(OR('Calc_Mix'!$B3="",'Calc_Mix'!$C3&lt;&gt;"Sala cirúrgica"),"",'Calc_Mix'!$B3)</f>
        <v/>
      </c>
      <c r="B16" s="33" t="n">
        <v>1</v>
      </c>
      <c r="C16" s="43">
        <f>IF(OR($E16="",$E16=0),"",MOD(Turno_Ini+$H16/1440,1))</f>
        <v/>
      </c>
      <c r="D16" s="43">
        <f>IF(OR($E16="",$E16=0),"",MOD(Turno_Ini+$I16/1440,1))</f>
        <v/>
      </c>
      <c r="E16" s="37">
        <f>IF($H16="","",MAX(0,$I16-$H16))</f>
        <v/>
      </c>
      <c r="F16" s="37">
        <f>IF(OR($E16="",$E16=0),"",MAX(0,$E16-Limpeza_Min))</f>
        <v/>
      </c>
      <c r="G16" s="19">
        <f>IF($E16="","",IF($E16=0,"Sem intervalo",IF($E16&gt;=Janela_Min,"Janela aproveitável","Janela curta")))</f>
        <v/>
      </c>
      <c r="H16">
        <f>IF(OR($A16="",ISERROR(MATCH($A16&amp;"#1",Mapa_Chave,0))),"",INDEX(Mapa_RelFim,MATCH($A16&amp;"#1",Mapa_Chave,0))+Limpeza_Min)</f>
        <v/>
      </c>
      <c r="I16">
        <f>IF($H16="","",IFERROR(INDEX(Mapa_RelIni,MATCH($A16&amp;"#2",Mapa_Chave,0)),Turno_Min))</f>
        <v/>
      </c>
    </row>
    <row r="17">
      <c r="A17" s="33">
        <f>IF(OR('Calc_Mix'!$B3="",'Calc_Mix'!$C3&lt;&gt;"Sala cirúrgica"),"",'Calc_Mix'!$B3)</f>
        <v/>
      </c>
      <c r="B17" s="33" t="n">
        <v>2</v>
      </c>
      <c r="C17" s="43">
        <f>IF(OR($E17="",$E17=0),"",MOD(Turno_Ini+$H17/1440,1))</f>
        <v/>
      </c>
      <c r="D17" s="43">
        <f>IF(OR($E17="",$E17=0),"",MOD(Turno_Ini+$I17/1440,1))</f>
        <v/>
      </c>
      <c r="E17" s="37">
        <f>IF($H17="","",MAX(0,$I17-$H17))</f>
        <v/>
      </c>
      <c r="F17" s="37">
        <f>IF(OR($E17="",$E17=0),"",MAX(0,$E17-Limpeza_Min))</f>
        <v/>
      </c>
      <c r="G17" s="19">
        <f>IF($E17="","",IF($E17=0,"Sem intervalo",IF($E17&gt;=Janela_Min,"Janela aproveitável","Janela curta")))</f>
        <v/>
      </c>
      <c r="H17">
        <f>IF(OR($A17="",ISERROR(MATCH($A17&amp;"#2",Mapa_Chave,0))),"",INDEX(Mapa_RelFim,MATCH($A17&amp;"#2",Mapa_Chave,0))+Limpeza_Min)</f>
        <v/>
      </c>
      <c r="I17">
        <f>IF($H17="","",IFERROR(INDEX(Mapa_RelIni,MATCH($A17&amp;"#3",Mapa_Chave,0)),Turno_Min))</f>
        <v/>
      </c>
    </row>
    <row r="18">
      <c r="A18" s="33">
        <f>IF(OR('Calc_Mix'!$B3="",'Calc_Mix'!$C3&lt;&gt;"Sala cirúrgica"),"",'Calc_Mix'!$B3)</f>
        <v/>
      </c>
      <c r="B18" s="33" t="n">
        <v>3</v>
      </c>
      <c r="C18" s="43">
        <f>IF(OR($E18="",$E18=0),"",MOD(Turno_Ini+$H18/1440,1))</f>
        <v/>
      </c>
      <c r="D18" s="43">
        <f>IF(OR($E18="",$E18=0),"",MOD(Turno_Ini+$I18/1440,1))</f>
        <v/>
      </c>
      <c r="E18" s="37">
        <f>IF($H18="","",MAX(0,$I18-$H18))</f>
        <v/>
      </c>
      <c r="F18" s="37">
        <f>IF(OR($E18="",$E18=0),"",MAX(0,$E18-Limpeza_Min))</f>
        <v/>
      </c>
      <c r="G18" s="19">
        <f>IF($E18="","",IF($E18=0,"Sem intervalo",IF($E18&gt;=Janela_Min,"Janela aproveitável","Janela curta")))</f>
        <v/>
      </c>
      <c r="H18">
        <f>IF(OR($A18="",ISERROR(MATCH($A18&amp;"#3",Mapa_Chave,0))),"",INDEX(Mapa_RelFim,MATCH($A18&amp;"#3",Mapa_Chave,0))+Limpeza_Min)</f>
        <v/>
      </c>
      <c r="I18">
        <f>IF($H18="","",IFERROR(INDEX(Mapa_RelIni,MATCH($A18&amp;"#4",Mapa_Chave,0)),Turno_Min))</f>
        <v/>
      </c>
    </row>
    <row r="19">
      <c r="A19" s="33">
        <f>IF(OR('Calc_Mix'!$B3="",'Calc_Mix'!$C3&lt;&gt;"Sala cirúrgica"),"",'Calc_Mix'!$B3)</f>
        <v/>
      </c>
      <c r="B19" s="33" t="n">
        <v>4</v>
      </c>
      <c r="C19" s="43">
        <f>IF(OR($E19="",$E19=0),"",MOD(Turno_Ini+$H19/1440,1))</f>
        <v/>
      </c>
      <c r="D19" s="43">
        <f>IF(OR($E19="",$E19=0),"",MOD(Turno_Ini+$I19/1440,1))</f>
        <v/>
      </c>
      <c r="E19" s="37">
        <f>IF($H19="","",MAX(0,$I19-$H19))</f>
        <v/>
      </c>
      <c r="F19" s="37">
        <f>IF(OR($E19="",$E19=0),"",MAX(0,$E19-Limpeza_Min))</f>
        <v/>
      </c>
      <c r="G19" s="19">
        <f>IF($E19="","",IF($E19=0,"Sem intervalo",IF($E19&gt;=Janela_Min,"Janela aproveitável","Janela curta")))</f>
        <v/>
      </c>
      <c r="H19">
        <f>IF(OR($A19="",ISERROR(MATCH($A19&amp;"#4",Mapa_Chave,0))),"",INDEX(Mapa_RelFim,MATCH($A19&amp;"#4",Mapa_Chave,0))+Limpeza_Min)</f>
        <v/>
      </c>
      <c r="I19">
        <f>IF($H19="","",IFERROR(INDEX(Mapa_RelIni,MATCH($A19&amp;"#5",Mapa_Chave,0)),Turno_Min))</f>
        <v/>
      </c>
    </row>
    <row r="20">
      <c r="A20" s="33">
        <f>IF(OR('Calc_Mix'!$B3="",'Calc_Mix'!$C3&lt;&gt;"Sala cirúrgica"),"",'Calc_Mix'!$B3)</f>
        <v/>
      </c>
      <c r="B20" s="33" t="n">
        <v>5</v>
      </c>
      <c r="C20" s="43">
        <f>IF(OR($E20="",$E20=0),"",MOD(Turno_Ini+$H20/1440,1))</f>
        <v/>
      </c>
      <c r="D20" s="43">
        <f>IF(OR($E20="",$E20=0),"",MOD(Turno_Ini+$I20/1440,1))</f>
        <v/>
      </c>
      <c r="E20" s="37">
        <f>IF($H20="","",MAX(0,$I20-$H20))</f>
        <v/>
      </c>
      <c r="F20" s="37">
        <f>IF(OR($E20="",$E20=0),"",MAX(0,$E20-Limpeza_Min))</f>
        <v/>
      </c>
      <c r="G20" s="19">
        <f>IF($E20="","",IF($E20=0,"Sem intervalo",IF($E20&gt;=Janela_Min,"Janela aproveitável","Janela curta")))</f>
        <v/>
      </c>
      <c r="H20">
        <f>IF(OR($A20="",ISERROR(MATCH($A20&amp;"#5",Mapa_Chave,0))),"",INDEX(Mapa_RelFim,MATCH($A20&amp;"#5",Mapa_Chave,0))+Limpeza_Min)</f>
        <v/>
      </c>
      <c r="I20">
        <f>IF($H20="","",IFERROR(INDEX(Mapa_RelIni,MATCH($A20&amp;"#6",Mapa_Chave,0)),Turno_Min))</f>
        <v/>
      </c>
    </row>
    <row r="21">
      <c r="A21" s="33">
        <f>IF(OR('Calc_Mix'!$B3="",'Calc_Mix'!$C3&lt;&gt;"Sala cirúrgica"),"",'Calc_Mix'!$B3)</f>
        <v/>
      </c>
      <c r="B21" s="33" t="n">
        <v>6</v>
      </c>
      <c r="C21" s="43">
        <f>IF(OR($E21="",$E21=0),"",MOD(Turno_Ini+$H21/1440,1))</f>
        <v/>
      </c>
      <c r="D21" s="43">
        <f>IF(OR($E21="",$E21=0),"",MOD(Turno_Ini+$I21/1440,1))</f>
        <v/>
      </c>
      <c r="E21" s="37">
        <f>IF($H21="","",MAX(0,$I21-$H21))</f>
        <v/>
      </c>
      <c r="F21" s="37">
        <f>IF(OR($E21="",$E21=0),"",MAX(0,$E21-Limpeza_Min))</f>
        <v/>
      </c>
      <c r="G21" s="19">
        <f>IF($E21="","",IF($E21=0,"Sem intervalo",IF($E21&gt;=Janela_Min,"Janela aproveitável","Janela curta")))</f>
        <v/>
      </c>
      <c r="H21">
        <f>IF(OR($A21="",ISERROR(MATCH($A21&amp;"#6",Mapa_Chave,0))),"",INDEX(Mapa_RelFim,MATCH($A21&amp;"#6",Mapa_Chave,0))+Limpeza_Min)</f>
        <v/>
      </c>
      <c r="I21">
        <f>IF($H21="","",IFERROR(INDEX(Mapa_RelIni,MATCH($A21&amp;"#7",Mapa_Chave,0)),Turno_Min))</f>
        <v/>
      </c>
    </row>
    <row r="22">
      <c r="A22" s="33">
        <f>IF(OR('Calc_Mix'!$B3="",'Calc_Mix'!$C3&lt;&gt;"Sala cirúrgica"),"",'Calc_Mix'!$B3)</f>
        <v/>
      </c>
      <c r="B22" s="33" t="n">
        <v>7</v>
      </c>
      <c r="C22" s="43">
        <f>IF(OR($E22="",$E22=0),"",MOD(Turno_Ini+$H22/1440,1))</f>
        <v/>
      </c>
      <c r="D22" s="43">
        <f>IF(OR($E22="",$E22=0),"",MOD(Turno_Ini+$I22/1440,1))</f>
        <v/>
      </c>
      <c r="E22" s="37">
        <f>IF($H22="","",MAX(0,$I22-$H22))</f>
        <v/>
      </c>
      <c r="F22" s="37">
        <f>IF(OR($E22="",$E22=0),"",MAX(0,$E22-Limpeza_Min))</f>
        <v/>
      </c>
      <c r="G22" s="19">
        <f>IF($E22="","",IF($E22=0,"Sem intervalo",IF($E22&gt;=Janela_Min,"Janela aproveitável","Janela curta")))</f>
        <v/>
      </c>
      <c r="H22">
        <f>IF(OR($A22="",ISERROR(MATCH($A22&amp;"#7",Mapa_Chave,0))),"",INDEX(Mapa_RelFim,MATCH($A22&amp;"#7",Mapa_Chave,0))+Limpeza_Min)</f>
        <v/>
      </c>
      <c r="I22">
        <f>IF($H22="","",IFERROR(INDEX(Mapa_RelIni,MATCH($A22&amp;"#8",Mapa_Chave,0)),Turno_Min))</f>
        <v/>
      </c>
    </row>
    <row r="23">
      <c r="A23" s="33">
        <f>IF(OR('Calc_Mix'!$B3="",'Calc_Mix'!$C3&lt;&gt;"Sala cirúrgica"),"",'Calc_Mix'!$B3)</f>
        <v/>
      </c>
      <c r="B23" s="33" t="n">
        <v>8</v>
      </c>
      <c r="C23" s="43">
        <f>IF(OR($E23="",$E23=0),"",MOD(Turno_Ini+$H23/1440,1))</f>
        <v/>
      </c>
      <c r="D23" s="43">
        <f>IF(OR($E23="",$E23=0),"",MOD(Turno_Ini+$I23/1440,1))</f>
        <v/>
      </c>
      <c r="E23" s="37">
        <f>IF($H23="","",MAX(0,$I23-$H23))</f>
        <v/>
      </c>
      <c r="F23" s="37">
        <f>IF(OR($E23="",$E23=0),"",MAX(0,$E23-Limpeza_Min))</f>
        <v/>
      </c>
      <c r="G23" s="19">
        <f>IF($E23="","",IF($E23=0,"Sem intervalo",IF($E23&gt;=Janela_Min,"Janela aproveitável","Janela curta")))</f>
        <v/>
      </c>
      <c r="H23">
        <f>IF(OR($A23="",ISERROR(MATCH($A23&amp;"#8",Mapa_Chave,0))),"",INDEX(Mapa_RelFim,MATCH($A23&amp;"#8",Mapa_Chave,0))+Limpeza_Min)</f>
        <v/>
      </c>
      <c r="I23">
        <f>IF($H23="","",IFERROR(INDEX(Mapa_RelIni,MATCH($A23&amp;"#9",Mapa_Chave,0)),Turno_Min))</f>
        <v/>
      </c>
    </row>
    <row r="24">
      <c r="A24" s="33">
        <f>IF(OR('Calc_Mix'!$B3="",'Calc_Mix'!$C3&lt;&gt;"Sala cirúrgica"),"",'Calc_Mix'!$B3)</f>
        <v/>
      </c>
      <c r="B24" s="33" t="n">
        <v>9</v>
      </c>
      <c r="C24" s="43">
        <f>IF(OR($E24="",$E24=0),"",MOD(Turno_Ini+$H24/1440,1))</f>
        <v/>
      </c>
      <c r="D24" s="43">
        <f>IF(OR($E24="",$E24=0),"",MOD(Turno_Ini+$I24/1440,1))</f>
        <v/>
      </c>
      <c r="E24" s="37">
        <f>IF($H24="","",MAX(0,$I24-$H24))</f>
        <v/>
      </c>
      <c r="F24" s="37">
        <f>IF(OR($E24="",$E24=0),"",MAX(0,$E24-Limpeza_Min))</f>
        <v/>
      </c>
      <c r="G24" s="19">
        <f>IF($E24="","",IF($E24=0,"Sem intervalo",IF($E24&gt;=Janela_Min,"Janela aproveitável","Janela curta")))</f>
        <v/>
      </c>
      <c r="H24">
        <f>IF(OR($A24="",ISERROR(MATCH($A24&amp;"#9",Mapa_Chave,0))),"",INDEX(Mapa_RelFim,MATCH($A24&amp;"#9",Mapa_Chave,0))+Limpeza_Min)</f>
        <v/>
      </c>
      <c r="I24">
        <f>IF($H24="","",IFERROR(INDEX(Mapa_RelIni,MATCH($A24&amp;"#10",Mapa_Chave,0)),Turno_Min))</f>
        <v/>
      </c>
    </row>
    <row r="25">
      <c r="A25" s="33">
        <f>IF(OR('Calc_Mix'!$B3="",'Calc_Mix'!$C3&lt;&gt;"Sala cirúrgica"),"",'Calc_Mix'!$B3)</f>
        <v/>
      </c>
      <c r="B25" s="33" t="n">
        <v>10</v>
      </c>
      <c r="C25" s="43">
        <f>IF(OR($E25="",$E25=0),"",MOD(Turno_Ini+$H25/1440,1))</f>
        <v/>
      </c>
      <c r="D25" s="43">
        <f>IF(OR($E25="",$E25=0),"",MOD(Turno_Ini+$I25/1440,1))</f>
        <v/>
      </c>
      <c r="E25" s="37">
        <f>IF($H25="","",MAX(0,$I25-$H25))</f>
        <v/>
      </c>
      <c r="F25" s="37">
        <f>IF(OR($E25="",$E25=0),"",MAX(0,$E25-Limpeza_Min))</f>
        <v/>
      </c>
      <c r="G25" s="19">
        <f>IF($E25="","",IF($E25=0,"Sem intervalo",IF($E25&gt;=Janela_Min,"Janela aproveitável","Janela curta")))</f>
        <v/>
      </c>
      <c r="H25">
        <f>IF(OR($A25="",ISERROR(MATCH($A25&amp;"#10",Mapa_Chave,0))),"",INDEX(Mapa_RelFim,MATCH($A25&amp;"#10",Mapa_Chave,0))+Limpeza_Min)</f>
        <v/>
      </c>
      <c r="I25">
        <f>IF($H25="","",IFERROR(INDEX(Mapa_RelIni,MATCH($A25&amp;"#11",Mapa_Chave,0)),Turno_Min))</f>
        <v/>
      </c>
    </row>
    <row r="26">
      <c r="A26" s="33">
        <f>IF(OR('Calc_Mix'!$B3="",'Calc_Mix'!$C3&lt;&gt;"Sala cirúrgica"),"",'Calc_Mix'!$B3)</f>
        <v/>
      </c>
      <c r="B26" s="33" t="n">
        <v>11</v>
      </c>
      <c r="C26" s="43">
        <f>IF(OR($E26="",$E26=0),"",MOD(Turno_Ini+$H26/1440,1))</f>
        <v/>
      </c>
      <c r="D26" s="43">
        <f>IF(OR($E26="",$E26=0),"",MOD(Turno_Ini+$I26/1440,1))</f>
        <v/>
      </c>
      <c r="E26" s="37">
        <f>IF($H26="","",MAX(0,$I26-$H26))</f>
        <v/>
      </c>
      <c r="F26" s="37">
        <f>IF(OR($E26="",$E26=0),"",MAX(0,$E26-Limpeza_Min))</f>
        <v/>
      </c>
      <c r="G26" s="19">
        <f>IF($E26="","",IF($E26=0,"Sem intervalo",IF($E26&gt;=Janela_Min,"Janela aproveitável","Janela curta")))</f>
        <v/>
      </c>
      <c r="H26">
        <f>IF(OR($A26="",ISERROR(MATCH($A26&amp;"#11",Mapa_Chave,0))),"",INDEX(Mapa_RelFim,MATCH($A26&amp;"#11",Mapa_Chave,0))+Limpeza_Min)</f>
        <v/>
      </c>
      <c r="I26">
        <f>IF($H26="","",IFERROR(INDEX(Mapa_RelIni,MATCH($A26&amp;"#12",Mapa_Chave,0)),Turno_Min))</f>
        <v/>
      </c>
    </row>
    <row r="27">
      <c r="A27" s="33">
        <f>IF(OR('Calc_Mix'!$B3="",'Calc_Mix'!$C3&lt;&gt;"Sala cirúrgica"),"",'Calc_Mix'!$B3)</f>
        <v/>
      </c>
      <c r="B27" s="33" t="n">
        <v>12</v>
      </c>
      <c r="C27" s="43">
        <f>IF(OR($E27="",$E27=0),"",MOD(Turno_Ini+$H27/1440,1))</f>
        <v/>
      </c>
      <c r="D27" s="43">
        <f>IF(OR($E27="",$E27=0),"",MOD(Turno_Ini+$I27/1440,1))</f>
        <v/>
      </c>
      <c r="E27" s="37">
        <f>IF($H27="","",MAX(0,$I27-$H27))</f>
        <v/>
      </c>
      <c r="F27" s="37">
        <f>IF(OR($E27="",$E27=0),"",MAX(0,$E27-Limpeza_Min))</f>
        <v/>
      </c>
      <c r="G27" s="19">
        <f>IF($E27="","",IF($E27=0,"Sem intervalo",IF($E27&gt;=Janela_Min,"Janela aproveitável","Janela curta")))</f>
        <v/>
      </c>
      <c r="H27">
        <f>IF(OR($A27="",ISERROR(MATCH($A27&amp;"#12",Mapa_Chave,0))),"",INDEX(Mapa_RelFim,MATCH($A27&amp;"#12",Mapa_Chave,0))+Limpeza_Min)</f>
        <v/>
      </c>
      <c r="I27">
        <f>IF($H27="","",IFERROR(INDEX(Mapa_RelIni,MATCH($A27&amp;"#13",Mapa_Chave,0)),Turno_Min))</f>
        <v/>
      </c>
    </row>
    <row r="28">
      <c r="A28" s="33">
        <f>IF(OR('Calc_Mix'!$B4="",'Calc_Mix'!$C4&lt;&gt;"Sala cirúrgica"),"",'Calc_Mix'!$B4)</f>
        <v/>
      </c>
      <c r="B28" s="33" t="n">
        <v>0</v>
      </c>
      <c r="C28" s="43">
        <f>IF(OR($E28="",$E28=0),"",MOD(Turno_Ini+$H28/1440,1))</f>
        <v/>
      </c>
      <c r="D28" s="43">
        <f>IF(OR($E28="",$E28=0),"",MOD(Turno_Ini+$I28/1440,1))</f>
        <v/>
      </c>
      <c r="E28" s="37">
        <f>IF($H28="","",MAX(0,$I28-$H28))</f>
        <v/>
      </c>
      <c r="F28" s="37">
        <f>IF(OR($E28="",$E28=0),"",MAX(0,$E28-Limpeza_Min))</f>
        <v/>
      </c>
      <c r="G28" s="19">
        <f>IF($E28="","",IF($E28=0,"Sem intervalo",IF($E28&gt;=Janela_Min,"Janela aproveitável","Janela curta")))</f>
        <v/>
      </c>
      <c r="H28">
        <f>IF($A28="","",0)</f>
        <v/>
      </c>
      <c r="I28">
        <f>IF($H28="","",IFERROR(INDEX(Mapa_RelIni,MATCH($A28&amp;"#1",Mapa_Chave,0)),Turno_Min))</f>
        <v/>
      </c>
    </row>
    <row r="29">
      <c r="A29" s="33">
        <f>IF(OR('Calc_Mix'!$B4="",'Calc_Mix'!$C4&lt;&gt;"Sala cirúrgica"),"",'Calc_Mix'!$B4)</f>
        <v/>
      </c>
      <c r="B29" s="33" t="n">
        <v>1</v>
      </c>
      <c r="C29" s="43">
        <f>IF(OR($E29="",$E29=0),"",MOD(Turno_Ini+$H29/1440,1))</f>
        <v/>
      </c>
      <c r="D29" s="43">
        <f>IF(OR($E29="",$E29=0),"",MOD(Turno_Ini+$I29/1440,1))</f>
        <v/>
      </c>
      <c r="E29" s="37">
        <f>IF($H29="","",MAX(0,$I29-$H29))</f>
        <v/>
      </c>
      <c r="F29" s="37">
        <f>IF(OR($E29="",$E29=0),"",MAX(0,$E29-Limpeza_Min))</f>
        <v/>
      </c>
      <c r="G29" s="19">
        <f>IF($E29="","",IF($E29=0,"Sem intervalo",IF($E29&gt;=Janela_Min,"Janela aproveitável","Janela curta")))</f>
        <v/>
      </c>
      <c r="H29">
        <f>IF(OR($A29="",ISERROR(MATCH($A29&amp;"#1",Mapa_Chave,0))),"",INDEX(Mapa_RelFim,MATCH($A29&amp;"#1",Mapa_Chave,0))+Limpeza_Min)</f>
        <v/>
      </c>
      <c r="I29">
        <f>IF($H29="","",IFERROR(INDEX(Mapa_RelIni,MATCH($A29&amp;"#2",Mapa_Chave,0)),Turno_Min))</f>
        <v/>
      </c>
    </row>
    <row r="30">
      <c r="A30" s="33">
        <f>IF(OR('Calc_Mix'!$B4="",'Calc_Mix'!$C4&lt;&gt;"Sala cirúrgica"),"",'Calc_Mix'!$B4)</f>
        <v/>
      </c>
      <c r="B30" s="33" t="n">
        <v>2</v>
      </c>
      <c r="C30" s="43">
        <f>IF(OR($E30="",$E30=0),"",MOD(Turno_Ini+$H30/1440,1))</f>
        <v/>
      </c>
      <c r="D30" s="43">
        <f>IF(OR($E30="",$E30=0),"",MOD(Turno_Ini+$I30/1440,1))</f>
        <v/>
      </c>
      <c r="E30" s="37">
        <f>IF($H30="","",MAX(0,$I30-$H30))</f>
        <v/>
      </c>
      <c r="F30" s="37">
        <f>IF(OR($E30="",$E30=0),"",MAX(0,$E30-Limpeza_Min))</f>
        <v/>
      </c>
      <c r="G30" s="19">
        <f>IF($E30="","",IF($E30=0,"Sem intervalo",IF($E30&gt;=Janela_Min,"Janela aproveitável","Janela curta")))</f>
        <v/>
      </c>
      <c r="H30">
        <f>IF(OR($A30="",ISERROR(MATCH($A30&amp;"#2",Mapa_Chave,0))),"",INDEX(Mapa_RelFim,MATCH($A30&amp;"#2",Mapa_Chave,0))+Limpeza_Min)</f>
        <v/>
      </c>
      <c r="I30">
        <f>IF($H30="","",IFERROR(INDEX(Mapa_RelIni,MATCH($A30&amp;"#3",Mapa_Chave,0)),Turno_Min))</f>
        <v/>
      </c>
    </row>
    <row r="31">
      <c r="A31" s="33">
        <f>IF(OR('Calc_Mix'!$B4="",'Calc_Mix'!$C4&lt;&gt;"Sala cirúrgica"),"",'Calc_Mix'!$B4)</f>
        <v/>
      </c>
      <c r="B31" s="33" t="n">
        <v>3</v>
      </c>
      <c r="C31" s="43">
        <f>IF(OR($E31="",$E31=0),"",MOD(Turno_Ini+$H31/1440,1))</f>
        <v/>
      </c>
      <c r="D31" s="43">
        <f>IF(OR($E31="",$E31=0),"",MOD(Turno_Ini+$I31/1440,1))</f>
        <v/>
      </c>
      <c r="E31" s="37">
        <f>IF($H31="","",MAX(0,$I31-$H31))</f>
        <v/>
      </c>
      <c r="F31" s="37">
        <f>IF(OR($E31="",$E31=0),"",MAX(0,$E31-Limpeza_Min))</f>
        <v/>
      </c>
      <c r="G31" s="19">
        <f>IF($E31="","",IF($E31=0,"Sem intervalo",IF($E31&gt;=Janela_Min,"Janela aproveitável","Janela curta")))</f>
        <v/>
      </c>
      <c r="H31">
        <f>IF(OR($A31="",ISERROR(MATCH($A31&amp;"#3",Mapa_Chave,0))),"",INDEX(Mapa_RelFim,MATCH($A31&amp;"#3",Mapa_Chave,0))+Limpeza_Min)</f>
        <v/>
      </c>
      <c r="I31">
        <f>IF($H31="","",IFERROR(INDEX(Mapa_RelIni,MATCH($A31&amp;"#4",Mapa_Chave,0)),Turno_Min))</f>
        <v/>
      </c>
    </row>
    <row r="32">
      <c r="A32" s="33">
        <f>IF(OR('Calc_Mix'!$B4="",'Calc_Mix'!$C4&lt;&gt;"Sala cirúrgica"),"",'Calc_Mix'!$B4)</f>
        <v/>
      </c>
      <c r="B32" s="33" t="n">
        <v>4</v>
      </c>
      <c r="C32" s="43">
        <f>IF(OR($E32="",$E32=0),"",MOD(Turno_Ini+$H32/1440,1))</f>
        <v/>
      </c>
      <c r="D32" s="43">
        <f>IF(OR($E32="",$E32=0),"",MOD(Turno_Ini+$I32/1440,1))</f>
        <v/>
      </c>
      <c r="E32" s="37">
        <f>IF($H32="","",MAX(0,$I32-$H32))</f>
        <v/>
      </c>
      <c r="F32" s="37">
        <f>IF(OR($E32="",$E32=0),"",MAX(0,$E32-Limpeza_Min))</f>
        <v/>
      </c>
      <c r="G32" s="19">
        <f>IF($E32="","",IF($E32=0,"Sem intervalo",IF($E32&gt;=Janela_Min,"Janela aproveitável","Janela curta")))</f>
        <v/>
      </c>
      <c r="H32">
        <f>IF(OR($A32="",ISERROR(MATCH($A32&amp;"#4",Mapa_Chave,0))),"",INDEX(Mapa_RelFim,MATCH($A32&amp;"#4",Mapa_Chave,0))+Limpeza_Min)</f>
        <v/>
      </c>
      <c r="I32">
        <f>IF($H32="","",IFERROR(INDEX(Mapa_RelIni,MATCH($A32&amp;"#5",Mapa_Chave,0)),Turno_Min))</f>
        <v/>
      </c>
    </row>
    <row r="33">
      <c r="A33" s="33">
        <f>IF(OR('Calc_Mix'!$B4="",'Calc_Mix'!$C4&lt;&gt;"Sala cirúrgica"),"",'Calc_Mix'!$B4)</f>
        <v/>
      </c>
      <c r="B33" s="33" t="n">
        <v>5</v>
      </c>
      <c r="C33" s="43">
        <f>IF(OR($E33="",$E33=0),"",MOD(Turno_Ini+$H33/1440,1))</f>
        <v/>
      </c>
      <c r="D33" s="43">
        <f>IF(OR($E33="",$E33=0),"",MOD(Turno_Ini+$I33/1440,1))</f>
        <v/>
      </c>
      <c r="E33" s="37">
        <f>IF($H33="","",MAX(0,$I33-$H33))</f>
        <v/>
      </c>
      <c r="F33" s="37">
        <f>IF(OR($E33="",$E33=0),"",MAX(0,$E33-Limpeza_Min))</f>
        <v/>
      </c>
      <c r="G33" s="19">
        <f>IF($E33="","",IF($E33=0,"Sem intervalo",IF($E33&gt;=Janela_Min,"Janela aproveitável","Janela curta")))</f>
        <v/>
      </c>
      <c r="H33">
        <f>IF(OR($A33="",ISERROR(MATCH($A33&amp;"#5",Mapa_Chave,0))),"",INDEX(Mapa_RelFim,MATCH($A33&amp;"#5",Mapa_Chave,0))+Limpeza_Min)</f>
        <v/>
      </c>
      <c r="I33">
        <f>IF($H33="","",IFERROR(INDEX(Mapa_RelIni,MATCH($A33&amp;"#6",Mapa_Chave,0)),Turno_Min))</f>
        <v/>
      </c>
    </row>
    <row r="34">
      <c r="A34" s="33">
        <f>IF(OR('Calc_Mix'!$B4="",'Calc_Mix'!$C4&lt;&gt;"Sala cirúrgica"),"",'Calc_Mix'!$B4)</f>
        <v/>
      </c>
      <c r="B34" s="33" t="n">
        <v>6</v>
      </c>
      <c r="C34" s="43">
        <f>IF(OR($E34="",$E34=0),"",MOD(Turno_Ini+$H34/1440,1))</f>
        <v/>
      </c>
      <c r="D34" s="43">
        <f>IF(OR($E34="",$E34=0),"",MOD(Turno_Ini+$I34/1440,1))</f>
        <v/>
      </c>
      <c r="E34" s="37">
        <f>IF($H34="","",MAX(0,$I34-$H34))</f>
        <v/>
      </c>
      <c r="F34" s="37">
        <f>IF(OR($E34="",$E34=0),"",MAX(0,$E34-Limpeza_Min))</f>
        <v/>
      </c>
      <c r="G34" s="19">
        <f>IF($E34="","",IF($E34=0,"Sem intervalo",IF($E34&gt;=Janela_Min,"Janela aproveitável","Janela curta")))</f>
        <v/>
      </c>
      <c r="H34">
        <f>IF(OR($A34="",ISERROR(MATCH($A34&amp;"#6",Mapa_Chave,0))),"",INDEX(Mapa_RelFim,MATCH($A34&amp;"#6",Mapa_Chave,0))+Limpeza_Min)</f>
        <v/>
      </c>
      <c r="I34">
        <f>IF($H34="","",IFERROR(INDEX(Mapa_RelIni,MATCH($A34&amp;"#7",Mapa_Chave,0)),Turno_Min))</f>
        <v/>
      </c>
    </row>
    <row r="35">
      <c r="A35" s="33">
        <f>IF(OR('Calc_Mix'!$B4="",'Calc_Mix'!$C4&lt;&gt;"Sala cirúrgica"),"",'Calc_Mix'!$B4)</f>
        <v/>
      </c>
      <c r="B35" s="33" t="n">
        <v>7</v>
      </c>
      <c r="C35" s="43">
        <f>IF(OR($E35="",$E35=0),"",MOD(Turno_Ini+$H35/1440,1))</f>
        <v/>
      </c>
      <c r="D35" s="43">
        <f>IF(OR($E35="",$E35=0),"",MOD(Turno_Ini+$I35/1440,1))</f>
        <v/>
      </c>
      <c r="E35" s="37">
        <f>IF($H35="","",MAX(0,$I35-$H35))</f>
        <v/>
      </c>
      <c r="F35" s="37">
        <f>IF(OR($E35="",$E35=0),"",MAX(0,$E35-Limpeza_Min))</f>
        <v/>
      </c>
      <c r="G35" s="19">
        <f>IF($E35="","",IF($E35=0,"Sem intervalo",IF($E35&gt;=Janela_Min,"Janela aproveitável","Janela curta")))</f>
        <v/>
      </c>
      <c r="H35">
        <f>IF(OR($A35="",ISERROR(MATCH($A35&amp;"#7",Mapa_Chave,0))),"",INDEX(Mapa_RelFim,MATCH($A35&amp;"#7",Mapa_Chave,0))+Limpeza_Min)</f>
        <v/>
      </c>
      <c r="I35">
        <f>IF($H35="","",IFERROR(INDEX(Mapa_RelIni,MATCH($A35&amp;"#8",Mapa_Chave,0)),Turno_Min))</f>
        <v/>
      </c>
    </row>
    <row r="36">
      <c r="A36" s="33">
        <f>IF(OR('Calc_Mix'!$B4="",'Calc_Mix'!$C4&lt;&gt;"Sala cirúrgica"),"",'Calc_Mix'!$B4)</f>
        <v/>
      </c>
      <c r="B36" s="33" t="n">
        <v>8</v>
      </c>
      <c r="C36" s="43">
        <f>IF(OR($E36="",$E36=0),"",MOD(Turno_Ini+$H36/1440,1))</f>
        <v/>
      </c>
      <c r="D36" s="43">
        <f>IF(OR($E36="",$E36=0),"",MOD(Turno_Ini+$I36/1440,1))</f>
        <v/>
      </c>
      <c r="E36" s="37">
        <f>IF($H36="","",MAX(0,$I36-$H36))</f>
        <v/>
      </c>
      <c r="F36" s="37">
        <f>IF(OR($E36="",$E36=0),"",MAX(0,$E36-Limpeza_Min))</f>
        <v/>
      </c>
      <c r="G36" s="19">
        <f>IF($E36="","",IF($E36=0,"Sem intervalo",IF($E36&gt;=Janela_Min,"Janela aproveitável","Janela curta")))</f>
        <v/>
      </c>
      <c r="H36">
        <f>IF(OR($A36="",ISERROR(MATCH($A36&amp;"#8",Mapa_Chave,0))),"",INDEX(Mapa_RelFim,MATCH($A36&amp;"#8",Mapa_Chave,0))+Limpeza_Min)</f>
        <v/>
      </c>
      <c r="I36">
        <f>IF($H36="","",IFERROR(INDEX(Mapa_RelIni,MATCH($A36&amp;"#9",Mapa_Chave,0)),Turno_Min))</f>
        <v/>
      </c>
    </row>
    <row r="37">
      <c r="A37" s="33">
        <f>IF(OR('Calc_Mix'!$B4="",'Calc_Mix'!$C4&lt;&gt;"Sala cirúrgica"),"",'Calc_Mix'!$B4)</f>
        <v/>
      </c>
      <c r="B37" s="33" t="n">
        <v>9</v>
      </c>
      <c r="C37" s="43">
        <f>IF(OR($E37="",$E37=0),"",MOD(Turno_Ini+$H37/1440,1))</f>
        <v/>
      </c>
      <c r="D37" s="43">
        <f>IF(OR($E37="",$E37=0),"",MOD(Turno_Ini+$I37/1440,1))</f>
        <v/>
      </c>
      <c r="E37" s="37">
        <f>IF($H37="","",MAX(0,$I37-$H37))</f>
        <v/>
      </c>
      <c r="F37" s="37">
        <f>IF(OR($E37="",$E37=0),"",MAX(0,$E37-Limpeza_Min))</f>
        <v/>
      </c>
      <c r="G37" s="19">
        <f>IF($E37="","",IF($E37=0,"Sem intervalo",IF($E37&gt;=Janela_Min,"Janela aproveitável","Janela curta")))</f>
        <v/>
      </c>
      <c r="H37">
        <f>IF(OR($A37="",ISERROR(MATCH($A37&amp;"#9",Mapa_Chave,0))),"",INDEX(Mapa_RelFim,MATCH($A37&amp;"#9",Mapa_Chave,0))+Limpeza_Min)</f>
        <v/>
      </c>
      <c r="I37">
        <f>IF($H37="","",IFERROR(INDEX(Mapa_RelIni,MATCH($A37&amp;"#10",Mapa_Chave,0)),Turno_Min))</f>
        <v/>
      </c>
    </row>
    <row r="38">
      <c r="A38" s="33">
        <f>IF(OR('Calc_Mix'!$B4="",'Calc_Mix'!$C4&lt;&gt;"Sala cirúrgica"),"",'Calc_Mix'!$B4)</f>
        <v/>
      </c>
      <c r="B38" s="33" t="n">
        <v>10</v>
      </c>
      <c r="C38" s="43">
        <f>IF(OR($E38="",$E38=0),"",MOD(Turno_Ini+$H38/1440,1))</f>
        <v/>
      </c>
      <c r="D38" s="43">
        <f>IF(OR($E38="",$E38=0),"",MOD(Turno_Ini+$I38/1440,1))</f>
        <v/>
      </c>
      <c r="E38" s="37">
        <f>IF($H38="","",MAX(0,$I38-$H38))</f>
        <v/>
      </c>
      <c r="F38" s="37">
        <f>IF(OR($E38="",$E38=0),"",MAX(0,$E38-Limpeza_Min))</f>
        <v/>
      </c>
      <c r="G38" s="19">
        <f>IF($E38="","",IF($E38=0,"Sem intervalo",IF($E38&gt;=Janela_Min,"Janela aproveitável","Janela curta")))</f>
        <v/>
      </c>
      <c r="H38">
        <f>IF(OR($A38="",ISERROR(MATCH($A38&amp;"#10",Mapa_Chave,0))),"",INDEX(Mapa_RelFim,MATCH($A38&amp;"#10",Mapa_Chave,0))+Limpeza_Min)</f>
        <v/>
      </c>
      <c r="I38">
        <f>IF($H38="","",IFERROR(INDEX(Mapa_RelIni,MATCH($A38&amp;"#11",Mapa_Chave,0)),Turno_Min))</f>
        <v/>
      </c>
    </row>
    <row r="39">
      <c r="A39" s="33">
        <f>IF(OR('Calc_Mix'!$B4="",'Calc_Mix'!$C4&lt;&gt;"Sala cirúrgica"),"",'Calc_Mix'!$B4)</f>
        <v/>
      </c>
      <c r="B39" s="33" t="n">
        <v>11</v>
      </c>
      <c r="C39" s="43">
        <f>IF(OR($E39="",$E39=0),"",MOD(Turno_Ini+$H39/1440,1))</f>
        <v/>
      </c>
      <c r="D39" s="43">
        <f>IF(OR($E39="",$E39=0),"",MOD(Turno_Ini+$I39/1440,1))</f>
        <v/>
      </c>
      <c r="E39" s="37">
        <f>IF($H39="","",MAX(0,$I39-$H39))</f>
        <v/>
      </c>
      <c r="F39" s="37">
        <f>IF(OR($E39="",$E39=0),"",MAX(0,$E39-Limpeza_Min))</f>
        <v/>
      </c>
      <c r="G39" s="19">
        <f>IF($E39="","",IF($E39=0,"Sem intervalo",IF($E39&gt;=Janela_Min,"Janela aproveitável","Janela curta")))</f>
        <v/>
      </c>
      <c r="H39">
        <f>IF(OR($A39="",ISERROR(MATCH($A39&amp;"#11",Mapa_Chave,0))),"",INDEX(Mapa_RelFim,MATCH($A39&amp;"#11",Mapa_Chave,0))+Limpeza_Min)</f>
        <v/>
      </c>
      <c r="I39">
        <f>IF($H39="","",IFERROR(INDEX(Mapa_RelIni,MATCH($A39&amp;"#12",Mapa_Chave,0)),Turno_Min))</f>
        <v/>
      </c>
    </row>
    <row r="40">
      <c r="A40" s="33">
        <f>IF(OR('Calc_Mix'!$B4="",'Calc_Mix'!$C4&lt;&gt;"Sala cirúrgica"),"",'Calc_Mix'!$B4)</f>
        <v/>
      </c>
      <c r="B40" s="33" t="n">
        <v>12</v>
      </c>
      <c r="C40" s="43">
        <f>IF(OR($E40="",$E40=0),"",MOD(Turno_Ini+$H40/1440,1))</f>
        <v/>
      </c>
      <c r="D40" s="43">
        <f>IF(OR($E40="",$E40=0),"",MOD(Turno_Ini+$I40/1440,1))</f>
        <v/>
      </c>
      <c r="E40" s="37">
        <f>IF($H40="","",MAX(0,$I40-$H40))</f>
        <v/>
      </c>
      <c r="F40" s="37">
        <f>IF(OR($E40="",$E40=0),"",MAX(0,$E40-Limpeza_Min))</f>
        <v/>
      </c>
      <c r="G40" s="19">
        <f>IF($E40="","",IF($E40=0,"Sem intervalo",IF($E40&gt;=Janela_Min,"Janela aproveitável","Janela curta")))</f>
        <v/>
      </c>
      <c r="H40">
        <f>IF(OR($A40="",ISERROR(MATCH($A40&amp;"#12",Mapa_Chave,0))),"",INDEX(Mapa_RelFim,MATCH($A40&amp;"#12",Mapa_Chave,0))+Limpeza_Min)</f>
        <v/>
      </c>
      <c r="I40">
        <f>IF($H40="","",IFERROR(INDEX(Mapa_RelIni,MATCH($A40&amp;"#13",Mapa_Chave,0)),Turno_Min))</f>
        <v/>
      </c>
    </row>
    <row r="41">
      <c r="A41" s="33">
        <f>IF(OR('Calc_Mix'!$B5="",'Calc_Mix'!$C5&lt;&gt;"Sala cirúrgica"),"",'Calc_Mix'!$B5)</f>
        <v/>
      </c>
      <c r="B41" s="33" t="n">
        <v>0</v>
      </c>
      <c r="C41" s="43">
        <f>IF(OR($E41="",$E41=0),"",MOD(Turno_Ini+$H41/1440,1))</f>
        <v/>
      </c>
      <c r="D41" s="43">
        <f>IF(OR($E41="",$E41=0),"",MOD(Turno_Ini+$I41/1440,1))</f>
        <v/>
      </c>
      <c r="E41" s="37">
        <f>IF($H41="","",MAX(0,$I41-$H41))</f>
        <v/>
      </c>
      <c r="F41" s="37">
        <f>IF(OR($E41="",$E41=0),"",MAX(0,$E41-Limpeza_Min))</f>
        <v/>
      </c>
      <c r="G41" s="19">
        <f>IF($E41="","",IF($E41=0,"Sem intervalo",IF($E41&gt;=Janela_Min,"Janela aproveitável","Janela curta")))</f>
        <v/>
      </c>
      <c r="H41">
        <f>IF($A41="","",0)</f>
        <v/>
      </c>
      <c r="I41">
        <f>IF($H41="","",IFERROR(INDEX(Mapa_RelIni,MATCH($A41&amp;"#1",Mapa_Chave,0)),Turno_Min))</f>
        <v/>
      </c>
    </row>
    <row r="42">
      <c r="A42" s="33">
        <f>IF(OR('Calc_Mix'!$B5="",'Calc_Mix'!$C5&lt;&gt;"Sala cirúrgica"),"",'Calc_Mix'!$B5)</f>
        <v/>
      </c>
      <c r="B42" s="33" t="n">
        <v>1</v>
      </c>
      <c r="C42" s="43">
        <f>IF(OR($E42="",$E42=0),"",MOD(Turno_Ini+$H42/1440,1))</f>
        <v/>
      </c>
      <c r="D42" s="43">
        <f>IF(OR($E42="",$E42=0),"",MOD(Turno_Ini+$I42/1440,1))</f>
        <v/>
      </c>
      <c r="E42" s="37">
        <f>IF($H42="","",MAX(0,$I42-$H42))</f>
        <v/>
      </c>
      <c r="F42" s="37">
        <f>IF(OR($E42="",$E42=0),"",MAX(0,$E42-Limpeza_Min))</f>
        <v/>
      </c>
      <c r="G42" s="19">
        <f>IF($E42="","",IF($E42=0,"Sem intervalo",IF($E42&gt;=Janela_Min,"Janela aproveitável","Janela curta")))</f>
        <v/>
      </c>
      <c r="H42">
        <f>IF(OR($A42="",ISERROR(MATCH($A42&amp;"#1",Mapa_Chave,0))),"",INDEX(Mapa_RelFim,MATCH($A42&amp;"#1",Mapa_Chave,0))+Limpeza_Min)</f>
        <v/>
      </c>
      <c r="I42">
        <f>IF($H42="","",IFERROR(INDEX(Mapa_RelIni,MATCH($A42&amp;"#2",Mapa_Chave,0)),Turno_Min))</f>
        <v/>
      </c>
    </row>
    <row r="43">
      <c r="A43" s="33">
        <f>IF(OR('Calc_Mix'!$B5="",'Calc_Mix'!$C5&lt;&gt;"Sala cirúrgica"),"",'Calc_Mix'!$B5)</f>
        <v/>
      </c>
      <c r="B43" s="33" t="n">
        <v>2</v>
      </c>
      <c r="C43" s="43">
        <f>IF(OR($E43="",$E43=0),"",MOD(Turno_Ini+$H43/1440,1))</f>
        <v/>
      </c>
      <c r="D43" s="43">
        <f>IF(OR($E43="",$E43=0),"",MOD(Turno_Ini+$I43/1440,1))</f>
        <v/>
      </c>
      <c r="E43" s="37">
        <f>IF($H43="","",MAX(0,$I43-$H43))</f>
        <v/>
      </c>
      <c r="F43" s="37">
        <f>IF(OR($E43="",$E43=0),"",MAX(0,$E43-Limpeza_Min))</f>
        <v/>
      </c>
      <c r="G43" s="19">
        <f>IF($E43="","",IF($E43=0,"Sem intervalo",IF($E43&gt;=Janela_Min,"Janela aproveitável","Janela curta")))</f>
        <v/>
      </c>
      <c r="H43">
        <f>IF(OR($A43="",ISERROR(MATCH($A43&amp;"#2",Mapa_Chave,0))),"",INDEX(Mapa_RelFim,MATCH($A43&amp;"#2",Mapa_Chave,0))+Limpeza_Min)</f>
        <v/>
      </c>
      <c r="I43">
        <f>IF($H43="","",IFERROR(INDEX(Mapa_RelIni,MATCH($A43&amp;"#3",Mapa_Chave,0)),Turno_Min))</f>
        <v/>
      </c>
    </row>
    <row r="44">
      <c r="A44" s="33">
        <f>IF(OR('Calc_Mix'!$B5="",'Calc_Mix'!$C5&lt;&gt;"Sala cirúrgica"),"",'Calc_Mix'!$B5)</f>
        <v/>
      </c>
      <c r="B44" s="33" t="n">
        <v>3</v>
      </c>
      <c r="C44" s="43">
        <f>IF(OR($E44="",$E44=0),"",MOD(Turno_Ini+$H44/1440,1))</f>
        <v/>
      </c>
      <c r="D44" s="43">
        <f>IF(OR($E44="",$E44=0),"",MOD(Turno_Ini+$I44/1440,1))</f>
        <v/>
      </c>
      <c r="E44" s="37">
        <f>IF($H44="","",MAX(0,$I44-$H44))</f>
        <v/>
      </c>
      <c r="F44" s="37">
        <f>IF(OR($E44="",$E44=0),"",MAX(0,$E44-Limpeza_Min))</f>
        <v/>
      </c>
      <c r="G44" s="19">
        <f>IF($E44="","",IF($E44=0,"Sem intervalo",IF($E44&gt;=Janela_Min,"Janela aproveitável","Janela curta")))</f>
        <v/>
      </c>
      <c r="H44">
        <f>IF(OR($A44="",ISERROR(MATCH($A44&amp;"#3",Mapa_Chave,0))),"",INDEX(Mapa_RelFim,MATCH($A44&amp;"#3",Mapa_Chave,0))+Limpeza_Min)</f>
        <v/>
      </c>
      <c r="I44">
        <f>IF($H44="","",IFERROR(INDEX(Mapa_RelIni,MATCH($A44&amp;"#4",Mapa_Chave,0)),Turno_Min))</f>
        <v/>
      </c>
    </row>
    <row r="45">
      <c r="A45" s="33">
        <f>IF(OR('Calc_Mix'!$B5="",'Calc_Mix'!$C5&lt;&gt;"Sala cirúrgica"),"",'Calc_Mix'!$B5)</f>
        <v/>
      </c>
      <c r="B45" s="33" t="n">
        <v>4</v>
      </c>
      <c r="C45" s="43">
        <f>IF(OR($E45="",$E45=0),"",MOD(Turno_Ini+$H45/1440,1))</f>
        <v/>
      </c>
      <c r="D45" s="43">
        <f>IF(OR($E45="",$E45=0),"",MOD(Turno_Ini+$I45/1440,1))</f>
        <v/>
      </c>
      <c r="E45" s="37">
        <f>IF($H45="","",MAX(0,$I45-$H45))</f>
        <v/>
      </c>
      <c r="F45" s="37">
        <f>IF(OR($E45="",$E45=0),"",MAX(0,$E45-Limpeza_Min))</f>
        <v/>
      </c>
      <c r="G45" s="19">
        <f>IF($E45="","",IF($E45=0,"Sem intervalo",IF($E45&gt;=Janela_Min,"Janela aproveitável","Janela curta")))</f>
        <v/>
      </c>
      <c r="H45">
        <f>IF(OR($A45="",ISERROR(MATCH($A45&amp;"#4",Mapa_Chave,0))),"",INDEX(Mapa_RelFim,MATCH($A45&amp;"#4",Mapa_Chave,0))+Limpeza_Min)</f>
        <v/>
      </c>
      <c r="I45">
        <f>IF($H45="","",IFERROR(INDEX(Mapa_RelIni,MATCH($A45&amp;"#5",Mapa_Chave,0)),Turno_Min))</f>
        <v/>
      </c>
    </row>
    <row r="46">
      <c r="A46" s="33">
        <f>IF(OR('Calc_Mix'!$B5="",'Calc_Mix'!$C5&lt;&gt;"Sala cirúrgica"),"",'Calc_Mix'!$B5)</f>
        <v/>
      </c>
      <c r="B46" s="33" t="n">
        <v>5</v>
      </c>
      <c r="C46" s="43">
        <f>IF(OR($E46="",$E46=0),"",MOD(Turno_Ini+$H46/1440,1))</f>
        <v/>
      </c>
      <c r="D46" s="43">
        <f>IF(OR($E46="",$E46=0),"",MOD(Turno_Ini+$I46/1440,1))</f>
        <v/>
      </c>
      <c r="E46" s="37">
        <f>IF($H46="","",MAX(0,$I46-$H46))</f>
        <v/>
      </c>
      <c r="F46" s="37">
        <f>IF(OR($E46="",$E46=0),"",MAX(0,$E46-Limpeza_Min))</f>
        <v/>
      </c>
      <c r="G46" s="19">
        <f>IF($E46="","",IF($E46=0,"Sem intervalo",IF($E46&gt;=Janela_Min,"Janela aproveitável","Janela curta")))</f>
        <v/>
      </c>
      <c r="H46">
        <f>IF(OR($A46="",ISERROR(MATCH($A46&amp;"#5",Mapa_Chave,0))),"",INDEX(Mapa_RelFim,MATCH($A46&amp;"#5",Mapa_Chave,0))+Limpeza_Min)</f>
        <v/>
      </c>
      <c r="I46">
        <f>IF($H46="","",IFERROR(INDEX(Mapa_RelIni,MATCH($A46&amp;"#6",Mapa_Chave,0)),Turno_Min))</f>
        <v/>
      </c>
    </row>
    <row r="47">
      <c r="A47" s="33">
        <f>IF(OR('Calc_Mix'!$B5="",'Calc_Mix'!$C5&lt;&gt;"Sala cirúrgica"),"",'Calc_Mix'!$B5)</f>
        <v/>
      </c>
      <c r="B47" s="33" t="n">
        <v>6</v>
      </c>
      <c r="C47" s="43">
        <f>IF(OR($E47="",$E47=0),"",MOD(Turno_Ini+$H47/1440,1))</f>
        <v/>
      </c>
      <c r="D47" s="43">
        <f>IF(OR($E47="",$E47=0),"",MOD(Turno_Ini+$I47/1440,1))</f>
        <v/>
      </c>
      <c r="E47" s="37">
        <f>IF($H47="","",MAX(0,$I47-$H47))</f>
        <v/>
      </c>
      <c r="F47" s="37">
        <f>IF(OR($E47="",$E47=0),"",MAX(0,$E47-Limpeza_Min))</f>
        <v/>
      </c>
      <c r="G47" s="19">
        <f>IF($E47="","",IF($E47=0,"Sem intervalo",IF($E47&gt;=Janela_Min,"Janela aproveitável","Janela curta")))</f>
        <v/>
      </c>
      <c r="H47">
        <f>IF(OR($A47="",ISERROR(MATCH($A47&amp;"#6",Mapa_Chave,0))),"",INDEX(Mapa_RelFim,MATCH($A47&amp;"#6",Mapa_Chave,0))+Limpeza_Min)</f>
        <v/>
      </c>
      <c r="I47">
        <f>IF($H47="","",IFERROR(INDEX(Mapa_RelIni,MATCH($A47&amp;"#7",Mapa_Chave,0)),Turno_Min))</f>
        <v/>
      </c>
    </row>
    <row r="48">
      <c r="A48" s="33">
        <f>IF(OR('Calc_Mix'!$B5="",'Calc_Mix'!$C5&lt;&gt;"Sala cirúrgica"),"",'Calc_Mix'!$B5)</f>
        <v/>
      </c>
      <c r="B48" s="33" t="n">
        <v>7</v>
      </c>
      <c r="C48" s="43">
        <f>IF(OR($E48="",$E48=0),"",MOD(Turno_Ini+$H48/1440,1))</f>
        <v/>
      </c>
      <c r="D48" s="43">
        <f>IF(OR($E48="",$E48=0),"",MOD(Turno_Ini+$I48/1440,1))</f>
        <v/>
      </c>
      <c r="E48" s="37">
        <f>IF($H48="","",MAX(0,$I48-$H48))</f>
        <v/>
      </c>
      <c r="F48" s="37">
        <f>IF(OR($E48="",$E48=0),"",MAX(0,$E48-Limpeza_Min))</f>
        <v/>
      </c>
      <c r="G48" s="19">
        <f>IF($E48="","",IF($E48=0,"Sem intervalo",IF($E48&gt;=Janela_Min,"Janela aproveitável","Janela curta")))</f>
        <v/>
      </c>
      <c r="H48">
        <f>IF(OR($A48="",ISERROR(MATCH($A48&amp;"#7",Mapa_Chave,0))),"",INDEX(Mapa_RelFim,MATCH($A48&amp;"#7",Mapa_Chave,0))+Limpeza_Min)</f>
        <v/>
      </c>
      <c r="I48">
        <f>IF($H48="","",IFERROR(INDEX(Mapa_RelIni,MATCH($A48&amp;"#8",Mapa_Chave,0)),Turno_Min))</f>
        <v/>
      </c>
    </row>
    <row r="49">
      <c r="A49" s="33">
        <f>IF(OR('Calc_Mix'!$B5="",'Calc_Mix'!$C5&lt;&gt;"Sala cirúrgica"),"",'Calc_Mix'!$B5)</f>
        <v/>
      </c>
      <c r="B49" s="33" t="n">
        <v>8</v>
      </c>
      <c r="C49" s="43">
        <f>IF(OR($E49="",$E49=0),"",MOD(Turno_Ini+$H49/1440,1))</f>
        <v/>
      </c>
      <c r="D49" s="43">
        <f>IF(OR($E49="",$E49=0),"",MOD(Turno_Ini+$I49/1440,1))</f>
        <v/>
      </c>
      <c r="E49" s="37">
        <f>IF($H49="","",MAX(0,$I49-$H49))</f>
        <v/>
      </c>
      <c r="F49" s="37">
        <f>IF(OR($E49="",$E49=0),"",MAX(0,$E49-Limpeza_Min))</f>
        <v/>
      </c>
      <c r="G49" s="19">
        <f>IF($E49="","",IF($E49=0,"Sem intervalo",IF($E49&gt;=Janela_Min,"Janela aproveitável","Janela curta")))</f>
        <v/>
      </c>
      <c r="H49">
        <f>IF(OR($A49="",ISERROR(MATCH($A49&amp;"#8",Mapa_Chave,0))),"",INDEX(Mapa_RelFim,MATCH($A49&amp;"#8",Mapa_Chave,0))+Limpeza_Min)</f>
        <v/>
      </c>
      <c r="I49">
        <f>IF($H49="","",IFERROR(INDEX(Mapa_RelIni,MATCH($A49&amp;"#9",Mapa_Chave,0)),Turno_Min))</f>
        <v/>
      </c>
    </row>
    <row r="50">
      <c r="A50" s="33">
        <f>IF(OR('Calc_Mix'!$B5="",'Calc_Mix'!$C5&lt;&gt;"Sala cirúrgica"),"",'Calc_Mix'!$B5)</f>
        <v/>
      </c>
      <c r="B50" s="33" t="n">
        <v>9</v>
      </c>
      <c r="C50" s="43">
        <f>IF(OR($E50="",$E50=0),"",MOD(Turno_Ini+$H50/1440,1))</f>
        <v/>
      </c>
      <c r="D50" s="43">
        <f>IF(OR($E50="",$E50=0),"",MOD(Turno_Ini+$I50/1440,1))</f>
        <v/>
      </c>
      <c r="E50" s="37">
        <f>IF($H50="","",MAX(0,$I50-$H50))</f>
        <v/>
      </c>
      <c r="F50" s="37">
        <f>IF(OR($E50="",$E50=0),"",MAX(0,$E50-Limpeza_Min))</f>
        <v/>
      </c>
      <c r="G50" s="19">
        <f>IF($E50="","",IF($E50=0,"Sem intervalo",IF($E50&gt;=Janela_Min,"Janela aproveitável","Janela curta")))</f>
        <v/>
      </c>
      <c r="H50">
        <f>IF(OR($A50="",ISERROR(MATCH($A50&amp;"#9",Mapa_Chave,0))),"",INDEX(Mapa_RelFim,MATCH($A50&amp;"#9",Mapa_Chave,0))+Limpeza_Min)</f>
        <v/>
      </c>
      <c r="I50">
        <f>IF($H50="","",IFERROR(INDEX(Mapa_RelIni,MATCH($A50&amp;"#10",Mapa_Chave,0)),Turno_Min))</f>
        <v/>
      </c>
    </row>
    <row r="51">
      <c r="A51" s="33">
        <f>IF(OR('Calc_Mix'!$B5="",'Calc_Mix'!$C5&lt;&gt;"Sala cirúrgica"),"",'Calc_Mix'!$B5)</f>
        <v/>
      </c>
      <c r="B51" s="33" t="n">
        <v>10</v>
      </c>
      <c r="C51" s="43">
        <f>IF(OR($E51="",$E51=0),"",MOD(Turno_Ini+$H51/1440,1))</f>
        <v/>
      </c>
      <c r="D51" s="43">
        <f>IF(OR($E51="",$E51=0),"",MOD(Turno_Ini+$I51/1440,1))</f>
        <v/>
      </c>
      <c r="E51" s="37">
        <f>IF($H51="","",MAX(0,$I51-$H51))</f>
        <v/>
      </c>
      <c r="F51" s="37">
        <f>IF(OR($E51="",$E51=0),"",MAX(0,$E51-Limpeza_Min))</f>
        <v/>
      </c>
      <c r="G51" s="19">
        <f>IF($E51="","",IF($E51=0,"Sem intervalo",IF($E51&gt;=Janela_Min,"Janela aproveitável","Janela curta")))</f>
        <v/>
      </c>
      <c r="H51">
        <f>IF(OR($A51="",ISERROR(MATCH($A51&amp;"#10",Mapa_Chave,0))),"",INDEX(Mapa_RelFim,MATCH($A51&amp;"#10",Mapa_Chave,0))+Limpeza_Min)</f>
        <v/>
      </c>
      <c r="I51">
        <f>IF($H51="","",IFERROR(INDEX(Mapa_RelIni,MATCH($A51&amp;"#11",Mapa_Chave,0)),Turno_Min))</f>
        <v/>
      </c>
    </row>
    <row r="52">
      <c r="A52" s="33">
        <f>IF(OR('Calc_Mix'!$B5="",'Calc_Mix'!$C5&lt;&gt;"Sala cirúrgica"),"",'Calc_Mix'!$B5)</f>
        <v/>
      </c>
      <c r="B52" s="33" t="n">
        <v>11</v>
      </c>
      <c r="C52" s="43">
        <f>IF(OR($E52="",$E52=0),"",MOD(Turno_Ini+$H52/1440,1))</f>
        <v/>
      </c>
      <c r="D52" s="43">
        <f>IF(OR($E52="",$E52=0),"",MOD(Turno_Ini+$I52/1440,1))</f>
        <v/>
      </c>
      <c r="E52" s="37">
        <f>IF($H52="","",MAX(0,$I52-$H52))</f>
        <v/>
      </c>
      <c r="F52" s="37">
        <f>IF(OR($E52="",$E52=0),"",MAX(0,$E52-Limpeza_Min))</f>
        <v/>
      </c>
      <c r="G52" s="19">
        <f>IF($E52="","",IF($E52=0,"Sem intervalo",IF($E52&gt;=Janela_Min,"Janela aproveitável","Janela curta")))</f>
        <v/>
      </c>
      <c r="H52">
        <f>IF(OR($A52="",ISERROR(MATCH($A52&amp;"#11",Mapa_Chave,0))),"",INDEX(Mapa_RelFim,MATCH($A52&amp;"#11",Mapa_Chave,0))+Limpeza_Min)</f>
        <v/>
      </c>
      <c r="I52">
        <f>IF($H52="","",IFERROR(INDEX(Mapa_RelIni,MATCH($A52&amp;"#12",Mapa_Chave,0)),Turno_Min))</f>
        <v/>
      </c>
    </row>
    <row r="53">
      <c r="A53" s="33">
        <f>IF(OR('Calc_Mix'!$B5="",'Calc_Mix'!$C5&lt;&gt;"Sala cirúrgica"),"",'Calc_Mix'!$B5)</f>
        <v/>
      </c>
      <c r="B53" s="33" t="n">
        <v>12</v>
      </c>
      <c r="C53" s="43">
        <f>IF(OR($E53="",$E53=0),"",MOD(Turno_Ini+$H53/1440,1))</f>
        <v/>
      </c>
      <c r="D53" s="43">
        <f>IF(OR($E53="",$E53=0),"",MOD(Turno_Ini+$I53/1440,1))</f>
        <v/>
      </c>
      <c r="E53" s="37">
        <f>IF($H53="","",MAX(0,$I53-$H53))</f>
        <v/>
      </c>
      <c r="F53" s="37">
        <f>IF(OR($E53="",$E53=0),"",MAX(0,$E53-Limpeza_Min))</f>
        <v/>
      </c>
      <c r="G53" s="19">
        <f>IF($E53="","",IF($E53=0,"Sem intervalo",IF($E53&gt;=Janela_Min,"Janela aproveitável","Janela curta")))</f>
        <v/>
      </c>
      <c r="H53">
        <f>IF(OR($A53="",ISERROR(MATCH($A53&amp;"#12",Mapa_Chave,0))),"",INDEX(Mapa_RelFim,MATCH($A53&amp;"#12",Mapa_Chave,0))+Limpeza_Min)</f>
        <v/>
      </c>
      <c r="I53">
        <f>IF($H53="","",IFERROR(INDEX(Mapa_RelIni,MATCH($A53&amp;"#13",Mapa_Chave,0)),Turno_Min))</f>
        <v/>
      </c>
    </row>
    <row r="54">
      <c r="A54" s="33">
        <f>IF(OR('Calc_Mix'!$B6="",'Calc_Mix'!$C6&lt;&gt;"Sala cirúrgica"),"",'Calc_Mix'!$B6)</f>
        <v/>
      </c>
      <c r="B54" s="33" t="n">
        <v>0</v>
      </c>
      <c r="C54" s="43">
        <f>IF(OR($E54="",$E54=0),"",MOD(Turno_Ini+$H54/1440,1))</f>
        <v/>
      </c>
      <c r="D54" s="43">
        <f>IF(OR($E54="",$E54=0),"",MOD(Turno_Ini+$I54/1440,1))</f>
        <v/>
      </c>
      <c r="E54" s="37">
        <f>IF($H54="","",MAX(0,$I54-$H54))</f>
        <v/>
      </c>
      <c r="F54" s="37">
        <f>IF(OR($E54="",$E54=0),"",MAX(0,$E54-Limpeza_Min))</f>
        <v/>
      </c>
      <c r="G54" s="19">
        <f>IF($E54="","",IF($E54=0,"Sem intervalo",IF($E54&gt;=Janela_Min,"Janela aproveitável","Janela curta")))</f>
        <v/>
      </c>
      <c r="H54">
        <f>IF($A54="","",0)</f>
        <v/>
      </c>
      <c r="I54">
        <f>IF($H54="","",IFERROR(INDEX(Mapa_RelIni,MATCH($A54&amp;"#1",Mapa_Chave,0)),Turno_Min))</f>
        <v/>
      </c>
    </row>
    <row r="55">
      <c r="A55" s="33">
        <f>IF(OR('Calc_Mix'!$B6="",'Calc_Mix'!$C6&lt;&gt;"Sala cirúrgica"),"",'Calc_Mix'!$B6)</f>
        <v/>
      </c>
      <c r="B55" s="33" t="n">
        <v>1</v>
      </c>
      <c r="C55" s="43">
        <f>IF(OR($E55="",$E55=0),"",MOD(Turno_Ini+$H55/1440,1))</f>
        <v/>
      </c>
      <c r="D55" s="43">
        <f>IF(OR($E55="",$E55=0),"",MOD(Turno_Ini+$I55/1440,1))</f>
        <v/>
      </c>
      <c r="E55" s="37">
        <f>IF($H55="","",MAX(0,$I55-$H55))</f>
        <v/>
      </c>
      <c r="F55" s="37">
        <f>IF(OR($E55="",$E55=0),"",MAX(0,$E55-Limpeza_Min))</f>
        <v/>
      </c>
      <c r="G55" s="19">
        <f>IF($E55="","",IF($E55=0,"Sem intervalo",IF($E55&gt;=Janela_Min,"Janela aproveitável","Janela curta")))</f>
        <v/>
      </c>
      <c r="H55">
        <f>IF(OR($A55="",ISERROR(MATCH($A55&amp;"#1",Mapa_Chave,0))),"",INDEX(Mapa_RelFim,MATCH($A55&amp;"#1",Mapa_Chave,0))+Limpeza_Min)</f>
        <v/>
      </c>
      <c r="I55">
        <f>IF($H55="","",IFERROR(INDEX(Mapa_RelIni,MATCH($A55&amp;"#2",Mapa_Chave,0)),Turno_Min))</f>
        <v/>
      </c>
    </row>
    <row r="56">
      <c r="A56" s="33">
        <f>IF(OR('Calc_Mix'!$B6="",'Calc_Mix'!$C6&lt;&gt;"Sala cirúrgica"),"",'Calc_Mix'!$B6)</f>
        <v/>
      </c>
      <c r="B56" s="33" t="n">
        <v>2</v>
      </c>
      <c r="C56" s="43">
        <f>IF(OR($E56="",$E56=0),"",MOD(Turno_Ini+$H56/1440,1))</f>
        <v/>
      </c>
      <c r="D56" s="43">
        <f>IF(OR($E56="",$E56=0),"",MOD(Turno_Ini+$I56/1440,1))</f>
        <v/>
      </c>
      <c r="E56" s="37">
        <f>IF($H56="","",MAX(0,$I56-$H56))</f>
        <v/>
      </c>
      <c r="F56" s="37">
        <f>IF(OR($E56="",$E56=0),"",MAX(0,$E56-Limpeza_Min))</f>
        <v/>
      </c>
      <c r="G56" s="19">
        <f>IF($E56="","",IF($E56=0,"Sem intervalo",IF($E56&gt;=Janela_Min,"Janela aproveitável","Janela curta")))</f>
        <v/>
      </c>
      <c r="H56">
        <f>IF(OR($A56="",ISERROR(MATCH($A56&amp;"#2",Mapa_Chave,0))),"",INDEX(Mapa_RelFim,MATCH($A56&amp;"#2",Mapa_Chave,0))+Limpeza_Min)</f>
        <v/>
      </c>
      <c r="I56">
        <f>IF($H56="","",IFERROR(INDEX(Mapa_RelIni,MATCH($A56&amp;"#3",Mapa_Chave,0)),Turno_Min))</f>
        <v/>
      </c>
    </row>
    <row r="57">
      <c r="A57" s="33">
        <f>IF(OR('Calc_Mix'!$B6="",'Calc_Mix'!$C6&lt;&gt;"Sala cirúrgica"),"",'Calc_Mix'!$B6)</f>
        <v/>
      </c>
      <c r="B57" s="33" t="n">
        <v>3</v>
      </c>
      <c r="C57" s="43">
        <f>IF(OR($E57="",$E57=0),"",MOD(Turno_Ini+$H57/1440,1))</f>
        <v/>
      </c>
      <c r="D57" s="43">
        <f>IF(OR($E57="",$E57=0),"",MOD(Turno_Ini+$I57/1440,1))</f>
        <v/>
      </c>
      <c r="E57" s="37">
        <f>IF($H57="","",MAX(0,$I57-$H57))</f>
        <v/>
      </c>
      <c r="F57" s="37">
        <f>IF(OR($E57="",$E57=0),"",MAX(0,$E57-Limpeza_Min))</f>
        <v/>
      </c>
      <c r="G57" s="19">
        <f>IF($E57="","",IF($E57=0,"Sem intervalo",IF($E57&gt;=Janela_Min,"Janela aproveitável","Janela curta")))</f>
        <v/>
      </c>
      <c r="H57">
        <f>IF(OR($A57="",ISERROR(MATCH($A57&amp;"#3",Mapa_Chave,0))),"",INDEX(Mapa_RelFim,MATCH($A57&amp;"#3",Mapa_Chave,0))+Limpeza_Min)</f>
        <v/>
      </c>
      <c r="I57">
        <f>IF($H57="","",IFERROR(INDEX(Mapa_RelIni,MATCH($A57&amp;"#4",Mapa_Chave,0)),Turno_Min))</f>
        <v/>
      </c>
    </row>
    <row r="58">
      <c r="A58" s="33">
        <f>IF(OR('Calc_Mix'!$B6="",'Calc_Mix'!$C6&lt;&gt;"Sala cirúrgica"),"",'Calc_Mix'!$B6)</f>
        <v/>
      </c>
      <c r="B58" s="33" t="n">
        <v>4</v>
      </c>
      <c r="C58" s="43">
        <f>IF(OR($E58="",$E58=0),"",MOD(Turno_Ini+$H58/1440,1))</f>
        <v/>
      </c>
      <c r="D58" s="43">
        <f>IF(OR($E58="",$E58=0),"",MOD(Turno_Ini+$I58/1440,1))</f>
        <v/>
      </c>
      <c r="E58" s="37">
        <f>IF($H58="","",MAX(0,$I58-$H58))</f>
        <v/>
      </c>
      <c r="F58" s="37">
        <f>IF(OR($E58="",$E58=0),"",MAX(0,$E58-Limpeza_Min))</f>
        <v/>
      </c>
      <c r="G58" s="19">
        <f>IF($E58="","",IF($E58=0,"Sem intervalo",IF($E58&gt;=Janela_Min,"Janela aproveitável","Janela curta")))</f>
        <v/>
      </c>
      <c r="H58">
        <f>IF(OR($A58="",ISERROR(MATCH($A58&amp;"#4",Mapa_Chave,0))),"",INDEX(Mapa_RelFim,MATCH($A58&amp;"#4",Mapa_Chave,0))+Limpeza_Min)</f>
        <v/>
      </c>
      <c r="I58">
        <f>IF($H58="","",IFERROR(INDEX(Mapa_RelIni,MATCH($A58&amp;"#5",Mapa_Chave,0)),Turno_Min))</f>
        <v/>
      </c>
    </row>
    <row r="59">
      <c r="A59" s="33">
        <f>IF(OR('Calc_Mix'!$B6="",'Calc_Mix'!$C6&lt;&gt;"Sala cirúrgica"),"",'Calc_Mix'!$B6)</f>
        <v/>
      </c>
      <c r="B59" s="33" t="n">
        <v>5</v>
      </c>
      <c r="C59" s="43">
        <f>IF(OR($E59="",$E59=0),"",MOD(Turno_Ini+$H59/1440,1))</f>
        <v/>
      </c>
      <c r="D59" s="43">
        <f>IF(OR($E59="",$E59=0),"",MOD(Turno_Ini+$I59/1440,1))</f>
        <v/>
      </c>
      <c r="E59" s="37">
        <f>IF($H59="","",MAX(0,$I59-$H59))</f>
        <v/>
      </c>
      <c r="F59" s="37">
        <f>IF(OR($E59="",$E59=0),"",MAX(0,$E59-Limpeza_Min))</f>
        <v/>
      </c>
      <c r="G59" s="19">
        <f>IF($E59="","",IF($E59=0,"Sem intervalo",IF($E59&gt;=Janela_Min,"Janela aproveitável","Janela curta")))</f>
        <v/>
      </c>
      <c r="H59">
        <f>IF(OR($A59="",ISERROR(MATCH($A59&amp;"#5",Mapa_Chave,0))),"",INDEX(Mapa_RelFim,MATCH($A59&amp;"#5",Mapa_Chave,0))+Limpeza_Min)</f>
        <v/>
      </c>
      <c r="I59">
        <f>IF($H59="","",IFERROR(INDEX(Mapa_RelIni,MATCH($A59&amp;"#6",Mapa_Chave,0)),Turno_Min))</f>
        <v/>
      </c>
    </row>
    <row r="60">
      <c r="A60" s="33">
        <f>IF(OR('Calc_Mix'!$B6="",'Calc_Mix'!$C6&lt;&gt;"Sala cirúrgica"),"",'Calc_Mix'!$B6)</f>
        <v/>
      </c>
      <c r="B60" s="33" t="n">
        <v>6</v>
      </c>
      <c r="C60" s="43">
        <f>IF(OR($E60="",$E60=0),"",MOD(Turno_Ini+$H60/1440,1))</f>
        <v/>
      </c>
      <c r="D60" s="43">
        <f>IF(OR($E60="",$E60=0),"",MOD(Turno_Ini+$I60/1440,1))</f>
        <v/>
      </c>
      <c r="E60" s="37">
        <f>IF($H60="","",MAX(0,$I60-$H60))</f>
        <v/>
      </c>
      <c r="F60" s="37">
        <f>IF(OR($E60="",$E60=0),"",MAX(0,$E60-Limpeza_Min))</f>
        <v/>
      </c>
      <c r="G60" s="19">
        <f>IF($E60="","",IF($E60=0,"Sem intervalo",IF($E60&gt;=Janela_Min,"Janela aproveitável","Janela curta")))</f>
        <v/>
      </c>
      <c r="H60">
        <f>IF(OR($A60="",ISERROR(MATCH($A60&amp;"#6",Mapa_Chave,0))),"",INDEX(Mapa_RelFim,MATCH($A60&amp;"#6",Mapa_Chave,0))+Limpeza_Min)</f>
        <v/>
      </c>
      <c r="I60">
        <f>IF($H60="","",IFERROR(INDEX(Mapa_RelIni,MATCH($A60&amp;"#7",Mapa_Chave,0)),Turno_Min))</f>
        <v/>
      </c>
    </row>
    <row r="61">
      <c r="A61" s="33">
        <f>IF(OR('Calc_Mix'!$B6="",'Calc_Mix'!$C6&lt;&gt;"Sala cirúrgica"),"",'Calc_Mix'!$B6)</f>
        <v/>
      </c>
      <c r="B61" s="33" t="n">
        <v>7</v>
      </c>
      <c r="C61" s="43">
        <f>IF(OR($E61="",$E61=0),"",MOD(Turno_Ini+$H61/1440,1))</f>
        <v/>
      </c>
      <c r="D61" s="43">
        <f>IF(OR($E61="",$E61=0),"",MOD(Turno_Ini+$I61/1440,1))</f>
        <v/>
      </c>
      <c r="E61" s="37">
        <f>IF($H61="","",MAX(0,$I61-$H61))</f>
        <v/>
      </c>
      <c r="F61" s="37">
        <f>IF(OR($E61="",$E61=0),"",MAX(0,$E61-Limpeza_Min))</f>
        <v/>
      </c>
      <c r="G61" s="19">
        <f>IF($E61="","",IF($E61=0,"Sem intervalo",IF($E61&gt;=Janela_Min,"Janela aproveitável","Janela curta")))</f>
        <v/>
      </c>
      <c r="H61">
        <f>IF(OR($A61="",ISERROR(MATCH($A61&amp;"#7",Mapa_Chave,0))),"",INDEX(Mapa_RelFim,MATCH($A61&amp;"#7",Mapa_Chave,0))+Limpeza_Min)</f>
        <v/>
      </c>
      <c r="I61">
        <f>IF($H61="","",IFERROR(INDEX(Mapa_RelIni,MATCH($A61&amp;"#8",Mapa_Chave,0)),Turno_Min))</f>
        <v/>
      </c>
    </row>
    <row r="62">
      <c r="A62" s="33">
        <f>IF(OR('Calc_Mix'!$B6="",'Calc_Mix'!$C6&lt;&gt;"Sala cirúrgica"),"",'Calc_Mix'!$B6)</f>
        <v/>
      </c>
      <c r="B62" s="33" t="n">
        <v>8</v>
      </c>
      <c r="C62" s="43">
        <f>IF(OR($E62="",$E62=0),"",MOD(Turno_Ini+$H62/1440,1))</f>
        <v/>
      </c>
      <c r="D62" s="43">
        <f>IF(OR($E62="",$E62=0),"",MOD(Turno_Ini+$I62/1440,1))</f>
        <v/>
      </c>
      <c r="E62" s="37">
        <f>IF($H62="","",MAX(0,$I62-$H62))</f>
        <v/>
      </c>
      <c r="F62" s="37">
        <f>IF(OR($E62="",$E62=0),"",MAX(0,$E62-Limpeza_Min))</f>
        <v/>
      </c>
      <c r="G62" s="19">
        <f>IF($E62="","",IF($E62=0,"Sem intervalo",IF($E62&gt;=Janela_Min,"Janela aproveitável","Janela curta")))</f>
        <v/>
      </c>
      <c r="H62">
        <f>IF(OR($A62="",ISERROR(MATCH($A62&amp;"#8",Mapa_Chave,0))),"",INDEX(Mapa_RelFim,MATCH($A62&amp;"#8",Mapa_Chave,0))+Limpeza_Min)</f>
        <v/>
      </c>
      <c r="I62">
        <f>IF($H62="","",IFERROR(INDEX(Mapa_RelIni,MATCH($A62&amp;"#9",Mapa_Chave,0)),Turno_Min))</f>
        <v/>
      </c>
    </row>
    <row r="63">
      <c r="A63" s="33">
        <f>IF(OR('Calc_Mix'!$B6="",'Calc_Mix'!$C6&lt;&gt;"Sala cirúrgica"),"",'Calc_Mix'!$B6)</f>
        <v/>
      </c>
      <c r="B63" s="33" t="n">
        <v>9</v>
      </c>
      <c r="C63" s="43">
        <f>IF(OR($E63="",$E63=0),"",MOD(Turno_Ini+$H63/1440,1))</f>
        <v/>
      </c>
      <c r="D63" s="43">
        <f>IF(OR($E63="",$E63=0),"",MOD(Turno_Ini+$I63/1440,1))</f>
        <v/>
      </c>
      <c r="E63" s="37">
        <f>IF($H63="","",MAX(0,$I63-$H63))</f>
        <v/>
      </c>
      <c r="F63" s="37">
        <f>IF(OR($E63="",$E63=0),"",MAX(0,$E63-Limpeza_Min))</f>
        <v/>
      </c>
      <c r="G63" s="19">
        <f>IF($E63="","",IF($E63=0,"Sem intervalo",IF($E63&gt;=Janela_Min,"Janela aproveitável","Janela curta")))</f>
        <v/>
      </c>
      <c r="H63">
        <f>IF(OR($A63="",ISERROR(MATCH($A63&amp;"#9",Mapa_Chave,0))),"",INDEX(Mapa_RelFim,MATCH($A63&amp;"#9",Mapa_Chave,0))+Limpeza_Min)</f>
        <v/>
      </c>
      <c r="I63">
        <f>IF($H63="","",IFERROR(INDEX(Mapa_RelIni,MATCH($A63&amp;"#10",Mapa_Chave,0)),Turno_Min))</f>
        <v/>
      </c>
    </row>
    <row r="64">
      <c r="A64" s="33">
        <f>IF(OR('Calc_Mix'!$B6="",'Calc_Mix'!$C6&lt;&gt;"Sala cirúrgica"),"",'Calc_Mix'!$B6)</f>
        <v/>
      </c>
      <c r="B64" s="33" t="n">
        <v>10</v>
      </c>
      <c r="C64" s="43">
        <f>IF(OR($E64="",$E64=0),"",MOD(Turno_Ini+$H64/1440,1))</f>
        <v/>
      </c>
      <c r="D64" s="43">
        <f>IF(OR($E64="",$E64=0),"",MOD(Turno_Ini+$I64/1440,1))</f>
        <v/>
      </c>
      <c r="E64" s="37">
        <f>IF($H64="","",MAX(0,$I64-$H64))</f>
        <v/>
      </c>
      <c r="F64" s="37">
        <f>IF(OR($E64="",$E64=0),"",MAX(0,$E64-Limpeza_Min))</f>
        <v/>
      </c>
      <c r="G64" s="19">
        <f>IF($E64="","",IF($E64=0,"Sem intervalo",IF($E64&gt;=Janela_Min,"Janela aproveitável","Janela curta")))</f>
        <v/>
      </c>
      <c r="H64">
        <f>IF(OR($A64="",ISERROR(MATCH($A64&amp;"#10",Mapa_Chave,0))),"",INDEX(Mapa_RelFim,MATCH($A64&amp;"#10",Mapa_Chave,0))+Limpeza_Min)</f>
        <v/>
      </c>
      <c r="I64">
        <f>IF($H64="","",IFERROR(INDEX(Mapa_RelIni,MATCH($A64&amp;"#11",Mapa_Chave,0)),Turno_Min))</f>
        <v/>
      </c>
    </row>
    <row r="65">
      <c r="A65" s="33">
        <f>IF(OR('Calc_Mix'!$B6="",'Calc_Mix'!$C6&lt;&gt;"Sala cirúrgica"),"",'Calc_Mix'!$B6)</f>
        <v/>
      </c>
      <c r="B65" s="33" t="n">
        <v>11</v>
      </c>
      <c r="C65" s="43">
        <f>IF(OR($E65="",$E65=0),"",MOD(Turno_Ini+$H65/1440,1))</f>
        <v/>
      </c>
      <c r="D65" s="43">
        <f>IF(OR($E65="",$E65=0),"",MOD(Turno_Ini+$I65/1440,1))</f>
        <v/>
      </c>
      <c r="E65" s="37">
        <f>IF($H65="","",MAX(0,$I65-$H65))</f>
        <v/>
      </c>
      <c r="F65" s="37">
        <f>IF(OR($E65="",$E65=0),"",MAX(0,$E65-Limpeza_Min))</f>
        <v/>
      </c>
      <c r="G65" s="19">
        <f>IF($E65="","",IF($E65=0,"Sem intervalo",IF($E65&gt;=Janela_Min,"Janela aproveitável","Janela curta")))</f>
        <v/>
      </c>
      <c r="H65">
        <f>IF(OR($A65="",ISERROR(MATCH($A65&amp;"#11",Mapa_Chave,0))),"",INDEX(Mapa_RelFim,MATCH($A65&amp;"#11",Mapa_Chave,0))+Limpeza_Min)</f>
        <v/>
      </c>
      <c r="I65">
        <f>IF($H65="","",IFERROR(INDEX(Mapa_RelIni,MATCH($A65&amp;"#12",Mapa_Chave,0)),Turno_Min))</f>
        <v/>
      </c>
    </row>
    <row r="66">
      <c r="A66" s="33">
        <f>IF(OR('Calc_Mix'!$B6="",'Calc_Mix'!$C6&lt;&gt;"Sala cirúrgica"),"",'Calc_Mix'!$B6)</f>
        <v/>
      </c>
      <c r="B66" s="33" t="n">
        <v>12</v>
      </c>
      <c r="C66" s="43">
        <f>IF(OR($E66="",$E66=0),"",MOD(Turno_Ini+$H66/1440,1))</f>
        <v/>
      </c>
      <c r="D66" s="43">
        <f>IF(OR($E66="",$E66=0),"",MOD(Turno_Ini+$I66/1440,1))</f>
        <v/>
      </c>
      <c r="E66" s="37">
        <f>IF($H66="","",MAX(0,$I66-$H66))</f>
        <v/>
      </c>
      <c r="F66" s="37">
        <f>IF(OR($E66="",$E66=0),"",MAX(0,$E66-Limpeza_Min))</f>
        <v/>
      </c>
      <c r="G66" s="19">
        <f>IF($E66="","",IF($E66=0,"Sem intervalo",IF($E66&gt;=Janela_Min,"Janela aproveitável","Janela curta")))</f>
        <v/>
      </c>
      <c r="H66">
        <f>IF(OR($A66="",ISERROR(MATCH($A66&amp;"#12",Mapa_Chave,0))),"",INDEX(Mapa_RelFim,MATCH($A66&amp;"#12",Mapa_Chave,0))+Limpeza_Min)</f>
        <v/>
      </c>
      <c r="I66">
        <f>IF($H66="","",IFERROR(INDEX(Mapa_RelIni,MATCH($A66&amp;"#13",Mapa_Chave,0)),Turno_Min))</f>
        <v/>
      </c>
    </row>
    <row r="67">
      <c r="A67" s="33">
        <f>IF(OR('Calc_Mix'!$B7="",'Calc_Mix'!$C7&lt;&gt;"Sala cirúrgica"),"",'Calc_Mix'!$B7)</f>
        <v/>
      </c>
      <c r="B67" s="33" t="n">
        <v>0</v>
      </c>
      <c r="C67" s="43">
        <f>IF(OR($E67="",$E67=0),"",MOD(Turno_Ini+$H67/1440,1))</f>
        <v/>
      </c>
      <c r="D67" s="43">
        <f>IF(OR($E67="",$E67=0),"",MOD(Turno_Ini+$I67/1440,1))</f>
        <v/>
      </c>
      <c r="E67" s="37">
        <f>IF($H67="","",MAX(0,$I67-$H67))</f>
        <v/>
      </c>
      <c r="F67" s="37">
        <f>IF(OR($E67="",$E67=0),"",MAX(0,$E67-Limpeza_Min))</f>
        <v/>
      </c>
      <c r="G67" s="19">
        <f>IF($E67="","",IF($E67=0,"Sem intervalo",IF($E67&gt;=Janela_Min,"Janela aproveitável","Janela curta")))</f>
        <v/>
      </c>
      <c r="H67">
        <f>IF($A67="","",0)</f>
        <v/>
      </c>
      <c r="I67">
        <f>IF($H67="","",IFERROR(INDEX(Mapa_RelIni,MATCH($A67&amp;"#1",Mapa_Chave,0)),Turno_Min))</f>
        <v/>
      </c>
    </row>
    <row r="68">
      <c r="A68" s="33">
        <f>IF(OR('Calc_Mix'!$B7="",'Calc_Mix'!$C7&lt;&gt;"Sala cirúrgica"),"",'Calc_Mix'!$B7)</f>
        <v/>
      </c>
      <c r="B68" s="33" t="n">
        <v>1</v>
      </c>
      <c r="C68" s="43">
        <f>IF(OR($E68="",$E68=0),"",MOD(Turno_Ini+$H68/1440,1))</f>
        <v/>
      </c>
      <c r="D68" s="43">
        <f>IF(OR($E68="",$E68=0),"",MOD(Turno_Ini+$I68/1440,1))</f>
        <v/>
      </c>
      <c r="E68" s="37">
        <f>IF($H68="","",MAX(0,$I68-$H68))</f>
        <v/>
      </c>
      <c r="F68" s="37">
        <f>IF(OR($E68="",$E68=0),"",MAX(0,$E68-Limpeza_Min))</f>
        <v/>
      </c>
      <c r="G68" s="19">
        <f>IF($E68="","",IF($E68=0,"Sem intervalo",IF($E68&gt;=Janela_Min,"Janela aproveitável","Janela curta")))</f>
        <v/>
      </c>
      <c r="H68">
        <f>IF(OR($A68="",ISERROR(MATCH($A68&amp;"#1",Mapa_Chave,0))),"",INDEX(Mapa_RelFim,MATCH($A68&amp;"#1",Mapa_Chave,0))+Limpeza_Min)</f>
        <v/>
      </c>
      <c r="I68">
        <f>IF($H68="","",IFERROR(INDEX(Mapa_RelIni,MATCH($A68&amp;"#2",Mapa_Chave,0)),Turno_Min))</f>
        <v/>
      </c>
    </row>
    <row r="69">
      <c r="A69" s="33">
        <f>IF(OR('Calc_Mix'!$B7="",'Calc_Mix'!$C7&lt;&gt;"Sala cirúrgica"),"",'Calc_Mix'!$B7)</f>
        <v/>
      </c>
      <c r="B69" s="33" t="n">
        <v>2</v>
      </c>
      <c r="C69" s="43">
        <f>IF(OR($E69="",$E69=0),"",MOD(Turno_Ini+$H69/1440,1))</f>
        <v/>
      </c>
      <c r="D69" s="43">
        <f>IF(OR($E69="",$E69=0),"",MOD(Turno_Ini+$I69/1440,1))</f>
        <v/>
      </c>
      <c r="E69" s="37">
        <f>IF($H69="","",MAX(0,$I69-$H69))</f>
        <v/>
      </c>
      <c r="F69" s="37">
        <f>IF(OR($E69="",$E69=0),"",MAX(0,$E69-Limpeza_Min))</f>
        <v/>
      </c>
      <c r="G69" s="19">
        <f>IF($E69="","",IF($E69=0,"Sem intervalo",IF($E69&gt;=Janela_Min,"Janela aproveitável","Janela curta")))</f>
        <v/>
      </c>
      <c r="H69">
        <f>IF(OR($A69="",ISERROR(MATCH($A69&amp;"#2",Mapa_Chave,0))),"",INDEX(Mapa_RelFim,MATCH($A69&amp;"#2",Mapa_Chave,0))+Limpeza_Min)</f>
        <v/>
      </c>
      <c r="I69">
        <f>IF($H69="","",IFERROR(INDEX(Mapa_RelIni,MATCH($A69&amp;"#3",Mapa_Chave,0)),Turno_Min))</f>
        <v/>
      </c>
    </row>
    <row r="70">
      <c r="A70" s="33">
        <f>IF(OR('Calc_Mix'!$B7="",'Calc_Mix'!$C7&lt;&gt;"Sala cirúrgica"),"",'Calc_Mix'!$B7)</f>
        <v/>
      </c>
      <c r="B70" s="33" t="n">
        <v>3</v>
      </c>
      <c r="C70" s="43">
        <f>IF(OR($E70="",$E70=0),"",MOD(Turno_Ini+$H70/1440,1))</f>
        <v/>
      </c>
      <c r="D70" s="43">
        <f>IF(OR($E70="",$E70=0),"",MOD(Turno_Ini+$I70/1440,1))</f>
        <v/>
      </c>
      <c r="E70" s="37">
        <f>IF($H70="","",MAX(0,$I70-$H70))</f>
        <v/>
      </c>
      <c r="F70" s="37">
        <f>IF(OR($E70="",$E70=0),"",MAX(0,$E70-Limpeza_Min))</f>
        <v/>
      </c>
      <c r="G70" s="19">
        <f>IF($E70="","",IF($E70=0,"Sem intervalo",IF($E70&gt;=Janela_Min,"Janela aproveitável","Janela curta")))</f>
        <v/>
      </c>
      <c r="H70">
        <f>IF(OR($A70="",ISERROR(MATCH($A70&amp;"#3",Mapa_Chave,0))),"",INDEX(Mapa_RelFim,MATCH($A70&amp;"#3",Mapa_Chave,0))+Limpeza_Min)</f>
        <v/>
      </c>
      <c r="I70">
        <f>IF($H70="","",IFERROR(INDEX(Mapa_RelIni,MATCH($A70&amp;"#4",Mapa_Chave,0)),Turno_Min))</f>
        <v/>
      </c>
    </row>
    <row r="71">
      <c r="A71" s="33">
        <f>IF(OR('Calc_Mix'!$B7="",'Calc_Mix'!$C7&lt;&gt;"Sala cirúrgica"),"",'Calc_Mix'!$B7)</f>
        <v/>
      </c>
      <c r="B71" s="33" t="n">
        <v>4</v>
      </c>
      <c r="C71" s="43">
        <f>IF(OR($E71="",$E71=0),"",MOD(Turno_Ini+$H71/1440,1))</f>
        <v/>
      </c>
      <c r="D71" s="43">
        <f>IF(OR($E71="",$E71=0),"",MOD(Turno_Ini+$I71/1440,1))</f>
        <v/>
      </c>
      <c r="E71" s="37">
        <f>IF($H71="","",MAX(0,$I71-$H71))</f>
        <v/>
      </c>
      <c r="F71" s="37">
        <f>IF(OR($E71="",$E71=0),"",MAX(0,$E71-Limpeza_Min))</f>
        <v/>
      </c>
      <c r="G71" s="19">
        <f>IF($E71="","",IF($E71=0,"Sem intervalo",IF($E71&gt;=Janela_Min,"Janela aproveitável","Janela curta")))</f>
        <v/>
      </c>
      <c r="H71">
        <f>IF(OR($A71="",ISERROR(MATCH($A71&amp;"#4",Mapa_Chave,0))),"",INDEX(Mapa_RelFim,MATCH($A71&amp;"#4",Mapa_Chave,0))+Limpeza_Min)</f>
        <v/>
      </c>
      <c r="I71">
        <f>IF($H71="","",IFERROR(INDEX(Mapa_RelIni,MATCH($A71&amp;"#5",Mapa_Chave,0)),Turno_Min))</f>
        <v/>
      </c>
    </row>
    <row r="72">
      <c r="A72" s="33">
        <f>IF(OR('Calc_Mix'!$B7="",'Calc_Mix'!$C7&lt;&gt;"Sala cirúrgica"),"",'Calc_Mix'!$B7)</f>
        <v/>
      </c>
      <c r="B72" s="33" t="n">
        <v>5</v>
      </c>
      <c r="C72" s="43">
        <f>IF(OR($E72="",$E72=0),"",MOD(Turno_Ini+$H72/1440,1))</f>
        <v/>
      </c>
      <c r="D72" s="43">
        <f>IF(OR($E72="",$E72=0),"",MOD(Turno_Ini+$I72/1440,1))</f>
        <v/>
      </c>
      <c r="E72" s="37">
        <f>IF($H72="","",MAX(0,$I72-$H72))</f>
        <v/>
      </c>
      <c r="F72" s="37">
        <f>IF(OR($E72="",$E72=0),"",MAX(0,$E72-Limpeza_Min))</f>
        <v/>
      </c>
      <c r="G72" s="19">
        <f>IF($E72="","",IF($E72=0,"Sem intervalo",IF($E72&gt;=Janela_Min,"Janela aproveitável","Janela curta")))</f>
        <v/>
      </c>
      <c r="H72">
        <f>IF(OR($A72="",ISERROR(MATCH($A72&amp;"#5",Mapa_Chave,0))),"",INDEX(Mapa_RelFim,MATCH($A72&amp;"#5",Mapa_Chave,0))+Limpeza_Min)</f>
        <v/>
      </c>
      <c r="I72">
        <f>IF($H72="","",IFERROR(INDEX(Mapa_RelIni,MATCH($A72&amp;"#6",Mapa_Chave,0)),Turno_Min))</f>
        <v/>
      </c>
    </row>
    <row r="73">
      <c r="A73" s="33">
        <f>IF(OR('Calc_Mix'!$B7="",'Calc_Mix'!$C7&lt;&gt;"Sala cirúrgica"),"",'Calc_Mix'!$B7)</f>
        <v/>
      </c>
      <c r="B73" s="33" t="n">
        <v>6</v>
      </c>
      <c r="C73" s="43">
        <f>IF(OR($E73="",$E73=0),"",MOD(Turno_Ini+$H73/1440,1))</f>
        <v/>
      </c>
      <c r="D73" s="43">
        <f>IF(OR($E73="",$E73=0),"",MOD(Turno_Ini+$I73/1440,1))</f>
        <v/>
      </c>
      <c r="E73" s="37">
        <f>IF($H73="","",MAX(0,$I73-$H73))</f>
        <v/>
      </c>
      <c r="F73" s="37">
        <f>IF(OR($E73="",$E73=0),"",MAX(0,$E73-Limpeza_Min))</f>
        <v/>
      </c>
      <c r="G73" s="19">
        <f>IF($E73="","",IF($E73=0,"Sem intervalo",IF($E73&gt;=Janela_Min,"Janela aproveitável","Janela curta")))</f>
        <v/>
      </c>
      <c r="H73">
        <f>IF(OR($A73="",ISERROR(MATCH($A73&amp;"#6",Mapa_Chave,0))),"",INDEX(Mapa_RelFim,MATCH($A73&amp;"#6",Mapa_Chave,0))+Limpeza_Min)</f>
        <v/>
      </c>
      <c r="I73">
        <f>IF($H73="","",IFERROR(INDEX(Mapa_RelIni,MATCH($A73&amp;"#7",Mapa_Chave,0)),Turno_Min))</f>
        <v/>
      </c>
    </row>
    <row r="74">
      <c r="A74" s="33">
        <f>IF(OR('Calc_Mix'!$B7="",'Calc_Mix'!$C7&lt;&gt;"Sala cirúrgica"),"",'Calc_Mix'!$B7)</f>
        <v/>
      </c>
      <c r="B74" s="33" t="n">
        <v>7</v>
      </c>
      <c r="C74" s="43">
        <f>IF(OR($E74="",$E74=0),"",MOD(Turno_Ini+$H74/1440,1))</f>
        <v/>
      </c>
      <c r="D74" s="43">
        <f>IF(OR($E74="",$E74=0),"",MOD(Turno_Ini+$I74/1440,1))</f>
        <v/>
      </c>
      <c r="E74" s="37">
        <f>IF($H74="","",MAX(0,$I74-$H74))</f>
        <v/>
      </c>
      <c r="F74" s="37">
        <f>IF(OR($E74="",$E74=0),"",MAX(0,$E74-Limpeza_Min))</f>
        <v/>
      </c>
      <c r="G74" s="19">
        <f>IF($E74="","",IF($E74=0,"Sem intervalo",IF($E74&gt;=Janela_Min,"Janela aproveitável","Janela curta")))</f>
        <v/>
      </c>
      <c r="H74">
        <f>IF(OR($A74="",ISERROR(MATCH($A74&amp;"#7",Mapa_Chave,0))),"",INDEX(Mapa_RelFim,MATCH($A74&amp;"#7",Mapa_Chave,0))+Limpeza_Min)</f>
        <v/>
      </c>
      <c r="I74">
        <f>IF($H74="","",IFERROR(INDEX(Mapa_RelIni,MATCH($A74&amp;"#8",Mapa_Chave,0)),Turno_Min))</f>
        <v/>
      </c>
    </row>
    <row r="75">
      <c r="A75" s="33">
        <f>IF(OR('Calc_Mix'!$B7="",'Calc_Mix'!$C7&lt;&gt;"Sala cirúrgica"),"",'Calc_Mix'!$B7)</f>
        <v/>
      </c>
      <c r="B75" s="33" t="n">
        <v>8</v>
      </c>
      <c r="C75" s="43">
        <f>IF(OR($E75="",$E75=0),"",MOD(Turno_Ini+$H75/1440,1))</f>
        <v/>
      </c>
      <c r="D75" s="43">
        <f>IF(OR($E75="",$E75=0),"",MOD(Turno_Ini+$I75/1440,1))</f>
        <v/>
      </c>
      <c r="E75" s="37">
        <f>IF($H75="","",MAX(0,$I75-$H75))</f>
        <v/>
      </c>
      <c r="F75" s="37">
        <f>IF(OR($E75="",$E75=0),"",MAX(0,$E75-Limpeza_Min))</f>
        <v/>
      </c>
      <c r="G75" s="19">
        <f>IF($E75="","",IF($E75=0,"Sem intervalo",IF($E75&gt;=Janela_Min,"Janela aproveitável","Janela curta")))</f>
        <v/>
      </c>
      <c r="H75">
        <f>IF(OR($A75="",ISERROR(MATCH($A75&amp;"#8",Mapa_Chave,0))),"",INDEX(Mapa_RelFim,MATCH($A75&amp;"#8",Mapa_Chave,0))+Limpeza_Min)</f>
        <v/>
      </c>
      <c r="I75">
        <f>IF($H75="","",IFERROR(INDEX(Mapa_RelIni,MATCH($A75&amp;"#9",Mapa_Chave,0)),Turno_Min))</f>
        <v/>
      </c>
    </row>
    <row r="76">
      <c r="A76" s="33">
        <f>IF(OR('Calc_Mix'!$B7="",'Calc_Mix'!$C7&lt;&gt;"Sala cirúrgica"),"",'Calc_Mix'!$B7)</f>
        <v/>
      </c>
      <c r="B76" s="33" t="n">
        <v>9</v>
      </c>
      <c r="C76" s="43">
        <f>IF(OR($E76="",$E76=0),"",MOD(Turno_Ini+$H76/1440,1))</f>
        <v/>
      </c>
      <c r="D76" s="43">
        <f>IF(OR($E76="",$E76=0),"",MOD(Turno_Ini+$I76/1440,1))</f>
        <v/>
      </c>
      <c r="E76" s="37">
        <f>IF($H76="","",MAX(0,$I76-$H76))</f>
        <v/>
      </c>
      <c r="F76" s="37">
        <f>IF(OR($E76="",$E76=0),"",MAX(0,$E76-Limpeza_Min))</f>
        <v/>
      </c>
      <c r="G76" s="19">
        <f>IF($E76="","",IF($E76=0,"Sem intervalo",IF($E76&gt;=Janela_Min,"Janela aproveitável","Janela curta")))</f>
        <v/>
      </c>
      <c r="H76">
        <f>IF(OR($A76="",ISERROR(MATCH($A76&amp;"#9",Mapa_Chave,0))),"",INDEX(Mapa_RelFim,MATCH($A76&amp;"#9",Mapa_Chave,0))+Limpeza_Min)</f>
        <v/>
      </c>
      <c r="I76">
        <f>IF($H76="","",IFERROR(INDEX(Mapa_RelIni,MATCH($A76&amp;"#10",Mapa_Chave,0)),Turno_Min))</f>
        <v/>
      </c>
    </row>
    <row r="77">
      <c r="A77" s="33">
        <f>IF(OR('Calc_Mix'!$B7="",'Calc_Mix'!$C7&lt;&gt;"Sala cirúrgica"),"",'Calc_Mix'!$B7)</f>
        <v/>
      </c>
      <c r="B77" s="33" t="n">
        <v>10</v>
      </c>
      <c r="C77" s="43">
        <f>IF(OR($E77="",$E77=0),"",MOD(Turno_Ini+$H77/1440,1))</f>
        <v/>
      </c>
      <c r="D77" s="43">
        <f>IF(OR($E77="",$E77=0),"",MOD(Turno_Ini+$I77/1440,1))</f>
        <v/>
      </c>
      <c r="E77" s="37">
        <f>IF($H77="","",MAX(0,$I77-$H77))</f>
        <v/>
      </c>
      <c r="F77" s="37">
        <f>IF(OR($E77="",$E77=0),"",MAX(0,$E77-Limpeza_Min))</f>
        <v/>
      </c>
      <c r="G77" s="19">
        <f>IF($E77="","",IF($E77=0,"Sem intervalo",IF($E77&gt;=Janela_Min,"Janela aproveitável","Janela curta")))</f>
        <v/>
      </c>
      <c r="H77">
        <f>IF(OR($A77="",ISERROR(MATCH($A77&amp;"#10",Mapa_Chave,0))),"",INDEX(Mapa_RelFim,MATCH($A77&amp;"#10",Mapa_Chave,0))+Limpeza_Min)</f>
        <v/>
      </c>
      <c r="I77">
        <f>IF($H77="","",IFERROR(INDEX(Mapa_RelIni,MATCH($A77&amp;"#11",Mapa_Chave,0)),Turno_Min))</f>
        <v/>
      </c>
    </row>
    <row r="78">
      <c r="A78" s="33">
        <f>IF(OR('Calc_Mix'!$B7="",'Calc_Mix'!$C7&lt;&gt;"Sala cirúrgica"),"",'Calc_Mix'!$B7)</f>
        <v/>
      </c>
      <c r="B78" s="33" t="n">
        <v>11</v>
      </c>
      <c r="C78" s="43">
        <f>IF(OR($E78="",$E78=0),"",MOD(Turno_Ini+$H78/1440,1))</f>
        <v/>
      </c>
      <c r="D78" s="43">
        <f>IF(OR($E78="",$E78=0),"",MOD(Turno_Ini+$I78/1440,1))</f>
        <v/>
      </c>
      <c r="E78" s="37">
        <f>IF($H78="","",MAX(0,$I78-$H78))</f>
        <v/>
      </c>
      <c r="F78" s="37">
        <f>IF(OR($E78="",$E78=0),"",MAX(0,$E78-Limpeza_Min))</f>
        <v/>
      </c>
      <c r="G78" s="19">
        <f>IF($E78="","",IF($E78=0,"Sem intervalo",IF($E78&gt;=Janela_Min,"Janela aproveitável","Janela curta")))</f>
        <v/>
      </c>
      <c r="H78">
        <f>IF(OR($A78="",ISERROR(MATCH($A78&amp;"#11",Mapa_Chave,0))),"",INDEX(Mapa_RelFim,MATCH($A78&amp;"#11",Mapa_Chave,0))+Limpeza_Min)</f>
        <v/>
      </c>
      <c r="I78">
        <f>IF($H78="","",IFERROR(INDEX(Mapa_RelIni,MATCH($A78&amp;"#12",Mapa_Chave,0)),Turno_Min))</f>
        <v/>
      </c>
    </row>
    <row r="79">
      <c r="A79" s="33">
        <f>IF(OR('Calc_Mix'!$B7="",'Calc_Mix'!$C7&lt;&gt;"Sala cirúrgica"),"",'Calc_Mix'!$B7)</f>
        <v/>
      </c>
      <c r="B79" s="33" t="n">
        <v>12</v>
      </c>
      <c r="C79" s="43">
        <f>IF(OR($E79="",$E79=0),"",MOD(Turno_Ini+$H79/1440,1))</f>
        <v/>
      </c>
      <c r="D79" s="43">
        <f>IF(OR($E79="",$E79=0),"",MOD(Turno_Ini+$I79/1440,1))</f>
        <v/>
      </c>
      <c r="E79" s="37">
        <f>IF($H79="","",MAX(0,$I79-$H79))</f>
        <v/>
      </c>
      <c r="F79" s="37">
        <f>IF(OR($E79="",$E79=0),"",MAX(0,$E79-Limpeza_Min))</f>
        <v/>
      </c>
      <c r="G79" s="19">
        <f>IF($E79="","",IF($E79=0,"Sem intervalo",IF($E79&gt;=Janela_Min,"Janela aproveitável","Janela curta")))</f>
        <v/>
      </c>
      <c r="H79">
        <f>IF(OR($A79="",ISERROR(MATCH($A79&amp;"#12",Mapa_Chave,0))),"",INDEX(Mapa_RelFim,MATCH($A79&amp;"#12",Mapa_Chave,0))+Limpeza_Min)</f>
        <v/>
      </c>
      <c r="I79">
        <f>IF($H79="","",IFERROR(INDEX(Mapa_RelIni,MATCH($A79&amp;"#13",Mapa_Chave,0)),Turno_Min))</f>
        <v/>
      </c>
    </row>
    <row r="80">
      <c r="A80" s="33">
        <f>IF(OR('Calc_Mix'!$B8="",'Calc_Mix'!$C8&lt;&gt;"Sala cirúrgica"),"",'Calc_Mix'!$B8)</f>
        <v/>
      </c>
      <c r="B80" s="33" t="n">
        <v>0</v>
      </c>
      <c r="C80" s="43">
        <f>IF(OR($E80="",$E80=0),"",MOD(Turno_Ini+$H80/1440,1))</f>
        <v/>
      </c>
      <c r="D80" s="43">
        <f>IF(OR($E80="",$E80=0),"",MOD(Turno_Ini+$I80/1440,1))</f>
        <v/>
      </c>
      <c r="E80" s="37">
        <f>IF($H80="","",MAX(0,$I80-$H80))</f>
        <v/>
      </c>
      <c r="F80" s="37">
        <f>IF(OR($E80="",$E80=0),"",MAX(0,$E80-Limpeza_Min))</f>
        <v/>
      </c>
      <c r="G80" s="19">
        <f>IF($E80="","",IF($E80=0,"Sem intervalo",IF($E80&gt;=Janela_Min,"Janela aproveitável","Janela curta")))</f>
        <v/>
      </c>
      <c r="H80">
        <f>IF($A80="","",0)</f>
        <v/>
      </c>
      <c r="I80">
        <f>IF($H80="","",IFERROR(INDEX(Mapa_RelIni,MATCH($A80&amp;"#1",Mapa_Chave,0)),Turno_Min))</f>
        <v/>
      </c>
    </row>
    <row r="81">
      <c r="A81" s="33">
        <f>IF(OR('Calc_Mix'!$B8="",'Calc_Mix'!$C8&lt;&gt;"Sala cirúrgica"),"",'Calc_Mix'!$B8)</f>
        <v/>
      </c>
      <c r="B81" s="33" t="n">
        <v>1</v>
      </c>
      <c r="C81" s="43">
        <f>IF(OR($E81="",$E81=0),"",MOD(Turno_Ini+$H81/1440,1))</f>
        <v/>
      </c>
      <c r="D81" s="43">
        <f>IF(OR($E81="",$E81=0),"",MOD(Turno_Ini+$I81/1440,1))</f>
        <v/>
      </c>
      <c r="E81" s="37">
        <f>IF($H81="","",MAX(0,$I81-$H81))</f>
        <v/>
      </c>
      <c r="F81" s="37">
        <f>IF(OR($E81="",$E81=0),"",MAX(0,$E81-Limpeza_Min))</f>
        <v/>
      </c>
      <c r="G81" s="19">
        <f>IF($E81="","",IF($E81=0,"Sem intervalo",IF($E81&gt;=Janela_Min,"Janela aproveitável","Janela curta")))</f>
        <v/>
      </c>
      <c r="H81">
        <f>IF(OR($A81="",ISERROR(MATCH($A81&amp;"#1",Mapa_Chave,0))),"",INDEX(Mapa_RelFim,MATCH($A81&amp;"#1",Mapa_Chave,0))+Limpeza_Min)</f>
        <v/>
      </c>
      <c r="I81">
        <f>IF($H81="","",IFERROR(INDEX(Mapa_RelIni,MATCH($A81&amp;"#2",Mapa_Chave,0)),Turno_Min))</f>
        <v/>
      </c>
    </row>
    <row r="82">
      <c r="A82" s="33">
        <f>IF(OR('Calc_Mix'!$B8="",'Calc_Mix'!$C8&lt;&gt;"Sala cirúrgica"),"",'Calc_Mix'!$B8)</f>
        <v/>
      </c>
      <c r="B82" s="33" t="n">
        <v>2</v>
      </c>
      <c r="C82" s="43">
        <f>IF(OR($E82="",$E82=0),"",MOD(Turno_Ini+$H82/1440,1))</f>
        <v/>
      </c>
      <c r="D82" s="43">
        <f>IF(OR($E82="",$E82=0),"",MOD(Turno_Ini+$I82/1440,1))</f>
        <v/>
      </c>
      <c r="E82" s="37">
        <f>IF($H82="","",MAX(0,$I82-$H82))</f>
        <v/>
      </c>
      <c r="F82" s="37">
        <f>IF(OR($E82="",$E82=0),"",MAX(0,$E82-Limpeza_Min))</f>
        <v/>
      </c>
      <c r="G82" s="19">
        <f>IF($E82="","",IF($E82=0,"Sem intervalo",IF($E82&gt;=Janela_Min,"Janela aproveitável","Janela curta")))</f>
        <v/>
      </c>
      <c r="H82">
        <f>IF(OR($A82="",ISERROR(MATCH($A82&amp;"#2",Mapa_Chave,0))),"",INDEX(Mapa_RelFim,MATCH($A82&amp;"#2",Mapa_Chave,0))+Limpeza_Min)</f>
        <v/>
      </c>
      <c r="I82">
        <f>IF($H82="","",IFERROR(INDEX(Mapa_RelIni,MATCH($A82&amp;"#3",Mapa_Chave,0)),Turno_Min))</f>
        <v/>
      </c>
    </row>
    <row r="83">
      <c r="A83" s="33">
        <f>IF(OR('Calc_Mix'!$B8="",'Calc_Mix'!$C8&lt;&gt;"Sala cirúrgica"),"",'Calc_Mix'!$B8)</f>
        <v/>
      </c>
      <c r="B83" s="33" t="n">
        <v>3</v>
      </c>
      <c r="C83" s="43">
        <f>IF(OR($E83="",$E83=0),"",MOD(Turno_Ini+$H83/1440,1))</f>
        <v/>
      </c>
      <c r="D83" s="43">
        <f>IF(OR($E83="",$E83=0),"",MOD(Turno_Ini+$I83/1440,1))</f>
        <v/>
      </c>
      <c r="E83" s="37">
        <f>IF($H83="","",MAX(0,$I83-$H83))</f>
        <v/>
      </c>
      <c r="F83" s="37">
        <f>IF(OR($E83="",$E83=0),"",MAX(0,$E83-Limpeza_Min))</f>
        <v/>
      </c>
      <c r="G83" s="19">
        <f>IF($E83="","",IF($E83=0,"Sem intervalo",IF($E83&gt;=Janela_Min,"Janela aproveitável","Janela curta")))</f>
        <v/>
      </c>
      <c r="H83">
        <f>IF(OR($A83="",ISERROR(MATCH($A83&amp;"#3",Mapa_Chave,0))),"",INDEX(Mapa_RelFim,MATCH($A83&amp;"#3",Mapa_Chave,0))+Limpeza_Min)</f>
        <v/>
      </c>
      <c r="I83">
        <f>IF($H83="","",IFERROR(INDEX(Mapa_RelIni,MATCH($A83&amp;"#4",Mapa_Chave,0)),Turno_Min))</f>
        <v/>
      </c>
    </row>
    <row r="84">
      <c r="A84" s="33">
        <f>IF(OR('Calc_Mix'!$B8="",'Calc_Mix'!$C8&lt;&gt;"Sala cirúrgica"),"",'Calc_Mix'!$B8)</f>
        <v/>
      </c>
      <c r="B84" s="33" t="n">
        <v>4</v>
      </c>
      <c r="C84" s="43">
        <f>IF(OR($E84="",$E84=0),"",MOD(Turno_Ini+$H84/1440,1))</f>
        <v/>
      </c>
      <c r="D84" s="43">
        <f>IF(OR($E84="",$E84=0),"",MOD(Turno_Ini+$I84/1440,1))</f>
        <v/>
      </c>
      <c r="E84" s="37">
        <f>IF($H84="","",MAX(0,$I84-$H84))</f>
        <v/>
      </c>
      <c r="F84" s="37">
        <f>IF(OR($E84="",$E84=0),"",MAX(0,$E84-Limpeza_Min))</f>
        <v/>
      </c>
      <c r="G84" s="19">
        <f>IF($E84="","",IF($E84=0,"Sem intervalo",IF($E84&gt;=Janela_Min,"Janela aproveitável","Janela curta")))</f>
        <v/>
      </c>
      <c r="H84">
        <f>IF(OR($A84="",ISERROR(MATCH($A84&amp;"#4",Mapa_Chave,0))),"",INDEX(Mapa_RelFim,MATCH($A84&amp;"#4",Mapa_Chave,0))+Limpeza_Min)</f>
        <v/>
      </c>
      <c r="I84">
        <f>IF($H84="","",IFERROR(INDEX(Mapa_RelIni,MATCH($A84&amp;"#5",Mapa_Chave,0)),Turno_Min))</f>
        <v/>
      </c>
    </row>
    <row r="85">
      <c r="A85" s="33">
        <f>IF(OR('Calc_Mix'!$B8="",'Calc_Mix'!$C8&lt;&gt;"Sala cirúrgica"),"",'Calc_Mix'!$B8)</f>
        <v/>
      </c>
      <c r="B85" s="33" t="n">
        <v>5</v>
      </c>
      <c r="C85" s="43">
        <f>IF(OR($E85="",$E85=0),"",MOD(Turno_Ini+$H85/1440,1))</f>
        <v/>
      </c>
      <c r="D85" s="43">
        <f>IF(OR($E85="",$E85=0),"",MOD(Turno_Ini+$I85/1440,1))</f>
        <v/>
      </c>
      <c r="E85" s="37">
        <f>IF($H85="","",MAX(0,$I85-$H85))</f>
        <v/>
      </c>
      <c r="F85" s="37">
        <f>IF(OR($E85="",$E85=0),"",MAX(0,$E85-Limpeza_Min))</f>
        <v/>
      </c>
      <c r="G85" s="19">
        <f>IF($E85="","",IF($E85=0,"Sem intervalo",IF($E85&gt;=Janela_Min,"Janela aproveitável","Janela curta")))</f>
        <v/>
      </c>
      <c r="H85">
        <f>IF(OR($A85="",ISERROR(MATCH($A85&amp;"#5",Mapa_Chave,0))),"",INDEX(Mapa_RelFim,MATCH($A85&amp;"#5",Mapa_Chave,0))+Limpeza_Min)</f>
        <v/>
      </c>
      <c r="I85">
        <f>IF($H85="","",IFERROR(INDEX(Mapa_RelIni,MATCH($A85&amp;"#6",Mapa_Chave,0)),Turno_Min))</f>
        <v/>
      </c>
    </row>
    <row r="86">
      <c r="A86" s="33">
        <f>IF(OR('Calc_Mix'!$B8="",'Calc_Mix'!$C8&lt;&gt;"Sala cirúrgica"),"",'Calc_Mix'!$B8)</f>
        <v/>
      </c>
      <c r="B86" s="33" t="n">
        <v>6</v>
      </c>
      <c r="C86" s="43">
        <f>IF(OR($E86="",$E86=0),"",MOD(Turno_Ini+$H86/1440,1))</f>
        <v/>
      </c>
      <c r="D86" s="43">
        <f>IF(OR($E86="",$E86=0),"",MOD(Turno_Ini+$I86/1440,1))</f>
        <v/>
      </c>
      <c r="E86" s="37">
        <f>IF($H86="","",MAX(0,$I86-$H86))</f>
        <v/>
      </c>
      <c r="F86" s="37">
        <f>IF(OR($E86="",$E86=0),"",MAX(0,$E86-Limpeza_Min))</f>
        <v/>
      </c>
      <c r="G86" s="19">
        <f>IF($E86="","",IF($E86=0,"Sem intervalo",IF($E86&gt;=Janela_Min,"Janela aproveitável","Janela curta")))</f>
        <v/>
      </c>
      <c r="H86">
        <f>IF(OR($A86="",ISERROR(MATCH($A86&amp;"#6",Mapa_Chave,0))),"",INDEX(Mapa_RelFim,MATCH($A86&amp;"#6",Mapa_Chave,0))+Limpeza_Min)</f>
        <v/>
      </c>
      <c r="I86">
        <f>IF($H86="","",IFERROR(INDEX(Mapa_RelIni,MATCH($A86&amp;"#7",Mapa_Chave,0)),Turno_Min))</f>
        <v/>
      </c>
    </row>
    <row r="87">
      <c r="A87" s="33">
        <f>IF(OR('Calc_Mix'!$B8="",'Calc_Mix'!$C8&lt;&gt;"Sala cirúrgica"),"",'Calc_Mix'!$B8)</f>
        <v/>
      </c>
      <c r="B87" s="33" t="n">
        <v>7</v>
      </c>
      <c r="C87" s="43">
        <f>IF(OR($E87="",$E87=0),"",MOD(Turno_Ini+$H87/1440,1))</f>
        <v/>
      </c>
      <c r="D87" s="43">
        <f>IF(OR($E87="",$E87=0),"",MOD(Turno_Ini+$I87/1440,1))</f>
        <v/>
      </c>
      <c r="E87" s="37">
        <f>IF($H87="","",MAX(0,$I87-$H87))</f>
        <v/>
      </c>
      <c r="F87" s="37">
        <f>IF(OR($E87="",$E87=0),"",MAX(0,$E87-Limpeza_Min))</f>
        <v/>
      </c>
      <c r="G87" s="19">
        <f>IF($E87="","",IF($E87=0,"Sem intervalo",IF($E87&gt;=Janela_Min,"Janela aproveitável","Janela curta")))</f>
        <v/>
      </c>
      <c r="H87">
        <f>IF(OR($A87="",ISERROR(MATCH($A87&amp;"#7",Mapa_Chave,0))),"",INDEX(Mapa_RelFim,MATCH($A87&amp;"#7",Mapa_Chave,0))+Limpeza_Min)</f>
        <v/>
      </c>
      <c r="I87">
        <f>IF($H87="","",IFERROR(INDEX(Mapa_RelIni,MATCH($A87&amp;"#8",Mapa_Chave,0)),Turno_Min))</f>
        <v/>
      </c>
    </row>
    <row r="88">
      <c r="A88" s="33">
        <f>IF(OR('Calc_Mix'!$B8="",'Calc_Mix'!$C8&lt;&gt;"Sala cirúrgica"),"",'Calc_Mix'!$B8)</f>
        <v/>
      </c>
      <c r="B88" s="33" t="n">
        <v>8</v>
      </c>
      <c r="C88" s="43">
        <f>IF(OR($E88="",$E88=0),"",MOD(Turno_Ini+$H88/1440,1))</f>
        <v/>
      </c>
      <c r="D88" s="43">
        <f>IF(OR($E88="",$E88=0),"",MOD(Turno_Ini+$I88/1440,1))</f>
        <v/>
      </c>
      <c r="E88" s="37">
        <f>IF($H88="","",MAX(0,$I88-$H88))</f>
        <v/>
      </c>
      <c r="F88" s="37">
        <f>IF(OR($E88="",$E88=0),"",MAX(0,$E88-Limpeza_Min))</f>
        <v/>
      </c>
      <c r="G88" s="19">
        <f>IF($E88="","",IF($E88=0,"Sem intervalo",IF($E88&gt;=Janela_Min,"Janela aproveitável","Janela curta")))</f>
        <v/>
      </c>
      <c r="H88">
        <f>IF(OR($A88="",ISERROR(MATCH($A88&amp;"#8",Mapa_Chave,0))),"",INDEX(Mapa_RelFim,MATCH($A88&amp;"#8",Mapa_Chave,0))+Limpeza_Min)</f>
        <v/>
      </c>
      <c r="I88">
        <f>IF($H88="","",IFERROR(INDEX(Mapa_RelIni,MATCH($A88&amp;"#9",Mapa_Chave,0)),Turno_Min))</f>
        <v/>
      </c>
    </row>
    <row r="89">
      <c r="A89" s="33">
        <f>IF(OR('Calc_Mix'!$B8="",'Calc_Mix'!$C8&lt;&gt;"Sala cirúrgica"),"",'Calc_Mix'!$B8)</f>
        <v/>
      </c>
      <c r="B89" s="33" t="n">
        <v>9</v>
      </c>
      <c r="C89" s="43">
        <f>IF(OR($E89="",$E89=0),"",MOD(Turno_Ini+$H89/1440,1))</f>
        <v/>
      </c>
      <c r="D89" s="43">
        <f>IF(OR($E89="",$E89=0),"",MOD(Turno_Ini+$I89/1440,1))</f>
        <v/>
      </c>
      <c r="E89" s="37">
        <f>IF($H89="","",MAX(0,$I89-$H89))</f>
        <v/>
      </c>
      <c r="F89" s="37">
        <f>IF(OR($E89="",$E89=0),"",MAX(0,$E89-Limpeza_Min))</f>
        <v/>
      </c>
      <c r="G89" s="19">
        <f>IF($E89="","",IF($E89=0,"Sem intervalo",IF($E89&gt;=Janela_Min,"Janela aproveitável","Janela curta")))</f>
        <v/>
      </c>
      <c r="H89">
        <f>IF(OR($A89="",ISERROR(MATCH($A89&amp;"#9",Mapa_Chave,0))),"",INDEX(Mapa_RelFim,MATCH($A89&amp;"#9",Mapa_Chave,0))+Limpeza_Min)</f>
        <v/>
      </c>
      <c r="I89">
        <f>IF($H89="","",IFERROR(INDEX(Mapa_RelIni,MATCH($A89&amp;"#10",Mapa_Chave,0)),Turno_Min))</f>
        <v/>
      </c>
    </row>
    <row r="90">
      <c r="A90" s="33">
        <f>IF(OR('Calc_Mix'!$B8="",'Calc_Mix'!$C8&lt;&gt;"Sala cirúrgica"),"",'Calc_Mix'!$B8)</f>
        <v/>
      </c>
      <c r="B90" s="33" t="n">
        <v>10</v>
      </c>
      <c r="C90" s="43">
        <f>IF(OR($E90="",$E90=0),"",MOD(Turno_Ini+$H90/1440,1))</f>
        <v/>
      </c>
      <c r="D90" s="43">
        <f>IF(OR($E90="",$E90=0),"",MOD(Turno_Ini+$I90/1440,1))</f>
        <v/>
      </c>
      <c r="E90" s="37">
        <f>IF($H90="","",MAX(0,$I90-$H90))</f>
        <v/>
      </c>
      <c r="F90" s="37">
        <f>IF(OR($E90="",$E90=0),"",MAX(0,$E90-Limpeza_Min))</f>
        <v/>
      </c>
      <c r="G90" s="19">
        <f>IF($E90="","",IF($E90=0,"Sem intervalo",IF($E90&gt;=Janela_Min,"Janela aproveitável","Janela curta")))</f>
        <v/>
      </c>
      <c r="H90">
        <f>IF(OR($A90="",ISERROR(MATCH($A90&amp;"#10",Mapa_Chave,0))),"",INDEX(Mapa_RelFim,MATCH($A90&amp;"#10",Mapa_Chave,0))+Limpeza_Min)</f>
        <v/>
      </c>
      <c r="I90">
        <f>IF($H90="","",IFERROR(INDEX(Mapa_RelIni,MATCH($A90&amp;"#11",Mapa_Chave,0)),Turno_Min))</f>
        <v/>
      </c>
    </row>
    <row r="91">
      <c r="A91" s="33">
        <f>IF(OR('Calc_Mix'!$B8="",'Calc_Mix'!$C8&lt;&gt;"Sala cirúrgica"),"",'Calc_Mix'!$B8)</f>
        <v/>
      </c>
      <c r="B91" s="33" t="n">
        <v>11</v>
      </c>
      <c r="C91" s="43">
        <f>IF(OR($E91="",$E91=0),"",MOD(Turno_Ini+$H91/1440,1))</f>
        <v/>
      </c>
      <c r="D91" s="43">
        <f>IF(OR($E91="",$E91=0),"",MOD(Turno_Ini+$I91/1440,1))</f>
        <v/>
      </c>
      <c r="E91" s="37">
        <f>IF($H91="","",MAX(0,$I91-$H91))</f>
        <v/>
      </c>
      <c r="F91" s="37">
        <f>IF(OR($E91="",$E91=0),"",MAX(0,$E91-Limpeza_Min))</f>
        <v/>
      </c>
      <c r="G91" s="19">
        <f>IF($E91="","",IF($E91=0,"Sem intervalo",IF($E91&gt;=Janela_Min,"Janela aproveitável","Janela curta")))</f>
        <v/>
      </c>
      <c r="H91">
        <f>IF(OR($A91="",ISERROR(MATCH($A91&amp;"#11",Mapa_Chave,0))),"",INDEX(Mapa_RelFim,MATCH($A91&amp;"#11",Mapa_Chave,0))+Limpeza_Min)</f>
        <v/>
      </c>
      <c r="I91">
        <f>IF($H91="","",IFERROR(INDEX(Mapa_RelIni,MATCH($A91&amp;"#12",Mapa_Chave,0)),Turno_Min))</f>
        <v/>
      </c>
    </row>
    <row r="92">
      <c r="A92" s="33">
        <f>IF(OR('Calc_Mix'!$B8="",'Calc_Mix'!$C8&lt;&gt;"Sala cirúrgica"),"",'Calc_Mix'!$B8)</f>
        <v/>
      </c>
      <c r="B92" s="33" t="n">
        <v>12</v>
      </c>
      <c r="C92" s="43">
        <f>IF(OR($E92="",$E92=0),"",MOD(Turno_Ini+$H92/1440,1))</f>
        <v/>
      </c>
      <c r="D92" s="43">
        <f>IF(OR($E92="",$E92=0),"",MOD(Turno_Ini+$I92/1440,1))</f>
        <v/>
      </c>
      <c r="E92" s="37">
        <f>IF($H92="","",MAX(0,$I92-$H92))</f>
        <v/>
      </c>
      <c r="F92" s="37">
        <f>IF(OR($E92="",$E92=0),"",MAX(0,$E92-Limpeza_Min))</f>
        <v/>
      </c>
      <c r="G92" s="19">
        <f>IF($E92="","",IF($E92=0,"Sem intervalo",IF($E92&gt;=Janela_Min,"Janela aproveitável","Janela curta")))</f>
        <v/>
      </c>
      <c r="H92">
        <f>IF(OR($A92="",ISERROR(MATCH($A92&amp;"#12",Mapa_Chave,0))),"",INDEX(Mapa_RelFim,MATCH($A92&amp;"#12",Mapa_Chave,0))+Limpeza_Min)</f>
        <v/>
      </c>
      <c r="I92">
        <f>IF($H92="","",IFERROR(INDEX(Mapa_RelIni,MATCH($A92&amp;"#13",Mapa_Chave,0)),Turno_Min))</f>
        <v/>
      </c>
    </row>
    <row r="93">
      <c r="A93" s="33">
        <f>IF(OR('Calc_Mix'!$B9="",'Calc_Mix'!$C9&lt;&gt;"Sala cirúrgica"),"",'Calc_Mix'!$B9)</f>
        <v/>
      </c>
      <c r="B93" s="33" t="n">
        <v>0</v>
      </c>
      <c r="C93" s="43">
        <f>IF(OR($E93="",$E93=0),"",MOD(Turno_Ini+$H93/1440,1))</f>
        <v/>
      </c>
      <c r="D93" s="43">
        <f>IF(OR($E93="",$E93=0),"",MOD(Turno_Ini+$I93/1440,1))</f>
        <v/>
      </c>
      <c r="E93" s="37">
        <f>IF($H93="","",MAX(0,$I93-$H93))</f>
        <v/>
      </c>
      <c r="F93" s="37">
        <f>IF(OR($E93="",$E93=0),"",MAX(0,$E93-Limpeza_Min))</f>
        <v/>
      </c>
      <c r="G93" s="19">
        <f>IF($E93="","",IF($E93=0,"Sem intervalo",IF($E93&gt;=Janela_Min,"Janela aproveitável","Janela curta")))</f>
        <v/>
      </c>
      <c r="H93">
        <f>IF($A93="","",0)</f>
        <v/>
      </c>
      <c r="I93">
        <f>IF($H93="","",IFERROR(INDEX(Mapa_RelIni,MATCH($A93&amp;"#1",Mapa_Chave,0)),Turno_Min))</f>
        <v/>
      </c>
    </row>
    <row r="94">
      <c r="A94" s="33">
        <f>IF(OR('Calc_Mix'!$B9="",'Calc_Mix'!$C9&lt;&gt;"Sala cirúrgica"),"",'Calc_Mix'!$B9)</f>
        <v/>
      </c>
      <c r="B94" s="33" t="n">
        <v>1</v>
      </c>
      <c r="C94" s="43">
        <f>IF(OR($E94="",$E94=0),"",MOD(Turno_Ini+$H94/1440,1))</f>
        <v/>
      </c>
      <c r="D94" s="43">
        <f>IF(OR($E94="",$E94=0),"",MOD(Turno_Ini+$I94/1440,1))</f>
        <v/>
      </c>
      <c r="E94" s="37">
        <f>IF($H94="","",MAX(0,$I94-$H94))</f>
        <v/>
      </c>
      <c r="F94" s="37">
        <f>IF(OR($E94="",$E94=0),"",MAX(0,$E94-Limpeza_Min))</f>
        <v/>
      </c>
      <c r="G94" s="19">
        <f>IF($E94="","",IF($E94=0,"Sem intervalo",IF($E94&gt;=Janela_Min,"Janela aproveitável","Janela curta")))</f>
        <v/>
      </c>
      <c r="H94">
        <f>IF(OR($A94="",ISERROR(MATCH($A94&amp;"#1",Mapa_Chave,0))),"",INDEX(Mapa_RelFim,MATCH($A94&amp;"#1",Mapa_Chave,0))+Limpeza_Min)</f>
        <v/>
      </c>
      <c r="I94">
        <f>IF($H94="","",IFERROR(INDEX(Mapa_RelIni,MATCH($A94&amp;"#2",Mapa_Chave,0)),Turno_Min))</f>
        <v/>
      </c>
    </row>
    <row r="95">
      <c r="A95" s="33">
        <f>IF(OR('Calc_Mix'!$B9="",'Calc_Mix'!$C9&lt;&gt;"Sala cirúrgica"),"",'Calc_Mix'!$B9)</f>
        <v/>
      </c>
      <c r="B95" s="33" t="n">
        <v>2</v>
      </c>
      <c r="C95" s="43">
        <f>IF(OR($E95="",$E95=0),"",MOD(Turno_Ini+$H95/1440,1))</f>
        <v/>
      </c>
      <c r="D95" s="43">
        <f>IF(OR($E95="",$E95=0),"",MOD(Turno_Ini+$I95/1440,1))</f>
        <v/>
      </c>
      <c r="E95" s="37">
        <f>IF($H95="","",MAX(0,$I95-$H95))</f>
        <v/>
      </c>
      <c r="F95" s="37">
        <f>IF(OR($E95="",$E95=0),"",MAX(0,$E95-Limpeza_Min))</f>
        <v/>
      </c>
      <c r="G95" s="19">
        <f>IF($E95="","",IF($E95=0,"Sem intervalo",IF($E95&gt;=Janela_Min,"Janela aproveitável","Janela curta")))</f>
        <v/>
      </c>
      <c r="H95">
        <f>IF(OR($A95="",ISERROR(MATCH($A95&amp;"#2",Mapa_Chave,0))),"",INDEX(Mapa_RelFim,MATCH($A95&amp;"#2",Mapa_Chave,0))+Limpeza_Min)</f>
        <v/>
      </c>
      <c r="I95">
        <f>IF($H95="","",IFERROR(INDEX(Mapa_RelIni,MATCH($A95&amp;"#3",Mapa_Chave,0)),Turno_Min))</f>
        <v/>
      </c>
    </row>
    <row r="96">
      <c r="A96" s="33">
        <f>IF(OR('Calc_Mix'!$B9="",'Calc_Mix'!$C9&lt;&gt;"Sala cirúrgica"),"",'Calc_Mix'!$B9)</f>
        <v/>
      </c>
      <c r="B96" s="33" t="n">
        <v>3</v>
      </c>
      <c r="C96" s="43">
        <f>IF(OR($E96="",$E96=0),"",MOD(Turno_Ini+$H96/1440,1))</f>
        <v/>
      </c>
      <c r="D96" s="43">
        <f>IF(OR($E96="",$E96=0),"",MOD(Turno_Ini+$I96/1440,1))</f>
        <v/>
      </c>
      <c r="E96" s="37">
        <f>IF($H96="","",MAX(0,$I96-$H96))</f>
        <v/>
      </c>
      <c r="F96" s="37">
        <f>IF(OR($E96="",$E96=0),"",MAX(0,$E96-Limpeza_Min))</f>
        <v/>
      </c>
      <c r="G96" s="19">
        <f>IF($E96="","",IF($E96=0,"Sem intervalo",IF($E96&gt;=Janela_Min,"Janela aproveitável","Janela curta")))</f>
        <v/>
      </c>
      <c r="H96">
        <f>IF(OR($A96="",ISERROR(MATCH($A96&amp;"#3",Mapa_Chave,0))),"",INDEX(Mapa_RelFim,MATCH($A96&amp;"#3",Mapa_Chave,0))+Limpeza_Min)</f>
        <v/>
      </c>
      <c r="I96">
        <f>IF($H96="","",IFERROR(INDEX(Mapa_RelIni,MATCH($A96&amp;"#4",Mapa_Chave,0)),Turno_Min))</f>
        <v/>
      </c>
    </row>
    <row r="97">
      <c r="A97" s="33">
        <f>IF(OR('Calc_Mix'!$B9="",'Calc_Mix'!$C9&lt;&gt;"Sala cirúrgica"),"",'Calc_Mix'!$B9)</f>
        <v/>
      </c>
      <c r="B97" s="33" t="n">
        <v>4</v>
      </c>
      <c r="C97" s="43">
        <f>IF(OR($E97="",$E97=0),"",MOD(Turno_Ini+$H97/1440,1))</f>
        <v/>
      </c>
      <c r="D97" s="43">
        <f>IF(OR($E97="",$E97=0),"",MOD(Turno_Ini+$I97/1440,1))</f>
        <v/>
      </c>
      <c r="E97" s="37">
        <f>IF($H97="","",MAX(0,$I97-$H97))</f>
        <v/>
      </c>
      <c r="F97" s="37">
        <f>IF(OR($E97="",$E97=0),"",MAX(0,$E97-Limpeza_Min))</f>
        <v/>
      </c>
      <c r="G97" s="19">
        <f>IF($E97="","",IF($E97=0,"Sem intervalo",IF($E97&gt;=Janela_Min,"Janela aproveitável","Janela curta")))</f>
        <v/>
      </c>
      <c r="H97">
        <f>IF(OR($A97="",ISERROR(MATCH($A97&amp;"#4",Mapa_Chave,0))),"",INDEX(Mapa_RelFim,MATCH($A97&amp;"#4",Mapa_Chave,0))+Limpeza_Min)</f>
        <v/>
      </c>
      <c r="I97">
        <f>IF($H97="","",IFERROR(INDEX(Mapa_RelIni,MATCH($A97&amp;"#5",Mapa_Chave,0)),Turno_Min))</f>
        <v/>
      </c>
    </row>
    <row r="98">
      <c r="A98" s="33">
        <f>IF(OR('Calc_Mix'!$B9="",'Calc_Mix'!$C9&lt;&gt;"Sala cirúrgica"),"",'Calc_Mix'!$B9)</f>
        <v/>
      </c>
      <c r="B98" s="33" t="n">
        <v>5</v>
      </c>
      <c r="C98" s="43">
        <f>IF(OR($E98="",$E98=0),"",MOD(Turno_Ini+$H98/1440,1))</f>
        <v/>
      </c>
      <c r="D98" s="43">
        <f>IF(OR($E98="",$E98=0),"",MOD(Turno_Ini+$I98/1440,1))</f>
        <v/>
      </c>
      <c r="E98" s="37">
        <f>IF($H98="","",MAX(0,$I98-$H98))</f>
        <v/>
      </c>
      <c r="F98" s="37">
        <f>IF(OR($E98="",$E98=0),"",MAX(0,$E98-Limpeza_Min))</f>
        <v/>
      </c>
      <c r="G98" s="19">
        <f>IF($E98="","",IF($E98=0,"Sem intervalo",IF($E98&gt;=Janela_Min,"Janela aproveitável","Janela curta")))</f>
        <v/>
      </c>
      <c r="H98">
        <f>IF(OR($A98="",ISERROR(MATCH($A98&amp;"#5",Mapa_Chave,0))),"",INDEX(Mapa_RelFim,MATCH($A98&amp;"#5",Mapa_Chave,0))+Limpeza_Min)</f>
        <v/>
      </c>
      <c r="I98">
        <f>IF($H98="","",IFERROR(INDEX(Mapa_RelIni,MATCH($A98&amp;"#6",Mapa_Chave,0)),Turno_Min))</f>
        <v/>
      </c>
    </row>
    <row r="99">
      <c r="A99" s="33">
        <f>IF(OR('Calc_Mix'!$B9="",'Calc_Mix'!$C9&lt;&gt;"Sala cirúrgica"),"",'Calc_Mix'!$B9)</f>
        <v/>
      </c>
      <c r="B99" s="33" t="n">
        <v>6</v>
      </c>
      <c r="C99" s="43">
        <f>IF(OR($E99="",$E99=0),"",MOD(Turno_Ini+$H99/1440,1))</f>
        <v/>
      </c>
      <c r="D99" s="43">
        <f>IF(OR($E99="",$E99=0),"",MOD(Turno_Ini+$I99/1440,1))</f>
        <v/>
      </c>
      <c r="E99" s="37">
        <f>IF($H99="","",MAX(0,$I99-$H99))</f>
        <v/>
      </c>
      <c r="F99" s="37">
        <f>IF(OR($E99="",$E99=0),"",MAX(0,$E99-Limpeza_Min))</f>
        <v/>
      </c>
      <c r="G99" s="19">
        <f>IF($E99="","",IF($E99=0,"Sem intervalo",IF($E99&gt;=Janela_Min,"Janela aproveitável","Janela curta")))</f>
        <v/>
      </c>
      <c r="H99">
        <f>IF(OR($A99="",ISERROR(MATCH($A99&amp;"#6",Mapa_Chave,0))),"",INDEX(Mapa_RelFim,MATCH($A99&amp;"#6",Mapa_Chave,0))+Limpeza_Min)</f>
        <v/>
      </c>
      <c r="I99">
        <f>IF($H99="","",IFERROR(INDEX(Mapa_RelIni,MATCH($A99&amp;"#7",Mapa_Chave,0)),Turno_Min))</f>
        <v/>
      </c>
    </row>
    <row r="100">
      <c r="A100" s="33">
        <f>IF(OR('Calc_Mix'!$B9="",'Calc_Mix'!$C9&lt;&gt;"Sala cirúrgica"),"",'Calc_Mix'!$B9)</f>
        <v/>
      </c>
      <c r="B100" s="33" t="n">
        <v>7</v>
      </c>
      <c r="C100" s="43">
        <f>IF(OR($E100="",$E100=0),"",MOD(Turno_Ini+$H100/1440,1))</f>
        <v/>
      </c>
      <c r="D100" s="43">
        <f>IF(OR($E100="",$E100=0),"",MOD(Turno_Ini+$I100/1440,1))</f>
        <v/>
      </c>
      <c r="E100" s="37">
        <f>IF($H100="","",MAX(0,$I100-$H100))</f>
        <v/>
      </c>
      <c r="F100" s="37">
        <f>IF(OR($E100="",$E100=0),"",MAX(0,$E100-Limpeza_Min))</f>
        <v/>
      </c>
      <c r="G100" s="19">
        <f>IF($E100="","",IF($E100=0,"Sem intervalo",IF($E100&gt;=Janela_Min,"Janela aproveitável","Janela curta")))</f>
        <v/>
      </c>
      <c r="H100">
        <f>IF(OR($A100="",ISERROR(MATCH($A100&amp;"#7",Mapa_Chave,0))),"",INDEX(Mapa_RelFim,MATCH($A100&amp;"#7",Mapa_Chave,0))+Limpeza_Min)</f>
        <v/>
      </c>
      <c r="I100">
        <f>IF($H100="","",IFERROR(INDEX(Mapa_RelIni,MATCH($A100&amp;"#8",Mapa_Chave,0)),Turno_Min))</f>
        <v/>
      </c>
    </row>
    <row r="101">
      <c r="A101" s="33">
        <f>IF(OR('Calc_Mix'!$B9="",'Calc_Mix'!$C9&lt;&gt;"Sala cirúrgica"),"",'Calc_Mix'!$B9)</f>
        <v/>
      </c>
      <c r="B101" s="33" t="n">
        <v>8</v>
      </c>
      <c r="C101" s="43">
        <f>IF(OR($E101="",$E101=0),"",MOD(Turno_Ini+$H101/1440,1))</f>
        <v/>
      </c>
      <c r="D101" s="43">
        <f>IF(OR($E101="",$E101=0),"",MOD(Turno_Ini+$I101/1440,1))</f>
        <v/>
      </c>
      <c r="E101" s="37">
        <f>IF($H101="","",MAX(0,$I101-$H101))</f>
        <v/>
      </c>
      <c r="F101" s="37">
        <f>IF(OR($E101="",$E101=0),"",MAX(0,$E101-Limpeza_Min))</f>
        <v/>
      </c>
      <c r="G101" s="19">
        <f>IF($E101="","",IF($E101=0,"Sem intervalo",IF($E101&gt;=Janela_Min,"Janela aproveitável","Janela curta")))</f>
        <v/>
      </c>
      <c r="H101">
        <f>IF(OR($A101="",ISERROR(MATCH($A101&amp;"#8",Mapa_Chave,0))),"",INDEX(Mapa_RelFim,MATCH($A101&amp;"#8",Mapa_Chave,0))+Limpeza_Min)</f>
        <v/>
      </c>
      <c r="I101">
        <f>IF($H101="","",IFERROR(INDEX(Mapa_RelIni,MATCH($A101&amp;"#9",Mapa_Chave,0)),Turno_Min))</f>
        <v/>
      </c>
    </row>
    <row r="102">
      <c r="A102" s="33">
        <f>IF(OR('Calc_Mix'!$B9="",'Calc_Mix'!$C9&lt;&gt;"Sala cirúrgica"),"",'Calc_Mix'!$B9)</f>
        <v/>
      </c>
      <c r="B102" s="33" t="n">
        <v>9</v>
      </c>
      <c r="C102" s="43">
        <f>IF(OR($E102="",$E102=0),"",MOD(Turno_Ini+$H102/1440,1))</f>
        <v/>
      </c>
      <c r="D102" s="43">
        <f>IF(OR($E102="",$E102=0),"",MOD(Turno_Ini+$I102/1440,1))</f>
        <v/>
      </c>
      <c r="E102" s="37">
        <f>IF($H102="","",MAX(0,$I102-$H102))</f>
        <v/>
      </c>
      <c r="F102" s="37">
        <f>IF(OR($E102="",$E102=0),"",MAX(0,$E102-Limpeza_Min))</f>
        <v/>
      </c>
      <c r="G102" s="19">
        <f>IF($E102="","",IF($E102=0,"Sem intervalo",IF($E102&gt;=Janela_Min,"Janela aproveitável","Janela curta")))</f>
        <v/>
      </c>
      <c r="H102">
        <f>IF(OR($A102="",ISERROR(MATCH($A102&amp;"#9",Mapa_Chave,0))),"",INDEX(Mapa_RelFim,MATCH($A102&amp;"#9",Mapa_Chave,0))+Limpeza_Min)</f>
        <v/>
      </c>
      <c r="I102">
        <f>IF($H102="","",IFERROR(INDEX(Mapa_RelIni,MATCH($A102&amp;"#10",Mapa_Chave,0)),Turno_Min))</f>
        <v/>
      </c>
    </row>
    <row r="103">
      <c r="A103" s="33">
        <f>IF(OR('Calc_Mix'!$B9="",'Calc_Mix'!$C9&lt;&gt;"Sala cirúrgica"),"",'Calc_Mix'!$B9)</f>
        <v/>
      </c>
      <c r="B103" s="33" t="n">
        <v>10</v>
      </c>
      <c r="C103" s="43">
        <f>IF(OR($E103="",$E103=0),"",MOD(Turno_Ini+$H103/1440,1))</f>
        <v/>
      </c>
      <c r="D103" s="43">
        <f>IF(OR($E103="",$E103=0),"",MOD(Turno_Ini+$I103/1440,1))</f>
        <v/>
      </c>
      <c r="E103" s="37">
        <f>IF($H103="","",MAX(0,$I103-$H103))</f>
        <v/>
      </c>
      <c r="F103" s="37">
        <f>IF(OR($E103="",$E103=0),"",MAX(0,$E103-Limpeza_Min))</f>
        <v/>
      </c>
      <c r="G103" s="19">
        <f>IF($E103="","",IF($E103=0,"Sem intervalo",IF($E103&gt;=Janela_Min,"Janela aproveitável","Janela curta")))</f>
        <v/>
      </c>
      <c r="H103">
        <f>IF(OR($A103="",ISERROR(MATCH($A103&amp;"#10",Mapa_Chave,0))),"",INDEX(Mapa_RelFim,MATCH($A103&amp;"#10",Mapa_Chave,0))+Limpeza_Min)</f>
        <v/>
      </c>
      <c r="I103">
        <f>IF($H103="","",IFERROR(INDEX(Mapa_RelIni,MATCH($A103&amp;"#11",Mapa_Chave,0)),Turno_Min))</f>
        <v/>
      </c>
    </row>
    <row r="104">
      <c r="A104" s="33">
        <f>IF(OR('Calc_Mix'!$B9="",'Calc_Mix'!$C9&lt;&gt;"Sala cirúrgica"),"",'Calc_Mix'!$B9)</f>
        <v/>
      </c>
      <c r="B104" s="33" t="n">
        <v>11</v>
      </c>
      <c r="C104" s="43">
        <f>IF(OR($E104="",$E104=0),"",MOD(Turno_Ini+$H104/1440,1))</f>
        <v/>
      </c>
      <c r="D104" s="43">
        <f>IF(OR($E104="",$E104=0),"",MOD(Turno_Ini+$I104/1440,1))</f>
        <v/>
      </c>
      <c r="E104" s="37">
        <f>IF($H104="","",MAX(0,$I104-$H104))</f>
        <v/>
      </c>
      <c r="F104" s="37">
        <f>IF(OR($E104="",$E104=0),"",MAX(0,$E104-Limpeza_Min))</f>
        <v/>
      </c>
      <c r="G104" s="19">
        <f>IF($E104="","",IF($E104=0,"Sem intervalo",IF($E104&gt;=Janela_Min,"Janela aproveitável","Janela curta")))</f>
        <v/>
      </c>
      <c r="H104">
        <f>IF(OR($A104="",ISERROR(MATCH($A104&amp;"#11",Mapa_Chave,0))),"",INDEX(Mapa_RelFim,MATCH($A104&amp;"#11",Mapa_Chave,0))+Limpeza_Min)</f>
        <v/>
      </c>
      <c r="I104">
        <f>IF($H104="","",IFERROR(INDEX(Mapa_RelIni,MATCH($A104&amp;"#12",Mapa_Chave,0)),Turno_Min))</f>
        <v/>
      </c>
    </row>
    <row r="105">
      <c r="A105" s="33">
        <f>IF(OR('Calc_Mix'!$B9="",'Calc_Mix'!$C9&lt;&gt;"Sala cirúrgica"),"",'Calc_Mix'!$B9)</f>
        <v/>
      </c>
      <c r="B105" s="33" t="n">
        <v>12</v>
      </c>
      <c r="C105" s="43">
        <f>IF(OR($E105="",$E105=0),"",MOD(Turno_Ini+$H105/1440,1))</f>
        <v/>
      </c>
      <c r="D105" s="43">
        <f>IF(OR($E105="",$E105=0),"",MOD(Turno_Ini+$I105/1440,1))</f>
        <v/>
      </c>
      <c r="E105" s="37">
        <f>IF($H105="","",MAX(0,$I105-$H105))</f>
        <v/>
      </c>
      <c r="F105" s="37">
        <f>IF(OR($E105="",$E105=0),"",MAX(0,$E105-Limpeza_Min))</f>
        <v/>
      </c>
      <c r="G105" s="19">
        <f>IF($E105="","",IF($E105=0,"Sem intervalo",IF($E105&gt;=Janela_Min,"Janela aproveitável","Janela curta")))</f>
        <v/>
      </c>
      <c r="H105">
        <f>IF(OR($A105="",ISERROR(MATCH($A105&amp;"#12",Mapa_Chave,0))),"",INDEX(Mapa_RelFim,MATCH($A105&amp;"#12",Mapa_Chave,0))+Limpeza_Min)</f>
        <v/>
      </c>
      <c r="I105">
        <f>IF($H105="","",IFERROR(INDEX(Mapa_RelIni,MATCH($A105&amp;"#13",Mapa_Chave,0)),Turno_Min))</f>
        <v/>
      </c>
    </row>
    <row r="106">
      <c r="A106" s="33">
        <f>IF(OR('Calc_Mix'!$B10="",'Calc_Mix'!$C10&lt;&gt;"Sala cirúrgica"),"",'Calc_Mix'!$B10)</f>
        <v/>
      </c>
      <c r="B106" s="33" t="n">
        <v>0</v>
      </c>
      <c r="C106" s="43">
        <f>IF(OR($E106="",$E106=0),"",MOD(Turno_Ini+$H106/1440,1))</f>
        <v/>
      </c>
      <c r="D106" s="43">
        <f>IF(OR($E106="",$E106=0),"",MOD(Turno_Ini+$I106/1440,1))</f>
        <v/>
      </c>
      <c r="E106" s="37">
        <f>IF($H106="","",MAX(0,$I106-$H106))</f>
        <v/>
      </c>
      <c r="F106" s="37">
        <f>IF(OR($E106="",$E106=0),"",MAX(0,$E106-Limpeza_Min))</f>
        <v/>
      </c>
      <c r="G106" s="19">
        <f>IF($E106="","",IF($E106=0,"Sem intervalo",IF($E106&gt;=Janela_Min,"Janela aproveitável","Janela curta")))</f>
        <v/>
      </c>
      <c r="H106">
        <f>IF($A106="","",0)</f>
        <v/>
      </c>
      <c r="I106">
        <f>IF($H106="","",IFERROR(INDEX(Mapa_RelIni,MATCH($A106&amp;"#1",Mapa_Chave,0)),Turno_Min))</f>
        <v/>
      </c>
    </row>
    <row r="107">
      <c r="A107" s="33">
        <f>IF(OR('Calc_Mix'!$B10="",'Calc_Mix'!$C10&lt;&gt;"Sala cirúrgica"),"",'Calc_Mix'!$B10)</f>
        <v/>
      </c>
      <c r="B107" s="33" t="n">
        <v>1</v>
      </c>
      <c r="C107" s="43">
        <f>IF(OR($E107="",$E107=0),"",MOD(Turno_Ini+$H107/1440,1))</f>
        <v/>
      </c>
      <c r="D107" s="43">
        <f>IF(OR($E107="",$E107=0),"",MOD(Turno_Ini+$I107/1440,1))</f>
        <v/>
      </c>
      <c r="E107" s="37">
        <f>IF($H107="","",MAX(0,$I107-$H107))</f>
        <v/>
      </c>
      <c r="F107" s="37">
        <f>IF(OR($E107="",$E107=0),"",MAX(0,$E107-Limpeza_Min))</f>
        <v/>
      </c>
      <c r="G107" s="19">
        <f>IF($E107="","",IF($E107=0,"Sem intervalo",IF($E107&gt;=Janela_Min,"Janela aproveitável","Janela curta")))</f>
        <v/>
      </c>
      <c r="H107">
        <f>IF(OR($A107="",ISERROR(MATCH($A107&amp;"#1",Mapa_Chave,0))),"",INDEX(Mapa_RelFim,MATCH($A107&amp;"#1",Mapa_Chave,0))+Limpeza_Min)</f>
        <v/>
      </c>
      <c r="I107">
        <f>IF($H107="","",IFERROR(INDEX(Mapa_RelIni,MATCH($A107&amp;"#2",Mapa_Chave,0)),Turno_Min))</f>
        <v/>
      </c>
    </row>
    <row r="108">
      <c r="A108" s="33">
        <f>IF(OR('Calc_Mix'!$B10="",'Calc_Mix'!$C10&lt;&gt;"Sala cirúrgica"),"",'Calc_Mix'!$B10)</f>
        <v/>
      </c>
      <c r="B108" s="33" t="n">
        <v>2</v>
      </c>
      <c r="C108" s="43">
        <f>IF(OR($E108="",$E108=0),"",MOD(Turno_Ini+$H108/1440,1))</f>
        <v/>
      </c>
      <c r="D108" s="43">
        <f>IF(OR($E108="",$E108=0),"",MOD(Turno_Ini+$I108/1440,1))</f>
        <v/>
      </c>
      <c r="E108" s="37">
        <f>IF($H108="","",MAX(0,$I108-$H108))</f>
        <v/>
      </c>
      <c r="F108" s="37">
        <f>IF(OR($E108="",$E108=0),"",MAX(0,$E108-Limpeza_Min))</f>
        <v/>
      </c>
      <c r="G108" s="19">
        <f>IF($E108="","",IF($E108=0,"Sem intervalo",IF($E108&gt;=Janela_Min,"Janela aproveitável","Janela curta")))</f>
        <v/>
      </c>
      <c r="H108">
        <f>IF(OR($A108="",ISERROR(MATCH($A108&amp;"#2",Mapa_Chave,0))),"",INDEX(Mapa_RelFim,MATCH($A108&amp;"#2",Mapa_Chave,0))+Limpeza_Min)</f>
        <v/>
      </c>
      <c r="I108">
        <f>IF($H108="","",IFERROR(INDEX(Mapa_RelIni,MATCH($A108&amp;"#3",Mapa_Chave,0)),Turno_Min))</f>
        <v/>
      </c>
    </row>
    <row r="109">
      <c r="A109" s="33">
        <f>IF(OR('Calc_Mix'!$B10="",'Calc_Mix'!$C10&lt;&gt;"Sala cirúrgica"),"",'Calc_Mix'!$B10)</f>
        <v/>
      </c>
      <c r="B109" s="33" t="n">
        <v>3</v>
      </c>
      <c r="C109" s="43">
        <f>IF(OR($E109="",$E109=0),"",MOD(Turno_Ini+$H109/1440,1))</f>
        <v/>
      </c>
      <c r="D109" s="43">
        <f>IF(OR($E109="",$E109=0),"",MOD(Turno_Ini+$I109/1440,1))</f>
        <v/>
      </c>
      <c r="E109" s="37">
        <f>IF($H109="","",MAX(0,$I109-$H109))</f>
        <v/>
      </c>
      <c r="F109" s="37">
        <f>IF(OR($E109="",$E109=0),"",MAX(0,$E109-Limpeza_Min))</f>
        <v/>
      </c>
      <c r="G109" s="19">
        <f>IF($E109="","",IF($E109=0,"Sem intervalo",IF($E109&gt;=Janela_Min,"Janela aproveitável","Janela curta")))</f>
        <v/>
      </c>
      <c r="H109">
        <f>IF(OR($A109="",ISERROR(MATCH($A109&amp;"#3",Mapa_Chave,0))),"",INDEX(Mapa_RelFim,MATCH($A109&amp;"#3",Mapa_Chave,0))+Limpeza_Min)</f>
        <v/>
      </c>
      <c r="I109">
        <f>IF($H109="","",IFERROR(INDEX(Mapa_RelIni,MATCH($A109&amp;"#4",Mapa_Chave,0)),Turno_Min))</f>
        <v/>
      </c>
    </row>
    <row r="110">
      <c r="A110" s="33">
        <f>IF(OR('Calc_Mix'!$B10="",'Calc_Mix'!$C10&lt;&gt;"Sala cirúrgica"),"",'Calc_Mix'!$B10)</f>
        <v/>
      </c>
      <c r="B110" s="33" t="n">
        <v>4</v>
      </c>
      <c r="C110" s="43">
        <f>IF(OR($E110="",$E110=0),"",MOD(Turno_Ini+$H110/1440,1))</f>
        <v/>
      </c>
      <c r="D110" s="43">
        <f>IF(OR($E110="",$E110=0),"",MOD(Turno_Ini+$I110/1440,1))</f>
        <v/>
      </c>
      <c r="E110" s="37">
        <f>IF($H110="","",MAX(0,$I110-$H110))</f>
        <v/>
      </c>
      <c r="F110" s="37">
        <f>IF(OR($E110="",$E110=0),"",MAX(0,$E110-Limpeza_Min))</f>
        <v/>
      </c>
      <c r="G110" s="19">
        <f>IF($E110="","",IF($E110=0,"Sem intervalo",IF($E110&gt;=Janela_Min,"Janela aproveitável","Janela curta")))</f>
        <v/>
      </c>
      <c r="H110">
        <f>IF(OR($A110="",ISERROR(MATCH($A110&amp;"#4",Mapa_Chave,0))),"",INDEX(Mapa_RelFim,MATCH($A110&amp;"#4",Mapa_Chave,0))+Limpeza_Min)</f>
        <v/>
      </c>
      <c r="I110">
        <f>IF($H110="","",IFERROR(INDEX(Mapa_RelIni,MATCH($A110&amp;"#5",Mapa_Chave,0)),Turno_Min))</f>
        <v/>
      </c>
    </row>
    <row r="111">
      <c r="A111" s="33">
        <f>IF(OR('Calc_Mix'!$B10="",'Calc_Mix'!$C10&lt;&gt;"Sala cirúrgica"),"",'Calc_Mix'!$B10)</f>
        <v/>
      </c>
      <c r="B111" s="33" t="n">
        <v>5</v>
      </c>
      <c r="C111" s="43">
        <f>IF(OR($E111="",$E111=0),"",MOD(Turno_Ini+$H111/1440,1))</f>
        <v/>
      </c>
      <c r="D111" s="43">
        <f>IF(OR($E111="",$E111=0),"",MOD(Turno_Ini+$I111/1440,1))</f>
        <v/>
      </c>
      <c r="E111" s="37">
        <f>IF($H111="","",MAX(0,$I111-$H111))</f>
        <v/>
      </c>
      <c r="F111" s="37">
        <f>IF(OR($E111="",$E111=0),"",MAX(0,$E111-Limpeza_Min))</f>
        <v/>
      </c>
      <c r="G111" s="19">
        <f>IF($E111="","",IF($E111=0,"Sem intervalo",IF($E111&gt;=Janela_Min,"Janela aproveitável","Janela curta")))</f>
        <v/>
      </c>
      <c r="H111">
        <f>IF(OR($A111="",ISERROR(MATCH($A111&amp;"#5",Mapa_Chave,0))),"",INDEX(Mapa_RelFim,MATCH($A111&amp;"#5",Mapa_Chave,0))+Limpeza_Min)</f>
        <v/>
      </c>
      <c r="I111">
        <f>IF($H111="","",IFERROR(INDEX(Mapa_RelIni,MATCH($A111&amp;"#6",Mapa_Chave,0)),Turno_Min))</f>
        <v/>
      </c>
    </row>
    <row r="112">
      <c r="A112" s="33">
        <f>IF(OR('Calc_Mix'!$B10="",'Calc_Mix'!$C10&lt;&gt;"Sala cirúrgica"),"",'Calc_Mix'!$B10)</f>
        <v/>
      </c>
      <c r="B112" s="33" t="n">
        <v>6</v>
      </c>
      <c r="C112" s="43">
        <f>IF(OR($E112="",$E112=0),"",MOD(Turno_Ini+$H112/1440,1))</f>
        <v/>
      </c>
      <c r="D112" s="43">
        <f>IF(OR($E112="",$E112=0),"",MOD(Turno_Ini+$I112/1440,1))</f>
        <v/>
      </c>
      <c r="E112" s="37">
        <f>IF($H112="","",MAX(0,$I112-$H112))</f>
        <v/>
      </c>
      <c r="F112" s="37">
        <f>IF(OR($E112="",$E112=0),"",MAX(0,$E112-Limpeza_Min))</f>
        <v/>
      </c>
      <c r="G112" s="19">
        <f>IF($E112="","",IF($E112=0,"Sem intervalo",IF($E112&gt;=Janela_Min,"Janela aproveitável","Janela curta")))</f>
        <v/>
      </c>
      <c r="H112">
        <f>IF(OR($A112="",ISERROR(MATCH($A112&amp;"#6",Mapa_Chave,0))),"",INDEX(Mapa_RelFim,MATCH($A112&amp;"#6",Mapa_Chave,0))+Limpeza_Min)</f>
        <v/>
      </c>
      <c r="I112">
        <f>IF($H112="","",IFERROR(INDEX(Mapa_RelIni,MATCH($A112&amp;"#7",Mapa_Chave,0)),Turno_Min))</f>
        <v/>
      </c>
    </row>
    <row r="113">
      <c r="A113" s="33">
        <f>IF(OR('Calc_Mix'!$B10="",'Calc_Mix'!$C10&lt;&gt;"Sala cirúrgica"),"",'Calc_Mix'!$B10)</f>
        <v/>
      </c>
      <c r="B113" s="33" t="n">
        <v>7</v>
      </c>
      <c r="C113" s="43">
        <f>IF(OR($E113="",$E113=0),"",MOD(Turno_Ini+$H113/1440,1))</f>
        <v/>
      </c>
      <c r="D113" s="43">
        <f>IF(OR($E113="",$E113=0),"",MOD(Turno_Ini+$I113/1440,1))</f>
        <v/>
      </c>
      <c r="E113" s="37">
        <f>IF($H113="","",MAX(0,$I113-$H113))</f>
        <v/>
      </c>
      <c r="F113" s="37">
        <f>IF(OR($E113="",$E113=0),"",MAX(0,$E113-Limpeza_Min))</f>
        <v/>
      </c>
      <c r="G113" s="19">
        <f>IF($E113="","",IF($E113=0,"Sem intervalo",IF($E113&gt;=Janela_Min,"Janela aproveitável","Janela curta")))</f>
        <v/>
      </c>
      <c r="H113">
        <f>IF(OR($A113="",ISERROR(MATCH($A113&amp;"#7",Mapa_Chave,0))),"",INDEX(Mapa_RelFim,MATCH($A113&amp;"#7",Mapa_Chave,0))+Limpeza_Min)</f>
        <v/>
      </c>
      <c r="I113">
        <f>IF($H113="","",IFERROR(INDEX(Mapa_RelIni,MATCH($A113&amp;"#8",Mapa_Chave,0)),Turno_Min))</f>
        <v/>
      </c>
    </row>
    <row r="114">
      <c r="A114" s="33">
        <f>IF(OR('Calc_Mix'!$B10="",'Calc_Mix'!$C10&lt;&gt;"Sala cirúrgica"),"",'Calc_Mix'!$B10)</f>
        <v/>
      </c>
      <c r="B114" s="33" t="n">
        <v>8</v>
      </c>
      <c r="C114" s="43">
        <f>IF(OR($E114="",$E114=0),"",MOD(Turno_Ini+$H114/1440,1))</f>
        <v/>
      </c>
      <c r="D114" s="43">
        <f>IF(OR($E114="",$E114=0),"",MOD(Turno_Ini+$I114/1440,1))</f>
        <v/>
      </c>
      <c r="E114" s="37">
        <f>IF($H114="","",MAX(0,$I114-$H114))</f>
        <v/>
      </c>
      <c r="F114" s="37">
        <f>IF(OR($E114="",$E114=0),"",MAX(0,$E114-Limpeza_Min))</f>
        <v/>
      </c>
      <c r="G114" s="19">
        <f>IF($E114="","",IF($E114=0,"Sem intervalo",IF($E114&gt;=Janela_Min,"Janela aproveitável","Janela curta")))</f>
        <v/>
      </c>
      <c r="H114">
        <f>IF(OR($A114="",ISERROR(MATCH($A114&amp;"#8",Mapa_Chave,0))),"",INDEX(Mapa_RelFim,MATCH($A114&amp;"#8",Mapa_Chave,0))+Limpeza_Min)</f>
        <v/>
      </c>
      <c r="I114">
        <f>IF($H114="","",IFERROR(INDEX(Mapa_RelIni,MATCH($A114&amp;"#9",Mapa_Chave,0)),Turno_Min))</f>
        <v/>
      </c>
    </row>
    <row r="115">
      <c r="A115" s="33">
        <f>IF(OR('Calc_Mix'!$B10="",'Calc_Mix'!$C10&lt;&gt;"Sala cirúrgica"),"",'Calc_Mix'!$B10)</f>
        <v/>
      </c>
      <c r="B115" s="33" t="n">
        <v>9</v>
      </c>
      <c r="C115" s="43">
        <f>IF(OR($E115="",$E115=0),"",MOD(Turno_Ini+$H115/1440,1))</f>
        <v/>
      </c>
      <c r="D115" s="43">
        <f>IF(OR($E115="",$E115=0),"",MOD(Turno_Ini+$I115/1440,1))</f>
        <v/>
      </c>
      <c r="E115" s="37">
        <f>IF($H115="","",MAX(0,$I115-$H115))</f>
        <v/>
      </c>
      <c r="F115" s="37">
        <f>IF(OR($E115="",$E115=0),"",MAX(0,$E115-Limpeza_Min))</f>
        <v/>
      </c>
      <c r="G115" s="19">
        <f>IF($E115="","",IF($E115=0,"Sem intervalo",IF($E115&gt;=Janela_Min,"Janela aproveitável","Janela curta")))</f>
        <v/>
      </c>
      <c r="H115">
        <f>IF(OR($A115="",ISERROR(MATCH($A115&amp;"#9",Mapa_Chave,0))),"",INDEX(Mapa_RelFim,MATCH($A115&amp;"#9",Mapa_Chave,0))+Limpeza_Min)</f>
        <v/>
      </c>
      <c r="I115">
        <f>IF($H115="","",IFERROR(INDEX(Mapa_RelIni,MATCH($A115&amp;"#10",Mapa_Chave,0)),Turno_Min))</f>
        <v/>
      </c>
    </row>
    <row r="116">
      <c r="A116" s="33">
        <f>IF(OR('Calc_Mix'!$B10="",'Calc_Mix'!$C10&lt;&gt;"Sala cirúrgica"),"",'Calc_Mix'!$B10)</f>
        <v/>
      </c>
      <c r="B116" s="33" t="n">
        <v>10</v>
      </c>
      <c r="C116" s="43">
        <f>IF(OR($E116="",$E116=0),"",MOD(Turno_Ini+$H116/1440,1))</f>
        <v/>
      </c>
      <c r="D116" s="43">
        <f>IF(OR($E116="",$E116=0),"",MOD(Turno_Ini+$I116/1440,1))</f>
        <v/>
      </c>
      <c r="E116" s="37">
        <f>IF($H116="","",MAX(0,$I116-$H116))</f>
        <v/>
      </c>
      <c r="F116" s="37">
        <f>IF(OR($E116="",$E116=0),"",MAX(0,$E116-Limpeza_Min))</f>
        <v/>
      </c>
      <c r="G116" s="19">
        <f>IF($E116="","",IF($E116=0,"Sem intervalo",IF($E116&gt;=Janela_Min,"Janela aproveitável","Janela curta")))</f>
        <v/>
      </c>
      <c r="H116">
        <f>IF(OR($A116="",ISERROR(MATCH($A116&amp;"#10",Mapa_Chave,0))),"",INDEX(Mapa_RelFim,MATCH($A116&amp;"#10",Mapa_Chave,0))+Limpeza_Min)</f>
        <v/>
      </c>
      <c r="I116">
        <f>IF($H116="","",IFERROR(INDEX(Mapa_RelIni,MATCH($A116&amp;"#11",Mapa_Chave,0)),Turno_Min))</f>
        <v/>
      </c>
    </row>
    <row r="117">
      <c r="A117" s="33">
        <f>IF(OR('Calc_Mix'!$B10="",'Calc_Mix'!$C10&lt;&gt;"Sala cirúrgica"),"",'Calc_Mix'!$B10)</f>
        <v/>
      </c>
      <c r="B117" s="33" t="n">
        <v>11</v>
      </c>
      <c r="C117" s="43">
        <f>IF(OR($E117="",$E117=0),"",MOD(Turno_Ini+$H117/1440,1))</f>
        <v/>
      </c>
      <c r="D117" s="43">
        <f>IF(OR($E117="",$E117=0),"",MOD(Turno_Ini+$I117/1440,1))</f>
        <v/>
      </c>
      <c r="E117" s="37">
        <f>IF($H117="","",MAX(0,$I117-$H117))</f>
        <v/>
      </c>
      <c r="F117" s="37">
        <f>IF(OR($E117="",$E117=0),"",MAX(0,$E117-Limpeza_Min))</f>
        <v/>
      </c>
      <c r="G117" s="19">
        <f>IF($E117="","",IF($E117=0,"Sem intervalo",IF($E117&gt;=Janela_Min,"Janela aproveitável","Janela curta")))</f>
        <v/>
      </c>
      <c r="H117">
        <f>IF(OR($A117="",ISERROR(MATCH($A117&amp;"#11",Mapa_Chave,0))),"",INDEX(Mapa_RelFim,MATCH($A117&amp;"#11",Mapa_Chave,0))+Limpeza_Min)</f>
        <v/>
      </c>
      <c r="I117">
        <f>IF($H117="","",IFERROR(INDEX(Mapa_RelIni,MATCH($A117&amp;"#12",Mapa_Chave,0)),Turno_Min))</f>
        <v/>
      </c>
    </row>
    <row r="118">
      <c r="A118" s="33">
        <f>IF(OR('Calc_Mix'!$B10="",'Calc_Mix'!$C10&lt;&gt;"Sala cirúrgica"),"",'Calc_Mix'!$B10)</f>
        <v/>
      </c>
      <c r="B118" s="33" t="n">
        <v>12</v>
      </c>
      <c r="C118" s="43">
        <f>IF(OR($E118="",$E118=0),"",MOD(Turno_Ini+$H118/1440,1))</f>
        <v/>
      </c>
      <c r="D118" s="43">
        <f>IF(OR($E118="",$E118=0),"",MOD(Turno_Ini+$I118/1440,1))</f>
        <v/>
      </c>
      <c r="E118" s="37">
        <f>IF($H118="","",MAX(0,$I118-$H118))</f>
        <v/>
      </c>
      <c r="F118" s="37">
        <f>IF(OR($E118="",$E118=0),"",MAX(0,$E118-Limpeza_Min))</f>
        <v/>
      </c>
      <c r="G118" s="19">
        <f>IF($E118="","",IF($E118=0,"Sem intervalo",IF($E118&gt;=Janela_Min,"Janela aproveitável","Janela curta")))</f>
        <v/>
      </c>
      <c r="H118">
        <f>IF(OR($A118="",ISERROR(MATCH($A118&amp;"#12",Mapa_Chave,0))),"",INDEX(Mapa_RelFim,MATCH($A118&amp;"#12",Mapa_Chave,0))+Limpeza_Min)</f>
        <v/>
      </c>
      <c r="I118">
        <f>IF($H118="","",IFERROR(INDEX(Mapa_RelIni,MATCH($A118&amp;"#13",Mapa_Chave,0)),Turno_Min))</f>
        <v/>
      </c>
    </row>
    <row r="119">
      <c r="A119" s="33">
        <f>IF(OR('Calc_Mix'!$B11="",'Calc_Mix'!$C11&lt;&gt;"Sala cirúrgica"),"",'Calc_Mix'!$B11)</f>
        <v/>
      </c>
      <c r="B119" s="33" t="n">
        <v>0</v>
      </c>
      <c r="C119" s="43">
        <f>IF(OR($E119="",$E119=0),"",MOD(Turno_Ini+$H119/1440,1))</f>
        <v/>
      </c>
      <c r="D119" s="43">
        <f>IF(OR($E119="",$E119=0),"",MOD(Turno_Ini+$I119/1440,1))</f>
        <v/>
      </c>
      <c r="E119" s="37">
        <f>IF($H119="","",MAX(0,$I119-$H119))</f>
        <v/>
      </c>
      <c r="F119" s="37">
        <f>IF(OR($E119="",$E119=0),"",MAX(0,$E119-Limpeza_Min))</f>
        <v/>
      </c>
      <c r="G119" s="19">
        <f>IF($E119="","",IF($E119=0,"Sem intervalo",IF($E119&gt;=Janela_Min,"Janela aproveitável","Janela curta")))</f>
        <v/>
      </c>
      <c r="H119">
        <f>IF($A119="","",0)</f>
        <v/>
      </c>
      <c r="I119">
        <f>IF($H119="","",IFERROR(INDEX(Mapa_RelIni,MATCH($A119&amp;"#1",Mapa_Chave,0)),Turno_Min))</f>
        <v/>
      </c>
    </row>
    <row r="120">
      <c r="A120" s="33">
        <f>IF(OR('Calc_Mix'!$B11="",'Calc_Mix'!$C11&lt;&gt;"Sala cirúrgica"),"",'Calc_Mix'!$B11)</f>
        <v/>
      </c>
      <c r="B120" s="33" t="n">
        <v>1</v>
      </c>
      <c r="C120" s="43">
        <f>IF(OR($E120="",$E120=0),"",MOD(Turno_Ini+$H120/1440,1))</f>
        <v/>
      </c>
      <c r="D120" s="43">
        <f>IF(OR($E120="",$E120=0),"",MOD(Turno_Ini+$I120/1440,1))</f>
        <v/>
      </c>
      <c r="E120" s="37">
        <f>IF($H120="","",MAX(0,$I120-$H120))</f>
        <v/>
      </c>
      <c r="F120" s="37">
        <f>IF(OR($E120="",$E120=0),"",MAX(0,$E120-Limpeza_Min))</f>
        <v/>
      </c>
      <c r="G120" s="19">
        <f>IF($E120="","",IF($E120=0,"Sem intervalo",IF($E120&gt;=Janela_Min,"Janela aproveitável","Janela curta")))</f>
        <v/>
      </c>
      <c r="H120">
        <f>IF(OR($A120="",ISERROR(MATCH($A120&amp;"#1",Mapa_Chave,0))),"",INDEX(Mapa_RelFim,MATCH($A120&amp;"#1",Mapa_Chave,0))+Limpeza_Min)</f>
        <v/>
      </c>
      <c r="I120">
        <f>IF($H120="","",IFERROR(INDEX(Mapa_RelIni,MATCH($A120&amp;"#2",Mapa_Chave,0)),Turno_Min))</f>
        <v/>
      </c>
    </row>
    <row r="121">
      <c r="A121" s="33">
        <f>IF(OR('Calc_Mix'!$B11="",'Calc_Mix'!$C11&lt;&gt;"Sala cirúrgica"),"",'Calc_Mix'!$B11)</f>
        <v/>
      </c>
      <c r="B121" s="33" t="n">
        <v>2</v>
      </c>
      <c r="C121" s="43">
        <f>IF(OR($E121="",$E121=0),"",MOD(Turno_Ini+$H121/1440,1))</f>
        <v/>
      </c>
      <c r="D121" s="43">
        <f>IF(OR($E121="",$E121=0),"",MOD(Turno_Ini+$I121/1440,1))</f>
        <v/>
      </c>
      <c r="E121" s="37">
        <f>IF($H121="","",MAX(0,$I121-$H121))</f>
        <v/>
      </c>
      <c r="F121" s="37">
        <f>IF(OR($E121="",$E121=0),"",MAX(0,$E121-Limpeza_Min))</f>
        <v/>
      </c>
      <c r="G121" s="19">
        <f>IF($E121="","",IF($E121=0,"Sem intervalo",IF($E121&gt;=Janela_Min,"Janela aproveitável","Janela curta")))</f>
        <v/>
      </c>
      <c r="H121">
        <f>IF(OR($A121="",ISERROR(MATCH($A121&amp;"#2",Mapa_Chave,0))),"",INDEX(Mapa_RelFim,MATCH($A121&amp;"#2",Mapa_Chave,0))+Limpeza_Min)</f>
        <v/>
      </c>
      <c r="I121">
        <f>IF($H121="","",IFERROR(INDEX(Mapa_RelIni,MATCH($A121&amp;"#3",Mapa_Chave,0)),Turno_Min))</f>
        <v/>
      </c>
    </row>
    <row r="122">
      <c r="A122" s="33">
        <f>IF(OR('Calc_Mix'!$B11="",'Calc_Mix'!$C11&lt;&gt;"Sala cirúrgica"),"",'Calc_Mix'!$B11)</f>
        <v/>
      </c>
      <c r="B122" s="33" t="n">
        <v>3</v>
      </c>
      <c r="C122" s="43">
        <f>IF(OR($E122="",$E122=0),"",MOD(Turno_Ini+$H122/1440,1))</f>
        <v/>
      </c>
      <c r="D122" s="43">
        <f>IF(OR($E122="",$E122=0),"",MOD(Turno_Ini+$I122/1440,1))</f>
        <v/>
      </c>
      <c r="E122" s="37">
        <f>IF($H122="","",MAX(0,$I122-$H122))</f>
        <v/>
      </c>
      <c r="F122" s="37">
        <f>IF(OR($E122="",$E122=0),"",MAX(0,$E122-Limpeza_Min))</f>
        <v/>
      </c>
      <c r="G122" s="19">
        <f>IF($E122="","",IF($E122=0,"Sem intervalo",IF($E122&gt;=Janela_Min,"Janela aproveitável","Janela curta")))</f>
        <v/>
      </c>
      <c r="H122">
        <f>IF(OR($A122="",ISERROR(MATCH($A122&amp;"#3",Mapa_Chave,0))),"",INDEX(Mapa_RelFim,MATCH($A122&amp;"#3",Mapa_Chave,0))+Limpeza_Min)</f>
        <v/>
      </c>
      <c r="I122">
        <f>IF($H122="","",IFERROR(INDEX(Mapa_RelIni,MATCH($A122&amp;"#4",Mapa_Chave,0)),Turno_Min))</f>
        <v/>
      </c>
    </row>
    <row r="123">
      <c r="A123" s="33">
        <f>IF(OR('Calc_Mix'!$B11="",'Calc_Mix'!$C11&lt;&gt;"Sala cirúrgica"),"",'Calc_Mix'!$B11)</f>
        <v/>
      </c>
      <c r="B123" s="33" t="n">
        <v>4</v>
      </c>
      <c r="C123" s="43">
        <f>IF(OR($E123="",$E123=0),"",MOD(Turno_Ini+$H123/1440,1))</f>
        <v/>
      </c>
      <c r="D123" s="43">
        <f>IF(OR($E123="",$E123=0),"",MOD(Turno_Ini+$I123/1440,1))</f>
        <v/>
      </c>
      <c r="E123" s="37">
        <f>IF($H123="","",MAX(0,$I123-$H123))</f>
        <v/>
      </c>
      <c r="F123" s="37">
        <f>IF(OR($E123="",$E123=0),"",MAX(0,$E123-Limpeza_Min))</f>
        <v/>
      </c>
      <c r="G123" s="19">
        <f>IF($E123="","",IF($E123=0,"Sem intervalo",IF($E123&gt;=Janela_Min,"Janela aproveitável","Janela curta")))</f>
        <v/>
      </c>
      <c r="H123">
        <f>IF(OR($A123="",ISERROR(MATCH($A123&amp;"#4",Mapa_Chave,0))),"",INDEX(Mapa_RelFim,MATCH($A123&amp;"#4",Mapa_Chave,0))+Limpeza_Min)</f>
        <v/>
      </c>
      <c r="I123">
        <f>IF($H123="","",IFERROR(INDEX(Mapa_RelIni,MATCH($A123&amp;"#5",Mapa_Chave,0)),Turno_Min))</f>
        <v/>
      </c>
    </row>
    <row r="124">
      <c r="A124" s="33">
        <f>IF(OR('Calc_Mix'!$B11="",'Calc_Mix'!$C11&lt;&gt;"Sala cirúrgica"),"",'Calc_Mix'!$B11)</f>
        <v/>
      </c>
      <c r="B124" s="33" t="n">
        <v>5</v>
      </c>
      <c r="C124" s="43">
        <f>IF(OR($E124="",$E124=0),"",MOD(Turno_Ini+$H124/1440,1))</f>
        <v/>
      </c>
      <c r="D124" s="43">
        <f>IF(OR($E124="",$E124=0),"",MOD(Turno_Ini+$I124/1440,1))</f>
        <v/>
      </c>
      <c r="E124" s="37">
        <f>IF($H124="","",MAX(0,$I124-$H124))</f>
        <v/>
      </c>
      <c r="F124" s="37">
        <f>IF(OR($E124="",$E124=0),"",MAX(0,$E124-Limpeza_Min))</f>
        <v/>
      </c>
      <c r="G124" s="19">
        <f>IF($E124="","",IF($E124=0,"Sem intervalo",IF($E124&gt;=Janela_Min,"Janela aproveitável","Janela curta")))</f>
        <v/>
      </c>
      <c r="H124">
        <f>IF(OR($A124="",ISERROR(MATCH($A124&amp;"#5",Mapa_Chave,0))),"",INDEX(Mapa_RelFim,MATCH($A124&amp;"#5",Mapa_Chave,0))+Limpeza_Min)</f>
        <v/>
      </c>
      <c r="I124">
        <f>IF($H124="","",IFERROR(INDEX(Mapa_RelIni,MATCH($A124&amp;"#6",Mapa_Chave,0)),Turno_Min))</f>
        <v/>
      </c>
    </row>
    <row r="125">
      <c r="A125" s="33">
        <f>IF(OR('Calc_Mix'!$B11="",'Calc_Mix'!$C11&lt;&gt;"Sala cirúrgica"),"",'Calc_Mix'!$B11)</f>
        <v/>
      </c>
      <c r="B125" s="33" t="n">
        <v>6</v>
      </c>
      <c r="C125" s="43">
        <f>IF(OR($E125="",$E125=0),"",MOD(Turno_Ini+$H125/1440,1))</f>
        <v/>
      </c>
      <c r="D125" s="43">
        <f>IF(OR($E125="",$E125=0),"",MOD(Turno_Ini+$I125/1440,1))</f>
        <v/>
      </c>
      <c r="E125" s="37">
        <f>IF($H125="","",MAX(0,$I125-$H125))</f>
        <v/>
      </c>
      <c r="F125" s="37">
        <f>IF(OR($E125="",$E125=0),"",MAX(0,$E125-Limpeza_Min))</f>
        <v/>
      </c>
      <c r="G125" s="19">
        <f>IF($E125="","",IF($E125=0,"Sem intervalo",IF($E125&gt;=Janela_Min,"Janela aproveitável","Janela curta")))</f>
        <v/>
      </c>
      <c r="H125">
        <f>IF(OR($A125="",ISERROR(MATCH($A125&amp;"#6",Mapa_Chave,0))),"",INDEX(Mapa_RelFim,MATCH($A125&amp;"#6",Mapa_Chave,0))+Limpeza_Min)</f>
        <v/>
      </c>
      <c r="I125">
        <f>IF($H125="","",IFERROR(INDEX(Mapa_RelIni,MATCH($A125&amp;"#7",Mapa_Chave,0)),Turno_Min))</f>
        <v/>
      </c>
    </row>
    <row r="126">
      <c r="A126" s="33">
        <f>IF(OR('Calc_Mix'!$B11="",'Calc_Mix'!$C11&lt;&gt;"Sala cirúrgica"),"",'Calc_Mix'!$B11)</f>
        <v/>
      </c>
      <c r="B126" s="33" t="n">
        <v>7</v>
      </c>
      <c r="C126" s="43">
        <f>IF(OR($E126="",$E126=0),"",MOD(Turno_Ini+$H126/1440,1))</f>
        <v/>
      </c>
      <c r="D126" s="43">
        <f>IF(OR($E126="",$E126=0),"",MOD(Turno_Ini+$I126/1440,1))</f>
        <v/>
      </c>
      <c r="E126" s="37">
        <f>IF($H126="","",MAX(0,$I126-$H126))</f>
        <v/>
      </c>
      <c r="F126" s="37">
        <f>IF(OR($E126="",$E126=0),"",MAX(0,$E126-Limpeza_Min))</f>
        <v/>
      </c>
      <c r="G126" s="19">
        <f>IF($E126="","",IF($E126=0,"Sem intervalo",IF($E126&gt;=Janela_Min,"Janela aproveitável","Janela curta")))</f>
        <v/>
      </c>
      <c r="H126">
        <f>IF(OR($A126="",ISERROR(MATCH($A126&amp;"#7",Mapa_Chave,0))),"",INDEX(Mapa_RelFim,MATCH($A126&amp;"#7",Mapa_Chave,0))+Limpeza_Min)</f>
        <v/>
      </c>
      <c r="I126">
        <f>IF($H126="","",IFERROR(INDEX(Mapa_RelIni,MATCH($A126&amp;"#8",Mapa_Chave,0)),Turno_Min))</f>
        <v/>
      </c>
    </row>
    <row r="127">
      <c r="A127" s="33">
        <f>IF(OR('Calc_Mix'!$B11="",'Calc_Mix'!$C11&lt;&gt;"Sala cirúrgica"),"",'Calc_Mix'!$B11)</f>
        <v/>
      </c>
      <c r="B127" s="33" t="n">
        <v>8</v>
      </c>
      <c r="C127" s="43">
        <f>IF(OR($E127="",$E127=0),"",MOD(Turno_Ini+$H127/1440,1))</f>
        <v/>
      </c>
      <c r="D127" s="43">
        <f>IF(OR($E127="",$E127=0),"",MOD(Turno_Ini+$I127/1440,1))</f>
        <v/>
      </c>
      <c r="E127" s="37">
        <f>IF($H127="","",MAX(0,$I127-$H127))</f>
        <v/>
      </c>
      <c r="F127" s="37">
        <f>IF(OR($E127="",$E127=0),"",MAX(0,$E127-Limpeza_Min))</f>
        <v/>
      </c>
      <c r="G127" s="19">
        <f>IF($E127="","",IF($E127=0,"Sem intervalo",IF($E127&gt;=Janela_Min,"Janela aproveitável","Janela curta")))</f>
        <v/>
      </c>
      <c r="H127">
        <f>IF(OR($A127="",ISERROR(MATCH($A127&amp;"#8",Mapa_Chave,0))),"",INDEX(Mapa_RelFim,MATCH($A127&amp;"#8",Mapa_Chave,0))+Limpeza_Min)</f>
        <v/>
      </c>
      <c r="I127">
        <f>IF($H127="","",IFERROR(INDEX(Mapa_RelIni,MATCH($A127&amp;"#9",Mapa_Chave,0)),Turno_Min))</f>
        <v/>
      </c>
    </row>
    <row r="128">
      <c r="A128" s="33">
        <f>IF(OR('Calc_Mix'!$B11="",'Calc_Mix'!$C11&lt;&gt;"Sala cirúrgica"),"",'Calc_Mix'!$B11)</f>
        <v/>
      </c>
      <c r="B128" s="33" t="n">
        <v>9</v>
      </c>
      <c r="C128" s="43">
        <f>IF(OR($E128="",$E128=0),"",MOD(Turno_Ini+$H128/1440,1))</f>
        <v/>
      </c>
      <c r="D128" s="43">
        <f>IF(OR($E128="",$E128=0),"",MOD(Turno_Ini+$I128/1440,1))</f>
        <v/>
      </c>
      <c r="E128" s="37">
        <f>IF($H128="","",MAX(0,$I128-$H128))</f>
        <v/>
      </c>
      <c r="F128" s="37">
        <f>IF(OR($E128="",$E128=0),"",MAX(0,$E128-Limpeza_Min))</f>
        <v/>
      </c>
      <c r="G128" s="19">
        <f>IF($E128="","",IF($E128=0,"Sem intervalo",IF($E128&gt;=Janela_Min,"Janela aproveitável","Janela curta")))</f>
        <v/>
      </c>
      <c r="H128">
        <f>IF(OR($A128="",ISERROR(MATCH($A128&amp;"#9",Mapa_Chave,0))),"",INDEX(Mapa_RelFim,MATCH($A128&amp;"#9",Mapa_Chave,0))+Limpeza_Min)</f>
        <v/>
      </c>
      <c r="I128">
        <f>IF($H128="","",IFERROR(INDEX(Mapa_RelIni,MATCH($A128&amp;"#10",Mapa_Chave,0)),Turno_Min))</f>
        <v/>
      </c>
    </row>
    <row r="129">
      <c r="A129" s="33">
        <f>IF(OR('Calc_Mix'!$B11="",'Calc_Mix'!$C11&lt;&gt;"Sala cirúrgica"),"",'Calc_Mix'!$B11)</f>
        <v/>
      </c>
      <c r="B129" s="33" t="n">
        <v>10</v>
      </c>
      <c r="C129" s="43">
        <f>IF(OR($E129="",$E129=0),"",MOD(Turno_Ini+$H129/1440,1))</f>
        <v/>
      </c>
      <c r="D129" s="43">
        <f>IF(OR($E129="",$E129=0),"",MOD(Turno_Ini+$I129/1440,1))</f>
        <v/>
      </c>
      <c r="E129" s="37">
        <f>IF($H129="","",MAX(0,$I129-$H129))</f>
        <v/>
      </c>
      <c r="F129" s="37">
        <f>IF(OR($E129="",$E129=0),"",MAX(0,$E129-Limpeza_Min))</f>
        <v/>
      </c>
      <c r="G129" s="19">
        <f>IF($E129="","",IF($E129=0,"Sem intervalo",IF($E129&gt;=Janela_Min,"Janela aproveitável","Janela curta")))</f>
        <v/>
      </c>
      <c r="H129">
        <f>IF(OR($A129="",ISERROR(MATCH($A129&amp;"#10",Mapa_Chave,0))),"",INDEX(Mapa_RelFim,MATCH($A129&amp;"#10",Mapa_Chave,0))+Limpeza_Min)</f>
        <v/>
      </c>
      <c r="I129">
        <f>IF($H129="","",IFERROR(INDEX(Mapa_RelIni,MATCH($A129&amp;"#11",Mapa_Chave,0)),Turno_Min))</f>
        <v/>
      </c>
    </row>
    <row r="130">
      <c r="A130" s="33">
        <f>IF(OR('Calc_Mix'!$B11="",'Calc_Mix'!$C11&lt;&gt;"Sala cirúrgica"),"",'Calc_Mix'!$B11)</f>
        <v/>
      </c>
      <c r="B130" s="33" t="n">
        <v>11</v>
      </c>
      <c r="C130" s="43">
        <f>IF(OR($E130="",$E130=0),"",MOD(Turno_Ini+$H130/1440,1))</f>
        <v/>
      </c>
      <c r="D130" s="43">
        <f>IF(OR($E130="",$E130=0),"",MOD(Turno_Ini+$I130/1440,1))</f>
        <v/>
      </c>
      <c r="E130" s="37">
        <f>IF($H130="","",MAX(0,$I130-$H130))</f>
        <v/>
      </c>
      <c r="F130" s="37">
        <f>IF(OR($E130="",$E130=0),"",MAX(0,$E130-Limpeza_Min))</f>
        <v/>
      </c>
      <c r="G130" s="19">
        <f>IF($E130="","",IF($E130=0,"Sem intervalo",IF($E130&gt;=Janela_Min,"Janela aproveitável","Janela curta")))</f>
        <v/>
      </c>
      <c r="H130">
        <f>IF(OR($A130="",ISERROR(MATCH($A130&amp;"#11",Mapa_Chave,0))),"",INDEX(Mapa_RelFim,MATCH($A130&amp;"#11",Mapa_Chave,0))+Limpeza_Min)</f>
        <v/>
      </c>
      <c r="I130">
        <f>IF($H130="","",IFERROR(INDEX(Mapa_RelIni,MATCH($A130&amp;"#12",Mapa_Chave,0)),Turno_Min))</f>
        <v/>
      </c>
    </row>
    <row r="131">
      <c r="A131" s="33">
        <f>IF(OR('Calc_Mix'!$B11="",'Calc_Mix'!$C11&lt;&gt;"Sala cirúrgica"),"",'Calc_Mix'!$B11)</f>
        <v/>
      </c>
      <c r="B131" s="33" t="n">
        <v>12</v>
      </c>
      <c r="C131" s="43">
        <f>IF(OR($E131="",$E131=0),"",MOD(Turno_Ini+$H131/1440,1))</f>
        <v/>
      </c>
      <c r="D131" s="43">
        <f>IF(OR($E131="",$E131=0),"",MOD(Turno_Ini+$I131/1440,1))</f>
        <v/>
      </c>
      <c r="E131" s="37">
        <f>IF($H131="","",MAX(0,$I131-$H131))</f>
        <v/>
      </c>
      <c r="F131" s="37">
        <f>IF(OR($E131="",$E131=0),"",MAX(0,$E131-Limpeza_Min))</f>
        <v/>
      </c>
      <c r="G131" s="19">
        <f>IF($E131="","",IF($E131=0,"Sem intervalo",IF($E131&gt;=Janela_Min,"Janela aproveitável","Janela curta")))</f>
        <v/>
      </c>
      <c r="H131">
        <f>IF(OR($A131="",ISERROR(MATCH($A131&amp;"#12",Mapa_Chave,0))),"",INDEX(Mapa_RelFim,MATCH($A131&amp;"#12",Mapa_Chave,0))+Limpeza_Min)</f>
        <v/>
      </c>
      <c r="I131">
        <f>IF($H131="","",IFERROR(INDEX(Mapa_RelIni,MATCH($A131&amp;"#13",Mapa_Chave,0)),Turno_Min))</f>
        <v/>
      </c>
    </row>
    <row r="132">
      <c r="A132" s="33">
        <f>IF(OR('Calc_Mix'!$B12="",'Calc_Mix'!$C12&lt;&gt;"Sala cirúrgica"),"",'Calc_Mix'!$B12)</f>
        <v/>
      </c>
      <c r="B132" s="33" t="n">
        <v>0</v>
      </c>
      <c r="C132" s="43">
        <f>IF(OR($E132="",$E132=0),"",MOD(Turno_Ini+$H132/1440,1))</f>
        <v/>
      </c>
      <c r="D132" s="43">
        <f>IF(OR($E132="",$E132=0),"",MOD(Turno_Ini+$I132/1440,1))</f>
        <v/>
      </c>
      <c r="E132" s="37">
        <f>IF($H132="","",MAX(0,$I132-$H132))</f>
        <v/>
      </c>
      <c r="F132" s="37">
        <f>IF(OR($E132="",$E132=0),"",MAX(0,$E132-Limpeza_Min))</f>
        <v/>
      </c>
      <c r="G132" s="19">
        <f>IF($E132="","",IF($E132=0,"Sem intervalo",IF($E132&gt;=Janela_Min,"Janela aproveitável","Janela curta")))</f>
        <v/>
      </c>
      <c r="H132">
        <f>IF($A132="","",0)</f>
        <v/>
      </c>
      <c r="I132">
        <f>IF($H132="","",IFERROR(INDEX(Mapa_RelIni,MATCH($A132&amp;"#1",Mapa_Chave,0)),Turno_Min))</f>
        <v/>
      </c>
    </row>
    <row r="133">
      <c r="A133" s="33">
        <f>IF(OR('Calc_Mix'!$B12="",'Calc_Mix'!$C12&lt;&gt;"Sala cirúrgica"),"",'Calc_Mix'!$B12)</f>
        <v/>
      </c>
      <c r="B133" s="33" t="n">
        <v>1</v>
      </c>
      <c r="C133" s="43">
        <f>IF(OR($E133="",$E133=0),"",MOD(Turno_Ini+$H133/1440,1))</f>
        <v/>
      </c>
      <c r="D133" s="43">
        <f>IF(OR($E133="",$E133=0),"",MOD(Turno_Ini+$I133/1440,1))</f>
        <v/>
      </c>
      <c r="E133" s="37">
        <f>IF($H133="","",MAX(0,$I133-$H133))</f>
        <v/>
      </c>
      <c r="F133" s="37">
        <f>IF(OR($E133="",$E133=0),"",MAX(0,$E133-Limpeza_Min))</f>
        <v/>
      </c>
      <c r="G133" s="19">
        <f>IF($E133="","",IF($E133=0,"Sem intervalo",IF($E133&gt;=Janela_Min,"Janela aproveitável","Janela curta")))</f>
        <v/>
      </c>
      <c r="H133">
        <f>IF(OR($A133="",ISERROR(MATCH($A133&amp;"#1",Mapa_Chave,0))),"",INDEX(Mapa_RelFim,MATCH($A133&amp;"#1",Mapa_Chave,0))+Limpeza_Min)</f>
        <v/>
      </c>
      <c r="I133">
        <f>IF($H133="","",IFERROR(INDEX(Mapa_RelIni,MATCH($A133&amp;"#2",Mapa_Chave,0)),Turno_Min))</f>
        <v/>
      </c>
    </row>
    <row r="134">
      <c r="A134" s="33">
        <f>IF(OR('Calc_Mix'!$B12="",'Calc_Mix'!$C12&lt;&gt;"Sala cirúrgica"),"",'Calc_Mix'!$B12)</f>
        <v/>
      </c>
      <c r="B134" s="33" t="n">
        <v>2</v>
      </c>
      <c r="C134" s="43">
        <f>IF(OR($E134="",$E134=0),"",MOD(Turno_Ini+$H134/1440,1))</f>
        <v/>
      </c>
      <c r="D134" s="43">
        <f>IF(OR($E134="",$E134=0),"",MOD(Turno_Ini+$I134/1440,1))</f>
        <v/>
      </c>
      <c r="E134" s="37">
        <f>IF($H134="","",MAX(0,$I134-$H134))</f>
        <v/>
      </c>
      <c r="F134" s="37">
        <f>IF(OR($E134="",$E134=0),"",MAX(0,$E134-Limpeza_Min))</f>
        <v/>
      </c>
      <c r="G134" s="19">
        <f>IF($E134="","",IF($E134=0,"Sem intervalo",IF($E134&gt;=Janela_Min,"Janela aproveitável","Janela curta")))</f>
        <v/>
      </c>
      <c r="H134">
        <f>IF(OR($A134="",ISERROR(MATCH($A134&amp;"#2",Mapa_Chave,0))),"",INDEX(Mapa_RelFim,MATCH($A134&amp;"#2",Mapa_Chave,0))+Limpeza_Min)</f>
        <v/>
      </c>
      <c r="I134">
        <f>IF($H134="","",IFERROR(INDEX(Mapa_RelIni,MATCH($A134&amp;"#3",Mapa_Chave,0)),Turno_Min))</f>
        <v/>
      </c>
    </row>
    <row r="135">
      <c r="A135" s="33">
        <f>IF(OR('Calc_Mix'!$B12="",'Calc_Mix'!$C12&lt;&gt;"Sala cirúrgica"),"",'Calc_Mix'!$B12)</f>
        <v/>
      </c>
      <c r="B135" s="33" t="n">
        <v>3</v>
      </c>
      <c r="C135" s="43">
        <f>IF(OR($E135="",$E135=0),"",MOD(Turno_Ini+$H135/1440,1))</f>
        <v/>
      </c>
      <c r="D135" s="43">
        <f>IF(OR($E135="",$E135=0),"",MOD(Turno_Ini+$I135/1440,1))</f>
        <v/>
      </c>
      <c r="E135" s="37">
        <f>IF($H135="","",MAX(0,$I135-$H135))</f>
        <v/>
      </c>
      <c r="F135" s="37">
        <f>IF(OR($E135="",$E135=0),"",MAX(0,$E135-Limpeza_Min))</f>
        <v/>
      </c>
      <c r="G135" s="19">
        <f>IF($E135="","",IF($E135=0,"Sem intervalo",IF($E135&gt;=Janela_Min,"Janela aproveitável","Janela curta")))</f>
        <v/>
      </c>
      <c r="H135">
        <f>IF(OR($A135="",ISERROR(MATCH($A135&amp;"#3",Mapa_Chave,0))),"",INDEX(Mapa_RelFim,MATCH($A135&amp;"#3",Mapa_Chave,0))+Limpeza_Min)</f>
        <v/>
      </c>
      <c r="I135">
        <f>IF($H135="","",IFERROR(INDEX(Mapa_RelIni,MATCH($A135&amp;"#4",Mapa_Chave,0)),Turno_Min))</f>
        <v/>
      </c>
    </row>
    <row r="136">
      <c r="A136" s="33">
        <f>IF(OR('Calc_Mix'!$B12="",'Calc_Mix'!$C12&lt;&gt;"Sala cirúrgica"),"",'Calc_Mix'!$B12)</f>
        <v/>
      </c>
      <c r="B136" s="33" t="n">
        <v>4</v>
      </c>
      <c r="C136" s="43">
        <f>IF(OR($E136="",$E136=0),"",MOD(Turno_Ini+$H136/1440,1))</f>
        <v/>
      </c>
      <c r="D136" s="43">
        <f>IF(OR($E136="",$E136=0),"",MOD(Turno_Ini+$I136/1440,1))</f>
        <v/>
      </c>
      <c r="E136" s="37">
        <f>IF($H136="","",MAX(0,$I136-$H136))</f>
        <v/>
      </c>
      <c r="F136" s="37">
        <f>IF(OR($E136="",$E136=0),"",MAX(0,$E136-Limpeza_Min))</f>
        <v/>
      </c>
      <c r="G136" s="19">
        <f>IF($E136="","",IF($E136=0,"Sem intervalo",IF($E136&gt;=Janela_Min,"Janela aproveitável","Janela curta")))</f>
        <v/>
      </c>
      <c r="H136">
        <f>IF(OR($A136="",ISERROR(MATCH($A136&amp;"#4",Mapa_Chave,0))),"",INDEX(Mapa_RelFim,MATCH($A136&amp;"#4",Mapa_Chave,0))+Limpeza_Min)</f>
        <v/>
      </c>
      <c r="I136">
        <f>IF($H136="","",IFERROR(INDEX(Mapa_RelIni,MATCH($A136&amp;"#5",Mapa_Chave,0)),Turno_Min))</f>
        <v/>
      </c>
    </row>
    <row r="137">
      <c r="A137" s="33">
        <f>IF(OR('Calc_Mix'!$B12="",'Calc_Mix'!$C12&lt;&gt;"Sala cirúrgica"),"",'Calc_Mix'!$B12)</f>
        <v/>
      </c>
      <c r="B137" s="33" t="n">
        <v>5</v>
      </c>
      <c r="C137" s="43">
        <f>IF(OR($E137="",$E137=0),"",MOD(Turno_Ini+$H137/1440,1))</f>
        <v/>
      </c>
      <c r="D137" s="43">
        <f>IF(OR($E137="",$E137=0),"",MOD(Turno_Ini+$I137/1440,1))</f>
        <v/>
      </c>
      <c r="E137" s="37">
        <f>IF($H137="","",MAX(0,$I137-$H137))</f>
        <v/>
      </c>
      <c r="F137" s="37">
        <f>IF(OR($E137="",$E137=0),"",MAX(0,$E137-Limpeza_Min))</f>
        <v/>
      </c>
      <c r="G137" s="19">
        <f>IF($E137="","",IF($E137=0,"Sem intervalo",IF($E137&gt;=Janela_Min,"Janela aproveitável","Janela curta")))</f>
        <v/>
      </c>
      <c r="H137">
        <f>IF(OR($A137="",ISERROR(MATCH($A137&amp;"#5",Mapa_Chave,0))),"",INDEX(Mapa_RelFim,MATCH($A137&amp;"#5",Mapa_Chave,0))+Limpeza_Min)</f>
        <v/>
      </c>
      <c r="I137">
        <f>IF($H137="","",IFERROR(INDEX(Mapa_RelIni,MATCH($A137&amp;"#6",Mapa_Chave,0)),Turno_Min))</f>
        <v/>
      </c>
    </row>
    <row r="138">
      <c r="A138" s="33">
        <f>IF(OR('Calc_Mix'!$B12="",'Calc_Mix'!$C12&lt;&gt;"Sala cirúrgica"),"",'Calc_Mix'!$B12)</f>
        <v/>
      </c>
      <c r="B138" s="33" t="n">
        <v>6</v>
      </c>
      <c r="C138" s="43">
        <f>IF(OR($E138="",$E138=0),"",MOD(Turno_Ini+$H138/1440,1))</f>
        <v/>
      </c>
      <c r="D138" s="43">
        <f>IF(OR($E138="",$E138=0),"",MOD(Turno_Ini+$I138/1440,1))</f>
        <v/>
      </c>
      <c r="E138" s="37">
        <f>IF($H138="","",MAX(0,$I138-$H138))</f>
        <v/>
      </c>
      <c r="F138" s="37">
        <f>IF(OR($E138="",$E138=0),"",MAX(0,$E138-Limpeza_Min))</f>
        <v/>
      </c>
      <c r="G138" s="19">
        <f>IF($E138="","",IF($E138=0,"Sem intervalo",IF($E138&gt;=Janela_Min,"Janela aproveitável","Janela curta")))</f>
        <v/>
      </c>
      <c r="H138">
        <f>IF(OR($A138="",ISERROR(MATCH($A138&amp;"#6",Mapa_Chave,0))),"",INDEX(Mapa_RelFim,MATCH($A138&amp;"#6",Mapa_Chave,0))+Limpeza_Min)</f>
        <v/>
      </c>
      <c r="I138">
        <f>IF($H138="","",IFERROR(INDEX(Mapa_RelIni,MATCH($A138&amp;"#7",Mapa_Chave,0)),Turno_Min))</f>
        <v/>
      </c>
    </row>
    <row r="139">
      <c r="A139" s="33">
        <f>IF(OR('Calc_Mix'!$B12="",'Calc_Mix'!$C12&lt;&gt;"Sala cirúrgica"),"",'Calc_Mix'!$B12)</f>
        <v/>
      </c>
      <c r="B139" s="33" t="n">
        <v>7</v>
      </c>
      <c r="C139" s="43">
        <f>IF(OR($E139="",$E139=0),"",MOD(Turno_Ini+$H139/1440,1))</f>
        <v/>
      </c>
      <c r="D139" s="43">
        <f>IF(OR($E139="",$E139=0),"",MOD(Turno_Ini+$I139/1440,1))</f>
        <v/>
      </c>
      <c r="E139" s="37">
        <f>IF($H139="","",MAX(0,$I139-$H139))</f>
        <v/>
      </c>
      <c r="F139" s="37">
        <f>IF(OR($E139="",$E139=0),"",MAX(0,$E139-Limpeza_Min))</f>
        <v/>
      </c>
      <c r="G139" s="19">
        <f>IF($E139="","",IF($E139=0,"Sem intervalo",IF($E139&gt;=Janela_Min,"Janela aproveitável","Janela curta")))</f>
        <v/>
      </c>
      <c r="H139">
        <f>IF(OR($A139="",ISERROR(MATCH($A139&amp;"#7",Mapa_Chave,0))),"",INDEX(Mapa_RelFim,MATCH($A139&amp;"#7",Mapa_Chave,0))+Limpeza_Min)</f>
        <v/>
      </c>
      <c r="I139">
        <f>IF($H139="","",IFERROR(INDEX(Mapa_RelIni,MATCH($A139&amp;"#8",Mapa_Chave,0)),Turno_Min))</f>
        <v/>
      </c>
    </row>
    <row r="140">
      <c r="A140" s="33">
        <f>IF(OR('Calc_Mix'!$B12="",'Calc_Mix'!$C12&lt;&gt;"Sala cirúrgica"),"",'Calc_Mix'!$B12)</f>
        <v/>
      </c>
      <c r="B140" s="33" t="n">
        <v>8</v>
      </c>
      <c r="C140" s="43">
        <f>IF(OR($E140="",$E140=0),"",MOD(Turno_Ini+$H140/1440,1))</f>
        <v/>
      </c>
      <c r="D140" s="43">
        <f>IF(OR($E140="",$E140=0),"",MOD(Turno_Ini+$I140/1440,1))</f>
        <v/>
      </c>
      <c r="E140" s="37">
        <f>IF($H140="","",MAX(0,$I140-$H140))</f>
        <v/>
      </c>
      <c r="F140" s="37">
        <f>IF(OR($E140="",$E140=0),"",MAX(0,$E140-Limpeza_Min))</f>
        <v/>
      </c>
      <c r="G140" s="19">
        <f>IF($E140="","",IF($E140=0,"Sem intervalo",IF($E140&gt;=Janela_Min,"Janela aproveitável","Janela curta")))</f>
        <v/>
      </c>
      <c r="H140">
        <f>IF(OR($A140="",ISERROR(MATCH($A140&amp;"#8",Mapa_Chave,0))),"",INDEX(Mapa_RelFim,MATCH($A140&amp;"#8",Mapa_Chave,0))+Limpeza_Min)</f>
        <v/>
      </c>
      <c r="I140">
        <f>IF($H140="","",IFERROR(INDEX(Mapa_RelIni,MATCH($A140&amp;"#9",Mapa_Chave,0)),Turno_Min))</f>
        <v/>
      </c>
    </row>
    <row r="141">
      <c r="A141" s="33">
        <f>IF(OR('Calc_Mix'!$B12="",'Calc_Mix'!$C12&lt;&gt;"Sala cirúrgica"),"",'Calc_Mix'!$B12)</f>
        <v/>
      </c>
      <c r="B141" s="33" t="n">
        <v>9</v>
      </c>
      <c r="C141" s="43">
        <f>IF(OR($E141="",$E141=0),"",MOD(Turno_Ini+$H141/1440,1))</f>
        <v/>
      </c>
      <c r="D141" s="43">
        <f>IF(OR($E141="",$E141=0),"",MOD(Turno_Ini+$I141/1440,1))</f>
        <v/>
      </c>
      <c r="E141" s="37">
        <f>IF($H141="","",MAX(0,$I141-$H141))</f>
        <v/>
      </c>
      <c r="F141" s="37">
        <f>IF(OR($E141="",$E141=0),"",MAX(0,$E141-Limpeza_Min))</f>
        <v/>
      </c>
      <c r="G141" s="19">
        <f>IF($E141="","",IF($E141=0,"Sem intervalo",IF($E141&gt;=Janela_Min,"Janela aproveitável","Janela curta")))</f>
        <v/>
      </c>
      <c r="H141">
        <f>IF(OR($A141="",ISERROR(MATCH($A141&amp;"#9",Mapa_Chave,0))),"",INDEX(Mapa_RelFim,MATCH($A141&amp;"#9",Mapa_Chave,0))+Limpeza_Min)</f>
        <v/>
      </c>
      <c r="I141">
        <f>IF($H141="","",IFERROR(INDEX(Mapa_RelIni,MATCH($A141&amp;"#10",Mapa_Chave,0)),Turno_Min))</f>
        <v/>
      </c>
    </row>
    <row r="142">
      <c r="A142" s="33">
        <f>IF(OR('Calc_Mix'!$B12="",'Calc_Mix'!$C12&lt;&gt;"Sala cirúrgica"),"",'Calc_Mix'!$B12)</f>
        <v/>
      </c>
      <c r="B142" s="33" t="n">
        <v>10</v>
      </c>
      <c r="C142" s="43">
        <f>IF(OR($E142="",$E142=0),"",MOD(Turno_Ini+$H142/1440,1))</f>
        <v/>
      </c>
      <c r="D142" s="43">
        <f>IF(OR($E142="",$E142=0),"",MOD(Turno_Ini+$I142/1440,1))</f>
        <v/>
      </c>
      <c r="E142" s="37">
        <f>IF($H142="","",MAX(0,$I142-$H142))</f>
        <v/>
      </c>
      <c r="F142" s="37">
        <f>IF(OR($E142="",$E142=0),"",MAX(0,$E142-Limpeza_Min))</f>
        <v/>
      </c>
      <c r="G142" s="19">
        <f>IF($E142="","",IF($E142=0,"Sem intervalo",IF($E142&gt;=Janela_Min,"Janela aproveitável","Janela curta")))</f>
        <v/>
      </c>
      <c r="H142">
        <f>IF(OR($A142="",ISERROR(MATCH($A142&amp;"#10",Mapa_Chave,0))),"",INDEX(Mapa_RelFim,MATCH($A142&amp;"#10",Mapa_Chave,0))+Limpeza_Min)</f>
        <v/>
      </c>
      <c r="I142">
        <f>IF($H142="","",IFERROR(INDEX(Mapa_RelIni,MATCH($A142&amp;"#11",Mapa_Chave,0)),Turno_Min))</f>
        <v/>
      </c>
    </row>
    <row r="143">
      <c r="A143" s="33">
        <f>IF(OR('Calc_Mix'!$B12="",'Calc_Mix'!$C12&lt;&gt;"Sala cirúrgica"),"",'Calc_Mix'!$B12)</f>
        <v/>
      </c>
      <c r="B143" s="33" t="n">
        <v>11</v>
      </c>
      <c r="C143" s="43">
        <f>IF(OR($E143="",$E143=0),"",MOD(Turno_Ini+$H143/1440,1))</f>
        <v/>
      </c>
      <c r="D143" s="43">
        <f>IF(OR($E143="",$E143=0),"",MOD(Turno_Ini+$I143/1440,1))</f>
        <v/>
      </c>
      <c r="E143" s="37">
        <f>IF($H143="","",MAX(0,$I143-$H143))</f>
        <v/>
      </c>
      <c r="F143" s="37">
        <f>IF(OR($E143="",$E143=0),"",MAX(0,$E143-Limpeza_Min))</f>
        <v/>
      </c>
      <c r="G143" s="19">
        <f>IF($E143="","",IF($E143=0,"Sem intervalo",IF($E143&gt;=Janela_Min,"Janela aproveitável","Janela curta")))</f>
        <v/>
      </c>
      <c r="H143">
        <f>IF(OR($A143="",ISERROR(MATCH($A143&amp;"#11",Mapa_Chave,0))),"",INDEX(Mapa_RelFim,MATCH($A143&amp;"#11",Mapa_Chave,0))+Limpeza_Min)</f>
        <v/>
      </c>
      <c r="I143">
        <f>IF($H143="","",IFERROR(INDEX(Mapa_RelIni,MATCH($A143&amp;"#12",Mapa_Chave,0)),Turno_Min))</f>
        <v/>
      </c>
    </row>
    <row r="144">
      <c r="A144" s="33">
        <f>IF(OR('Calc_Mix'!$B12="",'Calc_Mix'!$C12&lt;&gt;"Sala cirúrgica"),"",'Calc_Mix'!$B12)</f>
        <v/>
      </c>
      <c r="B144" s="33" t="n">
        <v>12</v>
      </c>
      <c r="C144" s="43">
        <f>IF(OR($E144="",$E144=0),"",MOD(Turno_Ini+$H144/1440,1))</f>
        <v/>
      </c>
      <c r="D144" s="43">
        <f>IF(OR($E144="",$E144=0),"",MOD(Turno_Ini+$I144/1440,1))</f>
        <v/>
      </c>
      <c r="E144" s="37">
        <f>IF($H144="","",MAX(0,$I144-$H144))</f>
        <v/>
      </c>
      <c r="F144" s="37">
        <f>IF(OR($E144="",$E144=0),"",MAX(0,$E144-Limpeza_Min))</f>
        <v/>
      </c>
      <c r="G144" s="19">
        <f>IF($E144="","",IF($E144=0,"Sem intervalo",IF($E144&gt;=Janela_Min,"Janela aproveitável","Janela curta")))</f>
        <v/>
      </c>
      <c r="H144">
        <f>IF(OR($A144="",ISERROR(MATCH($A144&amp;"#12",Mapa_Chave,0))),"",INDEX(Mapa_RelFim,MATCH($A144&amp;"#12",Mapa_Chave,0))+Limpeza_Min)</f>
        <v/>
      </c>
      <c r="I144">
        <f>IF($H144="","",IFERROR(INDEX(Mapa_RelIni,MATCH($A144&amp;"#13",Mapa_Chave,0)),Turno_Min))</f>
        <v/>
      </c>
    </row>
    <row r="145">
      <c r="A145" s="33">
        <f>IF(OR('Calc_Mix'!$B13="",'Calc_Mix'!$C13&lt;&gt;"Sala cirúrgica"),"",'Calc_Mix'!$B13)</f>
        <v/>
      </c>
      <c r="B145" s="33" t="n">
        <v>0</v>
      </c>
      <c r="C145" s="43">
        <f>IF(OR($E145="",$E145=0),"",MOD(Turno_Ini+$H145/1440,1))</f>
        <v/>
      </c>
      <c r="D145" s="43">
        <f>IF(OR($E145="",$E145=0),"",MOD(Turno_Ini+$I145/1440,1))</f>
        <v/>
      </c>
      <c r="E145" s="37">
        <f>IF($H145="","",MAX(0,$I145-$H145))</f>
        <v/>
      </c>
      <c r="F145" s="37">
        <f>IF(OR($E145="",$E145=0),"",MAX(0,$E145-Limpeza_Min))</f>
        <v/>
      </c>
      <c r="G145" s="19">
        <f>IF($E145="","",IF($E145=0,"Sem intervalo",IF($E145&gt;=Janela_Min,"Janela aproveitável","Janela curta")))</f>
        <v/>
      </c>
      <c r="H145">
        <f>IF($A145="","",0)</f>
        <v/>
      </c>
      <c r="I145">
        <f>IF($H145="","",IFERROR(INDEX(Mapa_RelIni,MATCH($A145&amp;"#1",Mapa_Chave,0)),Turno_Min))</f>
        <v/>
      </c>
    </row>
    <row r="146">
      <c r="A146" s="33">
        <f>IF(OR('Calc_Mix'!$B13="",'Calc_Mix'!$C13&lt;&gt;"Sala cirúrgica"),"",'Calc_Mix'!$B13)</f>
        <v/>
      </c>
      <c r="B146" s="33" t="n">
        <v>1</v>
      </c>
      <c r="C146" s="43">
        <f>IF(OR($E146="",$E146=0),"",MOD(Turno_Ini+$H146/1440,1))</f>
        <v/>
      </c>
      <c r="D146" s="43">
        <f>IF(OR($E146="",$E146=0),"",MOD(Turno_Ini+$I146/1440,1))</f>
        <v/>
      </c>
      <c r="E146" s="37">
        <f>IF($H146="","",MAX(0,$I146-$H146))</f>
        <v/>
      </c>
      <c r="F146" s="37">
        <f>IF(OR($E146="",$E146=0),"",MAX(0,$E146-Limpeza_Min))</f>
        <v/>
      </c>
      <c r="G146" s="19">
        <f>IF($E146="","",IF($E146=0,"Sem intervalo",IF($E146&gt;=Janela_Min,"Janela aproveitável","Janela curta")))</f>
        <v/>
      </c>
      <c r="H146">
        <f>IF(OR($A146="",ISERROR(MATCH($A146&amp;"#1",Mapa_Chave,0))),"",INDEX(Mapa_RelFim,MATCH($A146&amp;"#1",Mapa_Chave,0))+Limpeza_Min)</f>
        <v/>
      </c>
      <c r="I146">
        <f>IF($H146="","",IFERROR(INDEX(Mapa_RelIni,MATCH($A146&amp;"#2",Mapa_Chave,0)),Turno_Min))</f>
        <v/>
      </c>
    </row>
    <row r="147">
      <c r="A147" s="33">
        <f>IF(OR('Calc_Mix'!$B13="",'Calc_Mix'!$C13&lt;&gt;"Sala cirúrgica"),"",'Calc_Mix'!$B13)</f>
        <v/>
      </c>
      <c r="B147" s="33" t="n">
        <v>2</v>
      </c>
      <c r="C147" s="43">
        <f>IF(OR($E147="",$E147=0),"",MOD(Turno_Ini+$H147/1440,1))</f>
        <v/>
      </c>
      <c r="D147" s="43">
        <f>IF(OR($E147="",$E147=0),"",MOD(Turno_Ini+$I147/1440,1))</f>
        <v/>
      </c>
      <c r="E147" s="37">
        <f>IF($H147="","",MAX(0,$I147-$H147))</f>
        <v/>
      </c>
      <c r="F147" s="37">
        <f>IF(OR($E147="",$E147=0),"",MAX(0,$E147-Limpeza_Min))</f>
        <v/>
      </c>
      <c r="G147" s="19">
        <f>IF($E147="","",IF($E147=0,"Sem intervalo",IF($E147&gt;=Janela_Min,"Janela aproveitável","Janela curta")))</f>
        <v/>
      </c>
      <c r="H147">
        <f>IF(OR($A147="",ISERROR(MATCH($A147&amp;"#2",Mapa_Chave,0))),"",INDEX(Mapa_RelFim,MATCH($A147&amp;"#2",Mapa_Chave,0))+Limpeza_Min)</f>
        <v/>
      </c>
      <c r="I147">
        <f>IF($H147="","",IFERROR(INDEX(Mapa_RelIni,MATCH($A147&amp;"#3",Mapa_Chave,0)),Turno_Min))</f>
        <v/>
      </c>
    </row>
    <row r="148">
      <c r="A148" s="33">
        <f>IF(OR('Calc_Mix'!$B13="",'Calc_Mix'!$C13&lt;&gt;"Sala cirúrgica"),"",'Calc_Mix'!$B13)</f>
        <v/>
      </c>
      <c r="B148" s="33" t="n">
        <v>3</v>
      </c>
      <c r="C148" s="43">
        <f>IF(OR($E148="",$E148=0),"",MOD(Turno_Ini+$H148/1440,1))</f>
        <v/>
      </c>
      <c r="D148" s="43">
        <f>IF(OR($E148="",$E148=0),"",MOD(Turno_Ini+$I148/1440,1))</f>
        <v/>
      </c>
      <c r="E148" s="37">
        <f>IF($H148="","",MAX(0,$I148-$H148))</f>
        <v/>
      </c>
      <c r="F148" s="37">
        <f>IF(OR($E148="",$E148=0),"",MAX(0,$E148-Limpeza_Min))</f>
        <v/>
      </c>
      <c r="G148" s="19">
        <f>IF($E148="","",IF($E148=0,"Sem intervalo",IF($E148&gt;=Janela_Min,"Janela aproveitável","Janela curta")))</f>
        <v/>
      </c>
      <c r="H148">
        <f>IF(OR($A148="",ISERROR(MATCH($A148&amp;"#3",Mapa_Chave,0))),"",INDEX(Mapa_RelFim,MATCH($A148&amp;"#3",Mapa_Chave,0))+Limpeza_Min)</f>
        <v/>
      </c>
      <c r="I148">
        <f>IF($H148="","",IFERROR(INDEX(Mapa_RelIni,MATCH($A148&amp;"#4",Mapa_Chave,0)),Turno_Min))</f>
        <v/>
      </c>
    </row>
    <row r="149">
      <c r="A149" s="33">
        <f>IF(OR('Calc_Mix'!$B13="",'Calc_Mix'!$C13&lt;&gt;"Sala cirúrgica"),"",'Calc_Mix'!$B13)</f>
        <v/>
      </c>
      <c r="B149" s="33" t="n">
        <v>4</v>
      </c>
      <c r="C149" s="43">
        <f>IF(OR($E149="",$E149=0),"",MOD(Turno_Ini+$H149/1440,1))</f>
        <v/>
      </c>
      <c r="D149" s="43">
        <f>IF(OR($E149="",$E149=0),"",MOD(Turno_Ini+$I149/1440,1))</f>
        <v/>
      </c>
      <c r="E149" s="37">
        <f>IF($H149="","",MAX(0,$I149-$H149))</f>
        <v/>
      </c>
      <c r="F149" s="37">
        <f>IF(OR($E149="",$E149=0),"",MAX(0,$E149-Limpeza_Min))</f>
        <v/>
      </c>
      <c r="G149" s="19">
        <f>IF($E149="","",IF($E149=0,"Sem intervalo",IF($E149&gt;=Janela_Min,"Janela aproveitável","Janela curta")))</f>
        <v/>
      </c>
      <c r="H149">
        <f>IF(OR($A149="",ISERROR(MATCH($A149&amp;"#4",Mapa_Chave,0))),"",INDEX(Mapa_RelFim,MATCH($A149&amp;"#4",Mapa_Chave,0))+Limpeza_Min)</f>
        <v/>
      </c>
      <c r="I149">
        <f>IF($H149="","",IFERROR(INDEX(Mapa_RelIni,MATCH($A149&amp;"#5",Mapa_Chave,0)),Turno_Min))</f>
        <v/>
      </c>
    </row>
    <row r="150">
      <c r="A150" s="33">
        <f>IF(OR('Calc_Mix'!$B13="",'Calc_Mix'!$C13&lt;&gt;"Sala cirúrgica"),"",'Calc_Mix'!$B13)</f>
        <v/>
      </c>
      <c r="B150" s="33" t="n">
        <v>5</v>
      </c>
      <c r="C150" s="43">
        <f>IF(OR($E150="",$E150=0),"",MOD(Turno_Ini+$H150/1440,1))</f>
        <v/>
      </c>
      <c r="D150" s="43">
        <f>IF(OR($E150="",$E150=0),"",MOD(Turno_Ini+$I150/1440,1))</f>
        <v/>
      </c>
      <c r="E150" s="37">
        <f>IF($H150="","",MAX(0,$I150-$H150))</f>
        <v/>
      </c>
      <c r="F150" s="37">
        <f>IF(OR($E150="",$E150=0),"",MAX(0,$E150-Limpeza_Min))</f>
        <v/>
      </c>
      <c r="G150" s="19">
        <f>IF($E150="","",IF($E150=0,"Sem intervalo",IF($E150&gt;=Janela_Min,"Janela aproveitável","Janela curta")))</f>
        <v/>
      </c>
      <c r="H150">
        <f>IF(OR($A150="",ISERROR(MATCH($A150&amp;"#5",Mapa_Chave,0))),"",INDEX(Mapa_RelFim,MATCH($A150&amp;"#5",Mapa_Chave,0))+Limpeza_Min)</f>
        <v/>
      </c>
      <c r="I150">
        <f>IF($H150="","",IFERROR(INDEX(Mapa_RelIni,MATCH($A150&amp;"#6",Mapa_Chave,0)),Turno_Min))</f>
        <v/>
      </c>
    </row>
    <row r="151">
      <c r="A151" s="33">
        <f>IF(OR('Calc_Mix'!$B13="",'Calc_Mix'!$C13&lt;&gt;"Sala cirúrgica"),"",'Calc_Mix'!$B13)</f>
        <v/>
      </c>
      <c r="B151" s="33" t="n">
        <v>6</v>
      </c>
      <c r="C151" s="43">
        <f>IF(OR($E151="",$E151=0),"",MOD(Turno_Ini+$H151/1440,1))</f>
        <v/>
      </c>
      <c r="D151" s="43">
        <f>IF(OR($E151="",$E151=0),"",MOD(Turno_Ini+$I151/1440,1))</f>
        <v/>
      </c>
      <c r="E151" s="37">
        <f>IF($H151="","",MAX(0,$I151-$H151))</f>
        <v/>
      </c>
      <c r="F151" s="37">
        <f>IF(OR($E151="",$E151=0),"",MAX(0,$E151-Limpeza_Min))</f>
        <v/>
      </c>
      <c r="G151" s="19">
        <f>IF($E151="","",IF($E151=0,"Sem intervalo",IF($E151&gt;=Janela_Min,"Janela aproveitável","Janela curta")))</f>
        <v/>
      </c>
      <c r="H151">
        <f>IF(OR($A151="",ISERROR(MATCH($A151&amp;"#6",Mapa_Chave,0))),"",INDEX(Mapa_RelFim,MATCH($A151&amp;"#6",Mapa_Chave,0))+Limpeza_Min)</f>
        <v/>
      </c>
      <c r="I151">
        <f>IF($H151="","",IFERROR(INDEX(Mapa_RelIni,MATCH($A151&amp;"#7",Mapa_Chave,0)),Turno_Min))</f>
        <v/>
      </c>
    </row>
    <row r="152">
      <c r="A152" s="33">
        <f>IF(OR('Calc_Mix'!$B13="",'Calc_Mix'!$C13&lt;&gt;"Sala cirúrgica"),"",'Calc_Mix'!$B13)</f>
        <v/>
      </c>
      <c r="B152" s="33" t="n">
        <v>7</v>
      </c>
      <c r="C152" s="43">
        <f>IF(OR($E152="",$E152=0),"",MOD(Turno_Ini+$H152/1440,1))</f>
        <v/>
      </c>
      <c r="D152" s="43">
        <f>IF(OR($E152="",$E152=0),"",MOD(Turno_Ini+$I152/1440,1))</f>
        <v/>
      </c>
      <c r="E152" s="37">
        <f>IF($H152="","",MAX(0,$I152-$H152))</f>
        <v/>
      </c>
      <c r="F152" s="37">
        <f>IF(OR($E152="",$E152=0),"",MAX(0,$E152-Limpeza_Min))</f>
        <v/>
      </c>
      <c r="G152" s="19">
        <f>IF($E152="","",IF($E152=0,"Sem intervalo",IF($E152&gt;=Janela_Min,"Janela aproveitável","Janela curta")))</f>
        <v/>
      </c>
      <c r="H152">
        <f>IF(OR($A152="",ISERROR(MATCH($A152&amp;"#7",Mapa_Chave,0))),"",INDEX(Mapa_RelFim,MATCH($A152&amp;"#7",Mapa_Chave,0))+Limpeza_Min)</f>
        <v/>
      </c>
      <c r="I152">
        <f>IF($H152="","",IFERROR(INDEX(Mapa_RelIni,MATCH($A152&amp;"#8",Mapa_Chave,0)),Turno_Min))</f>
        <v/>
      </c>
    </row>
    <row r="153">
      <c r="A153" s="33">
        <f>IF(OR('Calc_Mix'!$B13="",'Calc_Mix'!$C13&lt;&gt;"Sala cirúrgica"),"",'Calc_Mix'!$B13)</f>
        <v/>
      </c>
      <c r="B153" s="33" t="n">
        <v>8</v>
      </c>
      <c r="C153" s="43">
        <f>IF(OR($E153="",$E153=0),"",MOD(Turno_Ini+$H153/1440,1))</f>
        <v/>
      </c>
      <c r="D153" s="43">
        <f>IF(OR($E153="",$E153=0),"",MOD(Turno_Ini+$I153/1440,1))</f>
        <v/>
      </c>
      <c r="E153" s="37">
        <f>IF($H153="","",MAX(0,$I153-$H153))</f>
        <v/>
      </c>
      <c r="F153" s="37">
        <f>IF(OR($E153="",$E153=0),"",MAX(0,$E153-Limpeza_Min))</f>
        <v/>
      </c>
      <c r="G153" s="19">
        <f>IF($E153="","",IF($E153=0,"Sem intervalo",IF($E153&gt;=Janela_Min,"Janela aproveitável","Janela curta")))</f>
        <v/>
      </c>
      <c r="H153">
        <f>IF(OR($A153="",ISERROR(MATCH($A153&amp;"#8",Mapa_Chave,0))),"",INDEX(Mapa_RelFim,MATCH($A153&amp;"#8",Mapa_Chave,0))+Limpeza_Min)</f>
        <v/>
      </c>
      <c r="I153">
        <f>IF($H153="","",IFERROR(INDEX(Mapa_RelIni,MATCH($A153&amp;"#9",Mapa_Chave,0)),Turno_Min))</f>
        <v/>
      </c>
    </row>
    <row r="154">
      <c r="A154" s="33">
        <f>IF(OR('Calc_Mix'!$B13="",'Calc_Mix'!$C13&lt;&gt;"Sala cirúrgica"),"",'Calc_Mix'!$B13)</f>
        <v/>
      </c>
      <c r="B154" s="33" t="n">
        <v>9</v>
      </c>
      <c r="C154" s="43">
        <f>IF(OR($E154="",$E154=0),"",MOD(Turno_Ini+$H154/1440,1))</f>
        <v/>
      </c>
      <c r="D154" s="43">
        <f>IF(OR($E154="",$E154=0),"",MOD(Turno_Ini+$I154/1440,1))</f>
        <v/>
      </c>
      <c r="E154" s="37">
        <f>IF($H154="","",MAX(0,$I154-$H154))</f>
        <v/>
      </c>
      <c r="F154" s="37">
        <f>IF(OR($E154="",$E154=0),"",MAX(0,$E154-Limpeza_Min))</f>
        <v/>
      </c>
      <c r="G154" s="19">
        <f>IF($E154="","",IF($E154=0,"Sem intervalo",IF($E154&gt;=Janela_Min,"Janela aproveitável","Janela curta")))</f>
        <v/>
      </c>
      <c r="H154">
        <f>IF(OR($A154="",ISERROR(MATCH($A154&amp;"#9",Mapa_Chave,0))),"",INDEX(Mapa_RelFim,MATCH($A154&amp;"#9",Mapa_Chave,0))+Limpeza_Min)</f>
        <v/>
      </c>
      <c r="I154">
        <f>IF($H154="","",IFERROR(INDEX(Mapa_RelIni,MATCH($A154&amp;"#10",Mapa_Chave,0)),Turno_Min))</f>
        <v/>
      </c>
    </row>
    <row r="155">
      <c r="A155" s="33">
        <f>IF(OR('Calc_Mix'!$B13="",'Calc_Mix'!$C13&lt;&gt;"Sala cirúrgica"),"",'Calc_Mix'!$B13)</f>
        <v/>
      </c>
      <c r="B155" s="33" t="n">
        <v>10</v>
      </c>
      <c r="C155" s="43">
        <f>IF(OR($E155="",$E155=0),"",MOD(Turno_Ini+$H155/1440,1))</f>
        <v/>
      </c>
      <c r="D155" s="43">
        <f>IF(OR($E155="",$E155=0),"",MOD(Turno_Ini+$I155/1440,1))</f>
        <v/>
      </c>
      <c r="E155" s="37">
        <f>IF($H155="","",MAX(0,$I155-$H155))</f>
        <v/>
      </c>
      <c r="F155" s="37">
        <f>IF(OR($E155="",$E155=0),"",MAX(0,$E155-Limpeza_Min))</f>
        <v/>
      </c>
      <c r="G155" s="19">
        <f>IF($E155="","",IF($E155=0,"Sem intervalo",IF($E155&gt;=Janela_Min,"Janela aproveitável","Janela curta")))</f>
        <v/>
      </c>
      <c r="H155">
        <f>IF(OR($A155="",ISERROR(MATCH($A155&amp;"#10",Mapa_Chave,0))),"",INDEX(Mapa_RelFim,MATCH($A155&amp;"#10",Mapa_Chave,0))+Limpeza_Min)</f>
        <v/>
      </c>
      <c r="I155">
        <f>IF($H155="","",IFERROR(INDEX(Mapa_RelIni,MATCH($A155&amp;"#11",Mapa_Chave,0)),Turno_Min))</f>
        <v/>
      </c>
    </row>
    <row r="156">
      <c r="A156" s="33">
        <f>IF(OR('Calc_Mix'!$B13="",'Calc_Mix'!$C13&lt;&gt;"Sala cirúrgica"),"",'Calc_Mix'!$B13)</f>
        <v/>
      </c>
      <c r="B156" s="33" t="n">
        <v>11</v>
      </c>
      <c r="C156" s="43">
        <f>IF(OR($E156="",$E156=0),"",MOD(Turno_Ini+$H156/1440,1))</f>
        <v/>
      </c>
      <c r="D156" s="43">
        <f>IF(OR($E156="",$E156=0),"",MOD(Turno_Ini+$I156/1440,1))</f>
        <v/>
      </c>
      <c r="E156" s="37">
        <f>IF($H156="","",MAX(0,$I156-$H156))</f>
        <v/>
      </c>
      <c r="F156" s="37">
        <f>IF(OR($E156="",$E156=0),"",MAX(0,$E156-Limpeza_Min))</f>
        <v/>
      </c>
      <c r="G156" s="19">
        <f>IF($E156="","",IF($E156=0,"Sem intervalo",IF($E156&gt;=Janela_Min,"Janela aproveitável","Janela curta")))</f>
        <v/>
      </c>
      <c r="H156">
        <f>IF(OR($A156="",ISERROR(MATCH($A156&amp;"#11",Mapa_Chave,0))),"",INDEX(Mapa_RelFim,MATCH($A156&amp;"#11",Mapa_Chave,0))+Limpeza_Min)</f>
        <v/>
      </c>
      <c r="I156">
        <f>IF($H156="","",IFERROR(INDEX(Mapa_RelIni,MATCH($A156&amp;"#12",Mapa_Chave,0)),Turno_Min))</f>
        <v/>
      </c>
    </row>
    <row r="157">
      <c r="A157" s="33">
        <f>IF(OR('Calc_Mix'!$B13="",'Calc_Mix'!$C13&lt;&gt;"Sala cirúrgica"),"",'Calc_Mix'!$B13)</f>
        <v/>
      </c>
      <c r="B157" s="33" t="n">
        <v>12</v>
      </c>
      <c r="C157" s="43">
        <f>IF(OR($E157="",$E157=0),"",MOD(Turno_Ini+$H157/1440,1))</f>
        <v/>
      </c>
      <c r="D157" s="43">
        <f>IF(OR($E157="",$E157=0),"",MOD(Turno_Ini+$I157/1440,1))</f>
        <v/>
      </c>
      <c r="E157" s="37">
        <f>IF($H157="","",MAX(0,$I157-$H157))</f>
        <v/>
      </c>
      <c r="F157" s="37">
        <f>IF(OR($E157="",$E157=0),"",MAX(0,$E157-Limpeza_Min))</f>
        <v/>
      </c>
      <c r="G157" s="19">
        <f>IF($E157="","",IF($E157=0,"Sem intervalo",IF($E157&gt;=Janela_Min,"Janela aproveitável","Janela curta")))</f>
        <v/>
      </c>
      <c r="H157">
        <f>IF(OR($A157="",ISERROR(MATCH($A157&amp;"#12",Mapa_Chave,0))),"",INDEX(Mapa_RelFim,MATCH($A157&amp;"#12",Mapa_Chave,0))+Limpeza_Min)</f>
        <v/>
      </c>
      <c r="I157">
        <f>IF($H157="","",IFERROR(INDEX(Mapa_RelIni,MATCH($A157&amp;"#13",Mapa_Chave,0)),Turno_Min))</f>
        <v/>
      </c>
    </row>
    <row r="158">
      <c r="A158" s="33">
        <f>IF(OR('Calc_Mix'!$B14="",'Calc_Mix'!$C14&lt;&gt;"Sala cirúrgica"),"",'Calc_Mix'!$B14)</f>
        <v/>
      </c>
      <c r="B158" s="33" t="n">
        <v>0</v>
      </c>
      <c r="C158" s="43">
        <f>IF(OR($E158="",$E158=0),"",MOD(Turno_Ini+$H158/1440,1))</f>
        <v/>
      </c>
      <c r="D158" s="43">
        <f>IF(OR($E158="",$E158=0),"",MOD(Turno_Ini+$I158/1440,1))</f>
        <v/>
      </c>
      <c r="E158" s="37">
        <f>IF($H158="","",MAX(0,$I158-$H158))</f>
        <v/>
      </c>
      <c r="F158" s="37">
        <f>IF(OR($E158="",$E158=0),"",MAX(0,$E158-Limpeza_Min))</f>
        <v/>
      </c>
      <c r="G158" s="19">
        <f>IF($E158="","",IF($E158=0,"Sem intervalo",IF($E158&gt;=Janela_Min,"Janela aproveitável","Janela curta")))</f>
        <v/>
      </c>
      <c r="H158">
        <f>IF($A158="","",0)</f>
        <v/>
      </c>
      <c r="I158">
        <f>IF($H158="","",IFERROR(INDEX(Mapa_RelIni,MATCH($A158&amp;"#1",Mapa_Chave,0)),Turno_Min))</f>
        <v/>
      </c>
    </row>
    <row r="159">
      <c r="A159" s="33">
        <f>IF(OR('Calc_Mix'!$B14="",'Calc_Mix'!$C14&lt;&gt;"Sala cirúrgica"),"",'Calc_Mix'!$B14)</f>
        <v/>
      </c>
      <c r="B159" s="33" t="n">
        <v>1</v>
      </c>
      <c r="C159" s="43">
        <f>IF(OR($E159="",$E159=0),"",MOD(Turno_Ini+$H159/1440,1))</f>
        <v/>
      </c>
      <c r="D159" s="43">
        <f>IF(OR($E159="",$E159=0),"",MOD(Turno_Ini+$I159/1440,1))</f>
        <v/>
      </c>
      <c r="E159" s="37">
        <f>IF($H159="","",MAX(0,$I159-$H159))</f>
        <v/>
      </c>
      <c r="F159" s="37">
        <f>IF(OR($E159="",$E159=0),"",MAX(0,$E159-Limpeza_Min))</f>
        <v/>
      </c>
      <c r="G159" s="19">
        <f>IF($E159="","",IF($E159=0,"Sem intervalo",IF($E159&gt;=Janela_Min,"Janela aproveitável","Janela curta")))</f>
        <v/>
      </c>
      <c r="H159">
        <f>IF(OR($A159="",ISERROR(MATCH($A159&amp;"#1",Mapa_Chave,0))),"",INDEX(Mapa_RelFim,MATCH($A159&amp;"#1",Mapa_Chave,0))+Limpeza_Min)</f>
        <v/>
      </c>
      <c r="I159">
        <f>IF($H159="","",IFERROR(INDEX(Mapa_RelIni,MATCH($A159&amp;"#2",Mapa_Chave,0)),Turno_Min))</f>
        <v/>
      </c>
    </row>
    <row r="160">
      <c r="A160" s="33">
        <f>IF(OR('Calc_Mix'!$B14="",'Calc_Mix'!$C14&lt;&gt;"Sala cirúrgica"),"",'Calc_Mix'!$B14)</f>
        <v/>
      </c>
      <c r="B160" s="33" t="n">
        <v>2</v>
      </c>
      <c r="C160" s="43">
        <f>IF(OR($E160="",$E160=0),"",MOD(Turno_Ini+$H160/1440,1))</f>
        <v/>
      </c>
      <c r="D160" s="43">
        <f>IF(OR($E160="",$E160=0),"",MOD(Turno_Ini+$I160/1440,1))</f>
        <v/>
      </c>
      <c r="E160" s="37">
        <f>IF($H160="","",MAX(0,$I160-$H160))</f>
        <v/>
      </c>
      <c r="F160" s="37">
        <f>IF(OR($E160="",$E160=0),"",MAX(0,$E160-Limpeza_Min))</f>
        <v/>
      </c>
      <c r="G160" s="19">
        <f>IF($E160="","",IF($E160=0,"Sem intervalo",IF($E160&gt;=Janela_Min,"Janela aproveitável","Janela curta")))</f>
        <v/>
      </c>
      <c r="H160">
        <f>IF(OR($A160="",ISERROR(MATCH($A160&amp;"#2",Mapa_Chave,0))),"",INDEX(Mapa_RelFim,MATCH($A160&amp;"#2",Mapa_Chave,0))+Limpeza_Min)</f>
        <v/>
      </c>
      <c r="I160">
        <f>IF($H160="","",IFERROR(INDEX(Mapa_RelIni,MATCH($A160&amp;"#3",Mapa_Chave,0)),Turno_Min))</f>
        <v/>
      </c>
    </row>
    <row r="161">
      <c r="A161" s="33">
        <f>IF(OR('Calc_Mix'!$B14="",'Calc_Mix'!$C14&lt;&gt;"Sala cirúrgica"),"",'Calc_Mix'!$B14)</f>
        <v/>
      </c>
      <c r="B161" s="33" t="n">
        <v>3</v>
      </c>
      <c r="C161" s="43">
        <f>IF(OR($E161="",$E161=0),"",MOD(Turno_Ini+$H161/1440,1))</f>
        <v/>
      </c>
      <c r="D161" s="43">
        <f>IF(OR($E161="",$E161=0),"",MOD(Turno_Ini+$I161/1440,1))</f>
        <v/>
      </c>
      <c r="E161" s="37">
        <f>IF($H161="","",MAX(0,$I161-$H161))</f>
        <v/>
      </c>
      <c r="F161" s="37">
        <f>IF(OR($E161="",$E161=0),"",MAX(0,$E161-Limpeza_Min))</f>
        <v/>
      </c>
      <c r="G161" s="19">
        <f>IF($E161="","",IF($E161=0,"Sem intervalo",IF($E161&gt;=Janela_Min,"Janela aproveitável","Janela curta")))</f>
        <v/>
      </c>
      <c r="H161">
        <f>IF(OR($A161="",ISERROR(MATCH($A161&amp;"#3",Mapa_Chave,0))),"",INDEX(Mapa_RelFim,MATCH($A161&amp;"#3",Mapa_Chave,0))+Limpeza_Min)</f>
        <v/>
      </c>
      <c r="I161">
        <f>IF($H161="","",IFERROR(INDEX(Mapa_RelIni,MATCH($A161&amp;"#4",Mapa_Chave,0)),Turno_Min))</f>
        <v/>
      </c>
    </row>
    <row r="162">
      <c r="A162" s="33">
        <f>IF(OR('Calc_Mix'!$B14="",'Calc_Mix'!$C14&lt;&gt;"Sala cirúrgica"),"",'Calc_Mix'!$B14)</f>
        <v/>
      </c>
      <c r="B162" s="33" t="n">
        <v>4</v>
      </c>
      <c r="C162" s="43">
        <f>IF(OR($E162="",$E162=0),"",MOD(Turno_Ini+$H162/1440,1))</f>
        <v/>
      </c>
      <c r="D162" s="43">
        <f>IF(OR($E162="",$E162=0),"",MOD(Turno_Ini+$I162/1440,1))</f>
        <v/>
      </c>
      <c r="E162" s="37">
        <f>IF($H162="","",MAX(0,$I162-$H162))</f>
        <v/>
      </c>
      <c r="F162" s="37">
        <f>IF(OR($E162="",$E162=0),"",MAX(0,$E162-Limpeza_Min))</f>
        <v/>
      </c>
      <c r="G162" s="19">
        <f>IF($E162="","",IF($E162=0,"Sem intervalo",IF($E162&gt;=Janela_Min,"Janela aproveitável","Janela curta")))</f>
        <v/>
      </c>
      <c r="H162">
        <f>IF(OR($A162="",ISERROR(MATCH($A162&amp;"#4",Mapa_Chave,0))),"",INDEX(Mapa_RelFim,MATCH($A162&amp;"#4",Mapa_Chave,0))+Limpeza_Min)</f>
        <v/>
      </c>
      <c r="I162">
        <f>IF($H162="","",IFERROR(INDEX(Mapa_RelIni,MATCH($A162&amp;"#5",Mapa_Chave,0)),Turno_Min))</f>
        <v/>
      </c>
    </row>
    <row r="163">
      <c r="A163" s="33">
        <f>IF(OR('Calc_Mix'!$B14="",'Calc_Mix'!$C14&lt;&gt;"Sala cirúrgica"),"",'Calc_Mix'!$B14)</f>
        <v/>
      </c>
      <c r="B163" s="33" t="n">
        <v>5</v>
      </c>
      <c r="C163" s="43">
        <f>IF(OR($E163="",$E163=0),"",MOD(Turno_Ini+$H163/1440,1))</f>
        <v/>
      </c>
      <c r="D163" s="43">
        <f>IF(OR($E163="",$E163=0),"",MOD(Turno_Ini+$I163/1440,1))</f>
        <v/>
      </c>
      <c r="E163" s="37">
        <f>IF($H163="","",MAX(0,$I163-$H163))</f>
        <v/>
      </c>
      <c r="F163" s="37">
        <f>IF(OR($E163="",$E163=0),"",MAX(0,$E163-Limpeza_Min))</f>
        <v/>
      </c>
      <c r="G163" s="19">
        <f>IF($E163="","",IF($E163=0,"Sem intervalo",IF($E163&gt;=Janela_Min,"Janela aproveitável","Janela curta")))</f>
        <v/>
      </c>
      <c r="H163">
        <f>IF(OR($A163="",ISERROR(MATCH($A163&amp;"#5",Mapa_Chave,0))),"",INDEX(Mapa_RelFim,MATCH($A163&amp;"#5",Mapa_Chave,0))+Limpeza_Min)</f>
        <v/>
      </c>
      <c r="I163">
        <f>IF($H163="","",IFERROR(INDEX(Mapa_RelIni,MATCH($A163&amp;"#6",Mapa_Chave,0)),Turno_Min))</f>
        <v/>
      </c>
    </row>
    <row r="164">
      <c r="A164" s="33">
        <f>IF(OR('Calc_Mix'!$B14="",'Calc_Mix'!$C14&lt;&gt;"Sala cirúrgica"),"",'Calc_Mix'!$B14)</f>
        <v/>
      </c>
      <c r="B164" s="33" t="n">
        <v>6</v>
      </c>
      <c r="C164" s="43">
        <f>IF(OR($E164="",$E164=0),"",MOD(Turno_Ini+$H164/1440,1))</f>
        <v/>
      </c>
      <c r="D164" s="43">
        <f>IF(OR($E164="",$E164=0),"",MOD(Turno_Ini+$I164/1440,1))</f>
        <v/>
      </c>
      <c r="E164" s="37">
        <f>IF($H164="","",MAX(0,$I164-$H164))</f>
        <v/>
      </c>
      <c r="F164" s="37">
        <f>IF(OR($E164="",$E164=0),"",MAX(0,$E164-Limpeza_Min))</f>
        <v/>
      </c>
      <c r="G164" s="19">
        <f>IF($E164="","",IF($E164=0,"Sem intervalo",IF($E164&gt;=Janela_Min,"Janela aproveitável","Janela curta")))</f>
        <v/>
      </c>
      <c r="H164">
        <f>IF(OR($A164="",ISERROR(MATCH($A164&amp;"#6",Mapa_Chave,0))),"",INDEX(Mapa_RelFim,MATCH($A164&amp;"#6",Mapa_Chave,0))+Limpeza_Min)</f>
        <v/>
      </c>
      <c r="I164">
        <f>IF($H164="","",IFERROR(INDEX(Mapa_RelIni,MATCH($A164&amp;"#7",Mapa_Chave,0)),Turno_Min))</f>
        <v/>
      </c>
    </row>
    <row r="165">
      <c r="A165" s="33">
        <f>IF(OR('Calc_Mix'!$B14="",'Calc_Mix'!$C14&lt;&gt;"Sala cirúrgica"),"",'Calc_Mix'!$B14)</f>
        <v/>
      </c>
      <c r="B165" s="33" t="n">
        <v>7</v>
      </c>
      <c r="C165" s="43">
        <f>IF(OR($E165="",$E165=0),"",MOD(Turno_Ini+$H165/1440,1))</f>
        <v/>
      </c>
      <c r="D165" s="43">
        <f>IF(OR($E165="",$E165=0),"",MOD(Turno_Ini+$I165/1440,1))</f>
        <v/>
      </c>
      <c r="E165" s="37">
        <f>IF($H165="","",MAX(0,$I165-$H165))</f>
        <v/>
      </c>
      <c r="F165" s="37">
        <f>IF(OR($E165="",$E165=0),"",MAX(0,$E165-Limpeza_Min))</f>
        <v/>
      </c>
      <c r="G165" s="19">
        <f>IF($E165="","",IF($E165=0,"Sem intervalo",IF($E165&gt;=Janela_Min,"Janela aproveitável","Janela curta")))</f>
        <v/>
      </c>
      <c r="H165">
        <f>IF(OR($A165="",ISERROR(MATCH($A165&amp;"#7",Mapa_Chave,0))),"",INDEX(Mapa_RelFim,MATCH($A165&amp;"#7",Mapa_Chave,0))+Limpeza_Min)</f>
        <v/>
      </c>
      <c r="I165">
        <f>IF($H165="","",IFERROR(INDEX(Mapa_RelIni,MATCH($A165&amp;"#8",Mapa_Chave,0)),Turno_Min))</f>
        <v/>
      </c>
    </row>
    <row r="166">
      <c r="A166" s="33">
        <f>IF(OR('Calc_Mix'!$B14="",'Calc_Mix'!$C14&lt;&gt;"Sala cirúrgica"),"",'Calc_Mix'!$B14)</f>
        <v/>
      </c>
      <c r="B166" s="33" t="n">
        <v>8</v>
      </c>
      <c r="C166" s="43">
        <f>IF(OR($E166="",$E166=0),"",MOD(Turno_Ini+$H166/1440,1))</f>
        <v/>
      </c>
      <c r="D166" s="43">
        <f>IF(OR($E166="",$E166=0),"",MOD(Turno_Ini+$I166/1440,1))</f>
        <v/>
      </c>
      <c r="E166" s="37">
        <f>IF($H166="","",MAX(0,$I166-$H166))</f>
        <v/>
      </c>
      <c r="F166" s="37">
        <f>IF(OR($E166="",$E166=0),"",MAX(0,$E166-Limpeza_Min))</f>
        <v/>
      </c>
      <c r="G166" s="19">
        <f>IF($E166="","",IF($E166=0,"Sem intervalo",IF($E166&gt;=Janela_Min,"Janela aproveitável","Janela curta")))</f>
        <v/>
      </c>
      <c r="H166">
        <f>IF(OR($A166="",ISERROR(MATCH($A166&amp;"#8",Mapa_Chave,0))),"",INDEX(Mapa_RelFim,MATCH($A166&amp;"#8",Mapa_Chave,0))+Limpeza_Min)</f>
        <v/>
      </c>
      <c r="I166">
        <f>IF($H166="","",IFERROR(INDEX(Mapa_RelIni,MATCH($A166&amp;"#9",Mapa_Chave,0)),Turno_Min))</f>
        <v/>
      </c>
    </row>
    <row r="167">
      <c r="A167" s="33">
        <f>IF(OR('Calc_Mix'!$B14="",'Calc_Mix'!$C14&lt;&gt;"Sala cirúrgica"),"",'Calc_Mix'!$B14)</f>
        <v/>
      </c>
      <c r="B167" s="33" t="n">
        <v>9</v>
      </c>
      <c r="C167" s="43">
        <f>IF(OR($E167="",$E167=0),"",MOD(Turno_Ini+$H167/1440,1))</f>
        <v/>
      </c>
      <c r="D167" s="43">
        <f>IF(OR($E167="",$E167=0),"",MOD(Turno_Ini+$I167/1440,1))</f>
        <v/>
      </c>
      <c r="E167" s="37">
        <f>IF($H167="","",MAX(0,$I167-$H167))</f>
        <v/>
      </c>
      <c r="F167" s="37">
        <f>IF(OR($E167="",$E167=0),"",MAX(0,$E167-Limpeza_Min))</f>
        <v/>
      </c>
      <c r="G167" s="19">
        <f>IF($E167="","",IF($E167=0,"Sem intervalo",IF($E167&gt;=Janela_Min,"Janela aproveitável","Janela curta")))</f>
        <v/>
      </c>
      <c r="H167">
        <f>IF(OR($A167="",ISERROR(MATCH($A167&amp;"#9",Mapa_Chave,0))),"",INDEX(Mapa_RelFim,MATCH($A167&amp;"#9",Mapa_Chave,0))+Limpeza_Min)</f>
        <v/>
      </c>
      <c r="I167">
        <f>IF($H167="","",IFERROR(INDEX(Mapa_RelIni,MATCH($A167&amp;"#10",Mapa_Chave,0)),Turno_Min))</f>
        <v/>
      </c>
    </row>
    <row r="168">
      <c r="A168" s="33">
        <f>IF(OR('Calc_Mix'!$B14="",'Calc_Mix'!$C14&lt;&gt;"Sala cirúrgica"),"",'Calc_Mix'!$B14)</f>
        <v/>
      </c>
      <c r="B168" s="33" t="n">
        <v>10</v>
      </c>
      <c r="C168" s="43">
        <f>IF(OR($E168="",$E168=0),"",MOD(Turno_Ini+$H168/1440,1))</f>
        <v/>
      </c>
      <c r="D168" s="43">
        <f>IF(OR($E168="",$E168=0),"",MOD(Turno_Ini+$I168/1440,1))</f>
        <v/>
      </c>
      <c r="E168" s="37">
        <f>IF($H168="","",MAX(0,$I168-$H168))</f>
        <v/>
      </c>
      <c r="F168" s="37">
        <f>IF(OR($E168="",$E168=0),"",MAX(0,$E168-Limpeza_Min))</f>
        <v/>
      </c>
      <c r="G168" s="19">
        <f>IF($E168="","",IF($E168=0,"Sem intervalo",IF($E168&gt;=Janela_Min,"Janela aproveitável","Janela curta")))</f>
        <v/>
      </c>
      <c r="H168">
        <f>IF(OR($A168="",ISERROR(MATCH($A168&amp;"#10",Mapa_Chave,0))),"",INDEX(Mapa_RelFim,MATCH($A168&amp;"#10",Mapa_Chave,0))+Limpeza_Min)</f>
        <v/>
      </c>
      <c r="I168">
        <f>IF($H168="","",IFERROR(INDEX(Mapa_RelIni,MATCH($A168&amp;"#11",Mapa_Chave,0)),Turno_Min))</f>
        <v/>
      </c>
    </row>
    <row r="169">
      <c r="A169" s="33">
        <f>IF(OR('Calc_Mix'!$B14="",'Calc_Mix'!$C14&lt;&gt;"Sala cirúrgica"),"",'Calc_Mix'!$B14)</f>
        <v/>
      </c>
      <c r="B169" s="33" t="n">
        <v>11</v>
      </c>
      <c r="C169" s="43">
        <f>IF(OR($E169="",$E169=0),"",MOD(Turno_Ini+$H169/1440,1))</f>
        <v/>
      </c>
      <c r="D169" s="43">
        <f>IF(OR($E169="",$E169=0),"",MOD(Turno_Ini+$I169/1440,1))</f>
        <v/>
      </c>
      <c r="E169" s="37">
        <f>IF($H169="","",MAX(0,$I169-$H169))</f>
        <v/>
      </c>
      <c r="F169" s="37">
        <f>IF(OR($E169="",$E169=0),"",MAX(0,$E169-Limpeza_Min))</f>
        <v/>
      </c>
      <c r="G169" s="19">
        <f>IF($E169="","",IF($E169=0,"Sem intervalo",IF($E169&gt;=Janela_Min,"Janela aproveitável","Janela curta")))</f>
        <v/>
      </c>
      <c r="H169">
        <f>IF(OR($A169="",ISERROR(MATCH($A169&amp;"#11",Mapa_Chave,0))),"",INDEX(Mapa_RelFim,MATCH($A169&amp;"#11",Mapa_Chave,0))+Limpeza_Min)</f>
        <v/>
      </c>
      <c r="I169">
        <f>IF($H169="","",IFERROR(INDEX(Mapa_RelIni,MATCH($A169&amp;"#12",Mapa_Chave,0)),Turno_Min))</f>
        <v/>
      </c>
    </row>
    <row r="170">
      <c r="A170" s="33">
        <f>IF(OR('Calc_Mix'!$B14="",'Calc_Mix'!$C14&lt;&gt;"Sala cirúrgica"),"",'Calc_Mix'!$B14)</f>
        <v/>
      </c>
      <c r="B170" s="33" t="n">
        <v>12</v>
      </c>
      <c r="C170" s="43">
        <f>IF(OR($E170="",$E170=0),"",MOD(Turno_Ini+$H170/1440,1))</f>
        <v/>
      </c>
      <c r="D170" s="43">
        <f>IF(OR($E170="",$E170=0),"",MOD(Turno_Ini+$I170/1440,1))</f>
        <v/>
      </c>
      <c r="E170" s="37">
        <f>IF($H170="","",MAX(0,$I170-$H170))</f>
        <v/>
      </c>
      <c r="F170" s="37">
        <f>IF(OR($E170="",$E170=0),"",MAX(0,$E170-Limpeza_Min))</f>
        <v/>
      </c>
      <c r="G170" s="19">
        <f>IF($E170="","",IF($E170=0,"Sem intervalo",IF($E170&gt;=Janela_Min,"Janela aproveitável","Janela curta")))</f>
        <v/>
      </c>
      <c r="H170">
        <f>IF(OR($A170="",ISERROR(MATCH($A170&amp;"#12",Mapa_Chave,0))),"",INDEX(Mapa_RelFim,MATCH($A170&amp;"#12",Mapa_Chave,0))+Limpeza_Min)</f>
        <v/>
      </c>
      <c r="I170">
        <f>IF($H170="","",IFERROR(INDEX(Mapa_RelIni,MATCH($A170&amp;"#13",Mapa_Chave,0)),Turno_Min))</f>
        <v/>
      </c>
    </row>
    <row r="171">
      <c r="A171" s="33">
        <f>IF(OR('Calc_Mix'!$B15="",'Calc_Mix'!$C15&lt;&gt;"Sala cirúrgica"),"",'Calc_Mix'!$B15)</f>
        <v/>
      </c>
      <c r="B171" s="33" t="n">
        <v>0</v>
      </c>
      <c r="C171" s="43">
        <f>IF(OR($E171="",$E171=0),"",MOD(Turno_Ini+$H171/1440,1))</f>
        <v/>
      </c>
      <c r="D171" s="43">
        <f>IF(OR($E171="",$E171=0),"",MOD(Turno_Ini+$I171/1440,1))</f>
        <v/>
      </c>
      <c r="E171" s="37">
        <f>IF($H171="","",MAX(0,$I171-$H171))</f>
        <v/>
      </c>
      <c r="F171" s="37">
        <f>IF(OR($E171="",$E171=0),"",MAX(0,$E171-Limpeza_Min))</f>
        <v/>
      </c>
      <c r="G171" s="19">
        <f>IF($E171="","",IF($E171=0,"Sem intervalo",IF($E171&gt;=Janela_Min,"Janela aproveitável","Janela curta")))</f>
        <v/>
      </c>
      <c r="H171">
        <f>IF($A171="","",0)</f>
        <v/>
      </c>
      <c r="I171">
        <f>IF($H171="","",IFERROR(INDEX(Mapa_RelIni,MATCH($A171&amp;"#1",Mapa_Chave,0)),Turno_Min))</f>
        <v/>
      </c>
    </row>
    <row r="172">
      <c r="A172" s="33">
        <f>IF(OR('Calc_Mix'!$B15="",'Calc_Mix'!$C15&lt;&gt;"Sala cirúrgica"),"",'Calc_Mix'!$B15)</f>
        <v/>
      </c>
      <c r="B172" s="33" t="n">
        <v>1</v>
      </c>
      <c r="C172" s="43">
        <f>IF(OR($E172="",$E172=0),"",MOD(Turno_Ini+$H172/1440,1))</f>
        <v/>
      </c>
      <c r="D172" s="43">
        <f>IF(OR($E172="",$E172=0),"",MOD(Turno_Ini+$I172/1440,1))</f>
        <v/>
      </c>
      <c r="E172" s="37">
        <f>IF($H172="","",MAX(0,$I172-$H172))</f>
        <v/>
      </c>
      <c r="F172" s="37">
        <f>IF(OR($E172="",$E172=0),"",MAX(0,$E172-Limpeza_Min))</f>
        <v/>
      </c>
      <c r="G172" s="19">
        <f>IF($E172="","",IF($E172=0,"Sem intervalo",IF($E172&gt;=Janela_Min,"Janela aproveitável","Janela curta")))</f>
        <v/>
      </c>
      <c r="H172">
        <f>IF(OR($A172="",ISERROR(MATCH($A172&amp;"#1",Mapa_Chave,0))),"",INDEX(Mapa_RelFim,MATCH($A172&amp;"#1",Mapa_Chave,0))+Limpeza_Min)</f>
        <v/>
      </c>
      <c r="I172">
        <f>IF($H172="","",IFERROR(INDEX(Mapa_RelIni,MATCH($A172&amp;"#2",Mapa_Chave,0)),Turno_Min))</f>
        <v/>
      </c>
    </row>
    <row r="173">
      <c r="A173" s="33">
        <f>IF(OR('Calc_Mix'!$B15="",'Calc_Mix'!$C15&lt;&gt;"Sala cirúrgica"),"",'Calc_Mix'!$B15)</f>
        <v/>
      </c>
      <c r="B173" s="33" t="n">
        <v>2</v>
      </c>
      <c r="C173" s="43">
        <f>IF(OR($E173="",$E173=0),"",MOD(Turno_Ini+$H173/1440,1))</f>
        <v/>
      </c>
      <c r="D173" s="43">
        <f>IF(OR($E173="",$E173=0),"",MOD(Turno_Ini+$I173/1440,1))</f>
        <v/>
      </c>
      <c r="E173" s="37">
        <f>IF($H173="","",MAX(0,$I173-$H173))</f>
        <v/>
      </c>
      <c r="F173" s="37">
        <f>IF(OR($E173="",$E173=0),"",MAX(0,$E173-Limpeza_Min))</f>
        <v/>
      </c>
      <c r="G173" s="19">
        <f>IF($E173="","",IF($E173=0,"Sem intervalo",IF($E173&gt;=Janela_Min,"Janela aproveitável","Janela curta")))</f>
        <v/>
      </c>
      <c r="H173">
        <f>IF(OR($A173="",ISERROR(MATCH($A173&amp;"#2",Mapa_Chave,0))),"",INDEX(Mapa_RelFim,MATCH($A173&amp;"#2",Mapa_Chave,0))+Limpeza_Min)</f>
        <v/>
      </c>
      <c r="I173">
        <f>IF($H173="","",IFERROR(INDEX(Mapa_RelIni,MATCH($A173&amp;"#3",Mapa_Chave,0)),Turno_Min))</f>
        <v/>
      </c>
    </row>
    <row r="174">
      <c r="A174" s="33">
        <f>IF(OR('Calc_Mix'!$B15="",'Calc_Mix'!$C15&lt;&gt;"Sala cirúrgica"),"",'Calc_Mix'!$B15)</f>
        <v/>
      </c>
      <c r="B174" s="33" t="n">
        <v>3</v>
      </c>
      <c r="C174" s="43">
        <f>IF(OR($E174="",$E174=0),"",MOD(Turno_Ini+$H174/1440,1))</f>
        <v/>
      </c>
      <c r="D174" s="43">
        <f>IF(OR($E174="",$E174=0),"",MOD(Turno_Ini+$I174/1440,1))</f>
        <v/>
      </c>
      <c r="E174" s="37">
        <f>IF($H174="","",MAX(0,$I174-$H174))</f>
        <v/>
      </c>
      <c r="F174" s="37">
        <f>IF(OR($E174="",$E174=0),"",MAX(0,$E174-Limpeza_Min))</f>
        <v/>
      </c>
      <c r="G174" s="19">
        <f>IF($E174="","",IF($E174=0,"Sem intervalo",IF($E174&gt;=Janela_Min,"Janela aproveitável","Janela curta")))</f>
        <v/>
      </c>
      <c r="H174">
        <f>IF(OR($A174="",ISERROR(MATCH($A174&amp;"#3",Mapa_Chave,0))),"",INDEX(Mapa_RelFim,MATCH($A174&amp;"#3",Mapa_Chave,0))+Limpeza_Min)</f>
        <v/>
      </c>
      <c r="I174">
        <f>IF($H174="","",IFERROR(INDEX(Mapa_RelIni,MATCH($A174&amp;"#4",Mapa_Chave,0)),Turno_Min))</f>
        <v/>
      </c>
    </row>
    <row r="175">
      <c r="A175" s="33">
        <f>IF(OR('Calc_Mix'!$B15="",'Calc_Mix'!$C15&lt;&gt;"Sala cirúrgica"),"",'Calc_Mix'!$B15)</f>
        <v/>
      </c>
      <c r="B175" s="33" t="n">
        <v>4</v>
      </c>
      <c r="C175" s="43">
        <f>IF(OR($E175="",$E175=0),"",MOD(Turno_Ini+$H175/1440,1))</f>
        <v/>
      </c>
      <c r="D175" s="43">
        <f>IF(OR($E175="",$E175=0),"",MOD(Turno_Ini+$I175/1440,1))</f>
        <v/>
      </c>
      <c r="E175" s="37">
        <f>IF($H175="","",MAX(0,$I175-$H175))</f>
        <v/>
      </c>
      <c r="F175" s="37">
        <f>IF(OR($E175="",$E175=0),"",MAX(0,$E175-Limpeza_Min))</f>
        <v/>
      </c>
      <c r="G175" s="19">
        <f>IF($E175="","",IF($E175=0,"Sem intervalo",IF($E175&gt;=Janela_Min,"Janela aproveitável","Janela curta")))</f>
        <v/>
      </c>
      <c r="H175">
        <f>IF(OR($A175="",ISERROR(MATCH($A175&amp;"#4",Mapa_Chave,0))),"",INDEX(Mapa_RelFim,MATCH($A175&amp;"#4",Mapa_Chave,0))+Limpeza_Min)</f>
        <v/>
      </c>
      <c r="I175">
        <f>IF($H175="","",IFERROR(INDEX(Mapa_RelIni,MATCH($A175&amp;"#5",Mapa_Chave,0)),Turno_Min))</f>
        <v/>
      </c>
    </row>
    <row r="176">
      <c r="A176" s="33">
        <f>IF(OR('Calc_Mix'!$B15="",'Calc_Mix'!$C15&lt;&gt;"Sala cirúrgica"),"",'Calc_Mix'!$B15)</f>
        <v/>
      </c>
      <c r="B176" s="33" t="n">
        <v>5</v>
      </c>
      <c r="C176" s="43">
        <f>IF(OR($E176="",$E176=0),"",MOD(Turno_Ini+$H176/1440,1))</f>
        <v/>
      </c>
      <c r="D176" s="43">
        <f>IF(OR($E176="",$E176=0),"",MOD(Turno_Ini+$I176/1440,1))</f>
        <v/>
      </c>
      <c r="E176" s="37">
        <f>IF($H176="","",MAX(0,$I176-$H176))</f>
        <v/>
      </c>
      <c r="F176" s="37">
        <f>IF(OR($E176="",$E176=0),"",MAX(0,$E176-Limpeza_Min))</f>
        <v/>
      </c>
      <c r="G176" s="19">
        <f>IF($E176="","",IF($E176=0,"Sem intervalo",IF($E176&gt;=Janela_Min,"Janela aproveitável","Janela curta")))</f>
        <v/>
      </c>
      <c r="H176">
        <f>IF(OR($A176="",ISERROR(MATCH($A176&amp;"#5",Mapa_Chave,0))),"",INDEX(Mapa_RelFim,MATCH($A176&amp;"#5",Mapa_Chave,0))+Limpeza_Min)</f>
        <v/>
      </c>
      <c r="I176">
        <f>IF($H176="","",IFERROR(INDEX(Mapa_RelIni,MATCH($A176&amp;"#6",Mapa_Chave,0)),Turno_Min))</f>
        <v/>
      </c>
    </row>
    <row r="177">
      <c r="A177" s="33">
        <f>IF(OR('Calc_Mix'!$B15="",'Calc_Mix'!$C15&lt;&gt;"Sala cirúrgica"),"",'Calc_Mix'!$B15)</f>
        <v/>
      </c>
      <c r="B177" s="33" t="n">
        <v>6</v>
      </c>
      <c r="C177" s="43">
        <f>IF(OR($E177="",$E177=0),"",MOD(Turno_Ini+$H177/1440,1))</f>
        <v/>
      </c>
      <c r="D177" s="43">
        <f>IF(OR($E177="",$E177=0),"",MOD(Turno_Ini+$I177/1440,1))</f>
        <v/>
      </c>
      <c r="E177" s="37">
        <f>IF($H177="","",MAX(0,$I177-$H177))</f>
        <v/>
      </c>
      <c r="F177" s="37">
        <f>IF(OR($E177="",$E177=0),"",MAX(0,$E177-Limpeza_Min))</f>
        <v/>
      </c>
      <c r="G177" s="19">
        <f>IF($E177="","",IF($E177=0,"Sem intervalo",IF($E177&gt;=Janela_Min,"Janela aproveitável","Janela curta")))</f>
        <v/>
      </c>
      <c r="H177">
        <f>IF(OR($A177="",ISERROR(MATCH($A177&amp;"#6",Mapa_Chave,0))),"",INDEX(Mapa_RelFim,MATCH($A177&amp;"#6",Mapa_Chave,0))+Limpeza_Min)</f>
        <v/>
      </c>
      <c r="I177">
        <f>IF($H177="","",IFERROR(INDEX(Mapa_RelIni,MATCH($A177&amp;"#7",Mapa_Chave,0)),Turno_Min))</f>
        <v/>
      </c>
    </row>
    <row r="178">
      <c r="A178" s="33">
        <f>IF(OR('Calc_Mix'!$B15="",'Calc_Mix'!$C15&lt;&gt;"Sala cirúrgica"),"",'Calc_Mix'!$B15)</f>
        <v/>
      </c>
      <c r="B178" s="33" t="n">
        <v>7</v>
      </c>
      <c r="C178" s="43">
        <f>IF(OR($E178="",$E178=0),"",MOD(Turno_Ini+$H178/1440,1))</f>
        <v/>
      </c>
      <c r="D178" s="43">
        <f>IF(OR($E178="",$E178=0),"",MOD(Turno_Ini+$I178/1440,1))</f>
        <v/>
      </c>
      <c r="E178" s="37">
        <f>IF($H178="","",MAX(0,$I178-$H178))</f>
        <v/>
      </c>
      <c r="F178" s="37">
        <f>IF(OR($E178="",$E178=0),"",MAX(0,$E178-Limpeza_Min))</f>
        <v/>
      </c>
      <c r="G178" s="19">
        <f>IF($E178="","",IF($E178=0,"Sem intervalo",IF($E178&gt;=Janela_Min,"Janela aproveitável","Janela curta")))</f>
        <v/>
      </c>
      <c r="H178">
        <f>IF(OR($A178="",ISERROR(MATCH($A178&amp;"#7",Mapa_Chave,0))),"",INDEX(Mapa_RelFim,MATCH($A178&amp;"#7",Mapa_Chave,0))+Limpeza_Min)</f>
        <v/>
      </c>
      <c r="I178">
        <f>IF($H178="","",IFERROR(INDEX(Mapa_RelIni,MATCH($A178&amp;"#8",Mapa_Chave,0)),Turno_Min))</f>
        <v/>
      </c>
    </row>
    <row r="179">
      <c r="A179" s="33">
        <f>IF(OR('Calc_Mix'!$B15="",'Calc_Mix'!$C15&lt;&gt;"Sala cirúrgica"),"",'Calc_Mix'!$B15)</f>
        <v/>
      </c>
      <c r="B179" s="33" t="n">
        <v>8</v>
      </c>
      <c r="C179" s="43">
        <f>IF(OR($E179="",$E179=0),"",MOD(Turno_Ini+$H179/1440,1))</f>
        <v/>
      </c>
      <c r="D179" s="43">
        <f>IF(OR($E179="",$E179=0),"",MOD(Turno_Ini+$I179/1440,1))</f>
        <v/>
      </c>
      <c r="E179" s="37">
        <f>IF($H179="","",MAX(0,$I179-$H179))</f>
        <v/>
      </c>
      <c r="F179" s="37">
        <f>IF(OR($E179="",$E179=0),"",MAX(0,$E179-Limpeza_Min))</f>
        <v/>
      </c>
      <c r="G179" s="19">
        <f>IF($E179="","",IF($E179=0,"Sem intervalo",IF($E179&gt;=Janela_Min,"Janela aproveitável","Janela curta")))</f>
        <v/>
      </c>
      <c r="H179">
        <f>IF(OR($A179="",ISERROR(MATCH($A179&amp;"#8",Mapa_Chave,0))),"",INDEX(Mapa_RelFim,MATCH($A179&amp;"#8",Mapa_Chave,0))+Limpeza_Min)</f>
        <v/>
      </c>
      <c r="I179">
        <f>IF($H179="","",IFERROR(INDEX(Mapa_RelIni,MATCH($A179&amp;"#9",Mapa_Chave,0)),Turno_Min))</f>
        <v/>
      </c>
    </row>
    <row r="180">
      <c r="A180" s="33">
        <f>IF(OR('Calc_Mix'!$B15="",'Calc_Mix'!$C15&lt;&gt;"Sala cirúrgica"),"",'Calc_Mix'!$B15)</f>
        <v/>
      </c>
      <c r="B180" s="33" t="n">
        <v>9</v>
      </c>
      <c r="C180" s="43">
        <f>IF(OR($E180="",$E180=0),"",MOD(Turno_Ini+$H180/1440,1))</f>
        <v/>
      </c>
      <c r="D180" s="43">
        <f>IF(OR($E180="",$E180=0),"",MOD(Turno_Ini+$I180/1440,1))</f>
        <v/>
      </c>
      <c r="E180" s="37">
        <f>IF($H180="","",MAX(0,$I180-$H180))</f>
        <v/>
      </c>
      <c r="F180" s="37">
        <f>IF(OR($E180="",$E180=0),"",MAX(0,$E180-Limpeza_Min))</f>
        <v/>
      </c>
      <c r="G180" s="19">
        <f>IF($E180="","",IF($E180=0,"Sem intervalo",IF($E180&gt;=Janela_Min,"Janela aproveitável","Janela curta")))</f>
        <v/>
      </c>
      <c r="H180">
        <f>IF(OR($A180="",ISERROR(MATCH($A180&amp;"#9",Mapa_Chave,0))),"",INDEX(Mapa_RelFim,MATCH($A180&amp;"#9",Mapa_Chave,0))+Limpeza_Min)</f>
        <v/>
      </c>
      <c r="I180">
        <f>IF($H180="","",IFERROR(INDEX(Mapa_RelIni,MATCH($A180&amp;"#10",Mapa_Chave,0)),Turno_Min))</f>
        <v/>
      </c>
    </row>
    <row r="181">
      <c r="A181" s="33">
        <f>IF(OR('Calc_Mix'!$B15="",'Calc_Mix'!$C15&lt;&gt;"Sala cirúrgica"),"",'Calc_Mix'!$B15)</f>
        <v/>
      </c>
      <c r="B181" s="33" t="n">
        <v>10</v>
      </c>
      <c r="C181" s="43">
        <f>IF(OR($E181="",$E181=0),"",MOD(Turno_Ini+$H181/1440,1))</f>
        <v/>
      </c>
      <c r="D181" s="43">
        <f>IF(OR($E181="",$E181=0),"",MOD(Turno_Ini+$I181/1440,1))</f>
        <v/>
      </c>
      <c r="E181" s="37">
        <f>IF($H181="","",MAX(0,$I181-$H181))</f>
        <v/>
      </c>
      <c r="F181" s="37">
        <f>IF(OR($E181="",$E181=0),"",MAX(0,$E181-Limpeza_Min))</f>
        <v/>
      </c>
      <c r="G181" s="19">
        <f>IF($E181="","",IF($E181=0,"Sem intervalo",IF($E181&gt;=Janela_Min,"Janela aproveitável","Janela curta")))</f>
        <v/>
      </c>
      <c r="H181">
        <f>IF(OR($A181="",ISERROR(MATCH($A181&amp;"#10",Mapa_Chave,0))),"",INDEX(Mapa_RelFim,MATCH($A181&amp;"#10",Mapa_Chave,0))+Limpeza_Min)</f>
        <v/>
      </c>
      <c r="I181">
        <f>IF($H181="","",IFERROR(INDEX(Mapa_RelIni,MATCH($A181&amp;"#11",Mapa_Chave,0)),Turno_Min))</f>
        <v/>
      </c>
    </row>
    <row r="182">
      <c r="A182" s="33">
        <f>IF(OR('Calc_Mix'!$B15="",'Calc_Mix'!$C15&lt;&gt;"Sala cirúrgica"),"",'Calc_Mix'!$B15)</f>
        <v/>
      </c>
      <c r="B182" s="33" t="n">
        <v>11</v>
      </c>
      <c r="C182" s="43">
        <f>IF(OR($E182="",$E182=0),"",MOD(Turno_Ini+$H182/1440,1))</f>
        <v/>
      </c>
      <c r="D182" s="43">
        <f>IF(OR($E182="",$E182=0),"",MOD(Turno_Ini+$I182/1440,1))</f>
        <v/>
      </c>
      <c r="E182" s="37">
        <f>IF($H182="","",MAX(0,$I182-$H182))</f>
        <v/>
      </c>
      <c r="F182" s="37">
        <f>IF(OR($E182="",$E182=0),"",MAX(0,$E182-Limpeza_Min))</f>
        <v/>
      </c>
      <c r="G182" s="19">
        <f>IF($E182="","",IF($E182=0,"Sem intervalo",IF($E182&gt;=Janela_Min,"Janela aproveitável","Janela curta")))</f>
        <v/>
      </c>
      <c r="H182">
        <f>IF(OR($A182="",ISERROR(MATCH($A182&amp;"#11",Mapa_Chave,0))),"",INDEX(Mapa_RelFim,MATCH($A182&amp;"#11",Mapa_Chave,0))+Limpeza_Min)</f>
        <v/>
      </c>
      <c r="I182">
        <f>IF($H182="","",IFERROR(INDEX(Mapa_RelIni,MATCH($A182&amp;"#12",Mapa_Chave,0)),Turno_Min))</f>
        <v/>
      </c>
    </row>
    <row r="183">
      <c r="A183" s="33">
        <f>IF(OR('Calc_Mix'!$B15="",'Calc_Mix'!$C15&lt;&gt;"Sala cirúrgica"),"",'Calc_Mix'!$B15)</f>
        <v/>
      </c>
      <c r="B183" s="33" t="n">
        <v>12</v>
      </c>
      <c r="C183" s="43">
        <f>IF(OR($E183="",$E183=0),"",MOD(Turno_Ini+$H183/1440,1))</f>
        <v/>
      </c>
      <c r="D183" s="43">
        <f>IF(OR($E183="",$E183=0),"",MOD(Turno_Ini+$I183/1440,1))</f>
        <v/>
      </c>
      <c r="E183" s="37">
        <f>IF($H183="","",MAX(0,$I183-$H183))</f>
        <v/>
      </c>
      <c r="F183" s="37">
        <f>IF(OR($E183="",$E183=0),"",MAX(0,$E183-Limpeza_Min))</f>
        <v/>
      </c>
      <c r="G183" s="19">
        <f>IF($E183="","",IF($E183=0,"Sem intervalo",IF($E183&gt;=Janela_Min,"Janela aproveitável","Janela curta")))</f>
        <v/>
      </c>
      <c r="H183">
        <f>IF(OR($A183="",ISERROR(MATCH($A183&amp;"#12",Mapa_Chave,0))),"",INDEX(Mapa_RelFim,MATCH($A183&amp;"#12",Mapa_Chave,0))+Limpeza_Min)</f>
        <v/>
      </c>
      <c r="I183">
        <f>IF($H183="","",IFERROR(INDEX(Mapa_RelIni,MATCH($A183&amp;"#13",Mapa_Chave,0)),Turno_Min))</f>
        <v/>
      </c>
    </row>
    <row r="184">
      <c r="A184" s="33">
        <f>IF(OR('Calc_Mix'!$B16="",'Calc_Mix'!$C16&lt;&gt;"Sala cirúrgica"),"",'Calc_Mix'!$B16)</f>
        <v/>
      </c>
      <c r="B184" s="33" t="n">
        <v>0</v>
      </c>
      <c r="C184" s="43">
        <f>IF(OR($E184="",$E184=0),"",MOD(Turno_Ini+$H184/1440,1))</f>
        <v/>
      </c>
      <c r="D184" s="43">
        <f>IF(OR($E184="",$E184=0),"",MOD(Turno_Ini+$I184/1440,1))</f>
        <v/>
      </c>
      <c r="E184" s="37">
        <f>IF($H184="","",MAX(0,$I184-$H184))</f>
        <v/>
      </c>
      <c r="F184" s="37">
        <f>IF(OR($E184="",$E184=0),"",MAX(0,$E184-Limpeza_Min))</f>
        <v/>
      </c>
      <c r="G184" s="19">
        <f>IF($E184="","",IF($E184=0,"Sem intervalo",IF($E184&gt;=Janela_Min,"Janela aproveitável","Janela curta")))</f>
        <v/>
      </c>
      <c r="H184">
        <f>IF($A184="","",0)</f>
        <v/>
      </c>
      <c r="I184">
        <f>IF($H184="","",IFERROR(INDEX(Mapa_RelIni,MATCH($A184&amp;"#1",Mapa_Chave,0)),Turno_Min))</f>
        <v/>
      </c>
    </row>
    <row r="185">
      <c r="A185" s="33">
        <f>IF(OR('Calc_Mix'!$B16="",'Calc_Mix'!$C16&lt;&gt;"Sala cirúrgica"),"",'Calc_Mix'!$B16)</f>
        <v/>
      </c>
      <c r="B185" s="33" t="n">
        <v>1</v>
      </c>
      <c r="C185" s="43">
        <f>IF(OR($E185="",$E185=0),"",MOD(Turno_Ini+$H185/1440,1))</f>
        <v/>
      </c>
      <c r="D185" s="43">
        <f>IF(OR($E185="",$E185=0),"",MOD(Turno_Ini+$I185/1440,1))</f>
        <v/>
      </c>
      <c r="E185" s="37">
        <f>IF($H185="","",MAX(0,$I185-$H185))</f>
        <v/>
      </c>
      <c r="F185" s="37">
        <f>IF(OR($E185="",$E185=0),"",MAX(0,$E185-Limpeza_Min))</f>
        <v/>
      </c>
      <c r="G185" s="19">
        <f>IF($E185="","",IF($E185=0,"Sem intervalo",IF($E185&gt;=Janela_Min,"Janela aproveitável","Janela curta")))</f>
        <v/>
      </c>
      <c r="H185">
        <f>IF(OR($A185="",ISERROR(MATCH($A185&amp;"#1",Mapa_Chave,0))),"",INDEX(Mapa_RelFim,MATCH($A185&amp;"#1",Mapa_Chave,0))+Limpeza_Min)</f>
        <v/>
      </c>
      <c r="I185">
        <f>IF($H185="","",IFERROR(INDEX(Mapa_RelIni,MATCH($A185&amp;"#2",Mapa_Chave,0)),Turno_Min))</f>
        <v/>
      </c>
    </row>
    <row r="186">
      <c r="A186" s="33">
        <f>IF(OR('Calc_Mix'!$B16="",'Calc_Mix'!$C16&lt;&gt;"Sala cirúrgica"),"",'Calc_Mix'!$B16)</f>
        <v/>
      </c>
      <c r="B186" s="33" t="n">
        <v>2</v>
      </c>
      <c r="C186" s="43">
        <f>IF(OR($E186="",$E186=0),"",MOD(Turno_Ini+$H186/1440,1))</f>
        <v/>
      </c>
      <c r="D186" s="43">
        <f>IF(OR($E186="",$E186=0),"",MOD(Turno_Ini+$I186/1440,1))</f>
        <v/>
      </c>
      <c r="E186" s="37">
        <f>IF($H186="","",MAX(0,$I186-$H186))</f>
        <v/>
      </c>
      <c r="F186" s="37">
        <f>IF(OR($E186="",$E186=0),"",MAX(0,$E186-Limpeza_Min))</f>
        <v/>
      </c>
      <c r="G186" s="19">
        <f>IF($E186="","",IF($E186=0,"Sem intervalo",IF($E186&gt;=Janela_Min,"Janela aproveitável","Janela curta")))</f>
        <v/>
      </c>
      <c r="H186">
        <f>IF(OR($A186="",ISERROR(MATCH($A186&amp;"#2",Mapa_Chave,0))),"",INDEX(Mapa_RelFim,MATCH($A186&amp;"#2",Mapa_Chave,0))+Limpeza_Min)</f>
        <v/>
      </c>
      <c r="I186">
        <f>IF($H186="","",IFERROR(INDEX(Mapa_RelIni,MATCH($A186&amp;"#3",Mapa_Chave,0)),Turno_Min))</f>
        <v/>
      </c>
    </row>
    <row r="187">
      <c r="A187" s="33">
        <f>IF(OR('Calc_Mix'!$B16="",'Calc_Mix'!$C16&lt;&gt;"Sala cirúrgica"),"",'Calc_Mix'!$B16)</f>
        <v/>
      </c>
      <c r="B187" s="33" t="n">
        <v>3</v>
      </c>
      <c r="C187" s="43">
        <f>IF(OR($E187="",$E187=0),"",MOD(Turno_Ini+$H187/1440,1))</f>
        <v/>
      </c>
      <c r="D187" s="43">
        <f>IF(OR($E187="",$E187=0),"",MOD(Turno_Ini+$I187/1440,1))</f>
        <v/>
      </c>
      <c r="E187" s="37">
        <f>IF($H187="","",MAX(0,$I187-$H187))</f>
        <v/>
      </c>
      <c r="F187" s="37">
        <f>IF(OR($E187="",$E187=0),"",MAX(0,$E187-Limpeza_Min))</f>
        <v/>
      </c>
      <c r="G187" s="19">
        <f>IF($E187="","",IF($E187=0,"Sem intervalo",IF($E187&gt;=Janela_Min,"Janela aproveitável","Janela curta")))</f>
        <v/>
      </c>
      <c r="H187">
        <f>IF(OR($A187="",ISERROR(MATCH($A187&amp;"#3",Mapa_Chave,0))),"",INDEX(Mapa_RelFim,MATCH($A187&amp;"#3",Mapa_Chave,0))+Limpeza_Min)</f>
        <v/>
      </c>
      <c r="I187">
        <f>IF($H187="","",IFERROR(INDEX(Mapa_RelIni,MATCH($A187&amp;"#4",Mapa_Chave,0)),Turno_Min))</f>
        <v/>
      </c>
    </row>
    <row r="188">
      <c r="A188" s="33">
        <f>IF(OR('Calc_Mix'!$B16="",'Calc_Mix'!$C16&lt;&gt;"Sala cirúrgica"),"",'Calc_Mix'!$B16)</f>
        <v/>
      </c>
      <c r="B188" s="33" t="n">
        <v>4</v>
      </c>
      <c r="C188" s="43">
        <f>IF(OR($E188="",$E188=0),"",MOD(Turno_Ini+$H188/1440,1))</f>
        <v/>
      </c>
      <c r="D188" s="43">
        <f>IF(OR($E188="",$E188=0),"",MOD(Turno_Ini+$I188/1440,1))</f>
        <v/>
      </c>
      <c r="E188" s="37">
        <f>IF($H188="","",MAX(0,$I188-$H188))</f>
        <v/>
      </c>
      <c r="F188" s="37">
        <f>IF(OR($E188="",$E188=0),"",MAX(0,$E188-Limpeza_Min))</f>
        <v/>
      </c>
      <c r="G188" s="19">
        <f>IF($E188="","",IF($E188=0,"Sem intervalo",IF($E188&gt;=Janela_Min,"Janela aproveitável","Janela curta")))</f>
        <v/>
      </c>
      <c r="H188">
        <f>IF(OR($A188="",ISERROR(MATCH($A188&amp;"#4",Mapa_Chave,0))),"",INDEX(Mapa_RelFim,MATCH($A188&amp;"#4",Mapa_Chave,0))+Limpeza_Min)</f>
        <v/>
      </c>
      <c r="I188">
        <f>IF($H188="","",IFERROR(INDEX(Mapa_RelIni,MATCH($A188&amp;"#5",Mapa_Chave,0)),Turno_Min))</f>
        <v/>
      </c>
    </row>
    <row r="189">
      <c r="A189" s="33">
        <f>IF(OR('Calc_Mix'!$B16="",'Calc_Mix'!$C16&lt;&gt;"Sala cirúrgica"),"",'Calc_Mix'!$B16)</f>
        <v/>
      </c>
      <c r="B189" s="33" t="n">
        <v>5</v>
      </c>
      <c r="C189" s="43">
        <f>IF(OR($E189="",$E189=0),"",MOD(Turno_Ini+$H189/1440,1))</f>
        <v/>
      </c>
      <c r="D189" s="43">
        <f>IF(OR($E189="",$E189=0),"",MOD(Turno_Ini+$I189/1440,1))</f>
        <v/>
      </c>
      <c r="E189" s="37">
        <f>IF($H189="","",MAX(0,$I189-$H189))</f>
        <v/>
      </c>
      <c r="F189" s="37">
        <f>IF(OR($E189="",$E189=0),"",MAX(0,$E189-Limpeza_Min))</f>
        <v/>
      </c>
      <c r="G189" s="19">
        <f>IF($E189="","",IF($E189=0,"Sem intervalo",IF($E189&gt;=Janela_Min,"Janela aproveitável","Janela curta")))</f>
        <v/>
      </c>
      <c r="H189">
        <f>IF(OR($A189="",ISERROR(MATCH($A189&amp;"#5",Mapa_Chave,0))),"",INDEX(Mapa_RelFim,MATCH($A189&amp;"#5",Mapa_Chave,0))+Limpeza_Min)</f>
        <v/>
      </c>
      <c r="I189">
        <f>IF($H189="","",IFERROR(INDEX(Mapa_RelIni,MATCH($A189&amp;"#6",Mapa_Chave,0)),Turno_Min))</f>
        <v/>
      </c>
    </row>
    <row r="190">
      <c r="A190" s="33">
        <f>IF(OR('Calc_Mix'!$B16="",'Calc_Mix'!$C16&lt;&gt;"Sala cirúrgica"),"",'Calc_Mix'!$B16)</f>
        <v/>
      </c>
      <c r="B190" s="33" t="n">
        <v>6</v>
      </c>
      <c r="C190" s="43">
        <f>IF(OR($E190="",$E190=0),"",MOD(Turno_Ini+$H190/1440,1))</f>
        <v/>
      </c>
      <c r="D190" s="43">
        <f>IF(OR($E190="",$E190=0),"",MOD(Turno_Ini+$I190/1440,1))</f>
        <v/>
      </c>
      <c r="E190" s="37">
        <f>IF($H190="","",MAX(0,$I190-$H190))</f>
        <v/>
      </c>
      <c r="F190" s="37">
        <f>IF(OR($E190="",$E190=0),"",MAX(0,$E190-Limpeza_Min))</f>
        <v/>
      </c>
      <c r="G190" s="19">
        <f>IF($E190="","",IF($E190=0,"Sem intervalo",IF($E190&gt;=Janela_Min,"Janela aproveitável","Janela curta")))</f>
        <v/>
      </c>
      <c r="H190">
        <f>IF(OR($A190="",ISERROR(MATCH($A190&amp;"#6",Mapa_Chave,0))),"",INDEX(Mapa_RelFim,MATCH($A190&amp;"#6",Mapa_Chave,0))+Limpeza_Min)</f>
        <v/>
      </c>
      <c r="I190">
        <f>IF($H190="","",IFERROR(INDEX(Mapa_RelIni,MATCH($A190&amp;"#7",Mapa_Chave,0)),Turno_Min))</f>
        <v/>
      </c>
    </row>
    <row r="191">
      <c r="A191" s="33">
        <f>IF(OR('Calc_Mix'!$B16="",'Calc_Mix'!$C16&lt;&gt;"Sala cirúrgica"),"",'Calc_Mix'!$B16)</f>
        <v/>
      </c>
      <c r="B191" s="33" t="n">
        <v>7</v>
      </c>
      <c r="C191" s="43">
        <f>IF(OR($E191="",$E191=0),"",MOD(Turno_Ini+$H191/1440,1))</f>
        <v/>
      </c>
      <c r="D191" s="43">
        <f>IF(OR($E191="",$E191=0),"",MOD(Turno_Ini+$I191/1440,1))</f>
        <v/>
      </c>
      <c r="E191" s="37">
        <f>IF($H191="","",MAX(0,$I191-$H191))</f>
        <v/>
      </c>
      <c r="F191" s="37">
        <f>IF(OR($E191="",$E191=0),"",MAX(0,$E191-Limpeza_Min))</f>
        <v/>
      </c>
      <c r="G191" s="19">
        <f>IF($E191="","",IF($E191=0,"Sem intervalo",IF($E191&gt;=Janela_Min,"Janela aproveitável","Janela curta")))</f>
        <v/>
      </c>
      <c r="H191">
        <f>IF(OR($A191="",ISERROR(MATCH($A191&amp;"#7",Mapa_Chave,0))),"",INDEX(Mapa_RelFim,MATCH($A191&amp;"#7",Mapa_Chave,0))+Limpeza_Min)</f>
        <v/>
      </c>
      <c r="I191">
        <f>IF($H191="","",IFERROR(INDEX(Mapa_RelIni,MATCH($A191&amp;"#8",Mapa_Chave,0)),Turno_Min))</f>
        <v/>
      </c>
    </row>
    <row r="192">
      <c r="A192" s="33">
        <f>IF(OR('Calc_Mix'!$B16="",'Calc_Mix'!$C16&lt;&gt;"Sala cirúrgica"),"",'Calc_Mix'!$B16)</f>
        <v/>
      </c>
      <c r="B192" s="33" t="n">
        <v>8</v>
      </c>
      <c r="C192" s="43">
        <f>IF(OR($E192="",$E192=0),"",MOD(Turno_Ini+$H192/1440,1))</f>
        <v/>
      </c>
      <c r="D192" s="43">
        <f>IF(OR($E192="",$E192=0),"",MOD(Turno_Ini+$I192/1440,1))</f>
        <v/>
      </c>
      <c r="E192" s="37">
        <f>IF($H192="","",MAX(0,$I192-$H192))</f>
        <v/>
      </c>
      <c r="F192" s="37">
        <f>IF(OR($E192="",$E192=0),"",MAX(0,$E192-Limpeza_Min))</f>
        <v/>
      </c>
      <c r="G192" s="19">
        <f>IF($E192="","",IF($E192=0,"Sem intervalo",IF($E192&gt;=Janela_Min,"Janela aproveitável","Janela curta")))</f>
        <v/>
      </c>
      <c r="H192">
        <f>IF(OR($A192="",ISERROR(MATCH($A192&amp;"#8",Mapa_Chave,0))),"",INDEX(Mapa_RelFim,MATCH($A192&amp;"#8",Mapa_Chave,0))+Limpeza_Min)</f>
        <v/>
      </c>
      <c r="I192">
        <f>IF($H192="","",IFERROR(INDEX(Mapa_RelIni,MATCH($A192&amp;"#9",Mapa_Chave,0)),Turno_Min))</f>
        <v/>
      </c>
    </row>
    <row r="193">
      <c r="A193" s="33">
        <f>IF(OR('Calc_Mix'!$B16="",'Calc_Mix'!$C16&lt;&gt;"Sala cirúrgica"),"",'Calc_Mix'!$B16)</f>
        <v/>
      </c>
      <c r="B193" s="33" t="n">
        <v>9</v>
      </c>
      <c r="C193" s="43">
        <f>IF(OR($E193="",$E193=0),"",MOD(Turno_Ini+$H193/1440,1))</f>
        <v/>
      </c>
      <c r="D193" s="43">
        <f>IF(OR($E193="",$E193=0),"",MOD(Turno_Ini+$I193/1440,1))</f>
        <v/>
      </c>
      <c r="E193" s="37">
        <f>IF($H193="","",MAX(0,$I193-$H193))</f>
        <v/>
      </c>
      <c r="F193" s="37">
        <f>IF(OR($E193="",$E193=0),"",MAX(0,$E193-Limpeza_Min))</f>
        <v/>
      </c>
      <c r="G193" s="19">
        <f>IF($E193="","",IF($E193=0,"Sem intervalo",IF($E193&gt;=Janela_Min,"Janela aproveitável","Janela curta")))</f>
        <v/>
      </c>
      <c r="H193">
        <f>IF(OR($A193="",ISERROR(MATCH($A193&amp;"#9",Mapa_Chave,0))),"",INDEX(Mapa_RelFim,MATCH($A193&amp;"#9",Mapa_Chave,0))+Limpeza_Min)</f>
        <v/>
      </c>
      <c r="I193">
        <f>IF($H193="","",IFERROR(INDEX(Mapa_RelIni,MATCH($A193&amp;"#10",Mapa_Chave,0)),Turno_Min))</f>
        <v/>
      </c>
    </row>
    <row r="194">
      <c r="A194" s="33">
        <f>IF(OR('Calc_Mix'!$B16="",'Calc_Mix'!$C16&lt;&gt;"Sala cirúrgica"),"",'Calc_Mix'!$B16)</f>
        <v/>
      </c>
      <c r="B194" s="33" t="n">
        <v>10</v>
      </c>
      <c r="C194" s="43">
        <f>IF(OR($E194="",$E194=0),"",MOD(Turno_Ini+$H194/1440,1))</f>
        <v/>
      </c>
      <c r="D194" s="43">
        <f>IF(OR($E194="",$E194=0),"",MOD(Turno_Ini+$I194/1440,1))</f>
        <v/>
      </c>
      <c r="E194" s="37">
        <f>IF($H194="","",MAX(0,$I194-$H194))</f>
        <v/>
      </c>
      <c r="F194" s="37">
        <f>IF(OR($E194="",$E194=0),"",MAX(0,$E194-Limpeza_Min))</f>
        <v/>
      </c>
      <c r="G194" s="19">
        <f>IF($E194="","",IF($E194=0,"Sem intervalo",IF($E194&gt;=Janela_Min,"Janela aproveitável","Janela curta")))</f>
        <v/>
      </c>
      <c r="H194">
        <f>IF(OR($A194="",ISERROR(MATCH($A194&amp;"#10",Mapa_Chave,0))),"",INDEX(Mapa_RelFim,MATCH($A194&amp;"#10",Mapa_Chave,0))+Limpeza_Min)</f>
        <v/>
      </c>
      <c r="I194">
        <f>IF($H194="","",IFERROR(INDEX(Mapa_RelIni,MATCH($A194&amp;"#11",Mapa_Chave,0)),Turno_Min))</f>
        <v/>
      </c>
    </row>
    <row r="195">
      <c r="A195" s="33">
        <f>IF(OR('Calc_Mix'!$B16="",'Calc_Mix'!$C16&lt;&gt;"Sala cirúrgica"),"",'Calc_Mix'!$B16)</f>
        <v/>
      </c>
      <c r="B195" s="33" t="n">
        <v>11</v>
      </c>
      <c r="C195" s="43">
        <f>IF(OR($E195="",$E195=0),"",MOD(Turno_Ini+$H195/1440,1))</f>
        <v/>
      </c>
      <c r="D195" s="43">
        <f>IF(OR($E195="",$E195=0),"",MOD(Turno_Ini+$I195/1440,1))</f>
        <v/>
      </c>
      <c r="E195" s="37">
        <f>IF($H195="","",MAX(0,$I195-$H195))</f>
        <v/>
      </c>
      <c r="F195" s="37">
        <f>IF(OR($E195="",$E195=0),"",MAX(0,$E195-Limpeza_Min))</f>
        <v/>
      </c>
      <c r="G195" s="19">
        <f>IF($E195="","",IF($E195=0,"Sem intervalo",IF($E195&gt;=Janela_Min,"Janela aproveitável","Janela curta")))</f>
        <v/>
      </c>
      <c r="H195">
        <f>IF(OR($A195="",ISERROR(MATCH($A195&amp;"#11",Mapa_Chave,0))),"",INDEX(Mapa_RelFim,MATCH($A195&amp;"#11",Mapa_Chave,0))+Limpeza_Min)</f>
        <v/>
      </c>
      <c r="I195">
        <f>IF($H195="","",IFERROR(INDEX(Mapa_RelIni,MATCH($A195&amp;"#12",Mapa_Chave,0)),Turno_Min))</f>
        <v/>
      </c>
    </row>
    <row r="196">
      <c r="A196" s="33">
        <f>IF(OR('Calc_Mix'!$B16="",'Calc_Mix'!$C16&lt;&gt;"Sala cirúrgica"),"",'Calc_Mix'!$B16)</f>
        <v/>
      </c>
      <c r="B196" s="33" t="n">
        <v>12</v>
      </c>
      <c r="C196" s="43">
        <f>IF(OR($E196="",$E196=0),"",MOD(Turno_Ini+$H196/1440,1))</f>
        <v/>
      </c>
      <c r="D196" s="43">
        <f>IF(OR($E196="",$E196=0),"",MOD(Turno_Ini+$I196/1440,1))</f>
        <v/>
      </c>
      <c r="E196" s="37">
        <f>IF($H196="","",MAX(0,$I196-$H196))</f>
        <v/>
      </c>
      <c r="F196" s="37">
        <f>IF(OR($E196="",$E196=0),"",MAX(0,$E196-Limpeza_Min))</f>
        <v/>
      </c>
      <c r="G196" s="19">
        <f>IF($E196="","",IF($E196=0,"Sem intervalo",IF($E196&gt;=Janela_Min,"Janela aproveitável","Janela curta")))</f>
        <v/>
      </c>
      <c r="H196">
        <f>IF(OR($A196="",ISERROR(MATCH($A196&amp;"#12",Mapa_Chave,0))),"",INDEX(Mapa_RelFim,MATCH($A196&amp;"#12",Mapa_Chave,0))+Limpeza_Min)</f>
        <v/>
      </c>
      <c r="I196">
        <f>IF($H196="","",IFERROR(INDEX(Mapa_RelIni,MATCH($A196&amp;"#13",Mapa_Chave,0)),Turno_Min))</f>
        <v/>
      </c>
    </row>
    <row r="197">
      <c r="A197" s="33">
        <f>IF(OR('Calc_Mix'!$B17="",'Calc_Mix'!$C17&lt;&gt;"Sala cirúrgica"),"",'Calc_Mix'!$B17)</f>
        <v/>
      </c>
      <c r="B197" s="33" t="n">
        <v>0</v>
      </c>
      <c r="C197" s="43">
        <f>IF(OR($E197="",$E197=0),"",MOD(Turno_Ini+$H197/1440,1))</f>
        <v/>
      </c>
      <c r="D197" s="43">
        <f>IF(OR($E197="",$E197=0),"",MOD(Turno_Ini+$I197/1440,1))</f>
        <v/>
      </c>
      <c r="E197" s="37">
        <f>IF($H197="","",MAX(0,$I197-$H197))</f>
        <v/>
      </c>
      <c r="F197" s="37">
        <f>IF(OR($E197="",$E197=0),"",MAX(0,$E197-Limpeza_Min))</f>
        <v/>
      </c>
      <c r="G197" s="19">
        <f>IF($E197="","",IF($E197=0,"Sem intervalo",IF($E197&gt;=Janela_Min,"Janela aproveitável","Janela curta")))</f>
        <v/>
      </c>
      <c r="H197">
        <f>IF($A197="","",0)</f>
        <v/>
      </c>
      <c r="I197">
        <f>IF($H197="","",IFERROR(INDEX(Mapa_RelIni,MATCH($A197&amp;"#1",Mapa_Chave,0)),Turno_Min))</f>
        <v/>
      </c>
    </row>
    <row r="198">
      <c r="A198" s="33">
        <f>IF(OR('Calc_Mix'!$B17="",'Calc_Mix'!$C17&lt;&gt;"Sala cirúrgica"),"",'Calc_Mix'!$B17)</f>
        <v/>
      </c>
      <c r="B198" s="33" t="n">
        <v>1</v>
      </c>
      <c r="C198" s="43">
        <f>IF(OR($E198="",$E198=0),"",MOD(Turno_Ini+$H198/1440,1))</f>
        <v/>
      </c>
      <c r="D198" s="43">
        <f>IF(OR($E198="",$E198=0),"",MOD(Turno_Ini+$I198/1440,1))</f>
        <v/>
      </c>
      <c r="E198" s="37">
        <f>IF($H198="","",MAX(0,$I198-$H198))</f>
        <v/>
      </c>
      <c r="F198" s="37">
        <f>IF(OR($E198="",$E198=0),"",MAX(0,$E198-Limpeza_Min))</f>
        <v/>
      </c>
      <c r="G198" s="19">
        <f>IF($E198="","",IF($E198=0,"Sem intervalo",IF($E198&gt;=Janela_Min,"Janela aproveitável","Janela curta")))</f>
        <v/>
      </c>
      <c r="H198">
        <f>IF(OR($A198="",ISERROR(MATCH($A198&amp;"#1",Mapa_Chave,0))),"",INDEX(Mapa_RelFim,MATCH($A198&amp;"#1",Mapa_Chave,0))+Limpeza_Min)</f>
        <v/>
      </c>
      <c r="I198">
        <f>IF($H198="","",IFERROR(INDEX(Mapa_RelIni,MATCH($A198&amp;"#2",Mapa_Chave,0)),Turno_Min))</f>
        <v/>
      </c>
    </row>
    <row r="199">
      <c r="A199" s="33">
        <f>IF(OR('Calc_Mix'!$B17="",'Calc_Mix'!$C17&lt;&gt;"Sala cirúrgica"),"",'Calc_Mix'!$B17)</f>
        <v/>
      </c>
      <c r="B199" s="33" t="n">
        <v>2</v>
      </c>
      <c r="C199" s="43">
        <f>IF(OR($E199="",$E199=0),"",MOD(Turno_Ini+$H199/1440,1))</f>
        <v/>
      </c>
      <c r="D199" s="43">
        <f>IF(OR($E199="",$E199=0),"",MOD(Turno_Ini+$I199/1440,1))</f>
        <v/>
      </c>
      <c r="E199" s="37">
        <f>IF($H199="","",MAX(0,$I199-$H199))</f>
        <v/>
      </c>
      <c r="F199" s="37">
        <f>IF(OR($E199="",$E199=0),"",MAX(0,$E199-Limpeza_Min))</f>
        <v/>
      </c>
      <c r="G199" s="19">
        <f>IF($E199="","",IF($E199=0,"Sem intervalo",IF($E199&gt;=Janela_Min,"Janela aproveitável","Janela curta")))</f>
        <v/>
      </c>
      <c r="H199">
        <f>IF(OR($A199="",ISERROR(MATCH($A199&amp;"#2",Mapa_Chave,0))),"",INDEX(Mapa_RelFim,MATCH($A199&amp;"#2",Mapa_Chave,0))+Limpeza_Min)</f>
        <v/>
      </c>
      <c r="I199">
        <f>IF($H199="","",IFERROR(INDEX(Mapa_RelIni,MATCH($A199&amp;"#3",Mapa_Chave,0)),Turno_Min))</f>
        <v/>
      </c>
    </row>
    <row r="200">
      <c r="A200" s="33">
        <f>IF(OR('Calc_Mix'!$B17="",'Calc_Mix'!$C17&lt;&gt;"Sala cirúrgica"),"",'Calc_Mix'!$B17)</f>
        <v/>
      </c>
      <c r="B200" s="33" t="n">
        <v>3</v>
      </c>
      <c r="C200" s="43">
        <f>IF(OR($E200="",$E200=0),"",MOD(Turno_Ini+$H200/1440,1))</f>
        <v/>
      </c>
      <c r="D200" s="43">
        <f>IF(OR($E200="",$E200=0),"",MOD(Turno_Ini+$I200/1440,1))</f>
        <v/>
      </c>
      <c r="E200" s="37">
        <f>IF($H200="","",MAX(0,$I200-$H200))</f>
        <v/>
      </c>
      <c r="F200" s="37">
        <f>IF(OR($E200="",$E200=0),"",MAX(0,$E200-Limpeza_Min))</f>
        <v/>
      </c>
      <c r="G200" s="19">
        <f>IF($E200="","",IF($E200=0,"Sem intervalo",IF($E200&gt;=Janela_Min,"Janela aproveitável","Janela curta")))</f>
        <v/>
      </c>
      <c r="H200">
        <f>IF(OR($A200="",ISERROR(MATCH($A200&amp;"#3",Mapa_Chave,0))),"",INDEX(Mapa_RelFim,MATCH($A200&amp;"#3",Mapa_Chave,0))+Limpeza_Min)</f>
        <v/>
      </c>
      <c r="I200">
        <f>IF($H200="","",IFERROR(INDEX(Mapa_RelIni,MATCH($A200&amp;"#4",Mapa_Chave,0)),Turno_Min))</f>
        <v/>
      </c>
    </row>
    <row r="201">
      <c r="A201" s="33">
        <f>IF(OR('Calc_Mix'!$B17="",'Calc_Mix'!$C17&lt;&gt;"Sala cirúrgica"),"",'Calc_Mix'!$B17)</f>
        <v/>
      </c>
      <c r="B201" s="33" t="n">
        <v>4</v>
      </c>
      <c r="C201" s="43">
        <f>IF(OR($E201="",$E201=0),"",MOD(Turno_Ini+$H201/1440,1))</f>
        <v/>
      </c>
      <c r="D201" s="43">
        <f>IF(OR($E201="",$E201=0),"",MOD(Turno_Ini+$I201/1440,1))</f>
        <v/>
      </c>
      <c r="E201" s="37">
        <f>IF($H201="","",MAX(0,$I201-$H201))</f>
        <v/>
      </c>
      <c r="F201" s="37">
        <f>IF(OR($E201="",$E201=0),"",MAX(0,$E201-Limpeza_Min))</f>
        <v/>
      </c>
      <c r="G201" s="19">
        <f>IF($E201="","",IF($E201=0,"Sem intervalo",IF($E201&gt;=Janela_Min,"Janela aproveitável","Janela curta")))</f>
        <v/>
      </c>
      <c r="H201">
        <f>IF(OR($A201="",ISERROR(MATCH($A201&amp;"#4",Mapa_Chave,0))),"",INDEX(Mapa_RelFim,MATCH($A201&amp;"#4",Mapa_Chave,0))+Limpeza_Min)</f>
        <v/>
      </c>
      <c r="I201">
        <f>IF($H201="","",IFERROR(INDEX(Mapa_RelIni,MATCH($A201&amp;"#5",Mapa_Chave,0)),Turno_Min))</f>
        <v/>
      </c>
    </row>
    <row r="202">
      <c r="A202" s="33">
        <f>IF(OR('Calc_Mix'!$B17="",'Calc_Mix'!$C17&lt;&gt;"Sala cirúrgica"),"",'Calc_Mix'!$B17)</f>
        <v/>
      </c>
      <c r="B202" s="33" t="n">
        <v>5</v>
      </c>
      <c r="C202" s="43">
        <f>IF(OR($E202="",$E202=0),"",MOD(Turno_Ini+$H202/1440,1))</f>
        <v/>
      </c>
      <c r="D202" s="43">
        <f>IF(OR($E202="",$E202=0),"",MOD(Turno_Ini+$I202/1440,1))</f>
        <v/>
      </c>
      <c r="E202" s="37">
        <f>IF($H202="","",MAX(0,$I202-$H202))</f>
        <v/>
      </c>
      <c r="F202" s="37">
        <f>IF(OR($E202="",$E202=0),"",MAX(0,$E202-Limpeza_Min))</f>
        <v/>
      </c>
      <c r="G202" s="19">
        <f>IF($E202="","",IF($E202=0,"Sem intervalo",IF($E202&gt;=Janela_Min,"Janela aproveitável","Janela curta")))</f>
        <v/>
      </c>
      <c r="H202">
        <f>IF(OR($A202="",ISERROR(MATCH($A202&amp;"#5",Mapa_Chave,0))),"",INDEX(Mapa_RelFim,MATCH($A202&amp;"#5",Mapa_Chave,0))+Limpeza_Min)</f>
        <v/>
      </c>
      <c r="I202">
        <f>IF($H202="","",IFERROR(INDEX(Mapa_RelIni,MATCH($A202&amp;"#6",Mapa_Chave,0)),Turno_Min))</f>
        <v/>
      </c>
    </row>
    <row r="203">
      <c r="A203" s="33">
        <f>IF(OR('Calc_Mix'!$B17="",'Calc_Mix'!$C17&lt;&gt;"Sala cirúrgica"),"",'Calc_Mix'!$B17)</f>
        <v/>
      </c>
      <c r="B203" s="33" t="n">
        <v>6</v>
      </c>
      <c r="C203" s="43">
        <f>IF(OR($E203="",$E203=0),"",MOD(Turno_Ini+$H203/1440,1))</f>
        <v/>
      </c>
      <c r="D203" s="43">
        <f>IF(OR($E203="",$E203=0),"",MOD(Turno_Ini+$I203/1440,1))</f>
        <v/>
      </c>
      <c r="E203" s="37">
        <f>IF($H203="","",MAX(0,$I203-$H203))</f>
        <v/>
      </c>
      <c r="F203" s="37">
        <f>IF(OR($E203="",$E203=0),"",MAX(0,$E203-Limpeza_Min))</f>
        <v/>
      </c>
      <c r="G203" s="19">
        <f>IF($E203="","",IF($E203=0,"Sem intervalo",IF($E203&gt;=Janela_Min,"Janela aproveitável","Janela curta")))</f>
        <v/>
      </c>
      <c r="H203">
        <f>IF(OR($A203="",ISERROR(MATCH($A203&amp;"#6",Mapa_Chave,0))),"",INDEX(Mapa_RelFim,MATCH($A203&amp;"#6",Mapa_Chave,0))+Limpeza_Min)</f>
        <v/>
      </c>
      <c r="I203">
        <f>IF($H203="","",IFERROR(INDEX(Mapa_RelIni,MATCH($A203&amp;"#7",Mapa_Chave,0)),Turno_Min))</f>
        <v/>
      </c>
    </row>
    <row r="204">
      <c r="A204" s="33">
        <f>IF(OR('Calc_Mix'!$B17="",'Calc_Mix'!$C17&lt;&gt;"Sala cirúrgica"),"",'Calc_Mix'!$B17)</f>
        <v/>
      </c>
      <c r="B204" s="33" t="n">
        <v>7</v>
      </c>
      <c r="C204" s="43">
        <f>IF(OR($E204="",$E204=0),"",MOD(Turno_Ini+$H204/1440,1))</f>
        <v/>
      </c>
      <c r="D204" s="43">
        <f>IF(OR($E204="",$E204=0),"",MOD(Turno_Ini+$I204/1440,1))</f>
        <v/>
      </c>
      <c r="E204" s="37">
        <f>IF($H204="","",MAX(0,$I204-$H204))</f>
        <v/>
      </c>
      <c r="F204" s="37">
        <f>IF(OR($E204="",$E204=0),"",MAX(0,$E204-Limpeza_Min))</f>
        <v/>
      </c>
      <c r="G204" s="19">
        <f>IF($E204="","",IF($E204=0,"Sem intervalo",IF($E204&gt;=Janela_Min,"Janela aproveitável","Janela curta")))</f>
        <v/>
      </c>
      <c r="H204">
        <f>IF(OR($A204="",ISERROR(MATCH($A204&amp;"#7",Mapa_Chave,0))),"",INDEX(Mapa_RelFim,MATCH($A204&amp;"#7",Mapa_Chave,0))+Limpeza_Min)</f>
        <v/>
      </c>
      <c r="I204">
        <f>IF($H204="","",IFERROR(INDEX(Mapa_RelIni,MATCH($A204&amp;"#8",Mapa_Chave,0)),Turno_Min))</f>
        <v/>
      </c>
    </row>
    <row r="205">
      <c r="A205" s="33">
        <f>IF(OR('Calc_Mix'!$B17="",'Calc_Mix'!$C17&lt;&gt;"Sala cirúrgica"),"",'Calc_Mix'!$B17)</f>
        <v/>
      </c>
      <c r="B205" s="33" t="n">
        <v>8</v>
      </c>
      <c r="C205" s="43">
        <f>IF(OR($E205="",$E205=0),"",MOD(Turno_Ini+$H205/1440,1))</f>
        <v/>
      </c>
      <c r="D205" s="43">
        <f>IF(OR($E205="",$E205=0),"",MOD(Turno_Ini+$I205/1440,1))</f>
        <v/>
      </c>
      <c r="E205" s="37">
        <f>IF($H205="","",MAX(0,$I205-$H205))</f>
        <v/>
      </c>
      <c r="F205" s="37">
        <f>IF(OR($E205="",$E205=0),"",MAX(0,$E205-Limpeza_Min))</f>
        <v/>
      </c>
      <c r="G205" s="19">
        <f>IF($E205="","",IF($E205=0,"Sem intervalo",IF($E205&gt;=Janela_Min,"Janela aproveitável","Janela curta")))</f>
        <v/>
      </c>
      <c r="H205">
        <f>IF(OR($A205="",ISERROR(MATCH($A205&amp;"#8",Mapa_Chave,0))),"",INDEX(Mapa_RelFim,MATCH($A205&amp;"#8",Mapa_Chave,0))+Limpeza_Min)</f>
        <v/>
      </c>
      <c r="I205">
        <f>IF($H205="","",IFERROR(INDEX(Mapa_RelIni,MATCH($A205&amp;"#9",Mapa_Chave,0)),Turno_Min))</f>
        <v/>
      </c>
    </row>
    <row r="206">
      <c r="A206" s="33">
        <f>IF(OR('Calc_Mix'!$B17="",'Calc_Mix'!$C17&lt;&gt;"Sala cirúrgica"),"",'Calc_Mix'!$B17)</f>
        <v/>
      </c>
      <c r="B206" s="33" t="n">
        <v>9</v>
      </c>
      <c r="C206" s="43">
        <f>IF(OR($E206="",$E206=0),"",MOD(Turno_Ini+$H206/1440,1))</f>
        <v/>
      </c>
      <c r="D206" s="43">
        <f>IF(OR($E206="",$E206=0),"",MOD(Turno_Ini+$I206/1440,1))</f>
        <v/>
      </c>
      <c r="E206" s="37">
        <f>IF($H206="","",MAX(0,$I206-$H206))</f>
        <v/>
      </c>
      <c r="F206" s="37">
        <f>IF(OR($E206="",$E206=0),"",MAX(0,$E206-Limpeza_Min))</f>
        <v/>
      </c>
      <c r="G206" s="19">
        <f>IF($E206="","",IF($E206=0,"Sem intervalo",IF($E206&gt;=Janela_Min,"Janela aproveitável","Janela curta")))</f>
        <v/>
      </c>
      <c r="H206">
        <f>IF(OR($A206="",ISERROR(MATCH($A206&amp;"#9",Mapa_Chave,0))),"",INDEX(Mapa_RelFim,MATCH($A206&amp;"#9",Mapa_Chave,0))+Limpeza_Min)</f>
        <v/>
      </c>
      <c r="I206">
        <f>IF($H206="","",IFERROR(INDEX(Mapa_RelIni,MATCH($A206&amp;"#10",Mapa_Chave,0)),Turno_Min))</f>
        <v/>
      </c>
    </row>
    <row r="207">
      <c r="A207" s="33">
        <f>IF(OR('Calc_Mix'!$B17="",'Calc_Mix'!$C17&lt;&gt;"Sala cirúrgica"),"",'Calc_Mix'!$B17)</f>
        <v/>
      </c>
      <c r="B207" s="33" t="n">
        <v>10</v>
      </c>
      <c r="C207" s="43">
        <f>IF(OR($E207="",$E207=0),"",MOD(Turno_Ini+$H207/1440,1))</f>
        <v/>
      </c>
      <c r="D207" s="43">
        <f>IF(OR($E207="",$E207=0),"",MOD(Turno_Ini+$I207/1440,1))</f>
        <v/>
      </c>
      <c r="E207" s="37">
        <f>IF($H207="","",MAX(0,$I207-$H207))</f>
        <v/>
      </c>
      <c r="F207" s="37">
        <f>IF(OR($E207="",$E207=0),"",MAX(0,$E207-Limpeza_Min))</f>
        <v/>
      </c>
      <c r="G207" s="19">
        <f>IF($E207="","",IF($E207=0,"Sem intervalo",IF($E207&gt;=Janela_Min,"Janela aproveitável","Janela curta")))</f>
        <v/>
      </c>
      <c r="H207">
        <f>IF(OR($A207="",ISERROR(MATCH($A207&amp;"#10",Mapa_Chave,0))),"",INDEX(Mapa_RelFim,MATCH($A207&amp;"#10",Mapa_Chave,0))+Limpeza_Min)</f>
        <v/>
      </c>
      <c r="I207">
        <f>IF($H207="","",IFERROR(INDEX(Mapa_RelIni,MATCH($A207&amp;"#11",Mapa_Chave,0)),Turno_Min))</f>
        <v/>
      </c>
    </row>
    <row r="208">
      <c r="A208" s="33">
        <f>IF(OR('Calc_Mix'!$B17="",'Calc_Mix'!$C17&lt;&gt;"Sala cirúrgica"),"",'Calc_Mix'!$B17)</f>
        <v/>
      </c>
      <c r="B208" s="33" t="n">
        <v>11</v>
      </c>
      <c r="C208" s="43">
        <f>IF(OR($E208="",$E208=0),"",MOD(Turno_Ini+$H208/1440,1))</f>
        <v/>
      </c>
      <c r="D208" s="43">
        <f>IF(OR($E208="",$E208=0),"",MOD(Turno_Ini+$I208/1440,1))</f>
        <v/>
      </c>
      <c r="E208" s="37">
        <f>IF($H208="","",MAX(0,$I208-$H208))</f>
        <v/>
      </c>
      <c r="F208" s="37">
        <f>IF(OR($E208="",$E208=0),"",MAX(0,$E208-Limpeza_Min))</f>
        <v/>
      </c>
      <c r="G208" s="19">
        <f>IF($E208="","",IF($E208=0,"Sem intervalo",IF($E208&gt;=Janela_Min,"Janela aproveitável","Janela curta")))</f>
        <v/>
      </c>
      <c r="H208">
        <f>IF(OR($A208="",ISERROR(MATCH($A208&amp;"#11",Mapa_Chave,0))),"",INDEX(Mapa_RelFim,MATCH($A208&amp;"#11",Mapa_Chave,0))+Limpeza_Min)</f>
        <v/>
      </c>
      <c r="I208">
        <f>IF($H208="","",IFERROR(INDEX(Mapa_RelIni,MATCH($A208&amp;"#12",Mapa_Chave,0)),Turno_Min))</f>
        <v/>
      </c>
    </row>
    <row r="209">
      <c r="A209" s="33">
        <f>IF(OR('Calc_Mix'!$B17="",'Calc_Mix'!$C17&lt;&gt;"Sala cirúrgica"),"",'Calc_Mix'!$B17)</f>
        <v/>
      </c>
      <c r="B209" s="33" t="n">
        <v>12</v>
      </c>
      <c r="C209" s="43">
        <f>IF(OR($E209="",$E209=0),"",MOD(Turno_Ini+$H209/1440,1))</f>
        <v/>
      </c>
      <c r="D209" s="43">
        <f>IF(OR($E209="",$E209=0),"",MOD(Turno_Ini+$I209/1440,1))</f>
        <v/>
      </c>
      <c r="E209" s="37">
        <f>IF($H209="","",MAX(0,$I209-$H209))</f>
        <v/>
      </c>
      <c r="F209" s="37">
        <f>IF(OR($E209="",$E209=0),"",MAX(0,$E209-Limpeza_Min))</f>
        <v/>
      </c>
      <c r="G209" s="19">
        <f>IF($E209="","",IF($E209=0,"Sem intervalo",IF($E209&gt;=Janela_Min,"Janela aproveitável","Janela curta")))</f>
        <v/>
      </c>
      <c r="H209">
        <f>IF(OR($A209="",ISERROR(MATCH($A209&amp;"#12",Mapa_Chave,0))),"",INDEX(Mapa_RelFim,MATCH($A209&amp;"#12",Mapa_Chave,0))+Limpeza_Min)</f>
        <v/>
      </c>
      <c r="I209">
        <f>IF($H209="","",IFERROR(INDEX(Mapa_RelIni,MATCH($A209&amp;"#13",Mapa_Chave,0)),Turno_Min))</f>
        <v/>
      </c>
    </row>
    <row r="211">
      <c r="A211" s="2" t="inlineStr">
        <is>
          <t>Janela 0 é o tempo livre antes da primeira cirurgia; as demais são o intervalo entre a liberação de uma cirurgia (fim + limpeza) e o início da seguinte; a última vai até o fim do plantão. 'Cabe cirurgia de até' já desconta a limpeza do encaixe. Use o filtro da coluna Situação para ver só as janelas aproveitáveis.</t>
        </is>
      </c>
    </row>
  </sheetData>
  <autoFilter ref="A1:G209"/>
  <conditionalFormatting sqref="G2:G209">
    <cfRule type="cellIs" priority="1" operator="equal" dxfId="1">
      <formula>"Janela aproveitável"</formula>
    </cfRule>
  </conditionalFormatting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8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5" customWidth="1" min="3" max="3"/>
    <col width="15" customWidth="1" min="4" max="4"/>
    <col width="15" customWidth="1" min="5" max="5"/>
    <col width="15" customWidth="1" min="6" max="6"/>
    <col width="16" customWidth="1" min="7" max="7"/>
    <col width="44" customWidth="1" min="8" max="8"/>
    <col width="3" customWidth="1" min="9" max="9"/>
  </cols>
  <sheetData>
    <row r="1" ht="22" customHeight="1">
      <c r="A1" s="1" t="inlineStr">
        <is>
          <t>PAINEL DO CENTRO CIRÚRGICO — ESCALA DIÁRIA</t>
        </is>
      </c>
    </row>
    <row r="2">
      <c r="A2" s="2" t="inlineStr">
        <is>
          <t>Camada executiva. Tudo vem de fórmulas vivas sobre Mapa_Cirurgico, Ausencias e Escala_Dia.</t>
        </is>
      </c>
    </row>
    <row r="4">
      <c r="A4" s="9" t="inlineStr">
        <is>
          <t>1. INDICADORES DO DIA</t>
        </is>
      </c>
    </row>
    <row r="5" ht="32" customHeight="1">
      <c r="A5" s="14" t="inlineStr">
        <is>
          <t>Data da escala</t>
        </is>
      </c>
      <c r="B5" s="14" t="inlineStr">
        <is>
          <t>Cirurgias programadas</t>
        </is>
      </c>
      <c r="C5" s="14" t="inlineStr">
        <is>
          <t>Canceladas / suspensas</t>
        </is>
      </c>
      <c r="D5" s="14" t="inlineStr">
        <is>
          <t>Horas cirúrgicas</t>
        </is>
      </c>
      <c r="E5" s="14" t="inlineStr">
        <is>
          <t>Ocupação média das salas</t>
        </is>
      </c>
      <c r="F5" s="14" t="inlineStr">
        <is>
          <t>Afinidade média dos postos</t>
        </is>
      </c>
      <c r="G5" s="14" t="inlineStr">
        <is>
          <t>Postos com alerta</t>
        </is>
      </c>
      <c r="H5" s="14" t="inlineStr">
        <is>
          <t>Vagas cobertas</t>
        </is>
      </c>
    </row>
    <row r="6" ht="26" customHeight="1">
      <c r="A6" s="48">
        <f>Data_Mapa</f>
        <v/>
      </c>
      <c r="B6" s="49">
        <f>COUNTIFS(Mapa_MinOcup,"&gt;0",Mapa_Data,Data_Mapa)</f>
        <v/>
      </c>
      <c r="C6" s="49">
        <f>COUNTIFS(Mapa_Status,"Cancelada",Mapa_Data,Data_Mapa)+COUNTIFS(Mapa_Status,"Suspensa",Mapa_Data,Data_Mapa)</f>
        <v/>
      </c>
      <c r="D6" s="50">
        <f>SUMIFS(Mapa_Dur,Mapa_MinOcup,"&gt;0",Mapa_Data,Data_Mapa)/60</f>
        <v/>
      </c>
      <c r="E6" s="51">
        <f>IFERROR(SUMIFS(Esc_MinOcup,Esc_Tipo,"Sala cirúrgica")/(COUNTIF(Esc_Tipo,"Sala cirúrgica")*Turno_Min),"")</f>
        <v/>
      </c>
      <c r="F6" s="52">
        <f>IFERROR(SUMPRODUCT(Esc_AfinNum,Esc_Peso)/SUM(Esc_Peso),"")</f>
        <v/>
      </c>
      <c r="G6" s="49">
        <f>SUMPRODUCT((Esc_Alertas&lt;&gt;"OK")*(Esc_Alertas&lt;&gt;""))</f>
        <v/>
      </c>
      <c r="H6" s="49">
        <f>SUMPRODUCT((Esc_Tec1&lt;&gt;"")*1)+SUMPRODUCT((Esc_Tec2&lt;&gt;"")*1)</f>
        <v/>
      </c>
    </row>
    <row r="8">
      <c r="A8" s="9" t="inlineStr">
        <is>
          <t>2. COBERTURA DE PESSOAL — o déficit do dia</t>
        </is>
      </c>
    </row>
    <row r="9" ht="32" customHeight="1">
      <c r="A9" s="14" t="inlineStr">
        <is>
          <t>Técnicos no quadro</t>
        </is>
      </c>
      <c r="B9" s="14" t="inlineStr">
        <is>
          <t>Ausentes hoje</t>
        </is>
      </c>
      <c r="C9" s="14" t="inlineStr">
        <is>
          <t>DISPONÍVEIS hoje</t>
        </is>
      </c>
      <c r="D9" s="14" t="inlineStr">
        <is>
          <t>Vagas necessárias</t>
        </is>
      </c>
      <c r="E9" s="14" t="inlineStr">
        <is>
          <t>DÉFICIT DE TÉCNICOS</t>
        </is>
      </c>
      <c r="F9" s="14" t="inlineStr">
        <is>
          <t>Postos descobertos</t>
        </is>
      </c>
      <c r="G9" s="14" t="inlineStr">
        <is>
          <t>Cirurgias a remanejar</t>
        </is>
      </c>
      <c r="H9" s="14" t="inlineStr">
        <is>
          <t>Reserva (disponíveis sem posto)</t>
        </is>
      </c>
    </row>
    <row r="10" ht="26" customHeight="1">
      <c r="A10" s="49">
        <f>SUMPRODUCT((Equipe_Nome&lt;&gt;"")*(Equipe_StatusCad="Ativo"))</f>
        <v/>
      </c>
      <c r="B10" s="49">
        <f>SUMPRODUCT((Equipe_Nome&lt;&gt;"")*(Equipe_StatusCad="Ativo")*(Equipe_Situacao&lt;&gt;"Disponível"))</f>
        <v/>
      </c>
      <c r="C10" s="49">
        <f>SUMPRODUCT((Equipe_Nome&lt;&gt;"")*(Equipe_Situacao="Disponível"))</f>
        <v/>
      </c>
      <c r="D10" s="49">
        <f>SUM(Esc_Nec)</f>
        <v/>
      </c>
      <c r="E10" s="49">
        <f>MAX(0,$D$10-$C$10)</f>
        <v/>
      </c>
      <c r="F10" s="49">
        <f>COUNTIF(Esc_Cobertura,"DESCOBERTO")</f>
        <v/>
      </c>
      <c r="G10" s="49">
        <f>SUMIFS(Esc_NCir,Esc_Cobertura,"DESCOBERTO")</f>
        <v/>
      </c>
      <c r="H10" s="49">
        <f>SUMPRODUCT((Equipe_Nome&lt;&gt;"")*(Equipe_Situacao="Disponível")*((COUNTIF(Esc_Tec1,Equipe_Nome)+COUNTIF(Esc_Tec2,Equipe_Nome))=0))</f>
        <v/>
      </c>
    </row>
    <row r="12">
      <c r="A12" s="9" t="inlineStr">
        <is>
          <t>3. AUSÊNCIAS</t>
        </is>
      </c>
    </row>
    <row r="13" ht="20" customHeight="1">
      <c r="A13" s="14" t="inlineStr">
        <is>
          <t>Tipo</t>
        </is>
      </c>
      <c r="B13" s="14" t="inlineStr">
        <is>
          <t>Técnicos ausentes hoje</t>
        </is>
      </c>
      <c r="C13" s="14" t="inlineStr">
        <is>
          <t>Dias no mês</t>
        </is>
      </c>
    </row>
    <row r="14">
      <c r="A14" s="19">
        <f>'Parâmetros'!$A$38</f>
        <v/>
      </c>
      <c r="B14" s="37">
        <f>SUMPRODUCT((Equipe_Nome&lt;&gt;"")*(Equipe_Situacao=$A14))</f>
        <v/>
      </c>
      <c r="C14" s="37">
        <f>COUNTIF('Calendario_Ausencias'!$C$4:$AG$33,'Parâmetros'!$B$38)</f>
        <v/>
      </c>
    </row>
    <row r="15">
      <c r="A15" s="19">
        <f>'Parâmetros'!$A$39</f>
        <v/>
      </c>
      <c r="B15" s="37">
        <f>SUMPRODUCT((Equipe_Nome&lt;&gt;"")*(Equipe_Situacao=$A15))</f>
        <v/>
      </c>
      <c r="C15" s="37">
        <f>COUNTIF('Calendario_Ausencias'!$C$4:$AG$33,'Parâmetros'!$B$39)</f>
        <v/>
      </c>
    </row>
    <row r="16">
      <c r="A16" s="19">
        <f>'Parâmetros'!$A$40</f>
        <v/>
      </c>
      <c r="B16" s="37">
        <f>SUMPRODUCT((Equipe_Nome&lt;&gt;"")*(Equipe_Situacao=$A16))</f>
        <v/>
      </c>
      <c r="C16" s="37">
        <f>COUNTIF('Calendario_Ausencias'!$C$4:$AG$33,'Parâmetros'!$B$40)</f>
        <v/>
      </c>
    </row>
    <row r="17">
      <c r="A17" s="19">
        <f>'Parâmetros'!$A$41</f>
        <v/>
      </c>
      <c r="B17" s="37">
        <f>SUMPRODUCT((Equipe_Nome&lt;&gt;"")*(Equipe_Situacao=$A17))</f>
        <v/>
      </c>
      <c r="C17" s="37">
        <f>COUNTIF('Calendario_Ausencias'!$C$4:$AG$33,'Parâmetros'!$B$41)</f>
        <v/>
      </c>
    </row>
    <row r="18">
      <c r="A18" s="19">
        <f>'Parâmetros'!$A$42</f>
        <v/>
      </c>
      <c r="B18" s="37">
        <f>SUMPRODUCT((Equipe_Nome&lt;&gt;"")*(Equipe_Situacao=$A18))</f>
        <v/>
      </c>
      <c r="C18" s="37">
        <f>COUNTIF('Calendario_Ausencias'!$C$4:$AG$33,'Parâmetros'!$B$42)</f>
        <v/>
      </c>
    </row>
    <row r="20">
      <c r="A20" s="9" t="inlineStr">
        <is>
          <t>4. SITUAÇÃO POR POSTO</t>
        </is>
      </c>
    </row>
    <row r="21" ht="30" customHeight="1">
      <c r="A21" s="14" t="inlineStr">
        <is>
          <t>Posto</t>
        </is>
      </c>
      <c r="B21" s="14" t="inlineStr">
        <is>
          <t>Nome do posto</t>
        </is>
      </c>
      <c r="C21" s="14" t="inlineStr">
        <is>
          <t>Nº cirurgias</t>
        </is>
      </c>
      <c r="D21" s="14" t="inlineStr">
        <is>
          <t>Ocupação</t>
        </is>
      </c>
      <c r="E21" s="14" t="inlineStr">
        <is>
          <t>Cobertura</t>
        </is>
      </c>
      <c r="F21" s="14" t="inlineStr">
        <is>
          <t>Afinidade</t>
        </is>
      </c>
      <c r="G21" s="14" t="inlineStr">
        <is>
          <t>Classificação</t>
        </is>
      </c>
      <c r="H21" s="14" t="inlineStr">
        <is>
          <t>Alertas</t>
        </is>
      </c>
    </row>
    <row r="22">
      <c r="A22" s="15">
        <f>IF('Escala_Dia'!$B2="","",'Escala_Dia'!$B2)</f>
        <v/>
      </c>
      <c r="B22" s="19">
        <f>IF('Escala_Dia'!$C2="","",'Escala_Dia'!$C2)</f>
        <v/>
      </c>
      <c r="C22" s="37">
        <f>IF('Escala_Dia'!$G2="","",'Escala_Dia'!$G2)</f>
        <v/>
      </c>
      <c r="D22" s="44">
        <f>IF('Escala_Dia'!$I2="","",'Escala_Dia'!$I2)</f>
        <v/>
      </c>
      <c r="E22" s="19">
        <f>IF('Escala_Dia'!$Q2="","",'Escala_Dia'!$Q2)</f>
        <v/>
      </c>
      <c r="F22" s="36">
        <f>IF('Escala_Dia'!$P2="","",'Escala_Dia'!$P2)</f>
        <v/>
      </c>
      <c r="G22" s="15">
        <f>IF('Escala_Dia'!$R2="","",'Escala_Dia'!$R2)</f>
        <v/>
      </c>
      <c r="H22" s="19">
        <f>IF('Escala_Dia'!$W2="","",'Escala_Dia'!$W2)</f>
        <v/>
      </c>
    </row>
    <row r="23">
      <c r="A23" s="15">
        <f>IF('Escala_Dia'!$B3="","",'Escala_Dia'!$B3)</f>
        <v/>
      </c>
      <c r="B23" s="19">
        <f>IF('Escala_Dia'!$C3="","",'Escala_Dia'!$C3)</f>
        <v/>
      </c>
      <c r="C23" s="37">
        <f>IF('Escala_Dia'!$G3="","",'Escala_Dia'!$G3)</f>
        <v/>
      </c>
      <c r="D23" s="44">
        <f>IF('Escala_Dia'!$I3="","",'Escala_Dia'!$I3)</f>
        <v/>
      </c>
      <c r="E23" s="19">
        <f>IF('Escala_Dia'!$Q3="","",'Escala_Dia'!$Q3)</f>
        <v/>
      </c>
      <c r="F23" s="36">
        <f>IF('Escala_Dia'!$P3="","",'Escala_Dia'!$P3)</f>
        <v/>
      </c>
      <c r="G23" s="15">
        <f>IF('Escala_Dia'!$R3="","",'Escala_Dia'!$R3)</f>
        <v/>
      </c>
      <c r="H23" s="19">
        <f>IF('Escala_Dia'!$W3="","",'Escala_Dia'!$W3)</f>
        <v/>
      </c>
    </row>
    <row r="24">
      <c r="A24" s="15">
        <f>IF('Escala_Dia'!$B4="","",'Escala_Dia'!$B4)</f>
        <v/>
      </c>
      <c r="B24" s="19">
        <f>IF('Escala_Dia'!$C4="","",'Escala_Dia'!$C4)</f>
        <v/>
      </c>
      <c r="C24" s="37">
        <f>IF('Escala_Dia'!$G4="","",'Escala_Dia'!$G4)</f>
        <v/>
      </c>
      <c r="D24" s="44">
        <f>IF('Escala_Dia'!$I4="","",'Escala_Dia'!$I4)</f>
        <v/>
      </c>
      <c r="E24" s="19">
        <f>IF('Escala_Dia'!$Q4="","",'Escala_Dia'!$Q4)</f>
        <v/>
      </c>
      <c r="F24" s="36">
        <f>IF('Escala_Dia'!$P4="","",'Escala_Dia'!$P4)</f>
        <v/>
      </c>
      <c r="G24" s="15">
        <f>IF('Escala_Dia'!$R4="","",'Escala_Dia'!$R4)</f>
        <v/>
      </c>
      <c r="H24" s="19">
        <f>IF('Escala_Dia'!$W4="","",'Escala_Dia'!$W4)</f>
        <v/>
      </c>
    </row>
    <row r="25">
      <c r="A25" s="15">
        <f>IF('Escala_Dia'!$B5="","",'Escala_Dia'!$B5)</f>
        <v/>
      </c>
      <c r="B25" s="19">
        <f>IF('Escala_Dia'!$C5="","",'Escala_Dia'!$C5)</f>
        <v/>
      </c>
      <c r="C25" s="37">
        <f>IF('Escala_Dia'!$G5="","",'Escala_Dia'!$G5)</f>
        <v/>
      </c>
      <c r="D25" s="44">
        <f>IF('Escala_Dia'!$I5="","",'Escala_Dia'!$I5)</f>
        <v/>
      </c>
      <c r="E25" s="19">
        <f>IF('Escala_Dia'!$Q5="","",'Escala_Dia'!$Q5)</f>
        <v/>
      </c>
      <c r="F25" s="36">
        <f>IF('Escala_Dia'!$P5="","",'Escala_Dia'!$P5)</f>
        <v/>
      </c>
      <c r="G25" s="15">
        <f>IF('Escala_Dia'!$R5="","",'Escala_Dia'!$R5)</f>
        <v/>
      </c>
      <c r="H25" s="19">
        <f>IF('Escala_Dia'!$W5="","",'Escala_Dia'!$W5)</f>
        <v/>
      </c>
    </row>
    <row r="26">
      <c r="A26" s="15">
        <f>IF('Escala_Dia'!$B6="","",'Escala_Dia'!$B6)</f>
        <v/>
      </c>
      <c r="B26" s="19">
        <f>IF('Escala_Dia'!$C6="","",'Escala_Dia'!$C6)</f>
        <v/>
      </c>
      <c r="C26" s="37">
        <f>IF('Escala_Dia'!$G6="","",'Escala_Dia'!$G6)</f>
        <v/>
      </c>
      <c r="D26" s="44">
        <f>IF('Escala_Dia'!$I6="","",'Escala_Dia'!$I6)</f>
        <v/>
      </c>
      <c r="E26" s="19">
        <f>IF('Escala_Dia'!$Q6="","",'Escala_Dia'!$Q6)</f>
        <v/>
      </c>
      <c r="F26" s="36">
        <f>IF('Escala_Dia'!$P6="","",'Escala_Dia'!$P6)</f>
        <v/>
      </c>
      <c r="G26" s="15">
        <f>IF('Escala_Dia'!$R6="","",'Escala_Dia'!$R6)</f>
        <v/>
      </c>
      <c r="H26" s="19">
        <f>IF('Escala_Dia'!$W6="","",'Escala_Dia'!$W6)</f>
        <v/>
      </c>
    </row>
    <row r="27">
      <c r="A27" s="15">
        <f>IF('Escala_Dia'!$B7="","",'Escala_Dia'!$B7)</f>
        <v/>
      </c>
      <c r="B27" s="19">
        <f>IF('Escala_Dia'!$C7="","",'Escala_Dia'!$C7)</f>
        <v/>
      </c>
      <c r="C27" s="37">
        <f>IF('Escala_Dia'!$G7="","",'Escala_Dia'!$G7)</f>
        <v/>
      </c>
      <c r="D27" s="44">
        <f>IF('Escala_Dia'!$I7="","",'Escala_Dia'!$I7)</f>
        <v/>
      </c>
      <c r="E27" s="19">
        <f>IF('Escala_Dia'!$Q7="","",'Escala_Dia'!$Q7)</f>
        <v/>
      </c>
      <c r="F27" s="36">
        <f>IF('Escala_Dia'!$P7="","",'Escala_Dia'!$P7)</f>
        <v/>
      </c>
      <c r="G27" s="15">
        <f>IF('Escala_Dia'!$R7="","",'Escala_Dia'!$R7)</f>
        <v/>
      </c>
      <c r="H27" s="19">
        <f>IF('Escala_Dia'!$W7="","",'Escala_Dia'!$W7)</f>
        <v/>
      </c>
    </row>
    <row r="28">
      <c r="A28" s="15">
        <f>IF('Escala_Dia'!$B8="","",'Escala_Dia'!$B8)</f>
        <v/>
      </c>
      <c r="B28" s="19">
        <f>IF('Escala_Dia'!$C8="","",'Escala_Dia'!$C8)</f>
        <v/>
      </c>
      <c r="C28" s="37">
        <f>IF('Escala_Dia'!$G8="","",'Escala_Dia'!$G8)</f>
        <v/>
      </c>
      <c r="D28" s="44">
        <f>IF('Escala_Dia'!$I8="","",'Escala_Dia'!$I8)</f>
        <v/>
      </c>
      <c r="E28" s="19">
        <f>IF('Escala_Dia'!$Q8="","",'Escala_Dia'!$Q8)</f>
        <v/>
      </c>
      <c r="F28" s="36">
        <f>IF('Escala_Dia'!$P8="","",'Escala_Dia'!$P8)</f>
        <v/>
      </c>
      <c r="G28" s="15">
        <f>IF('Escala_Dia'!$R8="","",'Escala_Dia'!$R8)</f>
        <v/>
      </c>
      <c r="H28" s="19">
        <f>IF('Escala_Dia'!$W8="","",'Escala_Dia'!$W8)</f>
        <v/>
      </c>
    </row>
    <row r="29">
      <c r="A29" s="15">
        <f>IF('Escala_Dia'!$B9="","",'Escala_Dia'!$B9)</f>
        <v/>
      </c>
      <c r="B29" s="19">
        <f>IF('Escala_Dia'!$C9="","",'Escala_Dia'!$C9)</f>
        <v/>
      </c>
      <c r="C29" s="37">
        <f>IF('Escala_Dia'!$G9="","",'Escala_Dia'!$G9)</f>
        <v/>
      </c>
      <c r="D29" s="44">
        <f>IF('Escala_Dia'!$I9="","",'Escala_Dia'!$I9)</f>
        <v/>
      </c>
      <c r="E29" s="19">
        <f>IF('Escala_Dia'!$Q9="","",'Escala_Dia'!$Q9)</f>
        <v/>
      </c>
      <c r="F29" s="36">
        <f>IF('Escala_Dia'!$P9="","",'Escala_Dia'!$P9)</f>
        <v/>
      </c>
      <c r="G29" s="15">
        <f>IF('Escala_Dia'!$R9="","",'Escala_Dia'!$R9)</f>
        <v/>
      </c>
      <c r="H29" s="19">
        <f>IF('Escala_Dia'!$W9="","",'Escala_Dia'!$W9)</f>
        <v/>
      </c>
    </row>
    <row r="30">
      <c r="A30" s="15">
        <f>IF('Escala_Dia'!$B10="","",'Escala_Dia'!$B10)</f>
        <v/>
      </c>
      <c r="B30" s="19">
        <f>IF('Escala_Dia'!$C10="","",'Escala_Dia'!$C10)</f>
        <v/>
      </c>
      <c r="C30" s="37">
        <f>IF('Escala_Dia'!$G10="","",'Escala_Dia'!$G10)</f>
        <v/>
      </c>
      <c r="D30" s="44">
        <f>IF('Escala_Dia'!$I10="","",'Escala_Dia'!$I10)</f>
        <v/>
      </c>
      <c r="E30" s="19">
        <f>IF('Escala_Dia'!$Q10="","",'Escala_Dia'!$Q10)</f>
        <v/>
      </c>
      <c r="F30" s="36">
        <f>IF('Escala_Dia'!$P10="","",'Escala_Dia'!$P10)</f>
        <v/>
      </c>
      <c r="G30" s="15">
        <f>IF('Escala_Dia'!$R10="","",'Escala_Dia'!$R10)</f>
        <v/>
      </c>
      <c r="H30" s="19">
        <f>IF('Escala_Dia'!$W10="","",'Escala_Dia'!$W10)</f>
        <v/>
      </c>
    </row>
    <row r="31">
      <c r="A31" s="15">
        <f>IF('Escala_Dia'!$B11="","",'Escala_Dia'!$B11)</f>
        <v/>
      </c>
      <c r="B31" s="19">
        <f>IF('Escala_Dia'!$C11="","",'Escala_Dia'!$C11)</f>
        <v/>
      </c>
      <c r="C31" s="37">
        <f>IF('Escala_Dia'!$G11="","",'Escala_Dia'!$G11)</f>
        <v/>
      </c>
      <c r="D31" s="44">
        <f>IF('Escala_Dia'!$I11="","",'Escala_Dia'!$I11)</f>
        <v/>
      </c>
      <c r="E31" s="19">
        <f>IF('Escala_Dia'!$Q11="","",'Escala_Dia'!$Q11)</f>
        <v/>
      </c>
      <c r="F31" s="36">
        <f>IF('Escala_Dia'!$P11="","",'Escala_Dia'!$P11)</f>
        <v/>
      </c>
      <c r="G31" s="15">
        <f>IF('Escala_Dia'!$R11="","",'Escala_Dia'!$R11)</f>
        <v/>
      </c>
      <c r="H31" s="19">
        <f>IF('Escala_Dia'!$W11="","",'Escala_Dia'!$W11)</f>
        <v/>
      </c>
    </row>
    <row r="32">
      <c r="A32" s="15">
        <f>IF('Escala_Dia'!$B12="","",'Escala_Dia'!$B12)</f>
        <v/>
      </c>
      <c r="B32" s="19">
        <f>IF('Escala_Dia'!$C12="","",'Escala_Dia'!$C12)</f>
        <v/>
      </c>
      <c r="C32" s="37">
        <f>IF('Escala_Dia'!$G12="","",'Escala_Dia'!$G12)</f>
        <v/>
      </c>
      <c r="D32" s="44">
        <f>IF('Escala_Dia'!$I12="","",'Escala_Dia'!$I12)</f>
        <v/>
      </c>
      <c r="E32" s="19">
        <f>IF('Escala_Dia'!$Q12="","",'Escala_Dia'!$Q12)</f>
        <v/>
      </c>
      <c r="F32" s="36">
        <f>IF('Escala_Dia'!$P12="","",'Escala_Dia'!$P12)</f>
        <v/>
      </c>
      <c r="G32" s="15">
        <f>IF('Escala_Dia'!$R12="","",'Escala_Dia'!$R12)</f>
        <v/>
      </c>
      <c r="H32" s="19">
        <f>IF('Escala_Dia'!$W12="","",'Escala_Dia'!$W12)</f>
        <v/>
      </c>
    </row>
    <row r="33">
      <c r="A33" s="15">
        <f>IF('Escala_Dia'!$B13="","",'Escala_Dia'!$B13)</f>
        <v/>
      </c>
      <c r="B33" s="19">
        <f>IF('Escala_Dia'!$C13="","",'Escala_Dia'!$C13)</f>
        <v/>
      </c>
      <c r="C33" s="37">
        <f>IF('Escala_Dia'!$G13="","",'Escala_Dia'!$G13)</f>
        <v/>
      </c>
      <c r="D33" s="44">
        <f>IF('Escala_Dia'!$I13="","",'Escala_Dia'!$I13)</f>
        <v/>
      </c>
      <c r="E33" s="19">
        <f>IF('Escala_Dia'!$Q13="","",'Escala_Dia'!$Q13)</f>
        <v/>
      </c>
      <c r="F33" s="36">
        <f>IF('Escala_Dia'!$P13="","",'Escala_Dia'!$P13)</f>
        <v/>
      </c>
      <c r="G33" s="15">
        <f>IF('Escala_Dia'!$R13="","",'Escala_Dia'!$R13)</f>
        <v/>
      </c>
      <c r="H33" s="19">
        <f>IF('Escala_Dia'!$W13="","",'Escala_Dia'!$W13)</f>
        <v/>
      </c>
    </row>
    <row r="34">
      <c r="A34" s="15">
        <f>IF('Escala_Dia'!$B14="","",'Escala_Dia'!$B14)</f>
        <v/>
      </c>
      <c r="B34" s="19">
        <f>IF('Escala_Dia'!$C14="","",'Escala_Dia'!$C14)</f>
        <v/>
      </c>
      <c r="C34" s="37">
        <f>IF('Escala_Dia'!$G14="","",'Escala_Dia'!$G14)</f>
        <v/>
      </c>
      <c r="D34" s="44">
        <f>IF('Escala_Dia'!$I14="","",'Escala_Dia'!$I14)</f>
        <v/>
      </c>
      <c r="E34" s="19">
        <f>IF('Escala_Dia'!$Q14="","",'Escala_Dia'!$Q14)</f>
        <v/>
      </c>
      <c r="F34" s="36">
        <f>IF('Escala_Dia'!$P14="","",'Escala_Dia'!$P14)</f>
        <v/>
      </c>
      <c r="G34" s="15">
        <f>IF('Escala_Dia'!$R14="","",'Escala_Dia'!$R14)</f>
        <v/>
      </c>
      <c r="H34" s="19">
        <f>IF('Escala_Dia'!$W14="","",'Escala_Dia'!$W14)</f>
        <v/>
      </c>
    </row>
    <row r="35">
      <c r="A35" s="15">
        <f>IF('Escala_Dia'!$B15="","",'Escala_Dia'!$B15)</f>
        <v/>
      </c>
      <c r="B35" s="19">
        <f>IF('Escala_Dia'!$C15="","",'Escala_Dia'!$C15)</f>
        <v/>
      </c>
      <c r="C35" s="37">
        <f>IF('Escala_Dia'!$G15="","",'Escala_Dia'!$G15)</f>
        <v/>
      </c>
      <c r="D35" s="44">
        <f>IF('Escala_Dia'!$I15="","",'Escala_Dia'!$I15)</f>
        <v/>
      </c>
      <c r="E35" s="19">
        <f>IF('Escala_Dia'!$Q15="","",'Escala_Dia'!$Q15)</f>
        <v/>
      </c>
      <c r="F35" s="36">
        <f>IF('Escala_Dia'!$P15="","",'Escala_Dia'!$P15)</f>
        <v/>
      </c>
      <c r="G35" s="15">
        <f>IF('Escala_Dia'!$R15="","",'Escala_Dia'!$R15)</f>
        <v/>
      </c>
      <c r="H35" s="19">
        <f>IF('Escala_Dia'!$W15="","",'Escala_Dia'!$W15)</f>
        <v/>
      </c>
    </row>
    <row r="36">
      <c r="A36" s="15">
        <f>IF('Escala_Dia'!$B16="","",'Escala_Dia'!$B16)</f>
        <v/>
      </c>
      <c r="B36" s="19">
        <f>IF('Escala_Dia'!$C16="","",'Escala_Dia'!$C16)</f>
        <v/>
      </c>
      <c r="C36" s="37">
        <f>IF('Escala_Dia'!$G16="","",'Escala_Dia'!$G16)</f>
        <v/>
      </c>
      <c r="D36" s="44">
        <f>IF('Escala_Dia'!$I16="","",'Escala_Dia'!$I16)</f>
        <v/>
      </c>
      <c r="E36" s="19">
        <f>IF('Escala_Dia'!$Q16="","",'Escala_Dia'!$Q16)</f>
        <v/>
      </c>
      <c r="F36" s="36">
        <f>IF('Escala_Dia'!$P16="","",'Escala_Dia'!$P16)</f>
        <v/>
      </c>
      <c r="G36" s="15">
        <f>IF('Escala_Dia'!$R16="","",'Escala_Dia'!$R16)</f>
        <v/>
      </c>
      <c r="H36" s="19">
        <f>IF('Escala_Dia'!$W16="","",'Escala_Dia'!$W16)</f>
        <v/>
      </c>
    </row>
    <row r="37">
      <c r="A37" s="15">
        <f>IF('Escala_Dia'!$B17="","",'Escala_Dia'!$B17)</f>
        <v/>
      </c>
      <c r="B37" s="19">
        <f>IF('Escala_Dia'!$C17="","",'Escala_Dia'!$C17)</f>
        <v/>
      </c>
      <c r="C37" s="37">
        <f>IF('Escala_Dia'!$G17="","",'Escala_Dia'!$G17)</f>
        <v/>
      </c>
      <c r="D37" s="44">
        <f>IF('Escala_Dia'!$I17="","",'Escala_Dia'!$I17)</f>
        <v/>
      </c>
      <c r="E37" s="19">
        <f>IF('Escala_Dia'!$Q17="","",'Escala_Dia'!$Q17)</f>
        <v/>
      </c>
      <c r="F37" s="36">
        <f>IF('Escala_Dia'!$P17="","",'Escala_Dia'!$P17)</f>
        <v/>
      </c>
      <c r="G37" s="15">
        <f>IF('Escala_Dia'!$R17="","",'Escala_Dia'!$R17)</f>
        <v/>
      </c>
      <c r="H37" s="19">
        <f>IF('Escala_Dia'!$W17="","",'Escala_Dia'!$W17)</f>
        <v/>
      </c>
    </row>
    <row r="39">
      <c r="A39" s="9" t="inlineStr">
        <is>
          <t>5. DEMANDA × CAPACIDADE POR HABILIDADE</t>
        </is>
      </c>
    </row>
    <row r="40" ht="32" customHeight="1">
      <c r="A40" s="14" t="inlineStr">
        <is>
          <t>Habilidade</t>
        </is>
      </c>
      <c r="B40" s="14" t="inlineStr">
        <is>
          <t>Nº cirurgias</t>
        </is>
      </c>
      <c r="C40" s="14" t="inlineStr">
        <is>
          <t>Horas cirúrgicas</t>
        </is>
      </c>
      <c r="D40" s="14" t="inlineStr">
        <is>
          <t>% das horas</t>
        </is>
      </c>
      <c r="E40" s="14" t="inlineStr">
        <is>
          <t>Aptos no quadro (≥2)</t>
        </is>
      </c>
      <c r="F40" s="14" t="inlineStr">
        <is>
          <t>APTOS DISPONÍVEIS hoje</t>
        </is>
      </c>
      <c r="G40" s="14" t="inlineStr">
        <is>
          <t>Cobertura</t>
        </is>
      </c>
    </row>
    <row r="41">
      <c r="A41" s="19">
        <f>IF('Habilidades'!$B$2="","",'Habilidades'!$B$2)</f>
        <v/>
      </c>
      <c r="B41" s="15">
        <f>IF($A41="","",COUNTIFS(Mapa_Hab,$A41,Mapa_MinOcup,"&gt;0",Mapa_Data,Data_Mapa))</f>
        <v/>
      </c>
      <c r="C41" s="53">
        <f>IF($A41="","",SUMIFS(Mapa_Dur,Mapa_Hab,$A41,Mapa_MinOcup,"&gt;0",Mapa_Data,Data_Mapa)/60)</f>
        <v/>
      </c>
      <c r="D41" s="44">
        <f>IF(OR($A41="",SUM($C$41:$C$54)=0),"",$C41/SUM($C$41:$C$54))</f>
        <v/>
      </c>
      <c r="E41" s="15">
        <f>IF($A41="","",SUMPRODUCT((Equipe_StatusCad="Ativo")*('Matriz_Habilidades'!$D$2:$D$31&gt;=2)))</f>
        <v/>
      </c>
      <c r="F41" s="15">
        <f>IF($A41="","",SUMPRODUCT((Equipe_Situacao="Disponível")*('Matriz_Habilidades'!$D$2:$D$31&gt;=2)))</f>
        <v/>
      </c>
      <c r="G41" s="15">
        <f>IF($A41="","",IF($F41&gt;=2,"OK",IF($F41=1,"LIMITE","SEM COBERTURA")))</f>
        <v/>
      </c>
    </row>
    <row r="42">
      <c r="A42" s="19">
        <f>IF('Habilidades'!$B$3="","",'Habilidades'!$B$3)</f>
        <v/>
      </c>
      <c r="B42" s="15">
        <f>IF($A42="","",COUNTIFS(Mapa_Hab,$A42,Mapa_MinOcup,"&gt;0",Mapa_Data,Data_Mapa))</f>
        <v/>
      </c>
      <c r="C42" s="53">
        <f>IF($A42="","",SUMIFS(Mapa_Dur,Mapa_Hab,$A42,Mapa_MinOcup,"&gt;0",Mapa_Data,Data_Mapa)/60)</f>
        <v/>
      </c>
      <c r="D42" s="44">
        <f>IF(OR($A42="",SUM($C$41:$C$54)=0),"",$C42/SUM($C$41:$C$54))</f>
        <v/>
      </c>
      <c r="E42" s="15">
        <f>IF($A42="","",SUMPRODUCT((Equipe_StatusCad="Ativo")*('Matriz_Habilidades'!$E$2:$E$31&gt;=2)))</f>
        <v/>
      </c>
      <c r="F42" s="15">
        <f>IF($A42="","",SUMPRODUCT((Equipe_Situacao="Disponível")*('Matriz_Habilidades'!$E$2:$E$31&gt;=2)))</f>
        <v/>
      </c>
      <c r="G42" s="15">
        <f>IF($A42="","",IF($F42&gt;=2,"OK",IF($F42=1,"LIMITE","SEM COBERTURA")))</f>
        <v/>
      </c>
    </row>
    <row r="43">
      <c r="A43" s="19">
        <f>IF('Habilidades'!$B$4="","",'Habilidades'!$B$4)</f>
        <v/>
      </c>
      <c r="B43" s="15">
        <f>IF($A43="","",COUNTIFS(Mapa_Hab,$A43,Mapa_MinOcup,"&gt;0",Mapa_Data,Data_Mapa))</f>
        <v/>
      </c>
      <c r="C43" s="53">
        <f>IF($A43="","",SUMIFS(Mapa_Dur,Mapa_Hab,$A43,Mapa_MinOcup,"&gt;0",Mapa_Data,Data_Mapa)/60)</f>
        <v/>
      </c>
      <c r="D43" s="44">
        <f>IF(OR($A43="",SUM($C$41:$C$54)=0),"",$C43/SUM($C$41:$C$54))</f>
        <v/>
      </c>
      <c r="E43" s="15">
        <f>IF($A43="","",SUMPRODUCT((Equipe_StatusCad="Ativo")*('Matriz_Habilidades'!$F$2:$F$31&gt;=2)))</f>
        <v/>
      </c>
      <c r="F43" s="15">
        <f>IF($A43="","",SUMPRODUCT((Equipe_Situacao="Disponível")*('Matriz_Habilidades'!$F$2:$F$31&gt;=2)))</f>
        <v/>
      </c>
      <c r="G43" s="15">
        <f>IF($A43="","",IF($F43&gt;=2,"OK",IF($F43=1,"LIMITE","SEM COBERTURA")))</f>
        <v/>
      </c>
    </row>
    <row r="44">
      <c r="A44" s="19">
        <f>IF('Habilidades'!$B$5="","",'Habilidades'!$B$5)</f>
        <v/>
      </c>
      <c r="B44" s="15">
        <f>IF($A44="","",COUNTIFS(Mapa_Hab,$A44,Mapa_MinOcup,"&gt;0",Mapa_Data,Data_Mapa))</f>
        <v/>
      </c>
      <c r="C44" s="53">
        <f>IF($A44="","",SUMIFS(Mapa_Dur,Mapa_Hab,$A44,Mapa_MinOcup,"&gt;0",Mapa_Data,Data_Mapa)/60)</f>
        <v/>
      </c>
      <c r="D44" s="44">
        <f>IF(OR($A44="",SUM($C$41:$C$54)=0),"",$C44/SUM($C$41:$C$54))</f>
        <v/>
      </c>
      <c r="E44" s="15">
        <f>IF($A44="","",SUMPRODUCT((Equipe_StatusCad="Ativo")*('Matriz_Habilidades'!$G$2:$G$31&gt;=2)))</f>
        <v/>
      </c>
      <c r="F44" s="15">
        <f>IF($A44="","",SUMPRODUCT((Equipe_Situacao="Disponível")*('Matriz_Habilidades'!$G$2:$G$31&gt;=2)))</f>
        <v/>
      </c>
      <c r="G44" s="15">
        <f>IF($A44="","",IF($F44&gt;=2,"OK",IF($F44=1,"LIMITE","SEM COBERTURA")))</f>
        <v/>
      </c>
    </row>
    <row r="45">
      <c r="A45" s="19">
        <f>IF('Habilidades'!$B$6="","",'Habilidades'!$B$6)</f>
        <v/>
      </c>
      <c r="B45" s="15">
        <f>IF($A45="","",COUNTIFS(Mapa_Hab,$A45,Mapa_MinOcup,"&gt;0",Mapa_Data,Data_Mapa))</f>
        <v/>
      </c>
      <c r="C45" s="53">
        <f>IF($A45="","",SUMIFS(Mapa_Dur,Mapa_Hab,$A45,Mapa_MinOcup,"&gt;0",Mapa_Data,Data_Mapa)/60)</f>
        <v/>
      </c>
      <c r="D45" s="44">
        <f>IF(OR($A45="",SUM($C$41:$C$54)=0),"",$C45/SUM($C$41:$C$54))</f>
        <v/>
      </c>
      <c r="E45" s="15">
        <f>IF($A45="","",SUMPRODUCT((Equipe_StatusCad="Ativo")*('Matriz_Habilidades'!$H$2:$H$31&gt;=2)))</f>
        <v/>
      </c>
      <c r="F45" s="15">
        <f>IF($A45="","",SUMPRODUCT((Equipe_Situacao="Disponível")*('Matriz_Habilidades'!$H$2:$H$31&gt;=2)))</f>
        <v/>
      </c>
      <c r="G45" s="15">
        <f>IF($A45="","",IF($F45&gt;=2,"OK",IF($F45=1,"LIMITE","SEM COBERTURA")))</f>
        <v/>
      </c>
    </row>
    <row r="46">
      <c r="A46" s="19">
        <f>IF('Habilidades'!$B$7="","",'Habilidades'!$B$7)</f>
        <v/>
      </c>
      <c r="B46" s="15">
        <f>IF($A46="","",COUNTIFS(Mapa_Hab,$A46,Mapa_MinOcup,"&gt;0",Mapa_Data,Data_Mapa))</f>
        <v/>
      </c>
      <c r="C46" s="53">
        <f>IF($A46="","",SUMIFS(Mapa_Dur,Mapa_Hab,$A46,Mapa_MinOcup,"&gt;0",Mapa_Data,Data_Mapa)/60)</f>
        <v/>
      </c>
      <c r="D46" s="44">
        <f>IF(OR($A46="",SUM($C$41:$C$54)=0),"",$C46/SUM($C$41:$C$54))</f>
        <v/>
      </c>
      <c r="E46" s="15">
        <f>IF($A46="","",SUMPRODUCT((Equipe_StatusCad="Ativo")*('Matriz_Habilidades'!$I$2:$I$31&gt;=2)))</f>
        <v/>
      </c>
      <c r="F46" s="15">
        <f>IF($A46="","",SUMPRODUCT((Equipe_Situacao="Disponível")*('Matriz_Habilidades'!$I$2:$I$31&gt;=2)))</f>
        <v/>
      </c>
      <c r="G46" s="15">
        <f>IF($A46="","",IF($F46&gt;=2,"OK",IF($F46=1,"LIMITE","SEM COBERTURA")))</f>
        <v/>
      </c>
    </row>
    <row r="47">
      <c r="A47" s="19">
        <f>IF('Habilidades'!$B$8="","",'Habilidades'!$B$8)</f>
        <v/>
      </c>
      <c r="B47" s="15">
        <f>IF($A47="","",COUNTIFS(Mapa_Hab,$A47,Mapa_MinOcup,"&gt;0",Mapa_Data,Data_Mapa))</f>
        <v/>
      </c>
      <c r="C47" s="53">
        <f>IF($A47="","",SUMIFS(Mapa_Dur,Mapa_Hab,$A47,Mapa_MinOcup,"&gt;0",Mapa_Data,Data_Mapa)/60)</f>
        <v/>
      </c>
      <c r="D47" s="44">
        <f>IF(OR($A47="",SUM($C$41:$C$54)=0),"",$C47/SUM($C$41:$C$54))</f>
        <v/>
      </c>
      <c r="E47" s="15">
        <f>IF($A47="","",SUMPRODUCT((Equipe_StatusCad="Ativo")*('Matriz_Habilidades'!$J$2:$J$31&gt;=2)))</f>
        <v/>
      </c>
      <c r="F47" s="15">
        <f>IF($A47="","",SUMPRODUCT((Equipe_Situacao="Disponível")*('Matriz_Habilidades'!$J$2:$J$31&gt;=2)))</f>
        <v/>
      </c>
      <c r="G47" s="15">
        <f>IF($A47="","",IF($F47&gt;=2,"OK",IF($F47=1,"LIMITE","SEM COBERTURA")))</f>
        <v/>
      </c>
    </row>
    <row r="48">
      <c r="A48" s="19">
        <f>IF('Habilidades'!$B$9="","",'Habilidades'!$B$9)</f>
        <v/>
      </c>
      <c r="B48" s="15">
        <f>IF($A48="","",COUNTIFS(Mapa_Hab,$A48,Mapa_MinOcup,"&gt;0",Mapa_Data,Data_Mapa))</f>
        <v/>
      </c>
      <c r="C48" s="53">
        <f>IF($A48="","",SUMIFS(Mapa_Dur,Mapa_Hab,$A48,Mapa_MinOcup,"&gt;0",Mapa_Data,Data_Mapa)/60)</f>
        <v/>
      </c>
      <c r="D48" s="44">
        <f>IF(OR($A48="",SUM($C$41:$C$54)=0),"",$C48/SUM($C$41:$C$54))</f>
        <v/>
      </c>
      <c r="E48" s="15">
        <f>IF($A48="","",SUMPRODUCT((Equipe_StatusCad="Ativo")*('Matriz_Habilidades'!$K$2:$K$31&gt;=2)))</f>
        <v/>
      </c>
      <c r="F48" s="15">
        <f>IF($A48="","",SUMPRODUCT((Equipe_Situacao="Disponível")*('Matriz_Habilidades'!$K$2:$K$31&gt;=2)))</f>
        <v/>
      </c>
      <c r="G48" s="15">
        <f>IF($A48="","",IF($F48&gt;=2,"OK",IF($F48=1,"LIMITE","SEM COBERTURA")))</f>
        <v/>
      </c>
    </row>
    <row r="49">
      <c r="A49" s="19">
        <f>IF('Habilidades'!$B$10="","",'Habilidades'!$B$10)</f>
        <v/>
      </c>
      <c r="B49" s="15">
        <f>IF($A49="","",COUNTIFS(Mapa_Hab,$A49,Mapa_MinOcup,"&gt;0",Mapa_Data,Data_Mapa))</f>
        <v/>
      </c>
      <c r="C49" s="53">
        <f>IF($A49="","",SUMIFS(Mapa_Dur,Mapa_Hab,$A49,Mapa_MinOcup,"&gt;0",Mapa_Data,Data_Mapa)/60)</f>
        <v/>
      </c>
      <c r="D49" s="44">
        <f>IF(OR($A49="",SUM($C$41:$C$54)=0),"",$C49/SUM($C$41:$C$54))</f>
        <v/>
      </c>
      <c r="E49" s="15">
        <f>IF($A49="","",SUMPRODUCT((Equipe_StatusCad="Ativo")*('Matriz_Habilidades'!$L$2:$L$31&gt;=2)))</f>
        <v/>
      </c>
      <c r="F49" s="15">
        <f>IF($A49="","",SUMPRODUCT((Equipe_Situacao="Disponível")*('Matriz_Habilidades'!$L$2:$L$31&gt;=2)))</f>
        <v/>
      </c>
      <c r="G49" s="15">
        <f>IF($A49="","",IF($F49&gt;=2,"OK",IF($F49=1,"LIMITE","SEM COBERTURA")))</f>
        <v/>
      </c>
    </row>
    <row r="50">
      <c r="A50" s="19">
        <f>IF('Habilidades'!$B$11="","",'Habilidades'!$B$11)</f>
        <v/>
      </c>
      <c r="B50" s="15">
        <f>IF($A50="","",COUNTIFS(Mapa_Hab,$A50,Mapa_MinOcup,"&gt;0",Mapa_Data,Data_Mapa))</f>
        <v/>
      </c>
      <c r="C50" s="53">
        <f>IF($A50="","",SUMIFS(Mapa_Dur,Mapa_Hab,$A50,Mapa_MinOcup,"&gt;0",Mapa_Data,Data_Mapa)/60)</f>
        <v/>
      </c>
      <c r="D50" s="44">
        <f>IF(OR($A50="",SUM($C$41:$C$54)=0),"",$C50/SUM($C$41:$C$54))</f>
        <v/>
      </c>
      <c r="E50" s="15">
        <f>IF($A50="","",SUMPRODUCT((Equipe_StatusCad="Ativo")*('Matriz_Habilidades'!$M$2:$M$31&gt;=2)))</f>
        <v/>
      </c>
      <c r="F50" s="15">
        <f>IF($A50="","",SUMPRODUCT((Equipe_Situacao="Disponível")*('Matriz_Habilidades'!$M$2:$M$31&gt;=2)))</f>
        <v/>
      </c>
      <c r="G50" s="15">
        <f>IF($A50="","",IF($F50&gt;=2,"OK",IF($F50=1,"LIMITE","SEM COBERTURA")))</f>
        <v/>
      </c>
    </row>
    <row r="51">
      <c r="A51" s="19">
        <f>IF('Habilidades'!$B$12="","",'Habilidades'!$B$12)</f>
        <v/>
      </c>
      <c r="B51" s="15">
        <f>IF($A51="","",COUNTIFS(Mapa_Hab,$A51,Mapa_MinOcup,"&gt;0",Mapa_Data,Data_Mapa))</f>
        <v/>
      </c>
      <c r="C51" s="53">
        <f>IF($A51="","",SUMIFS(Mapa_Dur,Mapa_Hab,$A51,Mapa_MinOcup,"&gt;0",Mapa_Data,Data_Mapa)/60)</f>
        <v/>
      </c>
      <c r="D51" s="44">
        <f>IF(OR($A51="",SUM($C$41:$C$54)=0),"",$C51/SUM($C$41:$C$54))</f>
        <v/>
      </c>
      <c r="E51" s="15">
        <f>IF($A51="","",SUMPRODUCT((Equipe_StatusCad="Ativo")*('Matriz_Habilidades'!$N$2:$N$31&gt;=2)))</f>
        <v/>
      </c>
      <c r="F51" s="15">
        <f>IF($A51="","",SUMPRODUCT((Equipe_Situacao="Disponível")*('Matriz_Habilidades'!$N$2:$N$31&gt;=2)))</f>
        <v/>
      </c>
      <c r="G51" s="15">
        <f>IF($A51="","",IF($F51&gt;=2,"OK",IF($F51=1,"LIMITE","SEM COBERTURA")))</f>
        <v/>
      </c>
    </row>
    <row r="52">
      <c r="A52" s="19">
        <f>IF('Habilidades'!$B$13="","",'Habilidades'!$B$13)</f>
        <v/>
      </c>
      <c r="B52" s="15">
        <f>IF($A52="","",COUNTIFS(Mapa_Hab,$A52,Mapa_MinOcup,"&gt;0",Mapa_Data,Data_Mapa))</f>
        <v/>
      </c>
      <c r="C52" s="53">
        <f>IF($A52="","",SUMIFS(Mapa_Dur,Mapa_Hab,$A52,Mapa_MinOcup,"&gt;0",Mapa_Data,Data_Mapa)/60)</f>
        <v/>
      </c>
      <c r="D52" s="44">
        <f>IF(OR($A52="",SUM($C$41:$C$54)=0),"",$C52/SUM($C$41:$C$54))</f>
        <v/>
      </c>
      <c r="E52" s="15">
        <f>IF($A52="","",SUMPRODUCT((Equipe_StatusCad="Ativo")*('Matriz_Habilidades'!$O$2:$O$31&gt;=2)))</f>
        <v/>
      </c>
      <c r="F52" s="15">
        <f>IF($A52="","",SUMPRODUCT((Equipe_Situacao="Disponível")*('Matriz_Habilidades'!$O$2:$O$31&gt;=2)))</f>
        <v/>
      </c>
      <c r="G52" s="15">
        <f>IF($A52="","",IF($F52&gt;=2,"OK",IF($F52=1,"LIMITE","SEM COBERTURA")))</f>
        <v/>
      </c>
    </row>
    <row r="53">
      <c r="A53" s="19">
        <f>IF('Habilidades'!$B$14="","",'Habilidades'!$B$14)</f>
        <v/>
      </c>
      <c r="B53" s="15">
        <f>IF($A53="","",COUNTIFS(Mapa_Hab,$A53,Mapa_MinOcup,"&gt;0",Mapa_Data,Data_Mapa))</f>
        <v/>
      </c>
      <c r="C53" s="53">
        <f>IF($A53="","",SUMIFS(Mapa_Dur,Mapa_Hab,$A53,Mapa_MinOcup,"&gt;0",Mapa_Data,Data_Mapa)/60)</f>
        <v/>
      </c>
      <c r="D53" s="44">
        <f>IF(OR($A53="",SUM($C$41:$C$54)=0),"",$C53/SUM($C$41:$C$54))</f>
        <v/>
      </c>
      <c r="E53" s="15">
        <f>IF($A53="","",SUMPRODUCT((Equipe_StatusCad="Ativo")*('Matriz_Habilidades'!$P$2:$P$31&gt;=2)))</f>
        <v/>
      </c>
      <c r="F53" s="15">
        <f>IF($A53="","",SUMPRODUCT((Equipe_Situacao="Disponível")*('Matriz_Habilidades'!$P$2:$P$31&gt;=2)))</f>
        <v/>
      </c>
      <c r="G53" s="15">
        <f>IF($A53="","",IF($F53&gt;=2,"OK",IF($F53=1,"LIMITE","SEM COBERTURA")))</f>
        <v/>
      </c>
    </row>
    <row r="54">
      <c r="A54" s="19">
        <f>IF('Habilidades'!$B$15="","",'Habilidades'!$B$15)</f>
        <v/>
      </c>
      <c r="B54" s="15">
        <f>IF($A54="","",COUNTIFS(Mapa_Hab,$A54,Mapa_MinOcup,"&gt;0",Mapa_Data,Data_Mapa))</f>
        <v/>
      </c>
      <c r="C54" s="53">
        <f>IF($A54="","",SUMIFS(Mapa_Dur,Mapa_Hab,$A54,Mapa_MinOcup,"&gt;0",Mapa_Data,Data_Mapa)/60)</f>
        <v/>
      </c>
      <c r="D54" s="44">
        <f>IF(OR($A54="",SUM($C$41:$C$54)=0),"",$C54/SUM($C$41:$C$54))</f>
        <v/>
      </c>
      <c r="E54" s="15">
        <f>IF($A54="","",SUMPRODUCT((Equipe_StatusCad="Ativo")*('Matriz_Habilidades'!$Q$2:$Q$31&gt;=2)))</f>
        <v/>
      </c>
      <c r="F54" s="15">
        <f>IF($A54="","",SUMPRODUCT((Equipe_Situacao="Disponível")*('Matriz_Habilidades'!$Q$2:$Q$31&gt;=2)))</f>
        <v/>
      </c>
      <c r="G54" s="15">
        <f>IF($A54="","",IF($F54&gt;=2,"OK",IF($F54=1,"LIMITE","SEM COBERTURA")))</f>
        <v/>
      </c>
    </row>
    <row r="56">
      <c r="A56" s="9" t="inlineStr">
        <is>
          <t>6. JOGO DE SALA — espaço para encaixe</t>
        </is>
      </c>
    </row>
    <row r="57" ht="32" customHeight="1">
      <c r="A57" s="14" t="inlineStr">
        <is>
          <t>Sala</t>
        </is>
      </c>
      <c r="B57" s="14" t="inlineStr">
        <is>
          <t>Minutos livres no plantão</t>
        </is>
      </c>
      <c r="C57" s="14" t="inlineStr">
        <is>
          <t>Maior janela livre (min)</t>
        </is>
      </c>
      <c r="D57" s="14" t="inlineStr">
        <is>
          <t>Cabe cirurgia de até (min)</t>
        </is>
      </c>
      <c r="E57" s="14" t="inlineStr">
        <is>
          <t>Janelas aproveitáveis</t>
        </is>
      </c>
      <c r="F57" s="14" t="inlineStr">
        <is>
          <t>Ocupação</t>
        </is>
      </c>
    </row>
    <row r="58">
      <c r="A58" s="15">
        <f>IF('Jogo_de_Sala'!$A$2="","",'Jogo_de_Sala'!$A$2)</f>
        <v/>
      </c>
      <c r="B58" s="37">
        <f>IF($A58="","",SUM('Jogo_de_Sala'!$E$2:$E$14))</f>
        <v/>
      </c>
      <c r="C58" s="37">
        <f>IF($A58="","",MAX('Jogo_de_Sala'!$E$2:$E$14))</f>
        <v/>
      </c>
      <c r="D58" s="37">
        <f>IF($A58="","",MAX('Jogo_de_Sala'!$F$2:$F$14))</f>
        <v/>
      </c>
      <c r="E58" s="37">
        <f>IF($A58="","",COUNTIF('Jogo_de_Sala'!$G$2:$G$14,"Janela aproveitável"))</f>
        <v/>
      </c>
      <c r="F58" s="44">
        <f>IF($A58="","",'Escala_Dia'!$I2)</f>
        <v/>
      </c>
    </row>
    <row r="59">
      <c r="A59" s="15">
        <f>IF('Jogo_de_Sala'!$A$15="","",'Jogo_de_Sala'!$A$15)</f>
        <v/>
      </c>
      <c r="B59" s="37">
        <f>IF($A59="","",SUM('Jogo_de_Sala'!$E$15:$E$27))</f>
        <v/>
      </c>
      <c r="C59" s="37">
        <f>IF($A59="","",MAX('Jogo_de_Sala'!$E$15:$E$27))</f>
        <v/>
      </c>
      <c r="D59" s="37">
        <f>IF($A59="","",MAX('Jogo_de_Sala'!$F$15:$F$27))</f>
        <v/>
      </c>
      <c r="E59" s="37">
        <f>IF($A59="","",COUNTIF('Jogo_de_Sala'!$G$15:$G$27,"Janela aproveitável"))</f>
        <v/>
      </c>
      <c r="F59" s="44">
        <f>IF($A59="","",'Escala_Dia'!$I3)</f>
        <v/>
      </c>
    </row>
    <row r="60">
      <c r="A60" s="15">
        <f>IF('Jogo_de_Sala'!$A$28="","",'Jogo_de_Sala'!$A$28)</f>
        <v/>
      </c>
      <c r="B60" s="37">
        <f>IF($A60="","",SUM('Jogo_de_Sala'!$E$28:$E$40))</f>
        <v/>
      </c>
      <c r="C60" s="37">
        <f>IF($A60="","",MAX('Jogo_de_Sala'!$E$28:$E$40))</f>
        <v/>
      </c>
      <c r="D60" s="37">
        <f>IF($A60="","",MAX('Jogo_de_Sala'!$F$28:$F$40))</f>
        <v/>
      </c>
      <c r="E60" s="37">
        <f>IF($A60="","",COUNTIF('Jogo_de_Sala'!$G$28:$G$40,"Janela aproveitável"))</f>
        <v/>
      </c>
      <c r="F60" s="44">
        <f>IF($A60="","",'Escala_Dia'!$I4)</f>
        <v/>
      </c>
    </row>
    <row r="61">
      <c r="A61" s="15">
        <f>IF('Jogo_de_Sala'!$A$41="","",'Jogo_de_Sala'!$A$41)</f>
        <v/>
      </c>
      <c r="B61" s="37">
        <f>IF($A61="","",SUM('Jogo_de_Sala'!$E$41:$E$53))</f>
        <v/>
      </c>
      <c r="C61" s="37">
        <f>IF($A61="","",MAX('Jogo_de_Sala'!$E$41:$E$53))</f>
        <v/>
      </c>
      <c r="D61" s="37">
        <f>IF($A61="","",MAX('Jogo_de_Sala'!$F$41:$F$53))</f>
        <v/>
      </c>
      <c r="E61" s="37">
        <f>IF($A61="","",COUNTIF('Jogo_de_Sala'!$G$41:$G$53,"Janela aproveitável"))</f>
        <v/>
      </c>
      <c r="F61" s="44">
        <f>IF($A61="","",'Escala_Dia'!$I5)</f>
        <v/>
      </c>
    </row>
    <row r="62">
      <c r="A62" s="15">
        <f>IF('Jogo_de_Sala'!$A$54="","",'Jogo_de_Sala'!$A$54)</f>
        <v/>
      </c>
      <c r="B62" s="37">
        <f>IF($A62="","",SUM('Jogo_de_Sala'!$E$54:$E$66))</f>
        <v/>
      </c>
      <c r="C62" s="37">
        <f>IF($A62="","",MAX('Jogo_de_Sala'!$E$54:$E$66))</f>
        <v/>
      </c>
      <c r="D62" s="37">
        <f>IF($A62="","",MAX('Jogo_de_Sala'!$F$54:$F$66))</f>
        <v/>
      </c>
      <c r="E62" s="37">
        <f>IF($A62="","",COUNTIF('Jogo_de_Sala'!$G$54:$G$66,"Janela aproveitável"))</f>
        <v/>
      </c>
      <c r="F62" s="44">
        <f>IF($A62="","",'Escala_Dia'!$I6)</f>
        <v/>
      </c>
    </row>
    <row r="63">
      <c r="A63" s="15">
        <f>IF('Jogo_de_Sala'!$A$67="","",'Jogo_de_Sala'!$A$67)</f>
        <v/>
      </c>
      <c r="B63" s="37">
        <f>IF($A63="","",SUM('Jogo_de_Sala'!$E$67:$E$79))</f>
        <v/>
      </c>
      <c r="C63" s="37">
        <f>IF($A63="","",MAX('Jogo_de_Sala'!$E$67:$E$79))</f>
        <v/>
      </c>
      <c r="D63" s="37">
        <f>IF($A63="","",MAX('Jogo_de_Sala'!$F$67:$F$79))</f>
        <v/>
      </c>
      <c r="E63" s="37">
        <f>IF($A63="","",COUNTIF('Jogo_de_Sala'!$G$67:$G$79,"Janela aproveitável"))</f>
        <v/>
      </c>
      <c r="F63" s="44">
        <f>IF($A63="","",'Escala_Dia'!$I7)</f>
        <v/>
      </c>
    </row>
    <row r="64">
      <c r="A64" s="15">
        <f>IF('Jogo_de_Sala'!$A$80="","",'Jogo_de_Sala'!$A$80)</f>
        <v/>
      </c>
      <c r="B64" s="37">
        <f>IF($A64="","",SUM('Jogo_de_Sala'!$E$80:$E$92))</f>
        <v/>
      </c>
      <c r="C64" s="37">
        <f>IF($A64="","",MAX('Jogo_de_Sala'!$E$80:$E$92))</f>
        <v/>
      </c>
      <c r="D64" s="37">
        <f>IF($A64="","",MAX('Jogo_de_Sala'!$F$80:$F$92))</f>
        <v/>
      </c>
      <c r="E64" s="37">
        <f>IF($A64="","",COUNTIF('Jogo_de_Sala'!$G$80:$G$92,"Janela aproveitável"))</f>
        <v/>
      </c>
      <c r="F64" s="44">
        <f>IF($A64="","",'Escala_Dia'!$I8)</f>
        <v/>
      </c>
    </row>
    <row r="65">
      <c r="A65" s="15">
        <f>IF('Jogo_de_Sala'!$A$93="","",'Jogo_de_Sala'!$A$93)</f>
        <v/>
      </c>
      <c r="B65" s="37">
        <f>IF($A65="","",SUM('Jogo_de_Sala'!$E$93:$E$105))</f>
        <v/>
      </c>
      <c r="C65" s="37">
        <f>IF($A65="","",MAX('Jogo_de_Sala'!$E$93:$E$105))</f>
        <v/>
      </c>
      <c r="D65" s="37">
        <f>IF($A65="","",MAX('Jogo_de_Sala'!$F$93:$F$105))</f>
        <v/>
      </c>
      <c r="E65" s="37">
        <f>IF($A65="","",COUNTIF('Jogo_de_Sala'!$G$93:$G$105,"Janela aproveitável"))</f>
        <v/>
      </c>
      <c r="F65" s="44">
        <f>IF($A65="","",'Escala_Dia'!$I9)</f>
        <v/>
      </c>
    </row>
    <row r="66">
      <c r="A66" s="15">
        <f>IF('Jogo_de_Sala'!$A$106="","",'Jogo_de_Sala'!$A$106)</f>
        <v/>
      </c>
      <c r="B66" s="37">
        <f>IF($A66="","",SUM('Jogo_de_Sala'!$E$106:$E$118))</f>
        <v/>
      </c>
      <c r="C66" s="37">
        <f>IF($A66="","",MAX('Jogo_de_Sala'!$E$106:$E$118))</f>
        <v/>
      </c>
      <c r="D66" s="37">
        <f>IF($A66="","",MAX('Jogo_de_Sala'!$F$106:$F$118))</f>
        <v/>
      </c>
      <c r="E66" s="37">
        <f>IF($A66="","",COUNTIF('Jogo_de_Sala'!$G$106:$G$118,"Janela aproveitável"))</f>
        <v/>
      </c>
      <c r="F66" s="44">
        <f>IF($A66="","",'Escala_Dia'!$I10)</f>
        <v/>
      </c>
    </row>
    <row r="67">
      <c r="A67" s="15">
        <f>IF('Jogo_de_Sala'!$A$119="","",'Jogo_de_Sala'!$A$119)</f>
        <v/>
      </c>
      <c r="B67" s="37">
        <f>IF($A67="","",SUM('Jogo_de_Sala'!$E$119:$E$131))</f>
        <v/>
      </c>
      <c r="C67" s="37">
        <f>IF($A67="","",MAX('Jogo_de_Sala'!$E$119:$E$131))</f>
        <v/>
      </c>
      <c r="D67" s="37">
        <f>IF($A67="","",MAX('Jogo_de_Sala'!$F$119:$F$131))</f>
        <v/>
      </c>
      <c r="E67" s="37">
        <f>IF($A67="","",COUNTIF('Jogo_de_Sala'!$G$119:$G$131,"Janela aproveitável"))</f>
        <v/>
      </c>
      <c r="F67" s="44">
        <f>IF($A67="","",'Escala_Dia'!$I11)</f>
        <v/>
      </c>
    </row>
    <row r="68">
      <c r="A68" s="15">
        <f>IF('Jogo_de_Sala'!$A$132="","",'Jogo_de_Sala'!$A$132)</f>
        <v/>
      </c>
      <c r="B68" s="37">
        <f>IF($A68="","",SUM('Jogo_de_Sala'!$E$132:$E$144))</f>
        <v/>
      </c>
      <c r="C68" s="37">
        <f>IF($A68="","",MAX('Jogo_de_Sala'!$E$132:$E$144))</f>
        <v/>
      </c>
      <c r="D68" s="37">
        <f>IF($A68="","",MAX('Jogo_de_Sala'!$F$132:$F$144))</f>
        <v/>
      </c>
      <c r="E68" s="37">
        <f>IF($A68="","",COUNTIF('Jogo_de_Sala'!$G$132:$G$144,"Janela aproveitável"))</f>
        <v/>
      </c>
      <c r="F68" s="44">
        <f>IF($A68="","",'Escala_Dia'!$I12)</f>
        <v/>
      </c>
    </row>
    <row r="69">
      <c r="A69" s="15">
        <f>IF('Jogo_de_Sala'!$A$145="","",'Jogo_de_Sala'!$A$145)</f>
        <v/>
      </c>
      <c r="B69" s="37">
        <f>IF($A69="","",SUM('Jogo_de_Sala'!$E$145:$E$157))</f>
        <v/>
      </c>
      <c r="C69" s="37">
        <f>IF($A69="","",MAX('Jogo_de_Sala'!$E$145:$E$157))</f>
        <v/>
      </c>
      <c r="D69" s="37">
        <f>IF($A69="","",MAX('Jogo_de_Sala'!$F$145:$F$157))</f>
        <v/>
      </c>
      <c r="E69" s="37">
        <f>IF($A69="","",COUNTIF('Jogo_de_Sala'!$G$145:$G$157,"Janela aproveitável"))</f>
        <v/>
      </c>
      <c r="F69" s="44">
        <f>IF($A69="","",'Escala_Dia'!$I13)</f>
        <v/>
      </c>
    </row>
    <row r="70">
      <c r="A70" s="15">
        <f>IF('Jogo_de_Sala'!$A$158="","",'Jogo_de_Sala'!$A$158)</f>
        <v/>
      </c>
      <c r="B70" s="37">
        <f>IF($A70="","",SUM('Jogo_de_Sala'!$E$158:$E$170))</f>
        <v/>
      </c>
      <c r="C70" s="37">
        <f>IF($A70="","",MAX('Jogo_de_Sala'!$E$158:$E$170))</f>
        <v/>
      </c>
      <c r="D70" s="37">
        <f>IF($A70="","",MAX('Jogo_de_Sala'!$F$158:$F$170))</f>
        <v/>
      </c>
      <c r="E70" s="37">
        <f>IF($A70="","",COUNTIF('Jogo_de_Sala'!$G$158:$G$170,"Janela aproveitável"))</f>
        <v/>
      </c>
      <c r="F70" s="44">
        <f>IF($A70="","",'Escala_Dia'!$I14)</f>
        <v/>
      </c>
    </row>
    <row r="71">
      <c r="A71" s="15">
        <f>IF('Jogo_de_Sala'!$A$171="","",'Jogo_de_Sala'!$A$171)</f>
        <v/>
      </c>
      <c r="B71" s="37">
        <f>IF($A71="","",SUM('Jogo_de_Sala'!$E$171:$E$183))</f>
        <v/>
      </c>
      <c r="C71" s="37">
        <f>IF($A71="","",MAX('Jogo_de_Sala'!$E$171:$E$183))</f>
        <v/>
      </c>
      <c r="D71" s="37">
        <f>IF($A71="","",MAX('Jogo_de_Sala'!$F$171:$F$183))</f>
        <v/>
      </c>
      <c r="E71" s="37">
        <f>IF($A71="","",COUNTIF('Jogo_de_Sala'!$G$171:$G$183,"Janela aproveitável"))</f>
        <v/>
      </c>
      <c r="F71" s="44">
        <f>IF($A71="","",'Escala_Dia'!$I15)</f>
        <v/>
      </c>
    </row>
    <row r="72">
      <c r="A72" s="15">
        <f>IF('Jogo_de_Sala'!$A$184="","",'Jogo_de_Sala'!$A$184)</f>
        <v/>
      </c>
      <c r="B72" s="37">
        <f>IF($A72="","",SUM('Jogo_de_Sala'!$E$184:$E$196))</f>
        <v/>
      </c>
      <c r="C72" s="37">
        <f>IF($A72="","",MAX('Jogo_de_Sala'!$E$184:$E$196))</f>
        <v/>
      </c>
      <c r="D72" s="37">
        <f>IF($A72="","",MAX('Jogo_de_Sala'!$F$184:$F$196))</f>
        <v/>
      </c>
      <c r="E72" s="37">
        <f>IF($A72="","",COUNTIF('Jogo_de_Sala'!$G$184:$G$196,"Janela aproveitável"))</f>
        <v/>
      </c>
      <c r="F72" s="44">
        <f>IF($A72="","",'Escala_Dia'!$I16)</f>
        <v/>
      </c>
    </row>
    <row r="73">
      <c r="A73" s="15">
        <f>IF('Jogo_de_Sala'!$A$197="","",'Jogo_de_Sala'!$A$197)</f>
        <v/>
      </c>
      <c r="B73" s="37">
        <f>IF($A73="","",SUM('Jogo_de_Sala'!$E$197:$E$209))</f>
        <v/>
      </c>
      <c r="C73" s="37">
        <f>IF($A73="","",MAX('Jogo_de_Sala'!$E$197:$E$209))</f>
        <v/>
      </c>
      <c r="D73" s="37">
        <f>IF($A73="","",MAX('Jogo_de_Sala'!$F$197:$F$209))</f>
        <v/>
      </c>
      <c r="E73" s="37">
        <f>IF($A73="","",COUNTIF('Jogo_de_Sala'!$G$197:$G$209,"Janela aproveitável"))</f>
        <v/>
      </c>
      <c r="F73" s="44">
        <f>IF($A73="","",'Escala_Dia'!$I17)</f>
        <v/>
      </c>
    </row>
    <row r="75">
      <c r="A75" s="9" t="inlineStr">
        <is>
          <t>7. VERIFICAÇÕES DE INTEGRIDADE</t>
        </is>
      </c>
    </row>
    <row r="76" ht="20" customHeight="1">
      <c r="A76" s="14" t="inlineStr">
        <is>
          <t>Verificação</t>
        </is>
      </c>
      <c r="B76" s="14" t="inlineStr"/>
      <c r="C76" s="14" t="inlineStr">
        <is>
          <t>Resultado</t>
        </is>
      </c>
      <c r="D76" s="14" t="inlineStr"/>
      <c r="E76" s="14" t="inlineStr"/>
      <c r="F76" s="14" t="inlineStr"/>
      <c r="G76" s="14" t="inlineStr"/>
      <c r="H76" s="14" t="inlineStr"/>
    </row>
    <row r="77">
      <c r="A77" s="19" t="inlineStr">
        <is>
          <t>Soma dos pesos de afinidade = 1,00</t>
        </is>
      </c>
      <c r="B77" s="13" t="n"/>
      <c r="C77" s="15">
        <f>IF(ROUND(Peso_Circulante+Peso_Instrumentador,6)=1,"OK","ERRO: os pesos não somam 1,00")</f>
        <v/>
      </c>
    </row>
    <row r="78">
      <c r="A78" s="19" t="inlineStr">
        <is>
          <t>Colunas de habilidade alinhadas (Matriz × Calc_Mix)</t>
        </is>
      </c>
      <c r="B78" s="13" t="n"/>
      <c r="C78" s="15">
        <f>IF(SUMPRODUCT(--(Matriz_Hab=Mix_Hab))=14,"OK","ERRO: colunas desalinhadas")</f>
        <v/>
      </c>
    </row>
    <row r="79">
      <c r="A79" s="19" t="inlineStr">
        <is>
          <t>Nomes duplicados no cadastro da equipe</t>
        </is>
      </c>
      <c r="B79" s="13" t="n"/>
      <c r="C79" s="15">
        <f>IF(SUMPRODUCT((Equipe_Nome&lt;&gt;"")*1)-SUMPRODUCT((Equipe_Nome&lt;&gt;"")/COUNTIF(Equipe_Nome,Equipe_Nome&amp;""))&gt;0.0001,"ERRO: há nomes repetidos na aba Equipe","OK")</f>
        <v/>
      </c>
    </row>
    <row r="80">
      <c r="A80" s="19" t="inlineStr">
        <is>
          <t>Registros de ausência sobrepostos (marcados com ! no calendário)</t>
        </is>
      </c>
      <c r="B80" s="13" t="n"/>
      <c r="C80" s="15">
        <f>COUNTIF('Calendario_Ausencias'!$C$4:$AG$33,"!")</f>
        <v/>
      </c>
    </row>
    <row r="81">
      <c r="A81" s="19" t="inlineStr">
        <is>
          <t>Ausências com técnico fora do cadastro</t>
        </is>
      </c>
      <c r="B81" s="13" t="n"/>
      <c r="C81" s="15">
        <f>SUMPRODUCT((Aus_Tec&lt;&gt;"")*(COUNTIF(Equipe_Nome,Aus_Tec)=0))</f>
        <v/>
      </c>
    </row>
    <row r="82">
      <c r="A82" s="19" t="inlineStr">
        <is>
          <t>Ausências com data fim anterior ao início</t>
        </is>
      </c>
      <c r="B82" s="13" t="n"/>
      <c r="C82" s="15">
        <f>SUMPRODUCT((Aus_Tec&lt;&gt;"")*(Aus_Fim&lt;Aus_Ini))</f>
        <v/>
      </c>
    </row>
    <row r="83">
      <c r="A83" s="19" t="inlineStr">
        <is>
          <t>Cirurgias com alerta no mapa</t>
        </is>
      </c>
      <c r="B83" s="13" t="n"/>
      <c r="C83" s="15">
        <f>SUMPRODUCT((Mapa_Alerta&lt;&gt;"OK")*(Mapa_Alerta&lt;&gt;""))</f>
        <v/>
      </c>
    </row>
    <row r="84">
      <c r="A84" s="19" t="inlineStr">
        <is>
          <t>Postos descobertos</t>
        </is>
      </c>
      <c r="B84" s="13" t="n"/>
      <c r="C84" s="15">
        <f>COUNTIF(Esc_Cobertura,"DESCOBERTO")</f>
        <v/>
      </c>
    </row>
    <row r="85">
      <c r="A85" s="19" t="inlineStr">
        <is>
          <t>Postos com equipe incompleta</t>
        </is>
      </c>
      <c r="B85" s="13" t="n"/>
      <c r="C85" s="15">
        <f>SUMPRODUCT((LEFT(Esc_Cobertura,10)="INCOMPLETO")*1)</f>
        <v/>
      </c>
    </row>
    <row r="86">
      <c r="A86" s="19" t="inlineStr">
        <is>
          <t>Postos classificados como CRÍTICO</t>
        </is>
      </c>
      <c r="B86" s="13" t="n"/>
      <c r="C86" s="15">
        <f>COUNTIF(Esc_Class,"CRÍTICO")</f>
        <v/>
      </c>
    </row>
    <row r="87">
      <c r="A87" s="19" t="inlineStr">
        <is>
          <t>Técnicos escalados em mais de um posto</t>
        </is>
      </c>
      <c r="B87" s="13" t="n"/>
      <c r="C87" s="15">
        <f>SUMPRODUCT((Esc_Tec1&lt;&gt;"")*(COUNTIF(Esc_Tec1,Esc_Tec1)+COUNTIF(Esc_Tec2,Esc_Tec1)&gt;1))</f>
        <v/>
      </c>
    </row>
    <row r="88">
      <c r="A88" s="19" t="inlineStr">
        <is>
          <t>Postos cadastrados / habilidades / técnicos no quadro</t>
        </is>
      </c>
      <c r="B88" s="13" t="n"/>
      <c r="C88" s="15">
        <f>COUNTA(Postos_Cod)&amp;" / "&amp;COUNTA(Hab_Nome)&amp;" / "&amp;COUNTA(Equipe_Nome)</f>
        <v/>
      </c>
    </row>
  </sheetData>
  <mergeCells count="12">
    <mergeCell ref="A78:B78"/>
    <mergeCell ref="A86:B86"/>
    <mergeCell ref="A82:B82"/>
    <mergeCell ref="A81:B81"/>
    <mergeCell ref="A85:B85"/>
    <mergeCell ref="A84:B84"/>
    <mergeCell ref="A80:B80"/>
    <mergeCell ref="A88:B88"/>
    <mergeCell ref="A79:B79"/>
    <mergeCell ref="A77:B77"/>
    <mergeCell ref="A83:B83"/>
    <mergeCell ref="A87:B87"/>
  </mergeCells>
  <conditionalFormatting sqref="E10">
    <cfRule type="expression" priority="1" dxfId="0">
      <formula>$E$10&gt;0</formula>
    </cfRule>
  </conditionalFormatting>
  <conditionalFormatting sqref="F10">
    <cfRule type="expression" priority="2" dxfId="0">
      <formula>$F$10&gt;0</formula>
    </cfRule>
  </conditionalFormatting>
  <conditionalFormatting sqref="G10">
    <cfRule type="expression" priority="3" dxfId="2">
      <formula>$G$10&gt;0</formula>
    </cfRule>
  </conditionalFormatting>
  <conditionalFormatting sqref="C10">
    <cfRule type="expression" priority="4" dxfId="1">
      <formula>$C$10&gt;=$D$10</formula>
    </cfRule>
  </conditionalFormatting>
  <conditionalFormatting sqref="E22:E37">
    <cfRule type="cellIs" priority="5" operator="equal" dxfId="0">
      <formula>"DESCOBERTO"</formula>
    </cfRule>
    <cfRule type="cellIs" priority="6" operator="equal" dxfId="1">
      <formula>"COMPLETO"</formula>
    </cfRule>
  </conditionalFormatting>
  <conditionalFormatting sqref="G22:G37">
    <cfRule type="cellIs" priority="7" operator="equal" dxfId="0">
      <formula>"CRÍTICO"</formula>
    </cfRule>
    <cfRule type="cellIs" priority="8" operator="equal" dxfId="0">
      <formula>"SEM EQUIPE"</formula>
    </cfRule>
  </conditionalFormatting>
  <conditionalFormatting sqref="G41:G54">
    <cfRule type="cellIs" priority="9" operator="equal" dxfId="1">
      <formula>"OK"</formula>
    </cfRule>
    <cfRule type="cellIs" priority="10" operator="equal" dxfId="2">
      <formula>"LIMITE"</formula>
    </cfRule>
    <cfRule type="cellIs" priority="11" operator="equal" dxfId="0">
      <formula>"SEM COBERTURA"</formula>
    </cfRule>
  </conditionalFormatting>
  <conditionalFormatting sqref="C77:C88">
    <cfRule type="expression" priority="12" dxfId="0">
      <formula>LEFT($C77,4)="ERRO"</formula>
    </cfRule>
    <cfRule type="expression" priority="13" dxfId="1">
      <formula>$C77="OK"</formula>
    </cfRule>
  </conditionalFormatting>
  <pageMargins left="0.75" right="0.75" top="1" bottom="1" header="0.5" footer="0.5"/>
  <pageSetup orientation="portrait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26" customWidth="1" min="3" max="3"/>
    <col width="24" customWidth="1" min="4" max="4"/>
    <col width="24" customWidth="1" min="5" max="5"/>
    <col width="11" customWidth="1" min="6" max="6"/>
    <col width="20" customWidth="1" min="7" max="7"/>
    <col width="11" customWidth="1" min="8" max="8"/>
    <col width="13" customWidth="1" min="9" max="9"/>
    <col width="11" customWidth="1" min="10" max="10"/>
    <col width="14" customWidth="1" min="11" max="11"/>
    <col width="50" customWidth="1" min="12" max="12"/>
    <col width="12" customWidth="1" min="13" max="13"/>
    <col width="28" customWidth="1" min="15" max="15"/>
    <col width="14" customWidth="1" min="16" max="16"/>
  </cols>
  <sheetData>
    <row r="1" ht="30" customHeight="1">
      <c r="A1" s="14" t="inlineStr">
        <is>
          <t>Data</t>
        </is>
      </c>
      <c r="B1" s="14" t="inlineStr">
        <is>
          <t>Posto</t>
        </is>
      </c>
      <c r="C1" s="14" t="inlineStr">
        <is>
          <t>Nome do posto</t>
        </is>
      </c>
      <c r="D1" s="14" t="inlineStr">
        <is>
          <t>Técnico 1</t>
        </is>
      </c>
      <c r="E1" s="14" t="inlineStr">
        <is>
          <t>Técnico 2</t>
        </is>
      </c>
      <c r="F1" s="14" t="inlineStr">
        <is>
          <t>Afinidade</t>
        </is>
      </c>
      <c r="G1" s="14" t="inlineStr">
        <is>
          <t>Cobertura</t>
        </is>
      </c>
      <c r="H1" s="14" t="inlineStr">
        <is>
          <t>Nº cirurgias</t>
        </is>
      </c>
      <c r="I1" s="14" t="inlineStr">
        <is>
          <t>Min. ocupação</t>
        </is>
      </c>
      <c r="J1" s="14" t="inlineStr">
        <is>
          <t>Ocupação %</t>
        </is>
      </c>
      <c r="K1" s="14" t="inlineStr">
        <is>
          <t>Classificação</t>
        </is>
      </c>
      <c r="L1" s="14" t="inlineStr">
        <is>
          <t>Alertas</t>
        </is>
      </c>
      <c r="M1" s="14" t="inlineStr">
        <is>
          <t>Déficit do dia</t>
        </is>
      </c>
      <c r="O1" s="9" t="inlineStr">
        <is>
          <t>RESUMO DO HISTÓRICO</t>
        </is>
      </c>
    </row>
    <row r="2">
      <c r="A2" s="45" t="n"/>
      <c r="B2" s="15" t="n"/>
      <c r="C2" s="19" t="n"/>
      <c r="D2" s="19" t="n"/>
      <c r="E2" s="19" t="n"/>
      <c r="F2" s="36" t="n"/>
      <c r="G2" s="19" t="n"/>
      <c r="H2" s="15" t="n"/>
      <c r="I2" s="15" t="n"/>
      <c r="J2" s="44" t="n"/>
      <c r="K2" s="15" t="n"/>
      <c r="L2" s="19" t="n"/>
      <c r="M2" s="15" t="n"/>
      <c r="O2" s="19" t="inlineStr">
        <is>
          <t>Registros acumulados</t>
        </is>
      </c>
      <c r="P2" s="54">
        <f>COUNTA($A$2:$A$2001)</f>
        <v/>
      </c>
    </row>
    <row r="3">
      <c r="A3" s="45" t="n"/>
      <c r="B3" s="15" t="n"/>
      <c r="C3" s="19" t="n"/>
      <c r="D3" s="19" t="n"/>
      <c r="E3" s="19" t="n"/>
      <c r="F3" s="36" t="n"/>
      <c r="G3" s="19" t="n"/>
      <c r="H3" s="15" t="n"/>
      <c r="I3" s="15" t="n"/>
      <c r="J3" s="44" t="n"/>
      <c r="K3" s="15" t="n"/>
      <c r="L3" s="19" t="n"/>
      <c r="M3" s="15" t="n"/>
      <c r="O3" s="19" t="inlineStr">
        <is>
          <t>Afinidade média</t>
        </is>
      </c>
      <c r="P3" s="55">
        <f>IFERROR(AVERAGE($F$2:$F$2001),"")</f>
        <v/>
      </c>
    </row>
    <row r="4">
      <c r="A4" s="45" t="n"/>
      <c r="B4" s="15" t="n"/>
      <c r="C4" s="19" t="n"/>
      <c r="D4" s="19" t="n"/>
      <c r="E4" s="19" t="n"/>
      <c r="F4" s="36" t="n"/>
      <c r="G4" s="19" t="n"/>
      <c r="H4" s="15" t="n"/>
      <c r="I4" s="15" t="n"/>
      <c r="J4" s="44" t="n"/>
      <c r="K4" s="15" t="n"/>
      <c r="L4" s="19" t="n"/>
      <c r="M4" s="15" t="n"/>
      <c r="O4" s="19" t="inlineStr">
        <is>
          <t>Ocupação média das salas</t>
        </is>
      </c>
      <c r="P4" s="56">
        <f>IFERROR(AVERAGE($J$2:$J$2001),"")</f>
        <v/>
      </c>
    </row>
    <row r="5">
      <c r="A5" s="45" t="n"/>
      <c r="B5" s="15" t="n"/>
      <c r="C5" s="19" t="n"/>
      <c r="D5" s="19" t="n"/>
      <c r="E5" s="19" t="n"/>
      <c r="F5" s="36" t="n"/>
      <c r="G5" s="19" t="n"/>
      <c r="H5" s="15" t="n"/>
      <c r="I5" s="15" t="n"/>
      <c r="J5" s="44" t="n"/>
      <c r="K5" s="15" t="n"/>
      <c r="L5" s="19" t="n"/>
      <c r="M5" s="15" t="n"/>
      <c r="O5" s="19" t="inlineStr">
        <is>
          <t>Postos descobertos acumulados</t>
        </is>
      </c>
      <c r="P5" s="54">
        <f>COUNTIF($G$2:$G$2001,"DESCOBERTO")</f>
        <v/>
      </c>
    </row>
    <row r="6">
      <c r="A6" s="45" t="n"/>
      <c r="B6" s="15" t="n"/>
      <c r="C6" s="19" t="n"/>
      <c r="D6" s="19" t="n"/>
      <c r="E6" s="19" t="n"/>
      <c r="F6" s="36" t="n"/>
      <c r="G6" s="19" t="n"/>
      <c r="H6" s="15" t="n"/>
      <c r="I6" s="15" t="n"/>
      <c r="J6" s="44" t="n"/>
      <c r="K6" s="15" t="n"/>
      <c r="L6" s="19" t="n"/>
      <c r="M6" s="15" t="n"/>
      <c r="O6" s="19" t="inlineStr">
        <is>
          <t>Déficit médio por dia</t>
        </is>
      </c>
      <c r="P6" s="57">
        <f>IFERROR(AVERAGE($M$2:$M$2001),"")</f>
        <v/>
      </c>
    </row>
    <row r="7">
      <c r="A7" s="45" t="n"/>
      <c r="B7" s="15" t="n"/>
      <c r="C7" s="19" t="n"/>
      <c r="D7" s="19" t="n"/>
      <c r="E7" s="19" t="n"/>
      <c r="F7" s="36" t="n"/>
      <c r="G7" s="19" t="n"/>
      <c r="H7" s="15" t="n"/>
      <c r="I7" s="15" t="n"/>
      <c r="J7" s="44" t="n"/>
      <c r="K7" s="15" t="n"/>
      <c r="L7" s="19" t="n"/>
      <c r="M7" s="15" t="n"/>
    </row>
    <row r="8">
      <c r="A8" s="45" t="n"/>
      <c r="B8" s="15" t="n"/>
      <c r="C8" s="19" t="n"/>
      <c r="D8" s="19" t="n"/>
      <c r="E8" s="19" t="n"/>
      <c r="F8" s="36" t="n"/>
      <c r="G8" s="19" t="n"/>
      <c r="H8" s="15" t="n"/>
      <c r="I8" s="15" t="n"/>
      <c r="J8" s="44" t="n"/>
      <c r="K8" s="15" t="n"/>
      <c r="L8" s="19" t="n"/>
      <c r="M8" s="15" t="n"/>
    </row>
    <row r="9">
      <c r="A9" s="45" t="n"/>
      <c r="B9" s="15" t="n"/>
      <c r="C9" s="19" t="n"/>
      <c r="D9" s="19" t="n"/>
      <c r="E9" s="19" t="n"/>
      <c r="F9" s="36" t="n"/>
      <c r="G9" s="19" t="n"/>
      <c r="H9" s="15" t="n"/>
      <c r="I9" s="15" t="n"/>
      <c r="J9" s="44" t="n"/>
      <c r="K9" s="15" t="n"/>
      <c r="L9" s="19" t="n"/>
      <c r="M9" s="15" t="n"/>
    </row>
    <row r="10">
      <c r="A10" s="45" t="n"/>
      <c r="B10" s="15" t="n"/>
      <c r="C10" s="19" t="n"/>
      <c r="D10" s="19" t="n"/>
      <c r="E10" s="19" t="n"/>
      <c r="F10" s="36" t="n"/>
      <c r="G10" s="19" t="n"/>
      <c r="H10" s="15" t="n"/>
      <c r="I10" s="15" t="n"/>
      <c r="J10" s="44" t="n"/>
      <c r="K10" s="15" t="n"/>
      <c r="L10" s="19" t="n"/>
      <c r="M10" s="15" t="n"/>
    </row>
    <row r="11">
      <c r="A11" s="45" t="n"/>
      <c r="B11" s="15" t="n"/>
      <c r="C11" s="19" t="n"/>
      <c r="D11" s="19" t="n"/>
      <c r="E11" s="19" t="n"/>
      <c r="F11" s="36" t="n"/>
      <c r="G11" s="19" t="n"/>
      <c r="H11" s="15" t="n"/>
      <c r="I11" s="15" t="n"/>
      <c r="J11" s="44" t="n"/>
      <c r="K11" s="15" t="n"/>
      <c r="L11" s="19" t="n"/>
      <c r="M11" s="15" t="n"/>
    </row>
    <row r="12">
      <c r="A12" s="45" t="n"/>
      <c r="B12" s="15" t="n"/>
      <c r="C12" s="19" t="n"/>
      <c r="D12" s="19" t="n"/>
      <c r="E12" s="19" t="n"/>
      <c r="F12" s="36" t="n"/>
      <c r="G12" s="19" t="n"/>
      <c r="H12" s="15" t="n"/>
      <c r="I12" s="15" t="n"/>
      <c r="J12" s="44" t="n"/>
      <c r="K12" s="15" t="n"/>
      <c r="L12" s="19" t="n"/>
      <c r="M12" s="15" t="n"/>
    </row>
    <row r="13">
      <c r="A13" s="45" t="n"/>
      <c r="B13" s="15" t="n"/>
      <c r="C13" s="19" t="n"/>
      <c r="D13" s="19" t="n"/>
      <c r="E13" s="19" t="n"/>
      <c r="F13" s="36" t="n"/>
      <c r="G13" s="19" t="n"/>
      <c r="H13" s="15" t="n"/>
      <c r="I13" s="15" t="n"/>
      <c r="J13" s="44" t="n"/>
      <c r="K13" s="15" t="n"/>
      <c r="L13" s="19" t="n"/>
      <c r="M13" s="15" t="n"/>
    </row>
    <row r="14">
      <c r="A14" s="45" t="n"/>
      <c r="B14" s="15" t="n"/>
      <c r="C14" s="19" t="n"/>
      <c r="D14" s="19" t="n"/>
      <c r="E14" s="19" t="n"/>
      <c r="F14" s="36" t="n"/>
      <c r="G14" s="19" t="n"/>
      <c r="H14" s="15" t="n"/>
      <c r="I14" s="15" t="n"/>
      <c r="J14" s="44" t="n"/>
      <c r="K14" s="15" t="n"/>
      <c r="L14" s="19" t="n"/>
      <c r="M14" s="15" t="n"/>
    </row>
    <row r="15">
      <c r="A15" s="45" t="n"/>
      <c r="B15" s="15" t="n"/>
      <c r="C15" s="19" t="n"/>
      <c r="D15" s="19" t="n"/>
      <c r="E15" s="19" t="n"/>
      <c r="F15" s="36" t="n"/>
      <c r="G15" s="19" t="n"/>
      <c r="H15" s="15" t="n"/>
      <c r="I15" s="15" t="n"/>
      <c r="J15" s="44" t="n"/>
      <c r="K15" s="15" t="n"/>
      <c r="L15" s="19" t="n"/>
      <c r="M15" s="15" t="n"/>
    </row>
    <row r="16">
      <c r="A16" s="45" t="n"/>
      <c r="B16" s="15" t="n"/>
      <c r="C16" s="19" t="n"/>
      <c r="D16" s="19" t="n"/>
      <c r="E16" s="19" t="n"/>
      <c r="F16" s="36" t="n"/>
      <c r="G16" s="19" t="n"/>
      <c r="H16" s="15" t="n"/>
      <c r="I16" s="15" t="n"/>
      <c r="J16" s="44" t="n"/>
      <c r="K16" s="15" t="n"/>
      <c r="L16" s="19" t="n"/>
      <c r="M16" s="15" t="n"/>
    </row>
    <row r="17">
      <c r="A17" s="45" t="n"/>
      <c r="B17" s="15" t="n"/>
      <c r="C17" s="19" t="n"/>
      <c r="D17" s="19" t="n"/>
      <c r="E17" s="19" t="n"/>
      <c r="F17" s="36" t="n"/>
      <c r="G17" s="19" t="n"/>
      <c r="H17" s="15" t="n"/>
      <c r="I17" s="15" t="n"/>
      <c r="J17" s="44" t="n"/>
      <c r="K17" s="15" t="n"/>
      <c r="L17" s="19" t="n"/>
      <c r="M17" s="15" t="n"/>
    </row>
    <row r="18">
      <c r="A18" s="45" t="n"/>
      <c r="B18" s="15" t="n"/>
      <c r="C18" s="19" t="n"/>
      <c r="D18" s="19" t="n"/>
      <c r="E18" s="19" t="n"/>
      <c r="F18" s="36" t="n"/>
      <c r="G18" s="19" t="n"/>
      <c r="H18" s="15" t="n"/>
      <c r="I18" s="15" t="n"/>
      <c r="J18" s="44" t="n"/>
      <c r="K18" s="15" t="n"/>
      <c r="L18" s="19" t="n"/>
      <c r="M18" s="15" t="n"/>
    </row>
    <row r="19">
      <c r="A19" s="45" t="n"/>
      <c r="B19" s="15" t="n"/>
      <c r="C19" s="19" t="n"/>
      <c r="D19" s="19" t="n"/>
      <c r="E19" s="19" t="n"/>
      <c r="F19" s="36" t="n"/>
      <c r="G19" s="19" t="n"/>
      <c r="H19" s="15" t="n"/>
      <c r="I19" s="15" t="n"/>
      <c r="J19" s="44" t="n"/>
      <c r="K19" s="15" t="n"/>
      <c r="L19" s="19" t="n"/>
      <c r="M19" s="15" t="n"/>
    </row>
    <row r="20">
      <c r="A20" s="45" t="n"/>
      <c r="B20" s="15" t="n"/>
      <c r="C20" s="19" t="n"/>
      <c r="D20" s="19" t="n"/>
      <c r="E20" s="19" t="n"/>
      <c r="F20" s="36" t="n"/>
      <c r="G20" s="19" t="n"/>
      <c r="H20" s="15" t="n"/>
      <c r="I20" s="15" t="n"/>
      <c r="J20" s="44" t="n"/>
      <c r="K20" s="15" t="n"/>
      <c r="L20" s="19" t="n"/>
      <c r="M20" s="15" t="n"/>
    </row>
    <row r="21">
      <c r="A21" s="45" t="n"/>
      <c r="B21" s="15" t="n"/>
      <c r="C21" s="19" t="n"/>
      <c r="D21" s="19" t="n"/>
      <c r="E21" s="19" t="n"/>
      <c r="F21" s="36" t="n"/>
      <c r="G21" s="19" t="n"/>
      <c r="H21" s="15" t="n"/>
      <c r="I21" s="15" t="n"/>
      <c r="J21" s="44" t="n"/>
      <c r="K21" s="15" t="n"/>
      <c r="L21" s="19" t="n"/>
      <c r="M21" s="15" t="n"/>
    </row>
    <row r="22">
      <c r="A22" s="45" t="n"/>
      <c r="B22" s="15" t="n"/>
      <c r="C22" s="19" t="n"/>
      <c r="D22" s="19" t="n"/>
      <c r="E22" s="19" t="n"/>
      <c r="F22" s="36" t="n"/>
      <c r="G22" s="19" t="n"/>
      <c r="H22" s="15" t="n"/>
      <c r="I22" s="15" t="n"/>
      <c r="J22" s="44" t="n"/>
      <c r="K22" s="15" t="n"/>
      <c r="L22" s="19" t="n"/>
      <c r="M22" s="15" t="n"/>
    </row>
    <row r="23">
      <c r="A23" s="45" t="n"/>
      <c r="B23" s="15" t="n"/>
      <c r="C23" s="19" t="n"/>
      <c r="D23" s="19" t="n"/>
      <c r="E23" s="19" t="n"/>
      <c r="F23" s="36" t="n"/>
      <c r="G23" s="19" t="n"/>
      <c r="H23" s="15" t="n"/>
      <c r="I23" s="15" t="n"/>
      <c r="J23" s="44" t="n"/>
      <c r="K23" s="15" t="n"/>
      <c r="L23" s="19" t="n"/>
      <c r="M23" s="15" t="n"/>
    </row>
    <row r="24">
      <c r="A24" s="45" t="n"/>
      <c r="B24" s="15" t="n"/>
      <c r="C24" s="19" t="n"/>
      <c r="D24" s="19" t="n"/>
      <c r="E24" s="19" t="n"/>
      <c r="F24" s="36" t="n"/>
      <c r="G24" s="19" t="n"/>
      <c r="H24" s="15" t="n"/>
      <c r="I24" s="15" t="n"/>
      <c r="J24" s="44" t="n"/>
      <c r="K24" s="15" t="n"/>
      <c r="L24" s="19" t="n"/>
      <c r="M24" s="15" t="n"/>
    </row>
    <row r="25">
      <c r="A25" s="45" t="n"/>
      <c r="B25" s="15" t="n"/>
      <c r="C25" s="19" t="n"/>
      <c r="D25" s="19" t="n"/>
      <c r="E25" s="19" t="n"/>
      <c r="F25" s="36" t="n"/>
      <c r="G25" s="19" t="n"/>
      <c r="H25" s="15" t="n"/>
      <c r="I25" s="15" t="n"/>
      <c r="J25" s="44" t="n"/>
      <c r="K25" s="15" t="n"/>
      <c r="L25" s="19" t="n"/>
      <c r="M25" s="15" t="n"/>
    </row>
    <row r="26">
      <c r="A26" s="45" t="n"/>
      <c r="B26" s="15" t="n"/>
      <c r="C26" s="19" t="n"/>
      <c r="D26" s="19" t="n"/>
      <c r="E26" s="19" t="n"/>
      <c r="F26" s="36" t="n"/>
      <c r="G26" s="19" t="n"/>
      <c r="H26" s="15" t="n"/>
      <c r="I26" s="15" t="n"/>
      <c r="J26" s="44" t="n"/>
      <c r="K26" s="15" t="n"/>
      <c r="L26" s="19" t="n"/>
      <c r="M26" s="15" t="n"/>
    </row>
    <row r="27">
      <c r="A27" s="45" t="n"/>
      <c r="B27" s="15" t="n"/>
      <c r="C27" s="19" t="n"/>
      <c r="D27" s="19" t="n"/>
      <c r="E27" s="19" t="n"/>
      <c r="F27" s="36" t="n"/>
      <c r="G27" s="19" t="n"/>
      <c r="H27" s="15" t="n"/>
      <c r="I27" s="15" t="n"/>
      <c r="J27" s="44" t="n"/>
      <c r="K27" s="15" t="n"/>
      <c r="L27" s="19" t="n"/>
      <c r="M27" s="15" t="n"/>
    </row>
    <row r="28">
      <c r="A28" s="45" t="n"/>
      <c r="B28" s="15" t="n"/>
      <c r="C28" s="19" t="n"/>
      <c r="D28" s="19" t="n"/>
      <c r="E28" s="19" t="n"/>
      <c r="F28" s="36" t="n"/>
      <c r="G28" s="19" t="n"/>
      <c r="H28" s="15" t="n"/>
      <c r="I28" s="15" t="n"/>
      <c r="J28" s="44" t="n"/>
      <c r="K28" s="15" t="n"/>
      <c r="L28" s="19" t="n"/>
      <c r="M28" s="15" t="n"/>
    </row>
    <row r="29">
      <c r="A29" s="45" t="n"/>
      <c r="B29" s="15" t="n"/>
      <c r="C29" s="19" t="n"/>
      <c r="D29" s="19" t="n"/>
      <c r="E29" s="19" t="n"/>
      <c r="F29" s="36" t="n"/>
      <c r="G29" s="19" t="n"/>
      <c r="H29" s="15" t="n"/>
      <c r="I29" s="15" t="n"/>
      <c r="J29" s="44" t="n"/>
      <c r="K29" s="15" t="n"/>
      <c r="L29" s="19" t="n"/>
      <c r="M29" s="15" t="n"/>
    </row>
    <row r="30">
      <c r="A30" s="45" t="n"/>
      <c r="B30" s="15" t="n"/>
      <c r="C30" s="19" t="n"/>
      <c r="D30" s="19" t="n"/>
      <c r="E30" s="19" t="n"/>
      <c r="F30" s="36" t="n"/>
      <c r="G30" s="19" t="n"/>
      <c r="H30" s="15" t="n"/>
      <c r="I30" s="15" t="n"/>
      <c r="J30" s="44" t="n"/>
      <c r="K30" s="15" t="n"/>
      <c r="L30" s="19" t="n"/>
      <c r="M30" s="15" t="n"/>
    </row>
    <row r="31">
      <c r="A31" s="45" t="n"/>
      <c r="B31" s="15" t="n"/>
      <c r="C31" s="19" t="n"/>
      <c r="D31" s="19" t="n"/>
      <c r="E31" s="19" t="n"/>
      <c r="F31" s="36" t="n"/>
      <c r="G31" s="19" t="n"/>
      <c r="H31" s="15" t="n"/>
      <c r="I31" s="15" t="n"/>
      <c r="J31" s="44" t="n"/>
      <c r="K31" s="15" t="n"/>
      <c r="L31" s="19" t="n"/>
      <c r="M31" s="15" t="n"/>
    </row>
    <row r="32">
      <c r="A32" s="45" t="n"/>
      <c r="B32" s="15" t="n"/>
      <c r="C32" s="19" t="n"/>
      <c r="D32" s="19" t="n"/>
      <c r="E32" s="19" t="n"/>
      <c r="F32" s="36" t="n"/>
      <c r="G32" s="19" t="n"/>
      <c r="H32" s="15" t="n"/>
      <c r="I32" s="15" t="n"/>
      <c r="J32" s="44" t="n"/>
      <c r="K32" s="15" t="n"/>
      <c r="L32" s="19" t="n"/>
      <c r="M32" s="15" t="n"/>
    </row>
    <row r="33">
      <c r="A33" s="45" t="n"/>
      <c r="B33" s="15" t="n"/>
      <c r="C33" s="19" t="n"/>
      <c r="D33" s="19" t="n"/>
      <c r="E33" s="19" t="n"/>
      <c r="F33" s="36" t="n"/>
      <c r="G33" s="19" t="n"/>
      <c r="H33" s="15" t="n"/>
      <c r="I33" s="15" t="n"/>
      <c r="J33" s="44" t="n"/>
      <c r="K33" s="15" t="n"/>
      <c r="L33" s="19" t="n"/>
      <c r="M33" s="15" t="n"/>
    </row>
    <row r="34">
      <c r="A34" s="45" t="n"/>
      <c r="B34" s="15" t="n"/>
      <c r="C34" s="19" t="n"/>
      <c r="D34" s="19" t="n"/>
      <c r="E34" s="19" t="n"/>
      <c r="F34" s="36" t="n"/>
      <c r="G34" s="19" t="n"/>
      <c r="H34" s="15" t="n"/>
      <c r="I34" s="15" t="n"/>
      <c r="J34" s="44" t="n"/>
      <c r="K34" s="15" t="n"/>
      <c r="L34" s="19" t="n"/>
      <c r="M34" s="15" t="n"/>
    </row>
    <row r="35">
      <c r="A35" s="45" t="n"/>
      <c r="B35" s="15" t="n"/>
      <c r="C35" s="19" t="n"/>
      <c r="D35" s="19" t="n"/>
      <c r="E35" s="19" t="n"/>
      <c r="F35" s="36" t="n"/>
      <c r="G35" s="19" t="n"/>
      <c r="H35" s="15" t="n"/>
      <c r="I35" s="15" t="n"/>
      <c r="J35" s="44" t="n"/>
      <c r="K35" s="15" t="n"/>
      <c r="L35" s="19" t="n"/>
      <c r="M35" s="15" t="n"/>
    </row>
    <row r="36">
      <c r="A36" s="45" t="n"/>
      <c r="B36" s="15" t="n"/>
      <c r="C36" s="19" t="n"/>
      <c r="D36" s="19" t="n"/>
      <c r="E36" s="19" t="n"/>
      <c r="F36" s="36" t="n"/>
      <c r="G36" s="19" t="n"/>
      <c r="H36" s="15" t="n"/>
      <c r="I36" s="15" t="n"/>
      <c r="J36" s="44" t="n"/>
      <c r="K36" s="15" t="n"/>
      <c r="L36" s="19" t="n"/>
      <c r="M36" s="15" t="n"/>
    </row>
    <row r="37">
      <c r="A37" s="45" t="n"/>
      <c r="B37" s="15" t="n"/>
      <c r="C37" s="19" t="n"/>
      <c r="D37" s="19" t="n"/>
      <c r="E37" s="19" t="n"/>
      <c r="F37" s="36" t="n"/>
      <c r="G37" s="19" t="n"/>
      <c r="H37" s="15" t="n"/>
      <c r="I37" s="15" t="n"/>
      <c r="J37" s="44" t="n"/>
      <c r="K37" s="15" t="n"/>
      <c r="L37" s="19" t="n"/>
      <c r="M37" s="15" t="n"/>
    </row>
    <row r="38">
      <c r="A38" s="45" t="n"/>
      <c r="B38" s="15" t="n"/>
      <c r="C38" s="19" t="n"/>
      <c r="D38" s="19" t="n"/>
      <c r="E38" s="19" t="n"/>
      <c r="F38" s="36" t="n"/>
      <c r="G38" s="19" t="n"/>
      <c r="H38" s="15" t="n"/>
      <c r="I38" s="15" t="n"/>
      <c r="J38" s="44" t="n"/>
      <c r="K38" s="15" t="n"/>
      <c r="L38" s="19" t="n"/>
      <c r="M38" s="15" t="n"/>
    </row>
    <row r="39">
      <c r="A39" s="45" t="n"/>
      <c r="B39" s="15" t="n"/>
      <c r="C39" s="19" t="n"/>
      <c r="D39" s="19" t="n"/>
      <c r="E39" s="19" t="n"/>
      <c r="F39" s="36" t="n"/>
      <c r="G39" s="19" t="n"/>
      <c r="H39" s="15" t="n"/>
      <c r="I39" s="15" t="n"/>
      <c r="J39" s="44" t="n"/>
      <c r="K39" s="15" t="n"/>
      <c r="L39" s="19" t="n"/>
      <c r="M39" s="15" t="n"/>
    </row>
    <row r="40">
      <c r="A40" s="45" t="n"/>
      <c r="B40" s="15" t="n"/>
      <c r="C40" s="19" t="n"/>
      <c r="D40" s="19" t="n"/>
      <c r="E40" s="19" t="n"/>
      <c r="F40" s="36" t="n"/>
      <c r="G40" s="19" t="n"/>
      <c r="H40" s="15" t="n"/>
      <c r="I40" s="15" t="n"/>
      <c r="J40" s="44" t="n"/>
      <c r="K40" s="15" t="n"/>
      <c r="L40" s="19" t="n"/>
      <c r="M40" s="15" t="n"/>
    </row>
    <row r="41">
      <c r="A41" s="45" t="n"/>
      <c r="B41" s="15" t="n"/>
      <c r="C41" s="19" t="n"/>
      <c r="D41" s="19" t="n"/>
      <c r="E41" s="19" t="n"/>
      <c r="F41" s="36" t="n"/>
      <c r="G41" s="19" t="n"/>
      <c r="H41" s="15" t="n"/>
      <c r="I41" s="15" t="n"/>
      <c r="J41" s="44" t="n"/>
      <c r="K41" s="15" t="n"/>
      <c r="L41" s="19" t="n"/>
      <c r="M41" s="15" t="n"/>
    </row>
    <row r="42">
      <c r="A42" s="45" t="n"/>
      <c r="B42" s="15" t="n"/>
      <c r="C42" s="19" t="n"/>
      <c r="D42" s="19" t="n"/>
      <c r="E42" s="19" t="n"/>
      <c r="F42" s="36" t="n"/>
      <c r="G42" s="19" t="n"/>
      <c r="H42" s="15" t="n"/>
      <c r="I42" s="15" t="n"/>
      <c r="J42" s="44" t="n"/>
      <c r="K42" s="15" t="n"/>
      <c r="L42" s="19" t="n"/>
      <c r="M42" s="15" t="n"/>
    </row>
    <row r="43">
      <c r="A43" s="45" t="n"/>
      <c r="B43" s="15" t="n"/>
      <c r="C43" s="19" t="n"/>
      <c r="D43" s="19" t="n"/>
      <c r="E43" s="19" t="n"/>
      <c r="F43" s="36" t="n"/>
      <c r="G43" s="19" t="n"/>
      <c r="H43" s="15" t="n"/>
      <c r="I43" s="15" t="n"/>
      <c r="J43" s="44" t="n"/>
      <c r="K43" s="15" t="n"/>
      <c r="L43" s="19" t="n"/>
      <c r="M43" s="15" t="n"/>
    </row>
    <row r="44">
      <c r="A44" s="45" t="n"/>
      <c r="B44" s="15" t="n"/>
      <c r="C44" s="19" t="n"/>
      <c r="D44" s="19" t="n"/>
      <c r="E44" s="19" t="n"/>
      <c r="F44" s="36" t="n"/>
      <c r="G44" s="19" t="n"/>
      <c r="H44" s="15" t="n"/>
      <c r="I44" s="15" t="n"/>
      <c r="J44" s="44" t="n"/>
      <c r="K44" s="15" t="n"/>
      <c r="L44" s="19" t="n"/>
      <c r="M44" s="15" t="n"/>
    </row>
    <row r="45">
      <c r="A45" s="45" t="n"/>
      <c r="B45" s="15" t="n"/>
      <c r="C45" s="19" t="n"/>
      <c r="D45" s="19" t="n"/>
      <c r="E45" s="19" t="n"/>
      <c r="F45" s="36" t="n"/>
      <c r="G45" s="19" t="n"/>
      <c r="H45" s="15" t="n"/>
      <c r="I45" s="15" t="n"/>
      <c r="J45" s="44" t="n"/>
      <c r="K45" s="15" t="n"/>
      <c r="L45" s="19" t="n"/>
      <c r="M45" s="15" t="n"/>
    </row>
    <row r="46">
      <c r="A46" s="45" t="n"/>
      <c r="B46" s="15" t="n"/>
      <c r="C46" s="19" t="n"/>
      <c r="D46" s="19" t="n"/>
      <c r="E46" s="19" t="n"/>
      <c r="F46" s="36" t="n"/>
      <c r="G46" s="19" t="n"/>
      <c r="H46" s="15" t="n"/>
      <c r="I46" s="15" t="n"/>
      <c r="J46" s="44" t="n"/>
      <c r="K46" s="15" t="n"/>
      <c r="L46" s="19" t="n"/>
      <c r="M46" s="15" t="n"/>
    </row>
    <row r="47">
      <c r="A47" s="45" t="n"/>
      <c r="B47" s="15" t="n"/>
      <c r="C47" s="19" t="n"/>
      <c r="D47" s="19" t="n"/>
      <c r="E47" s="19" t="n"/>
      <c r="F47" s="36" t="n"/>
      <c r="G47" s="19" t="n"/>
      <c r="H47" s="15" t="n"/>
      <c r="I47" s="15" t="n"/>
      <c r="J47" s="44" t="n"/>
      <c r="K47" s="15" t="n"/>
      <c r="L47" s="19" t="n"/>
      <c r="M47" s="15" t="n"/>
    </row>
    <row r="48">
      <c r="A48" s="45" t="n"/>
      <c r="B48" s="15" t="n"/>
      <c r="C48" s="19" t="n"/>
      <c r="D48" s="19" t="n"/>
      <c r="E48" s="19" t="n"/>
      <c r="F48" s="36" t="n"/>
      <c r="G48" s="19" t="n"/>
      <c r="H48" s="15" t="n"/>
      <c r="I48" s="15" t="n"/>
      <c r="J48" s="44" t="n"/>
      <c r="K48" s="15" t="n"/>
      <c r="L48" s="19" t="n"/>
      <c r="M48" s="15" t="n"/>
    </row>
    <row r="49">
      <c r="A49" s="45" t="n"/>
      <c r="B49" s="15" t="n"/>
      <c r="C49" s="19" t="n"/>
      <c r="D49" s="19" t="n"/>
      <c r="E49" s="19" t="n"/>
      <c r="F49" s="36" t="n"/>
      <c r="G49" s="19" t="n"/>
      <c r="H49" s="15" t="n"/>
      <c r="I49" s="15" t="n"/>
      <c r="J49" s="44" t="n"/>
      <c r="K49" s="15" t="n"/>
      <c r="L49" s="19" t="n"/>
      <c r="M49" s="15" t="n"/>
    </row>
    <row r="50">
      <c r="A50" s="45" t="n"/>
      <c r="B50" s="15" t="n"/>
      <c r="C50" s="19" t="n"/>
      <c r="D50" s="19" t="n"/>
      <c r="E50" s="19" t="n"/>
      <c r="F50" s="36" t="n"/>
      <c r="G50" s="19" t="n"/>
      <c r="H50" s="15" t="n"/>
      <c r="I50" s="15" t="n"/>
      <c r="J50" s="44" t="n"/>
      <c r="K50" s="15" t="n"/>
      <c r="L50" s="19" t="n"/>
      <c r="M50" s="15" t="n"/>
    </row>
    <row r="51">
      <c r="A51" s="45" t="n"/>
      <c r="B51" s="15" t="n"/>
      <c r="C51" s="19" t="n"/>
      <c r="D51" s="19" t="n"/>
      <c r="E51" s="19" t="n"/>
      <c r="F51" s="36" t="n"/>
      <c r="G51" s="19" t="n"/>
      <c r="H51" s="15" t="n"/>
      <c r="I51" s="15" t="n"/>
      <c r="J51" s="44" t="n"/>
      <c r="K51" s="15" t="n"/>
      <c r="L51" s="19" t="n"/>
      <c r="M51" s="15" t="n"/>
    </row>
    <row r="52">
      <c r="A52" s="45" t="n"/>
      <c r="B52" s="15" t="n"/>
      <c r="C52" s="19" t="n"/>
      <c r="D52" s="19" t="n"/>
      <c r="E52" s="19" t="n"/>
      <c r="F52" s="36" t="n"/>
      <c r="G52" s="19" t="n"/>
      <c r="H52" s="15" t="n"/>
      <c r="I52" s="15" t="n"/>
      <c r="J52" s="44" t="n"/>
      <c r="K52" s="15" t="n"/>
      <c r="L52" s="19" t="n"/>
      <c r="M52" s="15" t="n"/>
    </row>
    <row r="53">
      <c r="A53" s="45" t="n"/>
      <c r="B53" s="15" t="n"/>
      <c r="C53" s="19" t="n"/>
      <c r="D53" s="19" t="n"/>
      <c r="E53" s="19" t="n"/>
      <c r="F53" s="36" t="n"/>
      <c r="G53" s="19" t="n"/>
      <c r="H53" s="15" t="n"/>
      <c r="I53" s="15" t="n"/>
      <c r="J53" s="44" t="n"/>
      <c r="K53" s="15" t="n"/>
      <c r="L53" s="19" t="n"/>
      <c r="M53" s="15" t="n"/>
    </row>
    <row r="54">
      <c r="A54" s="45" t="n"/>
      <c r="B54" s="15" t="n"/>
      <c r="C54" s="19" t="n"/>
      <c r="D54" s="19" t="n"/>
      <c r="E54" s="19" t="n"/>
      <c r="F54" s="36" t="n"/>
      <c r="G54" s="19" t="n"/>
      <c r="H54" s="15" t="n"/>
      <c r="I54" s="15" t="n"/>
      <c r="J54" s="44" t="n"/>
      <c r="K54" s="15" t="n"/>
      <c r="L54" s="19" t="n"/>
      <c r="M54" s="15" t="n"/>
    </row>
    <row r="55">
      <c r="A55" s="45" t="n"/>
      <c r="B55" s="15" t="n"/>
      <c r="C55" s="19" t="n"/>
      <c r="D55" s="19" t="n"/>
      <c r="E55" s="19" t="n"/>
      <c r="F55" s="36" t="n"/>
      <c r="G55" s="19" t="n"/>
      <c r="H55" s="15" t="n"/>
      <c r="I55" s="15" t="n"/>
      <c r="J55" s="44" t="n"/>
      <c r="K55" s="15" t="n"/>
      <c r="L55" s="19" t="n"/>
      <c r="M55" s="15" t="n"/>
    </row>
    <row r="56">
      <c r="A56" s="45" t="n"/>
      <c r="B56" s="15" t="n"/>
      <c r="C56" s="19" t="n"/>
      <c r="D56" s="19" t="n"/>
      <c r="E56" s="19" t="n"/>
      <c r="F56" s="36" t="n"/>
      <c r="G56" s="19" t="n"/>
      <c r="H56" s="15" t="n"/>
      <c r="I56" s="15" t="n"/>
      <c r="J56" s="44" t="n"/>
      <c r="K56" s="15" t="n"/>
      <c r="L56" s="19" t="n"/>
      <c r="M56" s="15" t="n"/>
    </row>
    <row r="57">
      <c r="A57" s="45" t="n"/>
      <c r="B57" s="15" t="n"/>
      <c r="C57" s="19" t="n"/>
      <c r="D57" s="19" t="n"/>
      <c r="E57" s="19" t="n"/>
      <c r="F57" s="36" t="n"/>
      <c r="G57" s="19" t="n"/>
      <c r="H57" s="15" t="n"/>
      <c r="I57" s="15" t="n"/>
      <c r="J57" s="44" t="n"/>
      <c r="K57" s="15" t="n"/>
      <c r="L57" s="19" t="n"/>
      <c r="M57" s="15" t="n"/>
    </row>
    <row r="58">
      <c r="A58" s="45" t="n"/>
      <c r="B58" s="15" t="n"/>
      <c r="C58" s="19" t="n"/>
      <c r="D58" s="19" t="n"/>
      <c r="E58" s="19" t="n"/>
      <c r="F58" s="36" t="n"/>
      <c r="G58" s="19" t="n"/>
      <c r="H58" s="15" t="n"/>
      <c r="I58" s="15" t="n"/>
      <c r="J58" s="44" t="n"/>
      <c r="K58" s="15" t="n"/>
      <c r="L58" s="19" t="n"/>
      <c r="M58" s="15" t="n"/>
    </row>
    <row r="59">
      <c r="A59" s="45" t="n"/>
      <c r="B59" s="15" t="n"/>
      <c r="C59" s="19" t="n"/>
      <c r="D59" s="19" t="n"/>
      <c r="E59" s="19" t="n"/>
      <c r="F59" s="36" t="n"/>
      <c r="G59" s="19" t="n"/>
      <c r="H59" s="15" t="n"/>
      <c r="I59" s="15" t="n"/>
      <c r="J59" s="44" t="n"/>
      <c r="K59" s="15" t="n"/>
      <c r="L59" s="19" t="n"/>
      <c r="M59" s="15" t="n"/>
    </row>
    <row r="60">
      <c r="A60" s="45" t="n"/>
      <c r="B60" s="15" t="n"/>
      <c r="C60" s="19" t="n"/>
      <c r="D60" s="19" t="n"/>
      <c r="E60" s="19" t="n"/>
      <c r="F60" s="36" t="n"/>
      <c r="G60" s="19" t="n"/>
      <c r="H60" s="15" t="n"/>
      <c r="I60" s="15" t="n"/>
      <c r="J60" s="44" t="n"/>
      <c r="K60" s="15" t="n"/>
      <c r="L60" s="19" t="n"/>
      <c r="M60" s="15" t="n"/>
    </row>
    <row r="61">
      <c r="A61" s="45" t="n"/>
      <c r="B61" s="15" t="n"/>
      <c r="C61" s="19" t="n"/>
      <c r="D61" s="19" t="n"/>
      <c r="E61" s="19" t="n"/>
      <c r="F61" s="36" t="n"/>
      <c r="G61" s="19" t="n"/>
      <c r="H61" s="15" t="n"/>
      <c r="I61" s="15" t="n"/>
      <c r="J61" s="44" t="n"/>
      <c r="K61" s="15" t="n"/>
      <c r="L61" s="19" t="n"/>
      <c r="M61" s="15" t="n"/>
    </row>
    <row r="62">
      <c r="A62" s="45" t="n"/>
      <c r="B62" s="15" t="n"/>
      <c r="C62" s="19" t="n"/>
      <c r="D62" s="19" t="n"/>
      <c r="E62" s="19" t="n"/>
      <c r="F62" s="36" t="n"/>
      <c r="G62" s="19" t="n"/>
      <c r="H62" s="15" t="n"/>
      <c r="I62" s="15" t="n"/>
      <c r="J62" s="44" t="n"/>
      <c r="K62" s="15" t="n"/>
      <c r="L62" s="19" t="n"/>
      <c r="M62" s="15" t="n"/>
    </row>
    <row r="63">
      <c r="A63" s="45" t="n"/>
      <c r="B63" s="15" t="n"/>
      <c r="C63" s="19" t="n"/>
      <c r="D63" s="19" t="n"/>
      <c r="E63" s="19" t="n"/>
      <c r="F63" s="36" t="n"/>
      <c r="G63" s="19" t="n"/>
      <c r="H63" s="15" t="n"/>
      <c r="I63" s="15" t="n"/>
      <c r="J63" s="44" t="n"/>
      <c r="K63" s="15" t="n"/>
      <c r="L63" s="19" t="n"/>
      <c r="M63" s="15" t="n"/>
    </row>
    <row r="64">
      <c r="A64" s="45" t="n"/>
      <c r="B64" s="15" t="n"/>
      <c r="C64" s="19" t="n"/>
      <c r="D64" s="19" t="n"/>
      <c r="E64" s="19" t="n"/>
      <c r="F64" s="36" t="n"/>
      <c r="G64" s="19" t="n"/>
      <c r="H64" s="15" t="n"/>
      <c r="I64" s="15" t="n"/>
      <c r="J64" s="44" t="n"/>
      <c r="K64" s="15" t="n"/>
      <c r="L64" s="19" t="n"/>
      <c r="M64" s="15" t="n"/>
    </row>
    <row r="65">
      <c r="A65" s="45" t="n"/>
      <c r="B65" s="15" t="n"/>
      <c r="C65" s="19" t="n"/>
      <c r="D65" s="19" t="n"/>
      <c r="E65" s="19" t="n"/>
      <c r="F65" s="36" t="n"/>
      <c r="G65" s="19" t="n"/>
      <c r="H65" s="15" t="n"/>
      <c r="I65" s="15" t="n"/>
      <c r="J65" s="44" t="n"/>
      <c r="K65" s="15" t="n"/>
      <c r="L65" s="19" t="n"/>
      <c r="M65" s="15" t="n"/>
    </row>
    <row r="66">
      <c r="A66" s="45" t="n"/>
      <c r="B66" s="15" t="n"/>
      <c r="C66" s="19" t="n"/>
      <c r="D66" s="19" t="n"/>
      <c r="E66" s="19" t="n"/>
      <c r="F66" s="36" t="n"/>
      <c r="G66" s="19" t="n"/>
      <c r="H66" s="15" t="n"/>
      <c r="I66" s="15" t="n"/>
      <c r="J66" s="44" t="n"/>
      <c r="K66" s="15" t="n"/>
      <c r="L66" s="19" t="n"/>
      <c r="M66" s="15" t="n"/>
    </row>
    <row r="67">
      <c r="A67" s="45" t="n"/>
      <c r="B67" s="15" t="n"/>
      <c r="C67" s="19" t="n"/>
      <c r="D67" s="19" t="n"/>
      <c r="E67" s="19" t="n"/>
      <c r="F67" s="36" t="n"/>
      <c r="G67" s="19" t="n"/>
      <c r="H67" s="15" t="n"/>
      <c r="I67" s="15" t="n"/>
      <c r="J67" s="44" t="n"/>
      <c r="K67" s="15" t="n"/>
      <c r="L67" s="19" t="n"/>
      <c r="M67" s="15" t="n"/>
    </row>
    <row r="68">
      <c r="A68" s="45" t="n"/>
      <c r="B68" s="15" t="n"/>
      <c r="C68" s="19" t="n"/>
      <c r="D68" s="19" t="n"/>
      <c r="E68" s="19" t="n"/>
      <c r="F68" s="36" t="n"/>
      <c r="G68" s="19" t="n"/>
      <c r="H68" s="15" t="n"/>
      <c r="I68" s="15" t="n"/>
      <c r="J68" s="44" t="n"/>
      <c r="K68" s="15" t="n"/>
      <c r="L68" s="19" t="n"/>
      <c r="M68" s="15" t="n"/>
    </row>
    <row r="69">
      <c r="A69" s="45" t="n"/>
      <c r="B69" s="15" t="n"/>
      <c r="C69" s="19" t="n"/>
      <c r="D69" s="19" t="n"/>
      <c r="E69" s="19" t="n"/>
      <c r="F69" s="36" t="n"/>
      <c r="G69" s="19" t="n"/>
      <c r="H69" s="15" t="n"/>
      <c r="I69" s="15" t="n"/>
      <c r="J69" s="44" t="n"/>
      <c r="K69" s="15" t="n"/>
      <c r="L69" s="19" t="n"/>
      <c r="M69" s="15" t="n"/>
    </row>
    <row r="70">
      <c r="A70" s="45" t="n"/>
      <c r="B70" s="15" t="n"/>
      <c r="C70" s="19" t="n"/>
      <c r="D70" s="19" t="n"/>
      <c r="E70" s="19" t="n"/>
      <c r="F70" s="36" t="n"/>
      <c r="G70" s="19" t="n"/>
      <c r="H70" s="15" t="n"/>
      <c r="I70" s="15" t="n"/>
      <c r="J70" s="44" t="n"/>
      <c r="K70" s="15" t="n"/>
      <c r="L70" s="19" t="n"/>
      <c r="M70" s="15" t="n"/>
    </row>
    <row r="71">
      <c r="A71" s="45" t="n"/>
      <c r="B71" s="15" t="n"/>
      <c r="C71" s="19" t="n"/>
      <c r="D71" s="19" t="n"/>
      <c r="E71" s="19" t="n"/>
      <c r="F71" s="36" t="n"/>
      <c r="G71" s="19" t="n"/>
      <c r="H71" s="15" t="n"/>
      <c r="I71" s="15" t="n"/>
      <c r="J71" s="44" t="n"/>
      <c r="K71" s="15" t="n"/>
      <c r="L71" s="19" t="n"/>
      <c r="M71" s="15" t="n"/>
    </row>
    <row r="72">
      <c r="A72" s="45" t="n"/>
      <c r="B72" s="15" t="n"/>
      <c r="C72" s="19" t="n"/>
      <c r="D72" s="19" t="n"/>
      <c r="E72" s="19" t="n"/>
      <c r="F72" s="36" t="n"/>
      <c r="G72" s="19" t="n"/>
      <c r="H72" s="15" t="n"/>
      <c r="I72" s="15" t="n"/>
      <c r="J72" s="44" t="n"/>
      <c r="K72" s="15" t="n"/>
      <c r="L72" s="19" t="n"/>
      <c r="M72" s="15" t="n"/>
    </row>
    <row r="73">
      <c r="A73" s="45" t="n"/>
      <c r="B73" s="15" t="n"/>
      <c r="C73" s="19" t="n"/>
      <c r="D73" s="19" t="n"/>
      <c r="E73" s="19" t="n"/>
      <c r="F73" s="36" t="n"/>
      <c r="G73" s="19" t="n"/>
      <c r="H73" s="15" t="n"/>
      <c r="I73" s="15" t="n"/>
      <c r="J73" s="44" t="n"/>
      <c r="K73" s="15" t="n"/>
      <c r="L73" s="19" t="n"/>
      <c r="M73" s="15" t="n"/>
    </row>
    <row r="74">
      <c r="A74" s="45" t="n"/>
      <c r="B74" s="15" t="n"/>
      <c r="C74" s="19" t="n"/>
      <c r="D74" s="19" t="n"/>
      <c r="E74" s="19" t="n"/>
      <c r="F74" s="36" t="n"/>
      <c r="G74" s="19" t="n"/>
      <c r="H74" s="15" t="n"/>
      <c r="I74" s="15" t="n"/>
      <c r="J74" s="44" t="n"/>
      <c r="K74" s="15" t="n"/>
      <c r="L74" s="19" t="n"/>
      <c r="M74" s="15" t="n"/>
    </row>
    <row r="75">
      <c r="A75" s="45" t="n"/>
      <c r="B75" s="15" t="n"/>
      <c r="C75" s="19" t="n"/>
      <c r="D75" s="19" t="n"/>
      <c r="E75" s="19" t="n"/>
      <c r="F75" s="36" t="n"/>
      <c r="G75" s="19" t="n"/>
      <c r="H75" s="15" t="n"/>
      <c r="I75" s="15" t="n"/>
      <c r="J75" s="44" t="n"/>
      <c r="K75" s="15" t="n"/>
      <c r="L75" s="19" t="n"/>
      <c r="M75" s="15" t="n"/>
    </row>
    <row r="76">
      <c r="A76" s="45" t="n"/>
      <c r="B76" s="15" t="n"/>
      <c r="C76" s="19" t="n"/>
      <c r="D76" s="19" t="n"/>
      <c r="E76" s="19" t="n"/>
      <c r="F76" s="36" t="n"/>
      <c r="G76" s="19" t="n"/>
      <c r="H76" s="15" t="n"/>
      <c r="I76" s="15" t="n"/>
      <c r="J76" s="44" t="n"/>
      <c r="K76" s="15" t="n"/>
      <c r="L76" s="19" t="n"/>
      <c r="M76" s="15" t="n"/>
    </row>
    <row r="77">
      <c r="A77" s="45" t="n"/>
      <c r="B77" s="15" t="n"/>
      <c r="C77" s="19" t="n"/>
      <c r="D77" s="19" t="n"/>
      <c r="E77" s="19" t="n"/>
      <c r="F77" s="36" t="n"/>
      <c r="G77" s="19" t="n"/>
      <c r="H77" s="15" t="n"/>
      <c r="I77" s="15" t="n"/>
      <c r="J77" s="44" t="n"/>
      <c r="K77" s="15" t="n"/>
      <c r="L77" s="19" t="n"/>
      <c r="M77" s="15" t="n"/>
    </row>
    <row r="78">
      <c r="A78" s="45" t="n"/>
      <c r="B78" s="15" t="n"/>
      <c r="C78" s="19" t="n"/>
      <c r="D78" s="19" t="n"/>
      <c r="E78" s="19" t="n"/>
      <c r="F78" s="36" t="n"/>
      <c r="G78" s="19" t="n"/>
      <c r="H78" s="15" t="n"/>
      <c r="I78" s="15" t="n"/>
      <c r="J78" s="44" t="n"/>
      <c r="K78" s="15" t="n"/>
      <c r="L78" s="19" t="n"/>
      <c r="M78" s="15" t="n"/>
    </row>
    <row r="79">
      <c r="A79" s="45" t="n"/>
      <c r="B79" s="15" t="n"/>
      <c r="C79" s="19" t="n"/>
      <c r="D79" s="19" t="n"/>
      <c r="E79" s="19" t="n"/>
      <c r="F79" s="36" t="n"/>
      <c r="G79" s="19" t="n"/>
      <c r="H79" s="15" t="n"/>
      <c r="I79" s="15" t="n"/>
      <c r="J79" s="44" t="n"/>
      <c r="K79" s="15" t="n"/>
      <c r="L79" s="19" t="n"/>
      <c r="M79" s="15" t="n"/>
    </row>
    <row r="80">
      <c r="A80" s="45" t="n"/>
      <c r="B80" s="15" t="n"/>
      <c r="C80" s="19" t="n"/>
      <c r="D80" s="19" t="n"/>
      <c r="E80" s="19" t="n"/>
      <c r="F80" s="36" t="n"/>
      <c r="G80" s="19" t="n"/>
      <c r="H80" s="15" t="n"/>
      <c r="I80" s="15" t="n"/>
      <c r="J80" s="44" t="n"/>
      <c r="K80" s="15" t="n"/>
      <c r="L80" s="19" t="n"/>
      <c r="M80" s="15" t="n"/>
    </row>
    <row r="81">
      <c r="A81" s="45" t="n"/>
      <c r="B81" s="15" t="n"/>
      <c r="C81" s="19" t="n"/>
      <c r="D81" s="19" t="n"/>
      <c r="E81" s="19" t="n"/>
      <c r="F81" s="36" t="n"/>
      <c r="G81" s="19" t="n"/>
      <c r="H81" s="15" t="n"/>
      <c r="I81" s="15" t="n"/>
      <c r="J81" s="44" t="n"/>
      <c r="K81" s="15" t="n"/>
      <c r="L81" s="19" t="n"/>
      <c r="M81" s="15" t="n"/>
    </row>
    <row r="82">
      <c r="A82" s="45" t="n"/>
      <c r="B82" s="15" t="n"/>
      <c r="C82" s="19" t="n"/>
      <c r="D82" s="19" t="n"/>
      <c r="E82" s="19" t="n"/>
      <c r="F82" s="36" t="n"/>
      <c r="G82" s="19" t="n"/>
      <c r="H82" s="15" t="n"/>
      <c r="I82" s="15" t="n"/>
      <c r="J82" s="44" t="n"/>
      <c r="K82" s="15" t="n"/>
      <c r="L82" s="19" t="n"/>
      <c r="M82" s="15" t="n"/>
    </row>
    <row r="83">
      <c r="A83" s="45" t="n"/>
      <c r="B83" s="15" t="n"/>
      <c r="C83" s="19" t="n"/>
      <c r="D83" s="19" t="n"/>
      <c r="E83" s="19" t="n"/>
      <c r="F83" s="36" t="n"/>
      <c r="G83" s="19" t="n"/>
      <c r="H83" s="15" t="n"/>
      <c r="I83" s="15" t="n"/>
      <c r="J83" s="44" t="n"/>
      <c r="K83" s="15" t="n"/>
      <c r="L83" s="19" t="n"/>
      <c r="M83" s="15" t="n"/>
    </row>
    <row r="84">
      <c r="A84" s="45" t="n"/>
      <c r="B84" s="15" t="n"/>
      <c r="C84" s="19" t="n"/>
      <c r="D84" s="19" t="n"/>
      <c r="E84" s="19" t="n"/>
      <c r="F84" s="36" t="n"/>
      <c r="G84" s="19" t="n"/>
      <c r="H84" s="15" t="n"/>
      <c r="I84" s="15" t="n"/>
      <c r="J84" s="44" t="n"/>
      <c r="K84" s="15" t="n"/>
      <c r="L84" s="19" t="n"/>
      <c r="M84" s="15" t="n"/>
    </row>
    <row r="85">
      <c r="A85" s="45" t="n"/>
      <c r="B85" s="15" t="n"/>
      <c r="C85" s="19" t="n"/>
      <c r="D85" s="19" t="n"/>
      <c r="E85" s="19" t="n"/>
      <c r="F85" s="36" t="n"/>
      <c r="G85" s="19" t="n"/>
      <c r="H85" s="15" t="n"/>
      <c r="I85" s="15" t="n"/>
      <c r="J85" s="44" t="n"/>
      <c r="K85" s="15" t="n"/>
      <c r="L85" s="19" t="n"/>
      <c r="M85" s="15" t="n"/>
    </row>
    <row r="86">
      <c r="A86" s="45" t="n"/>
      <c r="B86" s="15" t="n"/>
      <c r="C86" s="19" t="n"/>
      <c r="D86" s="19" t="n"/>
      <c r="E86" s="19" t="n"/>
      <c r="F86" s="36" t="n"/>
      <c r="G86" s="19" t="n"/>
      <c r="H86" s="15" t="n"/>
      <c r="I86" s="15" t="n"/>
      <c r="J86" s="44" t="n"/>
      <c r="K86" s="15" t="n"/>
      <c r="L86" s="19" t="n"/>
      <c r="M86" s="15" t="n"/>
    </row>
    <row r="87">
      <c r="A87" s="45" t="n"/>
      <c r="B87" s="15" t="n"/>
      <c r="C87" s="19" t="n"/>
      <c r="D87" s="19" t="n"/>
      <c r="E87" s="19" t="n"/>
      <c r="F87" s="36" t="n"/>
      <c r="G87" s="19" t="n"/>
      <c r="H87" s="15" t="n"/>
      <c r="I87" s="15" t="n"/>
      <c r="J87" s="44" t="n"/>
      <c r="K87" s="15" t="n"/>
      <c r="L87" s="19" t="n"/>
      <c r="M87" s="15" t="n"/>
    </row>
    <row r="88">
      <c r="A88" s="45" t="n"/>
      <c r="B88" s="15" t="n"/>
      <c r="C88" s="19" t="n"/>
      <c r="D88" s="19" t="n"/>
      <c r="E88" s="19" t="n"/>
      <c r="F88" s="36" t="n"/>
      <c r="G88" s="19" t="n"/>
      <c r="H88" s="15" t="n"/>
      <c r="I88" s="15" t="n"/>
      <c r="J88" s="44" t="n"/>
      <c r="K88" s="15" t="n"/>
      <c r="L88" s="19" t="n"/>
      <c r="M88" s="15" t="n"/>
    </row>
    <row r="89">
      <c r="A89" s="45" t="n"/>
      <c r="B89" s="15" t="n"/>
      <c r="C89" s="19" t="n"/>
      <c r="D89" s="19" t="n"/>
      <c r="E89" s="19" t="n"/>
      <c r="F89" s="36" t="n"/>
      <c r="G89" s="19" t="n"/>
      <c r="H89" s="15" t="n"/>
      <c r="I89" s="15" t="n"/>
      <c r="J89" s="44" t="n"/>
      <c r="K89" s="15" t="n"/>
      <c r="L89" s="19" t="n"/>
      <c r="M89" s="15" t="n"/>
    </row>
    <row r="90">
      <c r="A90" s="45" t="n"/>
      <c r="B90" s="15" t="n"/>
      <c r="C90" s="19" t="n"/>
      <c r="D90" s="19" t="n"/>
      <c r="E90" s="19" t="n"/>
      <c r="F90" s="36" t="n"/>
      <c r="G90" s="19" t="n"/>
      <c r="H90" s="15" t="n"/>
      <c r="I90" s="15" t="n"/>
      <c r="J90" s="44" t="n"/>
      <c r="K90" s="15" t="n"/>
      <c r="L90" s="19" t="n"/>
      <c r="M90" s="15" t="n"/>
    </row>
    <row r="91">
      <c r="A91" s="45" t="n"/>
      <c r="B91" s="15" t="n"/>
      <c r="C91" s="19" t="n"/>
      <c r="D91" s="19" t="n"/>
      <c r="E91" s="19" t="n"/>
      <c r="F91" s="36" t="n"/>
      <c r="G91" s="19" t="n"/>
      <c r="H91" s="15" t="n"/>
      <c r="I91" s="15" t="n"/>
      <c r="J91" s="44" t="n"/>
      <c r="K91" s="15" t="n"/>
      <c r="L91" s="19" t="n"/>
      <c r="M91" s="15" t="n"/>
    </row>
    <row r="92">
      <c r="A92" s="45" t="n"/>
      <c r="B92" s="15" t="n"/>
      <c r="C92" s="19" t="n"/>
      <c r="D92" s="19" t="n"/>
      <c r="E92" s="19" t="n"/>
      <c r="F92" s="36" t="n"/>
      <c r="G92" s="19" t="n"/>
      <c r="H92" s="15" t="n"/>
      <c r="I92" s="15" t="n"/>
      <c r="J92" s="44" t="n"/>
      <c r="K92" s="15" t="n"/>
      <c r="L92" s="19" t="n"/>
      <c r="M92" s="15" t="n"/>
    </row>
    <row r="93">
      <c r="A93" s="45" t="n"/>
      <c r="B93" s="15" t="n"/>
      <c r="C93" s="19" t="n"/>
      <c r="D93" s="19" t="n"/>
      <c r="E93" s="19" t="n"/>
      <c r="F93" s="36" t="n"/>
      <c r="G93" s="19" t="n"/>
      <c r="H93" s="15" t="n"/>
      <c r="I93" s="15" t="n"/>
      <c r="J93" s="44" t="n"/>
      <c r="K93" s="15" t="n"/>
      <c r="L93" s="19" t="n"/>
      <c r="M93" s="15" t="n"/>
    </row>
    <row r="94">
      <c r="A94" s="45" t="n"/>
      <c r="B94" s="15" t="n"/>
      <c r="C94" s="19" t="n"/>
      <c r="D94" s="19" t="n"/>
      <c r="E94" s="19" t="n"/>
      <c r="F94" s="36" t="n"/>
      <c r="G94" s="19" t="n"/>
      <c r="H94" s="15" t="n"/>
      <c r="I94" s="15" t="n"/>
      <c r="J94" s="44" t="n"/>
      <c r="K94" s="15" t="n"/>
      <c r="L94" s="19" t="n"/>
      <c r="M94" s="15" t="n"/>
    </row>
    <row r="95">
      <c r="A95" s="45" t="n"/>
      <c r="B95" s="15" t="n"/>
      <c r="C95" s="19" t="n"/>
      <c r="D95" s="19" t="n"/>
      <c r="E95" s="19" t="n"/>
      <c r="F95" s="36" t="n"/>
      <c r="G95" s="19" t="n"/>
      <c r="H95" s="15" t="n"/>
      <c r="I95" s="15" t="n"/>
      <c r="J95" s="44" t="n"/>
      <c r="K95" s="15" t="n"/>
      <c r="L95" s="19" t="n"/>
      <c r="M95" s="15" t="n"/>
    </row>
    <row r="96">
      <c r="A96" s="45" t="n"/>
      <c r="B96" s="15" t="n"/>
      <c r="C96" s="19" t="n"/>
      <c r="D96" s="19" t="n"/>
      <c r="E96" s="19" t="n"/>
      <c r="F96" s="36" t="n"/>
      <c r="G96" s="19" t="n"/>
      <c r="H96" s="15" t="n"/>
      <c r="I96" s="15" t="n"/>
      <c r="J96" s="44" t="n"/>
      <c r="K96" s="15" t="n"/>
      <c r="L96" s="19" t="n"/>
      <c r="M96" s="15" t="n"/>
    </row>
    <row r="97">
      <c r="A97" s="45" t="n"/>
      <c r="B97" s="15" t="n"/>
      <c r="C97" s="19" t="n"/>
      <c r="D97" s="19" t="n"/>
      <c r="E97" s="19" t="n"/>
      <c r="F97" s="36" t="n"/>
      <c r="G97" s="19" t="n"/>
      <c r="H97" s="15" t="n"/>
      <c r="I97" s="15" t="n"/>
      <c r="J97" s="44" t="n"/>
      <c r="K97" s="15" t="n"/>
      <c r="L97" s="19" t="n"/>
      <c r="M97" s="15" t="n"/>
    </row>
    <row r="98">
      <c r="A98" s="45" t="n"/>
      <c r="B98" s="15" t="n"/>
      <c r="C98" s="19" t="n"/>
      <c r="D98" s="19" t="n"/>
      <c r="E98" s="19" t="n"/>
      <c r="F98" s="36" t="n"/>
      <c r="G98" s="19" t="n"/>
      <c r="H98" s="15" t="n"/>
      <c r="I98" s="15" t="n"/>
      <c r="J98" s="44" t="n"/>
      <c r="K98" s="15" t="n"/>
      <c r="L98" s="19" t="n"/>
      <c r="M98" s="15" t="n"/>
    </row>
    <row r="99">
      <c r="A99" s="45" t="n"/>
      <c r="B99" s="15" t="n"/>
      <c r="C99" s="19" t="n"/>
      <c r="D99" s="19" t="n"/>
      <c r="E99" s="19" t="n"/>
      <c r="F99" s="36" t="n"/>
      <c r="G99" s="19" t="n"/>
      <c r="H99" s="15" t="n"/>
      <c r="I99" s="15" t="n"/>
      <c r="J99" s="44" t="n"/>
      <c r="K99" s="15" t="n"/>
      <c r="L99" s="19" t="n"/>
      <c r="M99" s="15" t="n"/>
    </row>
    <row r="100">
      <c r="A100" s="45" t="n"/>
      <c r="B100" s="15" t="n"/>
      <c r="C100" s="19" t="n"/>
      <c r="D100" s="19" t="n"/>
      <c r="E100" s="19" t="n"/>
      <c r="F100" s="36" t="n"/>
      <c r="G100" s="19" t="n"/>
      <c r="H100" s="15" t="n"/>
      <c r="I100" s="15" t="n"/>
      <c r="J100" s="44" t="n"/>
      <c r="K100" s="15" t="n"/>
      <c r="L100" s="19" t="n"/>
      <c r="M100" s="15" t="n"/>
    </row>
    <row r="101">
      <c r="A101" s="45" t="n"/>
      <c r="B101" s="15" t="n"/>
      <c r="C101" s="19" t="n"/>
      <c r="D101" s="19" t="n"/>
      <c r="E101" s="19" t="n"/>
      <c r="F101" s="36" t="n"/>
      <c r="G101" s="19" t="n"/>
      <c r="H101" s="15" t="n"/>
      <c r="I101" s="15" t="n"/>
      <c r="J101" s="44" t="n"/>
      <c r="K101" s="15" t="n"/>
      <c r="L101" s="19" t="n"/>
      <c r="M101" s="15" t="n"/>
    </row>
    <row r="102">
      <c r="A102" s="45" t="n"/>
      <c r="B102" s="15" t="n"/>
      <c r="C102" s="19" t="n"/>
      <c r="D102" s="19" t="n"/>
      <c r="E102" s="19" t="n"/>
      <c r="F102" s="36" t="n"/>
      <c r="G102" s="19" t="n"/>
      <c r="H102" s="15" t="n"/>
      <c r="I102" s="15" t="n"/>
      <c r="J102" s="44" t="n"/>
      <c r="K102" s="15" t="n"/>
      <c r="L102" s="19" t="n"/>
      <c r="M102" s="15" t="n"/>
    </row>
    <row r="103">
      <c r="A103" s="45" t="n"/>
      <c r="B103" s="15" t="n"/>
      <c r="C103" s="19" t="n"/>
      <c r="D103" s="19" t="n"/>
      <c r="E103" s="19" t="n"/>
      <c r="F103" s="36" t="n"/>
      <c r="G103" s="19" t="n"/>
      <c r="H103" s="15" t="n"/>
      <c r="I103" s="15" t="n"/>
      <c r="J103" s="44" t="n"/>
      <c r="K103" s="15" t="n"/>
      <c r="L103" s="19" t="n"/>
      <c r="M103" s="15" t="n"/>
    </row>
    <row r="104">
      <c r="A104" s="45" t="n"/>
      <c r="B104" s="15" t="n"/>
      <c r="C104" s="19" t="n"/>
      <c r="D104" s="19" t="n"/>
      <c r="E104" s="19" t="n"/>
      <c r="F104" s="36" t="n"/>
      <c r="G104" s="19" t="n"/>
      <c r="H104" s="15" t="n"/>
      <c r="I104" s="15" t="n"/>
      <c r="J104" s="44" t="n"/>
      <c r="K104" s="15" t="n"/>
      <c r="L104" s="19" t="n"/>
      <c r="M104" s="15" t="n"/>
    </row>
    <row r="105">
      <c r="A105" s="45" t="n"/>
      <c r="B105" s="15" t="n"/>
      <c r="C105" s="19" t="n"/>
      <c r="D105" s="19" t="n"/>
      <c r="E105" s="19" t="n"/>
      <c r="F105" s="36" t="n"/>
      <c r="G105" s="19" t="n"/>
      <c r="H105" s="15" t="n"/>
      <c r="I105" s="15" t="n"/>
      <c r="J105" s="44" t="n"/>
      <c r="K105" s="15" t="n"/>
      <c r="L105" s="19" t="n"/>
      <c r="M105" s="15" t="n"/>
    </row>
    <row r="106">
      <c r="A106" s="45" t="n"/>
      <c r="B106" s="15" t="n"/>
      <c r="C106" s="19" t="n"/>
      <c r="D106" s="19" t="n"/>
      <c r="E106" s="19" t="n"/>
      <c r="F106" s="36" t="n"/>
      <c r="G106" s="19" t="n"/>
      <c r="H106" s="15" t="n"/>
      <c r="I106" s="15" t="n"/>
      <c r="J106" s="44" t="n"/>
      <c r="K106" s="15" t="n"/>
      <c r="L106" s="19" t="n"/>
      <c r="M106" s="15" t="n"/>
    </row>
    <row r="107">
      <c r="A107" s="45" t="n"/>
      <c r="B107" s="15" t="n"/>
      <c r="C107" s="19" t="n"/>
      <c r="D107" s="19" t="n"/>
      <c r="E107" s="19" t="n"/>
      <c r="F107" s="36" t="n"/>
      <c r="G107" s="19" t="n"/>
      <c r="H107" s="15" t="n"/>
      <c r="I107" s="15" t="n"/>
      <c r="J107" s="44" t="n"/>
      <c r="K107" s="15" t="n"/>
      <c r="L107" s="19" t="n"/>
      <c r="M107" s="15" t="n"/>
    </row>
    <row r="108">
      <c r="A108" s="45" t="n"/>
      <c r="B108" s="15" t="n"/>
      <c r="C108" s="19" t="n"/>
      <c r="D108" s="19" t="n"/>
      <c r="E108" s="19" t="n"/>
      <c r="F108" s="36" t="n"/>
      <c r="G108" s="19" t="n"/>
      <c r="H108" s="15" t="n"/>
      <c r="I108" s="15" t="n"/>
      <c r="J108" s="44" t="n"/>
      <c r="K108" s="15" t="n"/>
      <c r="L108" s="19" t="n"/>
      <c r="M108" s="15" t="n"/>
    </row>
    <row r="109">
      <c r="A109" s="45" t="n"/>
      <c r="B109" s="15" t="n"/>
      <c r="C109" s="19" t="n"/>
      <c r="D109" s="19" t="n"/>
      <c r="E109" s="19" t="n"/>
      <c r="F109" s="36" t="n"/>
      <c r="G109" s="19" t="n"/>
      <c r="H109" s="15" t="n"/>
      <c r="I109" s="15" t="n"/>
      <c r="J109" s="44" t="n"/>
      <c r="K109" s="15" t="n"/>
      <c r="L109" s="19" t="n"/>
      <c r="M109" s="15" t="n"/>
    </row>
    <row r="110">
      <c r="A110" s="45" t="n"/>
      <c r="B110" s="15" t="n"/>
      <c r="C110" s="19" t="n"/>
      <c r="D110" s="19" t="n"/>
      <c r="E110" s="19" t="n"/>
      <c r="F110" s="36" t="n"/>
      <c r="G110" s="19" t="n"/>
      <c r="H110" s="15" t="n"/>
      <c r="I110" s="15" t="n"/>
      <c r="J110" s="44" t="n"/>
      <c r="K110" s="15" t="n"/>
      <c r="L110" s="19" t="n"/>
      <c r="M110" s="15" t="n"/>
    </row>
    <row r="111">
      <c r="A111" s="45" t="n"/>
      <c r="B111" s="15" t="n"/>
      <c r="C111" s="19" t="n"/>
      <c r="D111" s="19" t="n"/>
      <c r="E111" s="19" t="n"/>
      <c r="F111" s="36" t="n"/>
      <c r="G111" s="19" t="n"/>
      <c r="H111" s="15" t="n"/>
      <c r="I111" s="15" t="n"/>
      <c r="J111" s="44" t="n"/>
      <c r="K111" s="15" t="n"/>
      <c r="L111" s="19" t="n"/>
      <c r="M111" s="15" t="n"/>
    </row>
    <row r="112">
      <c r="A112" s="45" t="n"/>
      <c r="B112" s="15" t="n"/>
      <c r="C112" s="19" t="n"/>
      <c r="D112" s="19" t="n"/>
      <c r="E112" s="19" t="n"/>
      <c r="F112" s="36" t="n"/>
      <c r="G112" s="19" t="n"/>
      <c r="H112" s="15" t="n"/>
      <c r="I112" s="15" t="n"/>
      <c r="J112" s="44" t="n"/>
      <c r="K112" s="15" t="n"/>
      <c r="L112" s="19" t="n"/>
      <c r="M112" s="15" t="n"/>
    </row>
    <row r="113">
      <c r="A113" s="45" t="n"/>
      <c r="B113" s="15" t="n"/>
      <c r="C113" s="19" t="n"/>
      <c r="D113" s="19" t="n"/>
      <c r="E113" s="19" t="n"/>
      <c r="F113" s="36" t="n"/>
      <c r="G113" s="19" t="n"/>
      <c r="H113" s="15" t="n"/>
      <c r="I113" s="15" t="n"/>
      <c r="J113" s="44" t="n"/>
      <c r="K113" s="15" t="n"/>
      <c r="L113" s="19" t="n"/>
      <c r="M113" s="15" t="n"/>
    </row>
    <row r="114">
      <c r="A114" s="45" t="n"/>
      <c r="B114" s="15" t="n"/>
      <c r="C114" s="19" t="n"/>
      <c r="D114" s="19" t="n"/>
      <c r="E114" s="19" t="n"/>
      <c r="F114" s="36" t="n"/>
      <c r="G114" s="19" t="n"/>
      <c r="H114" s="15" t="n"/>
      <c r="I114" s="15" t="n"/>
      <c r="J114" s="44" t="n"/>
      <c r="K114" s="15" t="n"/>
      <c r="L114" s="19" t="n"/>
      <c r="M114" s="15" t="n"/>
    </row>
    <row r="115">
      <c r="A115" s="45" t="n"/>
      <c r="B115" s="15" t="n"/>
      <c r="C115" s="19" t="n"/>
      <c r="D115" s="19" t="n"/>
      <c r="E115" s="19" t="n"/>
      <c r="F115" s="36" t="n"/>
      <c r="G115" s="19" t="n"/>
      <c r="H115" s="15" t="n"/>
      <c r="I115" s="15" t="n"/>
      <c r="J115" s="44" t="n"/>
      <c r="K115" s="15" t="n"/>
      <c r="L115" s="19" t="n"/>
      <c r="M115" s="15" t="n"/>
    </row>
    <row r="116">
      <c r="A116" s="45" t="n"/>
      <c r="B116" s="15" t="n"/>
      <c r="C116" s="19" t="n"/>
      <c r="D116" s="19" t="n"/>
      <c r="E116" s="19" t="n"/>
      <c r="F116" s="36" t="n"/>
      <c r="G116" s="19" t="n"/>
      <c r="H116" s="15" t="n"/>
      <c r="I116" s="15" t="n"/>
      <c r="J116" s="44" t="n"/>
      <c r="K116" s="15" t="n"/>
      <c r="L116" s="19" t="n"/>
      <c r="M116" s="15" t="n"/>
    </row>
    <row r="117">
      <c r="A117" s="45" t="n"/>
      <c r="B117" s="15" t="n"/>
      <c r="C117" s="19" t="n"/>
      <c r="D117" s="19" t="n"/>
      <c r="E117" s="19" t="n"/>
      <c r="F117" s="36" t="n"/>
      <c r="G117" s="19" t="n"/>
      <c r="H117" s="15" t="n"/>
      <c r="I117" s="15" t="n"/>
      <c r="J117" s="44" t="n"/>
      <c r="K117" s="15" t="n"/>
      <c r="L117" s="19" t="n"/>
      <c r="M117" s="15" t="n"/>
    </row>
    <row r="118">
      <c r="A118" s="45" t="n"/>
      <c r="B118" s="15" t="n"/>
      <c r="C118" s="19" t="n"/>
      <c r="D118" s="19" t="n"/>
      <c r="E118" s="19" t="n"/>
      <c r="F118" s="36" t="n"/>
      <c r="G118" s="19" t="n"/>
      <c r="H118" s="15" t="n"/>
      <c r="I118" s="15" t="n"/>
      <c r="J118" s="44" t="n"/>
      <c r="K118" s="15" t="n"/>
      <c r="L118" s="19" t="n"/>
      <c r="M118" s="15" t="n"/>
    </row>
    <row r="119">
      <c r="A119" s="45" t="n"/>
      <c r="B119" s="15" t="n"/>
      <c r="C119" s="19" t="n"/>
      <c r="D119" s="19" t="n"/>
      <c r="E119" s="19" t="n"/>
      <c r="F119" s="36" t="n"/>
      <c r="G119" s="19" t="n"/>
      <c r="H119" s="15" t="n"/>
      <c r="I119" s="15" t="n"/>
      <c r="J119" s="44" t="n"/>
      <c r="K119" s="15" t="n"/>
      <c r="L119" s="19" t="n"/>
      <c r="M119" s="15" t="n"/>
    </row>
    <row r="120">
      <c r="A120" s="45" t="n"/>
      <c r="B120" s="15" t="n"/>
      <c r="C120" s="19" t="n"/>
      <c r="D120" s="19" t="n"/>
      <c r="E120" s="19" t="n"/>
      <c r="F120" s="36" t="n"/>
      <c r="G120" s="19" t="n"/>
      <c r="H120" s="15" t="n"/>
      <c r="I120" s="15" t="n"/>
      <c r="J120" s="44" t="n"/>
      <c r="K120" s="15" t="n"/>
      <c r="L120" s="19" t="n"/>
      <c r="M120" s="15" t="n"/>
    </row>
    <row r="121">
      <c r="A121" s="45" t="n"/>
      <c r="B121" s="15" t="n"/>
      <c r="C121" s="19" t="n"/>
      <c r="D121" s="19" t="n"/>
      <c r="E121" s="19" t="n"/>
      <c r="F121" s="36" t="n"/>
      <c r="G121" s="19" t="n"/>
      <c r="H121" s="15" t="n"/>
      <c r="I121" s="15" t="n"/>
      <c r="J121" s="44" t="n"/>
      <c r="K121" s="15" t="n"/>
      <c r="L121" s="19" t="n"/>
      <c r="M121" s="15" t="n"/>
    </row>
    <row r="122">
      <c r="A122" s="45" t="n"/>
      <c r="B122" s="15" t="n"/>
      <c r="C122" s="19" t="n"/>
      <c r="D122" s="19" t="n"/>
      <c r="E122" s="19" t="n"/>
      <c r="F122" s="36" t="n"/>
      <c r="G122" s="19" t="n"/>
      <c r="H122" s="15" t="n"/>
      <c r="I122" s="15" t="n"/>
      <c r="J122" s="44" t="n"/>
      <c r="K122" s="15" t="n"/>
      <c r="L122" s="19" t="n"/>
      <c r="M122" s="15" t="n"/>
    </row>
    <row r="123">
      <c r="A123" s="45" t="n"/>
      <c r="B123" s="15" t="n"/>
      <c r="C123" s="19" t="n"/>
      <c r="D123" s="19" t="n"/>
      <c r="E123" s="19" t="n"/>
      <c r="F123" s="36" t="n"/>
      <c r="G123" s="19" t="n"/>
      <c r="H123" s="15" t="n"/>
      <c r="I123" s="15" t="n"/>
      <c r="J123" s="44" t="n"/>
      <c r="K123" s="15" t="n"/>
      <c r="L123" s="19" t="n"/>
      <c r="M123" s="15" t="n"/>
    </row>
    <row r="124">
      <c r="A124" s="45" t="n"/>
      <c r="B124" s="15" t="n"/>
      <c r="C124" s="19" t="n"/>
      <c r="D124" s="19" t="n"/>
      <c r="E124" s="19" t="n"/>
      <c r="F124" s="36" t="n"/>
      <c r="G124" s="19" t="n"/>
      <c r="H124" s="15" t="n"/>
      <c r="I124" s="15" t="n"/>
      <c r="J124" s="44" t="n"/>
      <c r="K124" s="15" t="n"/>
      <c r="L124" s="19" t="n"/>
      <c r="M124" s="15" t="n"/>
    </row>
    <row r="125">
      <c r="A125" s="45" t="n"/>
      <c r="B125" s="15" t="n"/>
      <c r="C125" s="19" t="n"/>
      <c r="D125" s="19" t="n"/>
      <c r="E125" s="19" t="n"/>
      <c r="F125" s="36" t="n"/>
      <c r="G125" s="19" t="n"/>
      <c r="H125" s="15" t="n"/>
      <c r="I125" s="15" t="n"/>
      <c r="J125" s="44" t="n"/>
      <c r="K125" s="15" t="n"/>
      <c r="L125" s="19" t="n"/>
      <c r="M125" s="15" t="n"/>
    </row>
    <row r="126">
      <c r="A126" s="45" t="n"/>
      <c r="B126" s="15" t="n"/>
      <c r="C126" s="19" t="n"/>
      <c r="D126" s="19" t="n"/>
      <c r="E126" s="19" t="n"/>
      <c r="F126" s="36" t="n"/>
      <c r="G126" s="19" t="n"/>
      <c r="H126" s="15" t="n"/>
      <c r="I126" s="15" t="n"/>
      <c r="J126" s="44" t="n"/>
      <c r="K126" s="15" t="n"/>
      <c r="L126" s="19" t="n"/>
      <c r="M126" s="15" t="n"/>
    </row>
    <row r="127">
      <c r="A127" s="45" t="n"/>
      <c r="B127" s="15" t="n"/>
      <c r="C127" s="19" t="n"/>
      <c r="D127" s="19" t="n"/>
      <c r="E127" s="19" t="n"/>
      <c r="F127" s="36" t="n"/>
      <c r="G127" s="19" t="n"/>
      <c r="H127" s="15" t="n"/>
      <c r="I127" s="15" t="n"/>
      <c r="J127" s="44" t="n"/>
      <c r="K127" s="15" t="n"/>
      <c r="L127" s="19" t="n"/>
      <c r="M127" s="15" t="n"/>
    </row>
    <row r="128">
      <c r="A128" s="45" t="n"/>
      <c r="B128" s="15" t="n"/>
      <c r="C128" s="19" t="n"/>
      <c r="D128" s="19" t="n"/>
      <c r="E128" s="19" t="n"/>
      <c r="F128" s="36" t="n"/>
      <c r="G128" s="19" t="n"/>
      <c r="H128" s="15" t="n"/>
      <c r="I128" s="15" t="n"/>
      <c r="J128" s="44" t="n"/>
      <c r="K128" s="15" t="n"/>
      <c r="L128" s="19" t="n"/>
      <c r="M128" s="15" t="n"/>
    </row>
    <row r="129">
      <c r="A129" s="45" t="n"/>
      <c r="B129" s="15" t="n"/>
      <c r="C129" s="19" t="n"/>
      <c r="D129" s="19" t="n"/>
      <c r="E129" s="19" t="n"/>
      <c r="F129" s="36" t="n"/>
      <c r="G129" s="19" t="n"/>
      <c r="H129" s="15" t="n"/>
      <c r="I129" s="15" t="n"/>
      <c r="J129" s="44" t="n"/>
      <c r="K129" s="15" t="n"/>
      <c r="L129" s="19" t="n"/>
      <c r="M129" s="15" t="n"/>
    </row>
    <row r="130">
      <c r="A130" s="45" t="n"/>
      <c r="B130" s="15" t="n"/>
      <c r="C130" s="19" t="n"/>
      <c r="D130" s="19" t="n"/>
      <c r="E130" s="19" t="n"/>
      <c r="F130" s="36" t="n"/>
      <c r="G130" s="19" t="n"/>
      <c r="H130" s="15" t="n"/>
      <c r="I130" s="15" t="n"/>
      <c r="J130" s="44" t="n"/>
      <c r="K130" s="15" t="n"/>
      <c r="L130" s="19" t="n"/>
      <c r="M130" s="15" t="n"/>
    </row>
    <row r="131">
      <c r="A131" s="45" t="n"/>
      <c r="B131" s="15" t="n"/>
      <c r="C131" s="19" t="n"/>
      <c r="D131" s="19" t="n"/>
      <c r="E131" s="19" t="n"/>
      <c r="F131" s="36" t="n"/>
      <c r="G131" s="19" t="n"/>
      <c r="H131" s="15" t="n"/>
      <c r="I131" s="15" t="n"/>
      <c r="J131" s="44" t="n"/>
      <c r="K131" s="15" t="n"/>
      <c r="L131" s="19" t="n"/>
      <c r="M131" s="15" t="n"/>
    </row>
    <row r="132">
      <c r="A132" s="45" t="n"/>
      <c r="B132" s="15" t="n"/>
      <c r="C132" s="19" t="n"/>
      <c r="D132" s="19" t="n"/>
      <c r="E132" s="19" t="n"/>
      <c r="F132" s="36" t="n"/>
      <c r="G132" s="19" t="n"/>
      <c r="H132" s="15" t="n"/>
      <c r="I132" s="15" t="n"/>
      <c r="J132" s="44" t="n"/>
      <c r="K132" s="15" t="n"/>
      <c r="L132" s="19" t="n"/>
      <c r="M132" s="15" t="n"/>
    </row>
    <row r="133">
      <c r="A133" s="45" t="n"/>
      <c r="B133" s="15" t="n"/>
      <c r="C133" s="19" t="n"/>
      <c r="D133" s="19" t="n"/>
      <c r="E133" s="19" t="n"/>
      <c r="F133" s="36" t="n"/>
      <c r="G133" s="19" t="n"/>
      <c r="H133" s="15" t="n"/>
      <c r="I133" s="15" t="n"/>
      <c r="J133" s="44" t="n"/>
      <c r="K133" s="15" t="n"/>
      <c r="L133" s="19" t="n"/>
      <c r="M133" s="15" t="n"/>
    </row>
    <row r="134">
      <c r="A134" s="45" t="n"/>
      <c r="B134" s="15" t="n"/>
      <c r="C134" s="19" t="n"/>
      <c r="D134" s="19" t="n"/>
      <c r="E134" s="19" t="n"/>
      <c r="F134" s="36" t="n"/>
      <c r="G134" s="19" t="n"/>
      <c r="H134" s="15" t="n"/>
      <c r="I134" s="15" t="n"/>
      <c r="J134" s="44" t="n"/>
      <c r="K134" s="15" t="n"/>
      <c r="L134" s="19" t="n"/>
      <c r="M134" s="15" t="n"/>
    </row>
    <row r="135">
      <c r="A135" s="45" t="n"/>
      <c r="B135" s="15" t="n"/>
      <c r="C135" s="19" t="n"/>
      <c r="D135" s="19" t="n"/>
      <c r="E135" s="19" t="n"/>
      <c r="F135" s="36" t="n"/>
      <c r="G135" s="19" t="n"/>
      <c r="H135" s="15" t="n"/>
      <c r="I135" s="15" t="n"/>
      <c r="J135" s="44" t="n"/>
      <c r="K135" s="15" t="n"/>
      <c r="L135" s="19" t="n"/>
      <c r="M135" s="15" t="n"/>
    </row>
    <row r="136">
      <c r="A136" s="45" t="n"/>
      <c r="B136" s="15" t="n"/>
      <c r="C136" s="19" t="n"/>
      <c r="D136" s="19" t="n"/>
      <c r="E136" s="19" t="n"/>
      <c r="F136" s="36" t="n"/>
      <c r="G136" s="19" t="n"/>
      <c r="H136" s="15" t="n"/>
      <c r="I136" s="15" t="n"/>
      <c r="J136" s="44" t="n"/>
      <c r="K136" s="15" t="n"/>
      <c r="L136" s="19" t="n"/>
      <c r="M136" s="15" t="n"/>
    </row>
    <row r="137">
      <c r="A137" s="45" t="n"/>
      <c r="B137" s="15" t="n"/>
      <c r="C137" s="19" t="n"/>
      <c r="D137" s="19" t="n"/>
      <c r="E137" s="19" t="n"/>
      <c r="F137" s="36" t="n"/>
      <c r="G137" s="19" t="n"/>
      <c r="H137" s="15" t="n"/>
      <c r="I137" s="15" t="n"/>
      <c r="J137" s="44" t="n"/>
      <c r="K137" s="15" t="n"/>
      <c r="L137" s="19" t="n"/>
      <c r="M137" s="15" t="n"/>
    </row>
    <row r="138">
      <c r="A138" s="45" t="n"/>
      <c r="B138" s="15" t="n"/>
      <c r="C138" s="19" t="n"/>
      <c r="D138" s="19" t="n"/>
      <c r="E138" s="19" t="n"/>
      <c r="F138" s="36" t="n"/>
      <c r="G138" s="19" t="n"/>
      <c r="H138" s="15" t="n"/>
      <c r="I138" s="15" t="n"/>
      <c r="J138" s="44" t="n"/>
      <c r="K138" s="15" t="n"/>
      <c r="L138" s="19" t="n"/>
      <c r="M138" s="15" t="n"/>
    </row>
    <row r="139">
      <c r="A139" s="45" t="n"/>
      <c r="B139" s="15" t="n"/>
      <c r="C139" s="19" t="n"/>
      <c r="D139" s="19" t="n"/>
      <c r="E139" s="19" t="n"/>
      <c r="F139" s="36" t="n"/>
      <c r="G139" s="19" t="n"/>
      <c r="H139" s="15" t="n"/>
      <c r="I139" s="15" t="n"/>
      <c r="J139" s="44" t="n"/>
      <c r="K139" s="15" t="n"/>
      <c r="L139" s="19" t="n"/>
      <c r="M139" s="15" t="n"/>
    </row>
    <row r="140">
      <c r="A140" s="45" t="n"/>
      <c r="B140" s="15" t="n"/>
      <c r="C140" s="19" t="n"/>
      <c r="D140" s="19" t="n"/>
      <c r="E140" s="19" t="n"/>
      <c r="F140" s="36" t="n"/>
      <c r="G140" s="19" t="n"/>
      <c r="H140" s="15" t="n"/>
      <c r="I140" s="15" t="n"/>
      <c r="J140" s="44" t="n"/>
      <c r="K140" s="15" t="n"/>
      <c r="L140" s="19" t="n"/>
      <c r="M140" s="15" t="n"/>
    </row>
    <row r="141">
      <c r="A141" s="45" t="n"/>
      <c r="B141" s="15" t="n"/>
      <c r="C141" s="19" t="n"/>
      <c r="D141" s="19" t="n"/>
      <c r="E141" s="19" t="n"/>
      <c r="F141" s="36" t="n"/>
      <c r="G141" s="19" t="n"/>
      <c r="H141" s="15" t="n"/>
      <c r="I141" s="15" t="n"/>
      <c r="J141" s="44" t="n"/>
      <c r="K141" s="15" t="n"/>
      <c r="L141" s="19" t="n"/>
      <c r="M141" s="15" t="n"/>
    </row>
    <row r="142">
      <c r="A142" s="45" t="n"/>
      <c r="B142" s="15" t="n"/>
      <c r="C142" s="19" t="n"/>
      <c r="D142" s="19" t="n"/>
      <c r="E142" s="19" t="n"/>
      <c r="F142" s="36" t="n"/>
      <c r="G142" s="19" t="n"/>
      <c r="H142" s="15" t="n"/>
      <c r="I142" s="15" t="n"/>
      <c r="J142" s="44" t="n"/>
      <c r="K142" s="15" t="n"/>
      <c r="L142" s="19" t="n"/>
      <c r="M142" s="15" t="n"/>
    </row>
    <row r="143">
      <c r="A143" s="45" t="n"/>
      <c r="B143" s="15" t="n"/>
      <c r="C143" s="19" t="n"/>
      <c r="D143" s="19" t="n"/>
      <c r="E143" s="19" t="n"/>
      <c r="F143" s="36" t="n"/>
      <c r="G143" s="19" t="n"/>
      <c r="H143" s="15" t="n"/>
      <c r="I143" s="15" t="n"/>
      <c r="J143" s="44" t="n"/>
      <c r="K143" s="15" t="n"/>
      <c r="L143" s="19" t="n"/>
      <c r="M143" s="15" t="n"/>
    </row>
    <row r="144">
      <c r="A144" s="45" t="n"/>
      <c r="B144" s="15" t="n"/>
      <c r="C144" s="19" t="n"/>
      <c r="D144" s="19" t="n"/>
      <c r="E144" s="19" t="n"/>
      <c r="F144" s="36" t="n"/>
      <c r="G144" s="19" t="n"/>
      <c r="H144" s="15" t="n"/>
      <c r="I144" s="15" t="n"/>
      <c r="J144" s="44" t="n"/>
      <c r="K144" s="15" t="n"/>
      <c r="L144" s="19" t="n"/>
      <c r="M144" s="15" t="n"/>
    </row>
    <row r="145">
      <c r="A145" s="45" t="n"/>
      <c r="B145" s="15" t="n"/>
      <c r="C145" s="19" t="n"/>
      <c r="D145" s="19" t="n"/>
      <c r="E145" s="19" t="n"/>
      <c r="F145" s="36" t="n"/>
      <c r="G145" s="19" t="n"/>
      <c r="H145" s="15" t="n"/>
      <c r="I145" s="15" t="n"/>
      <c r="J145" s="44" t="n"/>
      <c r="K145" s="15" t="n"/>
      <c r="L145" s="19" t="n"/>
      <c r="M145" s="15" t="n"/>
    </row>
    <row r="146">
      <c r="A146" s="45" t="n"/>
      <c r="B146" s="15" t="n"/>
      <c r="C146" s="19" t="n"/>
      <c r="D146" s="19" t="n"/>
      <c r="E146" s="19" t="n"/>
      <c r="F146" s="36" t="n"/>
      <c r="G146" s="19" t="n"/>
      <c r="H146" s="15" t="n"/>
      <c r="I146" s="15" t="n"/>
      <c r="J146" s="44" t="n"/>
      <c r="K146" s="15" t="n"/>
      <c r="L146" s="19" t="n"/>
      <c r="M146" s="15" t="n"/>
    </row>
    <row r="147">
      <c r="A147" s="45" t="n"/>
      <c r="B147" s="15" t="n"/>
      <c r="C147" s="19" t="n"/>
      <c r="D147" s="19" t="n"/>
      <c r="E147" s="19" t="n"/>
      <c r="F147" s="36" t="n"/>
      <c r="G147" s="19" t="n"/>
      <c r="H147" s="15" t="n"/>
      <c r="I147" s="15" t="n"/>
      <c r="J147" s="44" t="n"/>
      <c r="K147" s="15" t="n"/>
      <c r="L147" s="19" t="n"/>
      <c r="M147" s="15" t="n"/>
    </row>
    <row r="148">
      <c r="A148" s="45" t="n"/>
      <c r="B148" s="15" t="n"/>
      <c r="C148" s="19" t="n"/>
      <c r="D148" s="19" t="n"/>
      <c r="E148" s="19" t="n"/>
      <c r="F148" s="36" t="n"/>
      <c r="G148" s="19" t="n"/>
      <c r="H148" s="15" t="n"/>
      <c r="I148" s="15" t="n"/>
      <c r="J148" s="44" t="n"/>
      <c r="K148" s="15" t="n"/>
      <c r="L148" s="19" t="n"/>
      <c r="M148" s="15" t="n"/>
    </row>
    <row r="149">
      <c r="A149" s="45" t="n"/>
      <c r="B149" s="15" t="n"/>
      <c r="C149" s="19" t="n"/>
      <c r="D149" s="19" t="n"/>
      <c r="E149" s="19" t="n"/>
      <c r="F149" s="36" t="n"/>
      <c r="G149" s="19" t="n"/>
      <c r="H149" s="15" t="n"/>
      <c r="I149" s="15" t="n"/>
      <c r="J149" s="44" t="n"/>
      <c r="K149" s="15" t="n"/>
      <c r="L149" s="19" t="n"/>
      <c r="M149" s="15" t="n"/>
    </row>
    <row r="150">
      <c r="A150" s="45" t="n"/>
      <c r="B150" s="15" t="n"/>
      <c r="C150" s="19" t="n"/>
      <c r="D150" s="19" t="n"/>
      <c r="E150" s="19" t="n"/>
      <c r="F150" s="36" t="n"/>
      <c r="G150" s="19" t="n"/>
      <c r="H150" s="15" t="n"/>
      <c r="I150" s="15" t="n"/>
      <c r="J150" s="44" t="n"/>
      <c r="K150" s="15" t="n"/>
      <c r="L150" s="19" t="n"/>
      <c r="M150" s="15" t="n"/>
    </row>
    <row r="151">
      <c r="A151" s="45" t="n"/>
      <c r="B151" s="15" t="n"/>
      <c r="C151" s="19" t="n"/>
      <c r="D151" s="19" t="n"/>
      <c r="E151" s="19" t="n"/>
      <c r="F151" s="36" t="n"/>
      <c r="G151" s="19" t="n"/>
      <c r="H151" s="15" t="n"/>
      <c r="I151" s="15" t="n"/>
      <c r="J151" s="44" t="n"/>
      <c r="K151" s="15" t="n"/>
      <c r="L151" s="19" t="n"/>
      <c r="M151" s="15" t="n"/>
    </row>
    <row r="152">
      <c r="A152" s="45" t="n"/>
      <c r="B152" s="15" t="n"/>
      <c r="C152" s="19" t="n"/>
      <c r="D152" s="19" t="n"/>
      <c r="E152" s="19" t="n"/>
      <c r="F152" s="36" t="n"/>
      <c r="G152" s="19" t="n"/>
      <c r="H152" s="15" t="n"/>
      <c r="I152" s="15" t="n"/>
      <c r="J152" s="44" t="n"/>
      <c r="K152" s="15" t="n"/>
      <c r="L152" s="19" t="n"/>
      <c r="M152" s="15" t="n"/>
    </row>
    <row r="153">
      <c r="A153" s="45" t="n"/>
      <c r="B153" s="15" t="n"/>
      <c r="C153" s="19" t="n"/>
      <c r="D153" s="19" t="n"/>
      <c r="E153" s="19" t="n"/>
      <c r="F153" s="36" t="n"/>
      <c r="G153" s="19" t="n"/>
      <c r="H153" s="15" t="n"/>
      <c r="I153" s="15" t="n"/>
      <c r="J153" s="44" t="n"/>
      <c r="K153" s="15" t="n"/>
      <c r="L153" s="19" t="n"/>
      <c r="M153" s="15" t="n"/>
    </row>
    <row r="154">
      <c r="A154" s="45" t="n"/>
      <c r="B154" s="15" t="n"/>
      <c r="C154" s="19" t="n"/>
      <c r="D154" s="19" t="n"/>
      <c r="E154" s="19" t="n"/>
      <c r="F154" s="36" t="n"/>
      <c r="G154" s="19" t="n"/>
      <c r="H154" s="15" t="n"/>
      <c r="I154" s="15" t="n"/>
      <c r="J154" s="44" t="n"/>
      <c r="K154" s="15" t="n"/>
      <c r="L154" s="19" t="n"/>
      <c r="M154" s="15" t="n"/>
    </row>
    <row r="155">
      <c r="A155" s="45" t="n"/>
      <c r="B155" s="15" t="n"/>
      <c r="C155" s="19" t="n"/>
      <c r="D155" s="19" t="n"/>
      <c r="E155" s="19" t="n"/>
      <c r="F155" s="36" t="n"/>
      <c r="G155" s="19" t="n"/>
      <c r="H155" s="15" t="n"/>
      <c r="I155" s="15" t="n"/>
      <c r="J155" s="44" t="n"/>
      <c r="K155" s="15" t="n"/>
      <c r="L155" s="19" t="n"/>
      <c r="M155" s="15" t="n"/>
    </row>
    <row r="156">
      <c r="A156" s="45" t="n"/>
      <c r="B156" s="15" t="n"/>
      <c r="C156" s="19" t="n"/>
      <c r="D156" s="19" t="n"/>
      <c r="E156" s="19" t="n"/>
      <c r="F156" s="36" t="n"/>
      <c r="G156" s="19" t="n"/>
      <c r="H156" s="15" t="n"/>
      <c r="I156" s="15" t="n"/>
      <c r="J156" s="44" t="n"/>
      <c r="K156" s="15" t="n"/>
      <c r="L156" s="19" t="n"/>
      <c r="M156" s="15" t="n"/>
    </row>
    <row r="157">
      <c r="A157" s="45" t="n"/>
      <c r="B157" s="15" t="n"/>
      <c r="C157" s="19" t="n"/>
      <c r="D157" s="19" t="n"/>
      <c r="E157" s="19" t="n"/>
      <c r="F157" s="36" t="n"/>
      <c r="G157" s="19" t="n"/>
      <c r="H157" s="15" t="n"/>
      <c r="I157" s="15" t="n"/>
      <c r="J157" s="44" t="n"/>
      <c r="K157" s="15" t="n"/>
      <c r="L157" s="19" t="n"/>
      <c r="M157" s="15" t="n"/>
    </row>
    <row r="158">
      <c r="A158" s="45" t="n"/>
      <c r="B158" s="15" t="n"/>
      <c r="C158" s="19" t="n"/>
      <c r="D158" s="19" t="n"/>
      <c r="E158" s="19" t="n"/>
      <c r="F158" s="36" t="n"/>
      <c r="G158" s="19" t="n"/>
      <c r="H158" s="15" t="n"/>
      <c r="I158" s="15" t="n"/>
      <c r="J158" s="44" t="n"/>
      <c r="K158" s="15" t="n"/>
      <c r="L158" s="19" t="n"/>
      <c r="M158" s="15" t="n"/>
    </row>
    <row r="159">
      <c r="A159" s="45" t="n"/>
      <c r="B159" s="15" t="n"/>
      <c r="C159" s="19" t="n"/>
      <c r="D159" s="19" t="n"/>
      <c r="E159" s="19" t="n"/>
      <c r="F159" s="36" t="n"/>
      <c r="G159" s="19" t="n"/>
      <c r="H159" s="15" t="n"/>
      <c r="I159" s="15" t="n"/>
      <c r="J159" s="44" t="n"/>
      <c r="K159" s="15" t="n"/>
      <c r="L159" s="19" t="n"/>
      <c r="M159" s="15" t="n"/>
    </row>
    <row r="160">
      <c r="A160" s="45" t="n"/>
      <c r="B160" s="15" t="n"/>
      <c r="C160" s="19" t="n"/>
      <c r="D160" s="19" t="n"/>
      <c r="E160" s="19" t="n"/>
      <c r="F160" s="36" t="n"/>
      <c r="G160" s="19" t="n"/>
      <c r="H160" s="15" t="n"/>
      <c r="I160" s="15" t="n"/>
      <c r="J160" s="44" t="n"/>
      <c r="K160" s="15" t="n"/>
      <c r="L160" s="19" t="n"/>
      <c r="M160" s="15" t="n"/>
    </row>
    <row r="161">
      <c r="A161" s="45" t="n"/>
      <c r="B161" s="15" t="n"/>
      <c r="C161" s="19" t="n"/>
      <c r="D161" s="19" t="n"/>
      <c r="E161" s="19" t="n"/>
      <c r="F161" s="36" t="n"/>
      <c r="G161" s="19" t="n"/>
      <c r="H161" s="15" t="n"/>
      <c r="I161" s="15" t="n"/>
      <c r="J161" s="44" t="n"/>
      <c r="K161" s="15" t="n"/>
      <c r="L161" s="19" t="n"/>
      <c r="M161" s="15" t="n"/>
    </row>
    <row r="162">
      <c r="A162" s="45" t="n"/>
      <c r="B162" s="15" t="n"/>
      <c r="C162" s="19" t="n"/>
      <c r="D162" s="19" t="n"/>
      <c r="E162" s="19" t="n"/>
      <c r="F162" s="36" t="n"/>
      <c r="G162" s="19" t="n"/>
      <c r="H162" s="15" t="n"/>
      <c r="I162" s="15" t="n"/>
      <c r="J162" s="44" t="n"/>
      <c r="K162" s="15" t="n"/>
      <c r="L162" s="19" t="n"/>
      <c r="M162" s="15" t="n"/>
    </row>
    <row r="163">
      <c r="A163" s="45" t="n"/>
      <c r="B163" s="15" t="n"/>
      <c r="C163" s="19" t="n"/>
      <c r="D163" s="19" t="n"/>
      <c r="E163" s="19" t="n"/>
      <c r="F163" s="36" t="n"/>
      <c r="G163" s="19" t="n"/>
      <c r="H163" s="15" t="n"/>
      <c r="I163" s="15" t="n"/>
      <c r="J163" s="44" t="n"/>
      <c r="K163" s="15" t="n"/>
      <c r="L163" s="19" t="n"/>
      <c r="M163" s="15" t="n"/>
    </row>
    <row r="164">
      <c r="A164" s="45" t="n"/>
      <c r="B164" s="15" t="n"/>
      <c r="C164" s="19" t="n"/>
      <c r="D164" s="19" t="n"/>
      <c r="E164" s="19" t="n"/>
      <c r="F164" s="36" t="n"/>
      <c r="G164" s="19" t="n"/>
      <c r="H164" s="15" t="n"/>
      <c r="I164" s="15" t="n"/>
      <c r="J164" s="44" t="n"/>
      <c r="K164" s="15" t="n"/>
      <c r="L164" s="19" t="n"/>
      <c r="M164" s="15" t="n"/>
    </row>
    <row r="165">
      <c r="A165" s="45" t="n"/>
      <c r="B165" s="15" t="n"/>
      <c r="C165" s="19" t="n"/>
      <c r="D165" s="19" t="n"/>
      <c r="E165" s="19" t="n"/>
      <c r="F165" s="36" t="n"/>
      <c r="G165" s="19" t="n"/>
      <c r="H165" s="15" t="n"/>
      <c r="I165" s="15" t="n"/>
      <c r="J165" s="44" t="n"/>
      <c r="K165" s="15" t="n"/>
      <c r="L165" s="19" t="n"/>
      <c r="M165" s="15" t="n"/>
    </row>
    <row r="166">
      <c r="A166" s="45" t="n"/>
      <c r="B166" s="15" t="n"/>
      <c r="C166" s="19" t="n"/>
      <c r="D166" s="19" t="n"/>
      <c r="E166" s="19" t="n"/>
      <c r="F166" s="36" t="n"/>
      <c r="G166" s="19" t="n"/>
      <c r="H166" s="15" t="n"/>
      <c r="I166" s="15" t="n"/>
      <c r="J166" s="44" t="n"/>
      <c r="K166" s="15" t="n"/>
      <c r="L166" s="19" t="n"/>
      <c r="M166" s="15" t="n"/>
    </row>
    <row r="167">
      <c r="A167" s="45" t="n"/>
      <c r="B167" s="15" t="n"/>
      <c r="C167" s="19" t="n"/>
      <c r="D167" s="19" t="n"/>
      <c r="E167" s="19" t="n"/>
      <c r="F167" s="36" t="n"/>
      <c r="G167" s="19" t="n"/>
      <c r="H167" s="15" t="n"/>
      <c r="I167" s="15" t="n"/>
      <c r="J167" s="44" t="n"/>
      <c r="K167" s="15" t="n"/>
      <c r="L167" s="19" t="n"/>
      <c r="M167" s="15" t="n"/>
    </row>
    <row r="168">
      <c r="A168" s="45" t="n"/>
      <c r="B168" s="15" t="n"/>
      <c r="C168" s="19" t="n"/>
      <c r="D168" s="19" t="n"/>
      <c r="E168" s="19" t="n"/>
      <c r="F168" s="36" t="n"/>
      <c r="G168" s="19" t="n"/>
      <c r="H168" s="15" t="n"/>
      <c r="I168" s="15" t="n"/>
      <c r="J168" s="44" t="n"/>
      <c r="K168" s="15" t="n"/>
      <c r="L168" s="19" t="n"/>
      <c r="M168" s="15" t="n"/>
    </row>
    <row r="169">
      <c r="A169" s="45" t="n"/>
      <c r="B169" s="15" t="n"/>
      <c r="C169" s="19" t="n"/>
      <c r="D169" s="19" t="n"/>
      <c r="E169" s="19" t="n"/>
      <c r="F169" s="36" t="n"/>
      <c r="G169" s="19" t="n"/>
      <c r="H169" s="15" t="n"/>
      <c r="I169" s="15" t="n"/>
      <c r="J169" s="44" t="n"/>
      <c r="K169" s="15" t="n"/>
      <c r="L169" s="19" t="n"/>
      <c r="M169" s="15" t="n"/>
    </row>
    <row r="170">
      <c r="A170" s="45" t="n"/>
      <c r="B170" s="15" t="n"/>
      <c r="C170" s="19" t="n"/>
      <c r="D170" s="19" t="n"/>
      <c r="E170" s="19" t="n"/>
      <c r="F170" s="36" t="n"/>
      <c r="G170" s="19" t="n"/>
      <c r="H170" s="15" t="n"/>
      <c r="I170" s="15" t="n"/>
      <c r="J170" s="44" t="n"/>
      <c r="K170" s="15" t="n"/>
      <c r="L170" s="19" t="n"/>
      <c r="M170" s="15" t="n"/>
    </row>
    <row r="171">
      <c r="A171" s="45" t="n"/>
      <c r="B171" s="15" t="n"/>
      <c r="C171" s="19" t="n"/>
      <c r="D171" s="19" t="n"/>
      <c r="E171" s="19" t="n"/>
      <c r="F171" s="36" t="n"/>
      <c r="G171" s="19" t="n"/>
      <c r="H171" s="15" t="n"/>
      <c r="I171" s="15" t="n"/>
      <c r="J171" s="44" t="n"/>
      <c r="K171" s="15" t="n"/>
      <c r="L171" s="19" t="n"/>
      <c r="M171" s="15" t="n"/>
    </row>
    <row r="172">
      <c r="A172" s="45" t="n"/>
      <c r="B172" s="15" t="n"/>
      <c r="C172" s="19" t="n"/>
      <c r="D172" s="19" t="n"/>
      <c r="E172" s="19" t="n"/>
      <c r="F172" s="36" t="n"/>
      <c r="G172" s="19" t="n"/>
      <c r="H172" s="15" t="n"/>
      <c r="I172" s="15" t="n"/>
      <c r="J172" s="44" t="n"/>
      <c r="K172" s="15" t="n"/>
      <c r="L172" s="19" t="n"/>
      <c r="M172" s="15" t="n"/>
    </row>
    <row r="173">
      <c r="A173" s="45" t="n"/>
      <c r="B173" s="15" t="n"/>
      <c r="C173" s="19" t="n"/>
      <c r="D173" s="19" t="n"/>
      <c r="E173" s="19" t="n"/>
      <c r="F173" s="36" t="n"/>
      <c r="G173" s="19" t="n"/>
      <c r="H173" s="15" t="n"/>
      <c r="I173" s="15" t="n"/>
      <c r="J173" s="44" t="n"/>
      <c r="K173" s="15" t="n"/>
      <c r="L173" s="19" t="n"/>
      <c r="M173" s="15" t="n"/>
    </row>
    <row r="174">
      <c r="A174" s="45" t="n"/>
      <c r="B174" s="15" t="n"/>
      <c r="C174" s="19" t="n"/>
      <c r="D174" s="19" t="n"/>
      <c r="E174" s="19" t="n"/>
      <c r="F174" s="36" t="n"/>
      <c r="G174" s="19" t="n"/>
      <c r="H174" s="15" t="n"/>
      <c r="I174" s="15" t="n"/>
      <c r="J174" s="44" t="n"/>
      <c r="K174" s="15" t="n"/>
      <c r="L174" s="19" t="n"/>
      <c r="M174" s="15" t="n"/>
    </row>
    <row r="175">
      <c r="A175" s="45" t="n"/>
      <c r="B175" s="15" t="n"/>
      <c r="C175" s="19" t="n"/>
      <c r="D175" s="19" t="n"/>
      <c r="E175" s="19" t="n"/>
      <c r="F175" s="36" t="n"/>
      <c r="G175" s="19" t="n"/>
      <c r="H175" s="15" t="n"/>
      <c r="I175" s="15" t="n"/>
      <c r="J175" s="44" t="n"/>
      <c r="K175" s="15" t="n"/>
      <c r="L175" s="19" t="n"/>
      <c r="M175" s="15" t="n"/>
    </row>
    <row r="176">
      <c r="A176" s="45" t="n"/>
      <c r="B176" s="15" t="n"/>
      <c r="C176" s="19" t="n"/>
      <c r="D176" s="19" t="n"/>
      <c r="E176" s="19" t="n"/>
      <c r="F176" s="36" t="n"/>
      <c r="G176" s="19" t="n"/>
      <c r="H176" s="15" t="n"/>
      <c r="I176" s="15" t="n"/>
      <c r="J176" s="44" t="n"/>
      <c r="K176" s="15" t="n"/>
      <c r="L176" s="19" t="n"/>
      <c r="M176" s="15" t="n"/>
    </row>
    <row r="177">
      <c r="A177" s="45" t="n"/>
      <c r="B177" s="15" t="n"/>
      <c r="C177" s="19" t="n"/>
      <c r="D177" s="19" t="n"/>
      <c r="E177" s="19" t="n"/>
      <c r="F177" s="36" t="n"/>
      <c r="G177" s="19" t="n"/>
      <c r="H177" s="15" t="n"/>
      <c r="I177" s="15" t="n"/>
      <c r="J177" s="44" t="n"/>
      <c r="K177" s="15" t="n"/>
      <c r="L177" s="19" t="n"/>
      <c r="M177" s="15" t="n"/>
    </row>
    <row r="178">
      <c r="A178" s="45" t="n"/>
      <c r="B178" s="15" t="n"/>
      <c r="C178" s="19" t="n"/>
      <c r="D178" s="19" t="n"/>
      <c r="E178" s="19" t="n"/>
      <c r="F178" s="36" t="n"/>
      <c r="G178" s="19" t="n"/>
      <c r="H178" s="15" t="n"/>
      <c r="I178" s="15" t="n"/>
      <c r="J178" s="44" t="n"/>
      <c r="K178" s="15" t="n"/>
      <c r="L178" s="19" t="n"/>
      <c r="M178" s="15" t="n"/>
    </row>
    <row r="179">
      <c r="A179" s="45" t="n"/>
      <c r="B179" s="15" t="n"/>
      <c r="C179" s="19" t="n"/>
      <c r="D179" s="19" t="n"/>
      <c r="E179" s="19" t="n"/>
      <c r="F179" s="36" t="n"/>
      <c r="G179" s="19" t="n"/>
      <c r="H179" s="15" t="n"/>
      <c r="I179" s="15" t="n"/>
      <c r="J179" s="44" t="n"/>
      <c r="K179" s="15" t="n"/>
      <c r="L179" s="19" t="n"/>
      <c r="M179" s="15" t="n"/>
    </row>
    <row r="180">
      <c r="A180" s="45" t="n"/>
      <c r="B180" s="15" t="n"/>
      <c r="C180" s="19" t="n"/>
      <c r="D180" s="19" t="n"/>
      <c r="E180" s="19" t="n"/>
      <c r="F180" s="36" t="n"/>
      <c r="G180" s="19" t="n"/>
      <c r="H180" s="15" t="n"/>
      <c r="I180" s="15" t="n"/>
      <c r="J180" s="44" t="n"/>
      <c r="K180" s="15" t="n"/>
      <c r="L180" s="19" t="n"/>
      <c r="M180" s="15" t="n"/>
    </row>
    <row r="181">
      <c r="A181" s="45" t="n"/>
      <c r="B181" s="15" t="n"/>
      <c r="C181" s="19" t="n"/>
      <c r="D181" s="19" t="n"/>
      <c r="E181" s="19" t="n"/>
      <c r="F181" s="36" t="n"/>
      <c r="G181" s="19" t="n"/>
      <c r="H181" s="15" t="n"/>
      <c r="I181" s="15" t="n"/>
      <c r="J181" s="44" t="n"/>
      <c r="K181" s="15" t="n"/>
      <c r="L181" s="19" t="n"/>
      <c r="M181" s="15" t="n"/>
    </row>
    <row r="182">
      <c r="A182" s="45" t="n"/>
      <c r="B182" s="15" t="n"/>
      <c r="C182" s="19" t="n"/>
      <c r="D182" s="19" t="n"/>
      <c r="E182" s="19" t="n"/>
      <c r="F182" s="36" t="n"/>
      <c r="G182" s="19" t="n"/>
      <c r="H182" s="15" t="n"/>
      <c r="I182" s="15" t="n"/>
      <c r="J182" s="44" t="n"/>
      <c r="K182" s="15" t="n"/>
      <c r="L182" s="19" t="n"/>
      <c r="M182" s="15" t="n"/>
    </row>
    <row r="183">
      <c r="A183" s="45" t="n"/>
      <c r="B183" s="15" t="n"/>
      <c r="C183" s="19" t="n"/>
      <c r="D183" s="19" t="n"/>
      <c r="E183" s="19" t="n"/>
      <c r="F183" s="36" t="n"/>
      <c r="G183" s="19" t="n"/>
      <c r="H183" s="15" t="n"/>
      <c r="I183" s="15" t="n"/>
      <c r="J183" s="44" t="n"/>
      <c r="K183" s="15" t="n"/>
      <c r="L183" s="19" t="n"/>
      <c r="M183" s="15" t="n"/>
    </row>
    <row r="184">
      <c r="A184" s="45" t="n"/>
      <c r="B184" s="15" t="n"/>
      <c r="C184" s="19" t="n"/>
      <c r="D184" s="19" t="n"/>
      <c r="E184" s="19" t="n"/>
      <c r="F184" s="36" t="n"/>
      <c r="G184" s="19" t="n"/>
      <c r="H184" s="15" t="n"/>
      <c r="I184" s="15" t="n"/>
      <c r="J184" s="44" t="n"/>
      <c r="K184" s="15" t="n"/>
      <c r="L184" s="19" t="n"/>
      <c r="M184" s="15" t="n"/>
    </row>
    <row r="185">
      <c r="A185" s="45" t="n"/>
      <c r="B185" s="15" t="n"/>
      <c r="C185" s="19" t="n"/>
      <c r="D185" s="19" t="n"/>
      <c r="E185" s="19" t="n"/>
      <c r="F185" s="36" t="n"/>
      <c r="G185" s="19" t="n"/>
      <c r="H185" s="15" t="n"/>
      <c r="I185" s="15" t="n"/>
      <c r="J185" s="44" t="n"/>
      <c r="K185" s="15" t="n"/>
      <c r="L185" s="19" t="n"/>
      <c r="M185" s="15" t="n"/>
    </row>
    <row r="186">
      <c r="A186" s="45" t="n"/>
      <c r="B186" s="15" t="n"/>
      <c r="C186" s="19" t="n"/>
      <c r="D186" s="19" t="n"/>
      <c r="E186" s="19" t="n"/>
      <c r="F186" s="36" t="n"/>
      <c r="G186" s="19" t="n"/>
      <c r="H186" s="15" t="n"/>
      <c r="I186" s="15" t="n"/>
      <c r="J186" s="44" t="n"/>
      <c r="K186" s="15" t="n"/>
      <c r="L186" s="19" t="n"/>
      <c r="M186" s="15" t="n"/>
    </row>
    <row r="187">
      <c r="A187" s="45" t="n"/>
      <c r="B187" s="15" t="n"/>
      <c r="C187" s="19" t="n"/>
      <c r="D187" s="19" t="n"/>
      <c r="E187" s="19" t="n"/>
      <c r="F187" s="36" t="n"/>
      <c r="G187" s="19" t="n"/>
      <c r="H187" s="15" t="n"/>
      <c r="I187" s="15" t="n"/>
      <c r="J187" s="44" t="n"/>
      <c r="K187" s="15" t="n"/>
      <c r="L187" s="19" t="n"/>
      <c r="M187" s="15" t="n"/>
    </row>
    <row r="188">
      <c r="A188" s="45" t="n"/>
      <c r="B188" s="15" t="n"/>
      <c r="C188" s="19" t="n"/>
      <c r="D188" s="19" t="n"/>
      <c r="E188" s="19" t="n"/>
      <c r="F188" s="36" t="n"/>
      <c r="G188" s="19" t="n"/>
      <c r="H188" s="15" t="n"/>
      <c r="I188" s="15" t="n"/>
      <c r="J188" s="44" t="n"/>
      <c r="K188" s="15" t="n"/>
      <c r="L188" s="19" t="n"/>
      <c r="M188" s="15" t="n"/>
    </row>
    <row r="189">
      <c r="A189" s="45" t="n"/>
      <c r="B189" s="15" t="n"/>
      <c r="C189" s="19" t="n"/>
      <c r="D189" s="19" t="n"/>
      <c r="E189" s="19" t="n"/>
      <c r="F189" s="36" t="n"/>
      <c r="G189" s="19" t="n"/>
      <c r="H189" s="15" t="n"/>
      <c r="I189" s="15" t="n"/>
      <c r="J189" s="44" t="n"/>
      <c r="K189" s="15" t="n"/>
      <c r="L189" s="19" t="n"/>
      <c r="M189" s="15" t="n"/>
    </row>
    <row r="190">
      <c r="A190" s="45" t="n"/>
      <c r="B190" s="15" t="n"/>
      <c r="C190" s="19" t="n"/>
      <c r="D190" s="19" t="n"/>
      <c r="E190" s="19" t="n"/>
      <c r="F190" s="36" t="n"/>
      <c r="G190" s="19" t="n"/>
      <c r="H190" s="15" t="n"/>
      <c r="I190" s="15" t="n"/>
      <c r="J190" s="44" t="n"/>
      <c r="K190" s="15" t="n"/>
      <c r="L190" s="19" t="n"/>
      <c r="M190" s="15" t="n"/>
    </row>
    <row r="191">
      <c r="A191" s="45" t="n"/>
      <c r="B191" s="15" t="n"/>
      <c r="C191" s="19" t="n"/>
      <c r="D191" s="19" t="n"/>
      <c r="E191" s="19" t="n"/>
      <c r="F191" s="36" t="n"/>
      <c r="G191" s="19" t="n"/>
      <c r="H191" s="15" t="n"/>
      <c r="I191" s="15" t="n"/>
      <c r="J191" s="44" t="n"/>
      <c r="K191" s="15" t="n"/>
      <c r="L191" s="19" t="n"/>
      <c r="M191" s="15" t="n"/>
    </row>
    <row r="192">
      <c r="A192" s="45" t="n"/>
      <c r="B192" s="15" t="n"/>
      <c r="C192" s="19" t="n"/>
      <c r="D192" s="19" t="n"/>
      <c r="E192" s="19" t="n"/>
      <c r="F192" s="36" t="n"/>
      <c r="G192" s="19" t="n"/>
      <c r="H192" s="15" t="n"/>
      <c r="I192" s="15" t="n"/>
      <c r="J192" s="44" t="n"/>
      <c r="K192" s="15" t="n"/>
      <c r="L192" s="19" t="n"/>
      <c r="M192" s="15" t="n"/>
    </row>
    <row r="193">
      <c r="A193" s="45" t="n"/>
      <c r="B193" s="15" t="n"/>
      <c r="C193" s="19" t="n"/>
      <c r="D193" s="19" t="n"/>
      <c r="E193" s="19" t="n"/>
      <c r="F193" s="36" t="n"/>
      <c r="G193" s="19" t="n"/>
      <c r="H193" s="15" t="n"/>
      <c r="I193" s="15" t="n"/>
      <c r="J193" s="44" t="n"/>
      <c r="K193" s="15" t="n"/>
      <c r="L193" s="19" t="n"/>
      <c r="M193" s="15" t="n"/>
    </row>
    <row r="194">
      <c r="A194" s="45" t="n"/>
      <c r="B194" s="15" t="n"/>
      <c r="C194" s="19" t="n"/>
      <c r="D194" s="19" t="n"/>
      <c r="E194" s="19" t="n"/>
      <c r="F194" s="36" t="n"/>
      <c r="G194" s="19" t="n"/>
      <c r="H194" s="15" t="n"/>
      <c r="I194" s="15" t="n"/>
      <c r="J194" s="44" t="n"/>
      <c r="K194" s="15" t="n"/>
      <c r="L194" s="19" t="n"/>
      <c r="M194" s="15" t="n"/>
    </row>
    <row r="195">
      <c r="A195" s="45" t="n"/>
      <c r="B195" s="15" t="n"/>
      <c r="C195" s="19" t="n"/>
      <c r="D195" s="19" t="n"/>
      <c r="E195" s="19" t="n"/>
      <c r="F195" s="36" t="n"/>
      <c r="G195" s="19" t="n"/>
      <c r="H195" s="15" t="n"/>
      <c r="I195" s="15" t="n"/>
      <c r="J195" s="44" t="n"/>
      <c r="K195" s="15" t="n"/>
      <c r="L195" s="19" t="n"/>
      <c r="M195" s="15" t="n"/>
    </row>
    <row r="196">
      <c r="A196" s="45" t="n"/>
      <c r="B196" s="15" t="n"/>
      <c r="C196" s="19" t="n"/>
      <c r="D196" s="19" t="n"/>
      <c r="E196" s="19" t="n"/>
      <c r="F196" s="36" t="n"/>
      <c r="G196" s="19" t="n"/>
      <c r="H196" s="15" t="n"/>
      <c r="I196" s="15" t="n"/>
      <c r="J196" s="44" t="n"/>
      <c r="K196" s="15" t="n"/>
      <c r="L196" s="19" t="n"/>
      <c r="M196" s="15" t="n"/>
    </row>
    <row r="197">
      <c r="A197" s="45" t="n"/>
      <c r="B197" s="15" t="n"/>
      <c r="C197" s="19" t="n"/>
      <c r="D197" s="19" t="n"/>
      <c r="E197" s="19" t="n"/>
      <c r="F197" s="36" t="n"/>
      <c r="G197" s="19" t="n"/>
      <c r="H197" s="15" t="n"/>
      <c r="I197" s="15" t="n"/>
      <c r="J197" s="44" t="n"/>
      <c r="K197" s="15" t="n"/>
      <c r="L197" s="19" t="n"/>
      <c r="M197" s="15" t="n"/>
    </row>
    <row r="198">
      <c r="A198" s="45" t="n"/>
      <c r="B198" s="15" t="n"/>
      <c r="C198" s="19" t="n"/>
      <c r="D198" s="19" t="n"/>
      <c r="E198" s="19" t="n"/>
      <c r="F198" s="36" t="n"/>
      <c r="G198" s="19" t="n"/>
      <c r="H198" s="15" t="n"/>
      <c r="I198" s="15" t="n"/>
      <c r="J198" s="44" t="n"/>
      <c r="K198" s="15" t="n"/>
      <c r="L198" s="19" t="n"/>
      <c r="M198" s="15" t="n"/>
    </row>
    <row r="199">
      <c r="A199" s="45" t="n"/>
      <c r="B199" s="15" t="n"/>
      <c r="C199" s="19" t="n"/>
      <c r="D199" s="19" t="n"/>
      <c r="E199" s="19" t="n"/>
      <c r="F199" s="36" t="n"/>
      <c r="G199" s="19" t="n"/>
      <c r="H199" s="15" t="n"/>
      <c r="I199" s="15" t="n"/>
      <c r="J199" s="44" t="n"/>
      <c r="K199" s="15" t="n"/>
      <c r="L199" s="19" t="n"/>
      <c r="M199" s="15" t="n"/>
    </row>
    <row r="200">
      <c r="A200" s="45" t="n"/>
      <c r="B200" s="15" t="n"/>
      <c r="C200" s="19" t="n"/>
      <c r="D200" s="19" t="n"/>
      <c r="E200" s="19" t="n"/>
      <c r="F200" s="36" t="n"/>
      <c r="G200" s="19" t="n"/>
      <c r="H200" s="15" t="n"/>
      <c r="I200" s="15" t="n"/>
      <c r="J200" s="44" t="n"/>
      <c r="K200" s="15" t="n"/>
      <c r="L200" s="19" t="n"/>
      <c r="M200" s="15" t="n"/>
    </row>
    <row r="201">
      <c r="A201" s="45" t="n"/>
      <c r="B201" s="15" t="n"/>
      <c r="C201" s="19" t="n"/>
      <c r="D201" s="19" t="n"/>
      <c r="E201" s="19" t="n"/>
      <c r="F201" s="36" t="n"/>
      <c r="G201" s="19" t="n"/>
      <c r="H201" s="15" t="n"/>
      <c r="I201" s="15" t="n"/>
      <c r="J201" s="44" t="n"/>
      <c r="K201" s="15" t="n"/>
      <c r="L201" s="19" t="n"/>
      <c r="M201" s="15" t="n"/>
    </row>
  </sheetData>
  <autoFilter ref="A1:M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2026-08-20T00:12:43Z</dcterms:created>
  <dcterms:modified xsi:type="dcterms:W3CDTF">2026-08-20T00:12:43Z</dcterms:modified>
</cp:coreProperties>
</file>